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B370" i="1" l="1"/>
  <c r="BA370" i="1"/>
  <c r="BB369" i="1"/>
  <c r="BA369" i="1"/>
  <c r="BB368" i="1"/>
  <c r="BA368" i="1"/>
  <c r="BB367" i="1"/>
  <c r="BA367" i="1"/>
  <c r="BB366" i="1"/>
  <c r="BA366" i="1"/>
  <c r="BB365" i="1"/>
  <c r="BA365" i="1"/>
  <c r="BB364" i="1"/>
  <c r="BA364" i="1"/>
  <c r="BB363" i="1"/>
  <c r="BA363" i="1"/>
  <c r="BB362" i="1"/>
  <c r="BA362" i="1"/>
  <c r="BB361" i="1"/>
  <c r="BA361" i="1"/>
  <c r="BB360" i="1"/>
  <c r="BA360" i="1"/>
  <c r="BB359" i="1"/>
  <c r="BA359" i="1"/>
  <c r="BB358" i="1"/>
  <c r="BA358" i="1"/>
  <c r="BB357" i="1"/>
  <c r="BA357" i="1"/>
  <c r="BB356" i="1"/>
  <c r="BA356" i="1"/>
  <c r="BB355" i="1"/>
  <c r="BA355" i="1"/>
  <c r="BB354" i="1"/>
  <c r="BA354" i="1"/>
  <c r="BB353" i="1"/>
  <c r="BA353" i="1"/>
  <c r="BB352" i="1"/>
  <c r="BA352" i="1"/>
  <c r="BB351" i="1"/>
  <c r="BA351" i="1"/>
  <c r="BB350" i="1"/>
  <c r="BA350" i="1"/>
  <c r="BB349" i="1"/>
  <c r="BA349" i="1"/>
  <c r="BB348" i="1"/>
  <c r="BA348" i="1"/>
  <c r="BB347" i="1"/>
  <c r="BA347" i="1"/>
  <c r="BB346" i="1"/>
  <c r="BA346" i="1"/>
  <c r="BB345" i="1"/>
  <c r="BA345" i="1"/>
  <c r="BB344" i="1"/>
  <c r="BA344" i="1"/>
  <c r="BB343" i="1"/>
  <c r="BA343" i="1"/>
  <c r="BB342" i="1"/>
  <c r="BA342" i="1"/>
  <c r="BB341" i="1"/>
  <c r="BA341" i="1"/>
  <c r="BB340" i="1"/>
  <c r="BA340" i="1"/>
  <c r="BB339" i="1"/>
  <c r="BA339" i="1"/>
  <c r="BB338" i="1"/>
  <c r="BA338" i="1"/>
  <c r="BB337" i="1"/>
  <c r="BA337" i="1"/>
  <c r="BB336" i="1"/>
  <c r="BA336" i="1"/>
  <c r="BB335" i="1"/>
  <c r="BA335" i="1"/>
  <c r="BB334" i="1"/>
  <c r="BA334" i="1"/>
  <c r="BB333" i="1"/>
  <c r="BA333" i="1"/>
  <c r="BB332" i="1"/>
  <c r="BA332" i="1"/>
  <c r="BB331" i="1"/>
  <c r="BA331" i="1"/>
  <c r="BB330" i="1"/>
  <c r="BA330" i="1"/>
  <c r="BB329" i="1"/>
  <c r="BA329" i="1"/>
  <c r="BB328" i="1"/>
  <c r="BA328" i="1"/>
  <c r="BB327" i="1"/>
  <c r="BA327" i="1"/>
  <c r="BB326" i="1"/>
  <c r="BA326" i="1"/>
  <c r="BB325" i="1"/>
  <c r="BA325" i="1"/>
  <c r="BB324" i="1"/>
  <c r="BA324" i="1"/>
  <c r="BB323" i="1"/>
  <c r="BA323" i="1"/>
  <c r="BB322" i="1"/>
  <c r="BA322" i="1"/>
  <c r="BB321" i="1"/>
  <c r="BA321" i="1"/>
  <c r="BB320" i="1"/>
  <c r="BA320" i="1"/>
  <c r="BB319" i="1"/>
  <c r="BA319" i="1"/>
  <c r="BB318" i="1"/>
  <c r="BA318" i="1"/>
  <c r="BB317" i="1"/>
  <c r="BA317" i="1"/>
  <c r="BB316" i="1"/>
  <c r="BA316" i="1"/>
  <c r="BB315" i="1"/>
  <c r="BA315" i="1"/>
  <c r="BB314" i="1"/>
  <c r="BA314" i="1"/>
  <c r="BB313" i="1"/>
  <c r="BA313" i="1"/>
  <c r="BB312" i="1"/>
  <c r="BA312" i="1"/>
  <c r="BB311" i="1"/>
  <c r="BA311" i="1"/>
  <c r="BB310" i="1"/>
  <c r="BA310" i="1"/>
  <c r="BB309" i="1"/>
  <c r="BA309" i="1"/>
  <c r="BB308" i="1"/>
  <c r="BA308" i="1"/>
  <c r="BB307" i="1"/>
  <c r="BA307" i="1"/>
  <c r="BB306" i="1"/>
  <c r="BA306" i="1"/>
  <c r="BB305" i="1"/>
  <c r="BA305" i="1"/>
  <c r="BB304" i="1"/>
  <c r="BA304" i="1"/>
  <c r="BB303" i="1"/>
  <c r="BA303" i="1"/>
  <c r="BB302" i="1"/>
  <c r="BA302" i="1"/>
  <c r="BB301" i="1"/>
  <c r="BA301" i="1"/>
  <c r="BB300" i="1"/>
  <c r="BA300" i="1"/>
  <c r="BB299" i="1"/>
  <c r="BA299" i="1"/>
  <c r="BB298" i="1"/>
  <c r="BA298" i="1"/>
  <c r="BB297" i="1"/>
  <c r="BA297" i="1"/>
  <c r="BB296" i="1"/>
  <c r="BA296" i="1"/>
  <c r="BB295" i="1"/>
  <c r="BA295" i="1"/>
  <c r="BB294" i="1"/>
  <c r="BA294" i="1"/>
  <c r="BB293" i="1"/>
  <c r="BA293" i="1"/>
  <c r="BB292" i="1"/>
  <c r="BA292" i="1"/>
  <c r="BB291" i="1"/>
  <c r="BA291" i="1"/>
  <c r="BB290" i="1"/>
  <c r="BA290" i="1"/>
  <c r="BB289" i="1"/>
  <c r="BA289" i="1"/>
  <c r="BB288" i="1"/>
  <c r="BA288" i="1"/>
  <c r="BB287" i="1"/>
  <c r="BA287" i="1"/>
  <c r="BB286" i="1"/>
  <c r="BA286" i="1"/>
  <c r="BB285" i="1"/>
  <c r="BA285" i="1"/>
  <c r="BB284" i="1"/>
  <c r="BA284" i="1"/>
  <c r="BB283" i="1"/>
  <c r="BA283" i="1"/>
  <c r="BB282" i="1"/>
  <c r="BA282" i="1"/>
  <c r="BB281" i="1"/>
  <c r="BA281" i="1"/>
  <c r="BB280" i="1"/>
  <c r="BA280" i="1"/>
  <c r="BB279" i="1"/>
  <c r="BA279" i="1"/>
  <c r="BB278" i="1"/>
  <c r="BA278" i="1"/>
  <c r="BB277" i="1"/>
  <c r="BA277" i="1"/>
  <c r="BB276" i="1"/>
  <c r="BA276" i="1"/>
  <c r="BB275" i="1"/>
  <c r="BA275" i="1"/>
  <c r="BB274" i="1"/>
  <c r="BA274" i="1"/>
  <c r="BB273" i="1"/>
  <c r="BA273" i="1"/>
  <c r="BB272" i="1"/>
  <c r="BA272" i="1"/>
  <c r="BB271" i="1"/>
  <c r="BA271" i="1"/>
  <c r="BB270" i="1"/>
  <c r="BA270" i="1"/>
  <c r="BB269" i="1"/>
  <c r="BA269" i="1"/>
  <c r="BB268" i="1"/>
  <c r="BA268" i="1"/>
  <c r="BB267" i="1"/>
  <c r="BA267" i="1"/>
  <c r="BB266" i="1"/>
  <c r="BA266" i="1"/>
  <c r="BB265" i="1"/>
  <c r="BA265" i="1"/>
  <c r="BB264" i="1"/>
  <c r="BA264" i="1"/>
  <c r="BB263" i="1"/>
  <c r="BA263" i="1"/>
  <c r="BB262" i="1"/>
  <c r="BA262" i="1"/>
  <c r="BB261" i="1"/>
  <c r="BA261" i="1"/>
  <c r="BB260" i="1"/>
  <c r="BA260" i="1"/>
  <c r="BB259" i="1"/>
  <c r="BA259" i="1"/>
  <c r="BB258" i="1"/>
  <c r="BA258" i="1"/>
  <c r="BB257" i="1"/>
  <c r="BA257" i="1"/>
  <c r="BB256" i="1"/>
  <c r="BA256" i="1"/>
  <c r="BB255" i="1"/>
  <c r="BA255" i="1"/>
  <c r="BB254" i="1"/>
  <c r="BA254" i="1"/>
  <c r="BB253" i="1"/>
  <c r="BA253" i="1"/>
  <c r="BB252" i="1"/>
  <c r="BA252" i="1"/>
  <c r="BB251" i="1"/>
  <c r="BA251" i="1"/>
  <c r="BB250" i="1"/>
  <c r="BA250" i="1"/>
  <c r="BB249" i="1"/>
  <c r="BA249" i="1"/>
  <c r="BB248" i="1"/>
  <c r="BA248" i="1"/>
  <c r="BB247" i="1"/>
  <c r="BA247" i="1"/>
  <c r="BB246" i="1"/>
  <c r="BA246" i="1"/>
  <c r="BB245" i="1"/>
  <c r="BA245" i="1"/>
  <c r="BB244" i="1"/>
  <c r="BA244" i="1"/>
  <c r="BB243" i="1"/>
  <c r="BA243" i="1"/>
  <c r="BB242" i="1"/>
  <c r="BA242" i="1"/>
  <c r="BB241" i="1"/>
  <c r="BA241" i="1"/>
  <c r="BB240" i="1"/>
  <c r="BA240" i="1"/>
  <c r="BB239" i="1"/>
  <c r="BA239" i="1"/>
  <c r="BB238" i="1"/>
  <c r="BA238" i="1"/>
  <c r="BB237" i="1"/>
  <c r="BA237" i="1"/>
  <c r="BB236" i="1"/>
  <c r="BA236" i="1"/>
  <c r="BB235" i="1"/>
  <c r="BA235" i="1"/>
  <c r="BB234" i="1"/>
  <c r="BA234" i="1"/>
  <c r="BB233" i="1"/>
  <c r="BA233" i="1"/>
  <c r="BB232" i="1"/>
  <c r="BA232" i="1"/>
  <c r="BB231" i="1"/>
  <c r="BA231" i="1"/>
  <c r="BB230" i="1"/>
  <c r="BA230" i="1"/>
  <c r="BB229" i="1"/>
  <c r="BA229" i="1"/>
  <c r="BB228" i="1"/>
  <c r="BA228" i="1"/>
  <c r="BB227" i="1"/>
  <c r="BA227" i="1"/>
  <c r="BB226" i="1"/>
  <c r="BA226" i="1"/>
  <c r="BB225" i="1"/>
  <c r="BA225" i="1"/>
  <c r="BB224" i="1"/>
  <c r="BA224" i="1"/>
  <c r="BB223" i="1"/>
  <c r="BA223" i="1"/>
  <c r="BB222" i="1"/>
  <c r="BA222" i="1"/>
  <c r="BB221" i="1"/>
  <c r="BA221" i="1"/>
  <c r="BB220" i="1"/>
  <c r="BA220" i="1"/>
  <c r="BB219" i="1"/>
  <c r="BA219" i="1"/>
  <c r="BB218" i="1"/>
  <c r="BA218" i="1"/>
  <c r="BB217" i="1"/>
  <c r="BA217" i="1"/>
  <c r="BB216" i="1"/>
  <c r="BA216" i="1"/>
  <c r="BB215" i="1"/>
  <c r="BA215" i="1"/>
  <c r="BB214" i="1"/>
  <c r="BA214" i="1"/>
  <c r="BB213" i="1"/>
  <c r="BA213" i="1"/>
  <c r="BB212" i="1"/>
  <c r="BA212" i="1"/>
  <c r="BB211" i="1"/>
  <c r="BA211" i="1"/>
  <c r="BB210" i="1"/>
  <c r="BA210" i="1"/>
  <c r="BB209" i="1"/>
  <c r="BA209" i="1"/>
  <c r="BB208" i="1"/>
  <c r="BA208" i="1"/>
  <c r="BB207" i="1"/>
  <c r="BA207" i="1"/>
  <c r="BB206" i="1"/>
  <c r="BA206" i="1"/>
  <c r="BB205" i="1"/>
  <c r="BA205" i="1"/>
  <c r="BB204" i="1"/>
  <c r="BA204" i="1"/>
  <c r="BB203" i="1"/>
  <c r="BA203" i="1"/>
  <c r="BB202" i="1"/>
  <c r="BA202" i="1"/>
  <c r="BB201" i="1"/>
  <c r="BA201" i="1"/>
  <c r="BB200" i="1"/>
  <c r="BA200" i="1"/>
  <c r="BB199" i="1"/>
  <c r="BA199" i="1"/>
  <c r="BB198" i="1"/>
  <c r="BA198" i="1"/>
  <c r="BB197" i="1"/>
  <c r="BA197" i="1"/>
  <c r="BB196" i="1"/>
  <c r="BA196" i="1"/>
  <c r="BB195" i="1"/>
  <c r="BA195" i="1"/>
  <c r="BB194" i="1"/>
  <c r="BA194" i="1"/>
  <c r="BB193" i="1"/>
  <c r="BA193" i="1"/>
  <c r="BB192" i="1"/>
  <c r="BA192" i="1"/>
  <c r="BB191" i="1"/>
  <c r="BA191" i="1"/>
  <c r="BB190" i="1"/>
  <c r="BA190" i="1"/>
  <c r="BB189" i="1"/>
  <c r="BA189" i="1"/>
  <c r="BB188" i="1"/>
  <c r="BA188" i="1"/>
  <c r="BB187" i="1"/>
  <c r="BA187" i="1"/>
  <c r="BB186" i="1"/>
  <c r="BA186" i="1"/>
  <c r="BB185" i="1"/>
  <c r="BA185" i="1"/>
  <c r="BB184" i="1"/>
  <c r="BA184" i="1"/>
  <c r="BB183" i="1"/>
  <c r="BA183" i="1"/>
  <c r="BB182" i="1"/>
  <c r="BA182" i="1"/>
  <c r="BB181" i="1"/>
  <c r="BA181" i="1"/>
  <c r="BB180" i="1"/>
  <c r="BA180" i="1"/>
  <c r="BB179" i="1"/>
  <c r="BA179" i="1"/>
  <c r="BB178" i="1"/>
  <c r="BA178" i="1"/>
  <c r="BB177" i="1"/>
  <c r="BA177" i="1"/>
  <c r="BB176" i="1"/>
  <c r="BA176" i="1"/>
  <c r="BB175" i="1"/>
  <c r="BA175" i="1"/>
  <c r="BB174" i="1"/>
  <c r="BA174" i="1"/>
  <c r="BB173" i="1"/>
  <c r="BA173" i="1"/>
  <c r="BB172" i="1"/>
  <c r="BA172" i="1"/>
  <c r="BB171" i="1"/>
  <c r="BA171" i="1"/>
  <c r="BB170" i="1"/>
  <c r="BA170" i="1"/>
  <c r="BB169" i="1"/>
  <c r="BA169" i="1"/>
  <c r="BB168" i="1"/>
  <c r="BA168" i="1"/>
  <c r="BB167" i="1"/>
  <c r="BA167" i="1"/>
  <c r="BB166" i="1"/>
  <c r="BA166" i="1"/>
  <c r="BB165" i="1"/>
  <c r="BA165" i="1"/>
  <c r="BB164" i="1"/>
  <c r="BA164" i="1"/>
  <c r="BB163" i="1"/>
  <c r="BA163" i="1"/>
  <c r="BB162" i="1"/>
  <c r="BA162" i="1"/>
  <c r="BB161" i="1"/>
  <c r="BA161" i="1"/>
  <c r="BB160" i="1"/>
  <c r="BA160" i="1"/>
  <c r="BB159" i="1"/>
  <c r="BA159" i="1"/>
  <c r="BB158" i="1"/>
  <c r="BA158" i="1"/>
  <c r="BB157" i="1"/>
  <c r="BA157" i="1"/>
  <c r="BB156" i="1"/>
  <c r="BA156" i="1"/>
  <c r="BB155" i="1"/>
  <c r="BA155" i="1"/>
  <c r="BB154" i="1"/>
  <c r="BA154" i="1"/>
  <c r="BB153" i="1"/>
  <c r="BA153" i="1"/>
  <c r="BB152" i="1"/>
  <c r="BA152" i="1"/>
  <c r="AL147" i="1"/>
  <c r="BB147" i="1" s="1"/>
  <c r="AL146" i="1"/>
  <c r="BB146" i="1" s="1"/>
  <c r="AL145" i="1"/>
  <c r="BB145" i="1" s="1"/>
  <c r="AL144" i="1"/>
  <c r="BB144" i="1" s="1"/>
  <c r="AL143" i="1"/>
  <c r="BB143" i="1" s="1"/>
  <c r="AL142" i="1"/>
  <c r="BB142" i="1" s="1"/>
  <c r="AL141" i="1"/>
  <c r="BB141" i="1" s="1"/>
  <c r="AL140" i="1"/>
  <c r="BB140" i="1" s="1"/>
  <c r="AL139" i="1"/>
  <c r="BB139" i="1" s="1"/>
  <c r="AL138" i="1"/>
  <c r="BB138" i="1" s="1"/>
  <c r="AL137" i="1"/>
  <c r="BB137" i="1" s="1"/>
  <c r="AL136" i="1"/>
  <c r="BB136" i="1" s="1"/>
  <c r="AL135" i="1"/>
  <c r="BB135" i="1" s="1"/>
  <c r="AL134" i="1"/>
  <c r="BB134" i="1" s="1"/>
  <c r="AL133" i="1"/>
  <c r="BB133" i="1" s="1"/>
  <c r="AL132" i="1"/>
  <c r="BB132" i="1" s="1"/>
  <c r="AL131" i="1"/>
  <c r="BB131" i="1" s="1"/>
  <c r="AL130" i="1"/>
  <c r="BB130" i="1" s="1"/>
  <c r="AL129" i="1"/>
  <c r="BB129" i="1" s="1"/>
  <c r="AL128" i="1"/>
  <c r="BB128" i="1" s="1"/>
  <c r="AL127" i="1"/>
  <c r="BB127" i="1" s="1"/>
  <c r="AL126" i="1"/>
  <c r="BB126" i="1" s="1"/>
  <c r="AL125" i="1"/>
  <c r="BB125" i="1" s="1"/>
  <c r="AL124" i="1"/>
  <c r="BB124" i="1" s="1"/>
  <c r="AL123" i="1"/>
  <c r="BB123" i="1" s="1"/>
  <c r="AL122" i="1"/>
  <c r="BB122" i="1" s="1"/>
  <c r="AL121" i="1"/>
  <c r="BB121" i="1" s="1"/>
  <c r="AL120" i="1"/>
  <c r="BB120" i="1" s="1"/>
  <c r="AL119" i="1"/>
  <c r="BB119" i="1" s="1"/>
  <c r="AL118" i="1"/>
  <c r="BB118" i="1" s="1"/>
  <c r="AL117" i="1"/>
  <c r="BB117" i="1" s="1"/>
  <c r="AL116" i="1"/>
  <c r="BB116" i="1" s="1"/>
  <c r="AL115" i="1"/>
  <c r="BB115" i="1" s="1"/>
  <c r="AL114" i="1"/>
  <c r="BB114" i="1" s="1"/>
  <c r="AL113" i="1"/>
  <c r="BB113" i="1" s="1"/>
  <c r="AL112" i="1"/>
  <c r="BB112" i="1" s="1"/>
  <c r="AL111" i="1"/>
  <c r="BB111" i="1" s="1"/>
  <c r="AL110" i="1"/>
  <c r="BB110" i="1" s="1"/>
  <c r="AL109" i="1"/>
  <c r="BB109" i="1" s="1"/>
  <c r="AL108" i="1"/>
  <c r="BB108" i="1" s="1"/>
  <c r="AL107" i="1"/>
  <c r="BB107" i="1" s="1"/>
  <c r="AL106" i="1"/>
  <c r="BB106" i="1" s="1"/>
  <c r="AL105" i="1"/>
  <c r="BB105" i="1" s="1"/>
  <c r="AL104" i="1"/>
  <c r="BB104" i="1" s="1"/>
  <c r="AL103" i="1"/>
  <c r="BB103" i="1" s="1"/>
  <c r="AL102" i="1"/>
  <c r="BB102" i="1" s="1"/>
  <c r="AL101" i="1"/>
  <c r="BB101" i="1" s="1"/>
  <c r="AL100" i="1"/>
  <c r="BB100" i="1" s="1"/>
  <c r="AL99" i="1"/>
  <c r="BB99" i="1" s="1"/>
  <c r="AL98" i="1"/>
  <c r="BB98" i="1" s="1"/>
  <c r="AL97" i="1"/>
  <c r="BB97" i="1" s="1"/>
  <c r="AL96" i="1"/>
  <c r="BB96" i="1" s="1"/>
  <c r="AL95" i="1"/>
  <c r="BB95" i="1" s="1"/>
  <c r="AL94" i="1"/>
  <c r="BB94" i="1" s="1"/>
  <c r="AL93" i="1"/>
  <c r="BB93" i="1" s="1"/>
  <c r="AL92" i="1"/>
  <c r="BB92" i="1" s="1"/>
  <c r="AL91" i="1"/>
  <c r="BB91" i="1" s="1"/>
  <c r="AL90" i="1"/>
  <c r="BB90" i="1" s="1"/>
  <c r="AL89" i="1"/>
  <c r="BB89" i="1" s="1"/>
  <c r="AL88" i="1"/>
  <c r="BB88" i="1" s="1"/>
  <c r="AL87" i="1"/>
  <c r="BB87" i="1" s="1"/>
  <c r="AL86" i="1"/>
  <c r="BB86" i="1" s="1"/>
  <c r="AL85" i="1"/>
  <c r="BB85" i="1" s="1"/>
  <c r="AL84" i="1"/>
  <c r="BB84" i="1" s="1"/>
  <c r="AL83" i="1"/>
  <c r="BB83" i="1" s="1"/>
  <c r="AL82" i="1"/>
  <c r="BB82" i="1" s="1"/>
  <c r="AL81" i="1"/>
  <c r="BB81" i="1" s="1"/>
  <c r="AL80" i="1"/>
  <c r="BB80" i="1" s="1"/>
  <c r="AL79" i="1"/>
  <c r="BB79" i="1" s="1"/>
  <c r="AL78" i="1"/>
  <c r="BB78" i="1" s="1"/>
  <c r="AL77" i="1"/>
  <c r="BB77" i="1" s="1"/>
  <c r="AL76" i="1"/>
  <c r="BB76" i="1" s="1"/>
  <c r="AL75" i="1"/>
  <c r="BB75" i="1" s="1"/>
  <c r="AL74" i="1"/>
  <c r="BB74" i="1" s="1"/>
  <c r="AL73" i="1"/>
  <c r="BB73" i="1" s="1"/>
  <c r="AL72" i="1"/>
  <c r="BB72" i="1" s="1"/>
  <c r="AL71" i="1"/>
  <c r="BB71" i="1" s="1"/>
  <c r="AL70" i="1"/>
  <c r="BB70" i="1" s="1"/>
  <c r="AL69" i="1"/>
  <c r="BB69" i="1" s="1"/>
  <c r="AL68" i="1"/>
  <c r="BB68" i="1" s="1"/>
  <c r="AL67" i="1"/>
  <c r="BB67" i="1" s="1"/>
  <c r="AL66" i="1"/>
  <c r="BB66" i="1" s="1"/>
  <c r="AL65" i="1"/>
  <c r="BB65" i="1" s="1"/>
  <c r="AL64" i="1"/>
  <c r="BB64" i="1" s="1"/>
  <c r="AL63" i="1"/>
  <c r="BB63" i="1" s="1"/>
  <c r="AL62" i="1"/>
  <c r="BB62" i="1" s="1"/>
  <c r="AL61" i="1"/>
  <c r="BB61" i="1" s="1"/>
  <c r="AL60" i="1"/>
  <c r="BB60" i="1" s="1"/>
  <c r="AL59" i="1"/>
  <c r="BB59" i="1" s="1"/>
  <c r="AL58" i="1"/>
  <c r="BB58" i="1" s="1"/>
  <c r="AL57" i="1"/>
  <c r="BB57" i="1" s="1"/>
  <c r="AL56" i="1"/>
  <c r="BB56" i="1" s="1"/>
  <c r="AL55" i="1"/>
  <c r="BB55" i="1" s="1"/>
  <c r="AL54" i="1"/>
  <c r="BB54" i="1" s="1"/>
  <c r="AL53" i="1"/>
  <c r="BB53" i="1" s="1"/>
  <c r="AL52" i="1"/>
  <c r="BB52" i="1" s="1"/>
  <c r="AL51" i="1"/>
  <c r="BB51" i="1" s="1"/>
  <c r="AL50" i="1"/>
  <c r="BB50" i="1" s="1"/>
  <c r="AL49" i="1"/>
  <c r="BB49" i="1" s="1"/>
  <c r="AL48" i="1"/>
  <c r="BB48" i="1" s="1"/>
  <c r="AL47" i="1"/>
  <c r="BB47" i="1" s="1"/>
  <c r="AL46" i="1"/>
  <c r="BB46" i="1" s="1"/>
  <c r="AL45" i="1"/>
  <c r="BB45" i="1" s="1"/>
  <c r="AL44" i="1"/>
  <c r="BB44" i="1" s="1"/>
  <c r="AL43" i="1"/>
  <c r="BB43" i="1" s="1"/>
  <c r="AL42" i="1"/>
  <c r="BB42" i="1" s="1"/>
  <c r="AL41" i="1"/>
  <c r="BB41" i="1" s="1"/>
  <c r="AL40" i="1"/>
  <c r="BB40" i="1" s="1"/>
  <c r="AL39" i="1"/>
  <c r="BB39" i="1" s="1"/>
  <c r="AL38" i="1"/>
  <c r="BB38" i="1" s="1"/>
  <c r="AL37" i="1"/>
  <c r="BB37" i="1" s="1"/>
  <c r="AL36" i="1"/>
  <c r="BB36" i="1" s="1"/>
  <c r="AL35" i="1"/>
  <c r="BB35" i="1" s="1"/>
  <c r="AL34" i="1"/>
  <c r="BB34" i="1" s="1"/>
  <c r="AL33" i="1"/>
  <c r="BB33" i="1" s="1"/>
  <c r="AL32" i="1"/>
  <c r="BB32" i="1" s="1"/>
  <c r="AL31" i="1"/>
  <c r="BB31" i="1" s="1"/>
  <c r="AL30" i="1"/>
  <c r="BB30" i="1" s="1"/>
  <c r="AL29" i="1"/>
  <c r="BB29" i="1" s="1"/>
  <c r="AL28" i="1"/>
  <c r="BB28" i="1" s="1"/>
  <c r="AL27" i="1"/>
  <c r="BB27" i="1" s="1"/>
  <c r="AL26" i="1"/>
  <c r="BB26" i="1" s="1"/>
  <c r="AL25" i="1"/>
  <c r="BB25" i="1" s="1"/>
  <c r="AL24" i="1"/>
  <c r="BB24" i="1" s="1"/>
  <c r="AL23" i="1"/>
  <c r="BB23" i="1" s="1"/>
  <c r="AL22" i="1"/>
  <c r="BB22" i="1" s="1"/>
  <c r="AL21" i="1"/>
  <c r="BB21" i="1" s="1"/>
  <c r="AL20" i="1"/>
  <c r="BB20" i="1" s="1"/>
  <c r="AL19" i="1"/>
  <c r="BB19" i="1" s="1"/>
  <c r="AL18" i="1"/>
  <c r="BB18" i="1" s="1"/>
  <c r="AL17" i="1"/>
  <c r="BB17" i="1" s="1"/>
  <c r="AL16" i="1"/>
  <c r="BB16" i="1" s="1"/>
  <c r="AL15" i="1"/>
  <c r="BB15" i="1" s="1"/>
  <c r="AL14" i="1"/>
  <c r="BB14" i="1" s="1"/>
  <c r="AL13" i="1"/>
  <c r="BB13" i="1" s="1"/>
  <c r="AL12" i="1"/>
  <c r="BB12" i="1" s="1"/>
  <c r="AL11" i="1"/>
  <c r="BB11" i="1" s="1"/>
  <c r="AL10" i="1"/>
  <c r="BB10" i="1" s="1"/>
  <c r="AL9" i="1"/>
  <c r="BB9" i="1" s="1"/>
  <c r="AL8" i="1"/>
  <c r="BB8" i="1" s="1"/>
  <c r="AL7" i="1"/>
  <c r="BB7" i="1" s="1"/>
  <c r="AL6" i="1"/>
  <c r="BB6" i="1" s="1"/>
  <c r="AL148" i="1"/>
  <c r="BB148" i="1" s="1"/>
  <c r="AL151" i="1" l="1"/>
  <c r="BB151" i="1" s="1"/>
  <c r="AK151" i="1"/>
  <c r="BA151" i="1" s="1"/>
  <c r="AL150" i="1"/>
  <c r="BB150" i="1" s="1"/>
  <c r="AK150" i="1"/>
  <c r="BA150" i="1" s="1"/>
  <c r="AL149" i="1"/>
  <c r="BB149" i="1" s="1"/>
  <c r="AK149" i="1"/>
  <c r="BA149" i="1" s="1"/>
  <c r="AK148" i="1"/>
  <c r="BA148" i="1" s="1"/>
  <c r="AK147" i="1"/>
  <c r="BA147" i="1" s="1"/>
  <c r="AK146" i="1"/>
  <c r="BA146" i="1" s="1"/>
  <c r="AK145" i="1"/>
  <c r="BA145" i="1" s="1"/>
  <c r="AK144" i="1"/>
  <c r="BA144" i="1" s="1"/>
  <c r="AK143" i="1"/>
  <c r="BA143" i="1" s="1"/>
  <c r="AK142" i="1"/>
  <c r="BA142" i="1" s="1"/>
  <c r="AK141" i="1"/>
  <c r="BA141" i="1" s="1"/>
  <c r="AK140" i="1"/>
  <c r="BA140" i="1" s="1"/>
  <c r="AK139" i="1"/>
  <c r="BA139" i="1" s="1"/>
  <c r="AK138" i="1"/>
  <c r="BA138" i="1" s="1"/>
  <c r="AK137" i="1"/>
  <c r="BA137" i="1" s="1"/>
  <c r="AK136" i="1"/>
  <c r="BA136" i="1" s="1"/>
  <c r="AK135" i="1"/>
  <c r="BA135" i="1" s="1"/>
  <c r="AK134" i="1"/>
  <c r="BA134" i="1" s="1"/>
  <c r="AK133" i="1"/>
  <c r="BA133" i="1" s="1"/>
  <c r="AK132" i="1"/>
  <c r="BA132" i="1" s="1"/>
  <c r="AK131" i="1"/>
  <c r="BA131" i="1" s="1"/>
  <c r="AK130" i="1"/>
  <c r="BA130" i="1" s="1"/>
  <c r="AK129" i="1"/>
  <c r="BA129" i="1" s="1"/>
  <c r="AK128" i="1"/>
  <c r="BA128" i="1" s="1"/>
  <c r="AK127" i="1"/>
  <c r="BA127" i="1" s="1"/>
  <c r="AK126" i="1"/>
  <c r="BA126" i="1" s="1"/>
  <c r="AK125" i="1"/>
  <c r="BA125" i="1" s="1"/>
  <c r="AK124" i="1"/>
  <c r="BA124" i="1" s="1"/>
  <c r="AK123" i="1"/>
  <c r="BA123" i="1" s="1"/>
  <c r="AK122" i="1"/>
  <c r="BA122" i="1" s="1"/>
  <c r="AK121" i="1"/>
  <c r="BA121" i="1" s="1"/>
  <c r="AK120" i="1"/>
  <c r="BA120" i="1" s="1"/>
  <c r="AK119" i="1"/>
  <c r="BA119" i="1" s="1"/>
  <c r="AK118" i="1"/>
  <c r="BA118" i="1" s="1"/>
  <c r="AK117" i="1"/>
  <c r="BA117" i="1" s="1"/>
  <c r="AK116" i="1"/>
  <c r="BA116" i="1" s="1"/>
  <c r="AK115" i="1"/>
  <c r="BA115" i="1" s="1"/>
  <c r="AK114" i="1"/>
  <c r="BA114" i="1" s="1"/>
  <c r="AK113" i="1"/>
  <c r="BA113" i="1" s="1"/>
  <c r="AK112" i="1"/>
  <c r="BA112" i="1" s="1"/>
  <c r="AK111" i="1"/>
  <c r="BA111" i="1" s="1"/>
  <c r="AK110" i="1"/>
  <c r="BA110" i="1" s="1"/>
  <c r="AK109" i="1"/>
  <c r="BA109" i="1" s="1"/>
  <c r="AK108" i="1"/>
  <c r="BA108" i="1" s="1"/>
  <c r="AK107" i="1"/>
  <c r="BA107" i="1" s="1"/>
  <c r="AK106" i="1"/>
  <c r="BA106" i="1" s="1"/>
  <c r="AK105" i="1"/>
  <c r="BA105" i="1" s="1"/>
  <c r="AK104" i="1"/>
  <c r="BA104" i="1" s="1"/>
  <c r="AK103" i="1"/>
  <c r="BA103" i="1" s="1"/>
  <c r="AK102" i="1"/>
  <c r="BA102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AK61" i="1"/>
  <c r="BA61" i="1" s="1"/>
  <c r="AK60" i="1"/>
  <c r="BA60" i="1" s="1"/>
  <c r="AK59" i="1"/>
  <c r="BA59" i="1" s="1"/>
  <c r="AK58" i="1"/>
  <c r="BA58" i="1" s="1"/>
  <c r="AK57" i="1"/>
  <c r="BA57" i="1" s="1"/>
  <c r="AK56" i="1"/>
  <c r="BA56" i="1" s="1"/>
  <c r="AK55" i="1"/>
  <c r="BA55" i="1" s="1"/>
  <c r="AK54" i="1"/>
  <c r="BA54" i="1" s="1"/>
  <c r="AK53" i="1"/>
  <c r="BA53" i="1" s="1"/>
  <c r="AK52" i="1"/>
  <c r="BA52" i="1" s="1"/>
  <c r="AK51" i="1"/>
  <c r="BA51" i="1" s="1"/>
  <c r="AK50" i="1"/>
  <c r="BA50" i="1" s="1"/>
  <c r="AK49" i="1"/>
  <c r="BA49" i="1" s="1"/>
  <c r="AK48" i="1"/>
  <c r="BA48" i="1" s="1"/>
  <c r="AK47" i="1"/>
  <c r="BA47" i="1" s="1"/>
  <c r="AK46" i="1"/>
  <c r="BA46" i="1" s="1"/>
  <c r="AK45" i="1"/>
  <c r="BA45" i="1" s="1"/>
  <c r="AK44" i="1"/>
  <c r="BA44" i="1" s="1"/>
  <c r="AK43" i="1"/>
  <c r="BA43" i="1" s="1"/>
  <c r="AK42" i="1"/>
  <c r="BA42" i="1" s="1"/>
  <c r="AK41" i="1"/>
  <c r="BA41" i="1" s="1"/>
  <c r="AK40" i="1"/>
  <c r="BA40" i="1" s="1"/>
  <c r="AK39" i="1"/>
  <c r="BA39" i="1" s="1"/>
  <c r="AK38" i="1"/>
  <c r="BA38" i="1" s="1"/>
  <c r="AK37" i="1"/>
  <c r="BA37" i="1" s="1"/>
  <c r="AK36" i="1"/>
  <c r="BA36" i="1" s="1"/>
  <c r="AK35" i="1"/>
  <c r="BA35" i="1" s="1"/>
  <c r="AK34" i="1"/>
  <c r="BA34" i="1" s="1"/>
  <c r="AK33" i="1"/>
  <c r="BA33" i="1" s="1"/>
  <c r="AK32" i="1"/>
  <c r="BA32" i="1" s="1"/>
  <c r="AK31" i="1"/>
  <c r="BA31" i="1" s="1"/>
  <c r="AK30" i="1"/>
  <c r="BA30" i="1" s="1"/>
  <c r="AK29" i="1"/>
  <c r="BA29" i="1" s="1"/>
  <c r="AK28" i="1"/>
  <c r="BA28" i="1" s="1"/>
  <c r="AK27" i="1"/>
  <c r="BA27" i="1" s="1"/>
  <c r="AK26" i="1"/>
  <c r="BA26" i="1" s="1"/>
  <c r="AK25" i="1"/>
  <c r="BA25" i="1" s="1"/>
  <c r="AK24" i="1"/>
  <c r="BA24" i="1" s="1"/>
  <c r="AK23" i="1"/>
  <c r="BA23" i="1" s="1"/>
  <c r="AK22" i="1"/>
  <c r="BA22" i="1" s="1"/>
  <c r="AK21" i="1"/>
  <c r="BA21" i="1" s="1"/>
  <c r="AK20" i="1"/>
  <c r="BA20" i="1" s="1"/>
  <c r="AK19" i="1"/>
  <c r="BA19" i="1" s="1"/>
  <c r="AK18" i="1"/>
  <c r="BA18" i="1" s="1"/>
  <c r="AK17" i="1"/>
  <c r="BA17" i="1" s="1"/>
  <c r="AK16" i="1"/>
  <c r="BA16" i="1" s="1"/>
  <c r="AK15" i="1"/>
  <c r="BA15" i="1" s="1"/>
  <c r="AK14" i="1"/>
  <c r="BA14" i="1" s="1"/>
  <c r="AK13" i="1"/>
  <c r="BA13" i="1" s="1"/>
  <c r="AK12" i="1"/>
  <c r="BA12" i="1" s="1"/>
  <c r="AK11" i="1"/>
  <c r="BA11" i="1" s="1"/>
  <c r="AK10" i="1"/>
  <c r="BA10" i="1" s="1"/>
  <c r="AK9" i="1"/>
  <c r="BA9" i="1" s="1"/>
  <c r="AK8" i="1"/>
  <c r="BA8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K6" i="1"/>
  <c r="BA6" i="1" s="1"/>
  <c r="BN40" i="1" l="1"/>
  <c r="BM40" i="1"/>
  <c r="O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AQ182" i="1" l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80" i="1" l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AR61" i="1"/>
  <c r="BK61" i="1" s="1"/>
  <c r="BJ61" i="1"/>
  <c r="AR59" i="1"/>
  <c r="BK59" i="1" s="1"/>
  <c r="BJ59" i="1"/>
  <c r="AR57" i="1"/>
  <c r="BK57" i="1" s="1"/>
  <c r="BJ57" i="1"/>
  <c r="AR55" i="1"/>
  <c r="BK55" i="1" s="1"/>
  <c r="BJ55" i="1"/>
  <c r="AR53" i="1"/>
  <c r="BK53" i="1" s="1"/>
  <c r="BJ53" i="1"/>
  <c r="AR51" i="1"/>
  <c r="BK51" i="1" s="1"/>
  <c r="BJ51" i="1"/>
  <c r="AR49" i="1"/>
  <c r="BK49" i="1" s="1"/>
  <c r="BJ49" i="1"/>
  <c r="AR47" i="1"/>
  <c r="BK47" i="1" s="1"/>
  <c r="BJ47" i="1"/>
  <c r="AR45" i="1"/>
  <c r="BK45" i="1" s="1"/>
  <c r="BJ45" i="1"/>
  <c r="AR43" i="1"/>
  <c r="BK43" i="1" s="1"/>
  <c r="BJ43" i="1"/>
  <c r="AR41" i="1"/>
  <c r="BK41" i="1" s="1"/>
  <c r="BJ41" i="1"/>
  <c r="AR39" i="1"/>
  <c r="BK39" i="1" s="1"/>
  <c r="BJ39" i="1"/>
  <c r="AR37" i="1"/>
  <c r="BK37" i="1" s="1"/>
  <c r="BJ37" i="1"/>
  <c r="AR35" i="1"/>
  <c r="BK35" i="1" s="1"/>
  <c r="BJ35" i="1"/>
  <c r="AR33" i="1"/>
  <c r="BK33" i="1" s="1"/>
  <c r="BJ33" i="1"/>
  <c r="AR31" i="1"/>
  <c r="BK31" i="1" s="1"/>
  <c r="BJ31" i="1"/>
  <c r="AR29" i="1"/>
  <c r="BK29" i="1" s="1"/>
  <c r="BJ29" i="1"/>
  <c r="AR27" i="1"/>
  <c r="BK27" i="1" s="1"/>
  <c r="BJ27" i="1"/>
  <c r="AR25" i="1"/>
  <c r="BK25" i="1" s="1"/>
  <c r="BJ25" i="1"/>
  <c r="AR23" i="1"/>
  <c r="BK23" i="1" s="1"/>
  <c r="BJ23" i="1"/>
  <c r="AR21" i="1"/>
  <c r="BK21" i="1" s="1"/>
  <c r="BJ21" i="1"/>
  <c r="AR19" i="1"/>
  <c r="BK19" i="1" s="1"/>
  <c r="BJ19" i="1"/>
  <c r="AR17" i="1"/>
  <c r="BK17" i="1" s="1"/>
  <c r="BJ17" i="1"/>
  <c r="AR15" i="1"/>
  <c r="BK15" i="1" s="1"/>
  <c r="BJ15" i="1"/>
  <c r="AR13" i="1"/>
  <c r="BK13" i="1" s="1"/>
  <c r="BJ13" i="1"/>
  <c r="AR11" i="1"/>
  <c r="BK11" i="1" s="1"/>
  <c r="BJ11" i="1"/>
  <c r="AR9" i="1"/>
  <c r="BK9" i="1" s="1"/>
  <c r="BJ9" i="1"/>
  <c r="AR7" i="1"/>
  <c r="BK7" i="1" s="1"/>
  <c r="BJ7" i="1"/>
  <c r="BK186" i="1"/>
  <c r="AS381" i="1"/>
  <c r="BK217" i="1"/>
  <c r="AS382" i="1"/>
  <c r="BK248" i="1"/>
  <c r="AS383" i="1"/>
  <c r="BK278" i="1"/>
  <c r="AS384" i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AR125" i="1"/>
  <c r="BJ125" i="1"/>
  <c r="AR123" i="1"/>
  <c r="BK123" i="1" s="1"/>
  <c r="BJ123" i="1"/>
  <c r="AR121" i="1"/>
  <c r="BK121" i="1" s="1"/>
  <c r="BJ121" i="1"/>
  <c r="AR119" i="1"/>
  <c r="BK119" i="1" s="1"/>
  <c r="BJ119" i="1"/>
  <c r="AR117" i="1"/>
  <c r="BK117" i="1" s="1"/>
  <c r="BJ117" i="1"/>
  <c r="AR115" i="1"/>
  <c r="BK115" i="1" s="1"/>
  <c r="BJ115" i="1"/>
  <c r="AR113" i="1"/>
  <c r="BK113" i="1" s="1"/>
  <c r="BJ113" i="1"/>
  <c r="AR111" i="1"/>
  <c r="BK111" i="1" s="1"/>
  <c r="BJ111" i="1"/>
  <c r="AR109" i="1"/>
  <c r="BK109" i="1" s="1"/>
  <c r="BJ109" i="1"/>
  <c r="AR107" i="1"/>
  <c r="BK107" i="1" s="1"/>
  <c r="BJ107" i="1"/>
  <c r="AR105" i="1"/>
  <c r="BK105" i="1" s="1"/>
  <c r="BJ105" i="1"/>
  <c r="AR103" i="1"/>
  <c r="BK103" i="1" s="1"/>
  <c r="BJ103" i="1"/>
  <c r="AR101" i="1"/>
  <c r="BK101" i="1" s="1"/>
  <c r="BJ101" i="1"/>
  <c r="AR99" i="1"/>
  <c r="BK99" i="1" s="1"/>
  <c r="BJ99" i="1"/>
  <c r="AR97" i="1"/>
  <c r="BK97" i="1" s="1"/>
  <c r="BJ97" i="1"/>
  <c r="AR95" i="1"/>
  <c r="BJ95" i="1"/>
  <c r="AR93" i="1"/>
  <c r="BK93" i="1" s="1"/>
  <c r="BJ93" i="1"/>
  <c r="AR91" i="1"/>
  <c r="BK91" i="1" s="1"/>
  <c r="BJ91" i="1"/>
  <c r="AR89" i="1"/>
  <c r="BK89" i="1" s="1"/>
  <c r="BJ89" i="1"/>
  <c r="AR87" i="1"/>
  <c r="BK87" i="1" s="1"/>
  <c r="BJ87" i="1"/>
  <c r="AR85" i="1"/>
  <c r="BK85" i="1" s="1"/>
  <c r="BJ85" i="1"/>
  <c r="AR83" i="1"/>
  <c r="BK83" i="1" s="1"/>
  <c r="BJ83" i="1"/>
  <c r="AR81" i="1"/>
  <c r="BK81" i="1" s="1"/>
  <c r="BJ81" i="1"/>
  <c r="AR79" i="1"/>
  <c r="BK79" i="1" s="1"/>
  <c r="BJ79" i="1"/>
  <c r="AR77" i="1"/>
  <c r="BK77" i="1" s="1"/>
  <c r="BJ77" i="1"/>
  <c r="AR75" i="1"/>
  <c r="BK75" i="1" s="1"/>
  <c r="BJ75" i="1"/>
  <c r="AR73" i="1"/>
  <c r="BK73" i="1" s="1"/>
  <c r="BJ73" i="1"/>
  <c r="AR71" i="1"/>
  <c r="BK71" i="1" s="1"/>
  <c r="BJ71" i="1"/>
  <c r="AR69" i="1"/>
  <c r="BK69" i="1" s="1"/>
  <c r="BJ69" i="1"/>
  <c r="AR67" i="1"/>
  <c r="BK67" i="1" s="1"/>
  <c r="BJ67" i="1"/>
  <c r="AR65" i="1"/>
  <c r="BK65" i="1" s="1"/>
  <c r="BJ65" i="1"/>
  <c r="AR63" i="1"/>
  <c r="BK63" i="1" s="1"/>
  <c r="BJ63" i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BK6" i="1" l="1"/>
  <c r="AS375" i="1"/>
  <c r="BK36" i="1"/>
  <c r="AS376" i="1"/>
  <c r="BK64" i="1"/>
  <c r="AS377" i="1"/>
  <c r="BK156" i="1"/>
  <c r="AS380" i="1"/>
  <c r="BK95" i="1"/>
  <c r="AS378" i="1"/>
  <c r="BK125" i="1"/>
  <c r="AS379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7" i="1"/>
  <c r="AR327" i="1"/>
  <c r="BK327" i="1" s="1"/>
  <c r="BJ323" i="1"/>
  <c r="AR323" i="1"/>
  <c r="BK323" i="1" s="1"/>
  <c r="BJ315" i="1"/>
  <c r="AR315" i="1"/>
  <c r="BK315" i="1" s="1"/>
  <c r="BJ311" i="1"/>
  <c r="AR311" i="1"/>
  <c r="BK311" i="1" s="1"/>
  <c r="BJ307" i="1"/>
  <c r="AR307" i="1"/>
  <c r="BK307" i="1" s="1"/>
  <c r="BJ299" i="1"/>
  <c r="AR299" i="1"/>
  <c r="BK299" i="1" s="1"/>
  <c r="BJ295" i="1"/>
  <c r="AR295" i="1"/>
  <c r="BK295" i="1" s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K294" i="1" s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BK309" i="1"/>
  <c r="AS385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T7" i="1" l="1"/>
  <c r="BB395" i="1"/>
  <c r="BB380" i="1"/>
  <c r="BB393" i="1"/>
  <c r="BB378" i="1"/>
  <c r="BB394" i="1"/>
  <c r="BB379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<sst xmlns="http://schemas.openxmlformats.org/spreadsheetml/2006/main" count="202" uniqueCount="108">
  <si>
    <t>DOY</t>
  </si>
  <si>
    <t>Date</t>
  </si>
  <si>
    <t>Tair</t>
  </si>
  <si>
    <t>Site</t>
  </si>
  <si>
    <t>(mm)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</si>
  <si>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</si>
  <si>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</si>
  <si>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</si>
  <si>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</si>
  <si>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</si>
  <si>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</si>
  <si>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</si>
  <si>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</si>
  <si>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</si>
  <si>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</si>
  <si>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</si>
  <si>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</si>
  <si>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</si>
  <si>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</si>
  <si>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</si>
  <si>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</si>
  <si>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</si>
  <si>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</si>
  <si>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</si>
  <si>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</si>
  <si>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</si>
  <si>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</si>
  <si>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</si>
  <si>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</si>
  <si>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</si>
  <si>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</si>
  <si>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</si>
  <si>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</si>
  <si>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</si>
  <si>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</si>
  <si>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</si>
  <si>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</si>
  <si>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</si>
  <si>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</si>
  <si>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</si>
  <si>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</si>
  <si>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</si>
  <si>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</si>
  <si>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</si>
  <si>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</si>
  <si>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</si>
  <si>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</si>
  <si>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</si>
  <si>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</si>
  <si>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</si>
  <si>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</si>
  <si>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</si>
  <si>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</si>
  <si>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</si>
  <si>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</si>
  <si>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</si>
  <si>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</si>
  <si>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</si>
  <si>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</si>
  <si>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</si>
  <si>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</si>
  <si>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</si>
  <si>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</si>
  <si>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</si>
  <si>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</si>
  <si>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</si>
  <si>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</si>
  <si>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</si>
  <si>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</si>
  <si>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</si>
  <si>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</si>
  <si>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</si>
  <si>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</si>
  <si>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</si>
  <si>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</si>
  <si>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</si>
  <si>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</si>
  <si>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</si>
  <si>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</si>
  <si>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</si>
  <si>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</si>
  <si>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</si>
  <si>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</si>
  <si>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</si>
  <si>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</si>
  <si>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</si>
  <si>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</si>
  <si>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</si>
  <si>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</si>
  <si>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</si>
  <si>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</si>
  <si>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</si>
  <si>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</si>
  <si>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</si>
  <si>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</si>
  <si>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</si>
  <si>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</si>
  <si>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Soil moisture</t>
  </si>
  <si>
    <t>TS50 on the ground</t>
  </si>
  <si>
    <t>50 cm is on the ground</t>
  </si>
  <si>
    <t xml:space="preserve">TDR probe </t>
  </si>
  <si>
    <t xml:space="preserve">Penticton Creek 2025 Site PC - daily data </t>
  </si>
  <si>
    <t>vpdX</t>
  </si>
  <si>
    <t>m</t>
  </si>
  <si>
    <t>Vapour pressure and vapour pressure deficit kPa</t>
  </si>
  <si>
    <t>Calculated from air temperature and relative humidity</t>
  </si>
  <si>
    <t>Last edit 29/11/25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</si>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</sst>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Protection="1"/>
    <xf numFmtId="167" fontId="4" fillId="0" borderId="0" xfId="0" applyNumberFormat="1" applyFont="1" applyFill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-8.14</c:v>
                </c:pt>
                <c:pt idx="1">
                  <c:v>-7.9020000000000001</c:v>
                </c:pt>
                <c:pt idx="2">
                  <c:v>-3.3849999999999998</c:v>
                </c:pt>
                <c:pt idx="3">
                  <c:v>-2.9169999999999998</c:v>
                </c:pt>
                <c:pt idx="4">
                  <c:v>-2.7109999999999999</c:v>
                </c:pt>
                <c:pt idx="5">
                  <c:v>-3.484</c:v>
                </c:pt>
                <c:pt idx="6">
                  <c:v>-1.161</c:v>
                </c:pt>
                <c:pt idx="7">
                  <c:v>-1.9059999999999999</c:v>
                </c:pt>
                <c:pt idx="8">
                  <c:v>-1.365</c:v>
                </c:pt>
                <c:pt idx="9">
                  <c:v>-3.758</c:v>
                </c:pt>
                <c:pt idx="10">
                  <c:v>-5.0380000000000003</c:v>
                </c:pt>
                <c:pt idx="11">
                  <c:v>-6.1539999999999999</c:v>
                </c:pt>
                <c:pt idx="12">
                  <c:v>-3.0449999999999999</c:v>
                </c:pt>
                <c:pt idx="13">
                  <c:v>0.69599999999999995</c:v>
                </c:pt>
                <c:pt idx="14">
                  <c:v>4.37</c:v>
                </c:pt>
                <c:pt idx="15">
                  <c:v>-0.69</c:v>
                </c:pt>
                <c:pt idx="16">
                  <c:v>-9.73</c:v>
                </c:pt>
                <c:pt idx="17">
                  <c:v>-10.61</c:v>
                </c:pt>
                <c:pt idx="18">
                  <c:v>-11.52</c:v>
                </c:pt>
                <c:pt idx="19">
                  <c:v>-7.4390000000000001</c:v>
                </c:pt>
                <c:pt idx="20">
                  <c:v>-5.5449999999999999</c:v>
                </c:pt>
                <c:pt idx="21">
                  <c:v>-3.6219999999999999</c:v>
                </c:pt>
                <c:pt idx="22">
                  <c:v>-2.9769999999999999</c:v>
                </c:pt>
                <c:pt idx="23">
                  <c:v>-8.85</c:v>
                </c:pt>
                <c:pt idx="24">
                  <c:v>-8.7799999999999994</c:v>
                </c:pt>
                <c:pt idx="25">
                  <c:v>-2.5150000000000001</c:v>
                </c:pt>
                <c:pt idx="26">
                  <c:v>0.89900000000000002</c:v>
                </c:pt>
                <c:pt idx="27">
                  <c:v>5.6230000000000002</c:v>
                </c:pt>
                <c:pt idx="28">
                  <c:v>3.633</c:v>
                </c:pt>
                <c:pt idx="29">
                  <c:v>0.49399999999999999</c:v>
                </c:pt>
                <c:pt idx="30">
                  <c:v>-3.3180000000000001</c:v>
                </c:pt>
                <c:pt idx="31">
                  <c:v>-4.5019999999999998</c:v>
                </c:pt>
                <c:pt idx="32">
                  <c:v>-10.27</c:v>
                </c:pt>
                <c:pt idx="33">
                  <c:v>-11.15</c:v>
                </c:pt>
                <c:pt idx="34">
                  <c:v>-9.69</c:v>
                </c:pt>
                <c:pt idx="35">
                  <c:v>-13.24</c:v>
                </c:pt>
                <c:pt idx="36">
                  <c:v>-10.47</c:v>
                </c:pt>
                <c:pt idx="37">
                  <c:v>-8</c:v>
                </c:pt>
                <c:pt idx="38">
                  <c:v>-11.86</c:v>
                </c:pt>
                <c:pt idx="39">
                  <c:v>-13.65</c:v>
                </c:pt>
                <c:pt idx="40">
                  <c:v>-15.87</c:v>
                </c:pt>
                <c:pt idx="41">
                  <c:v>-15.19</c:v>
                </c:pt>
                <c:pt idx="42">
                  <c:v>-10.44</c:v>
                </c:pt>
                <c:pt idx="43">
                  <c:v>-10.199999999999999</c:v>
                </c:pt>
                <c:pt idx="44">
                  <c:v>-8.5399999999999991</c:v>
                </c:pt>
                <c:pt idx="45">
                  <c:v>-5.85</c:v>
                </c:pt>
                <c:pt idx="46">
                  <c:v>-6.0860000000000003</c:v>
                </c:pt>
                <c:pt idx="47">
                  <c:v>-6.1539999999999999</c:v>
                </c:pt>
                <c:pt idx="48">
                  <c:v>-5.48</c:v>
                </c:pt>
                <c:pt idx="49">
                  <c:v>-4.1589999999999998</c:v>
                </c:pt>
                <c:pt idx="50">
                  <c:v>-2.5150000000000001</c:v>
                </c:pt>
                <c:pt idx="51">
                  <c:v>-2.3460000000000001</c:v>
                </c:pt>
                <c:pt idx="52">
                  <c:v>-0.45300000000000001</c:v>
                </c:pt>
                <c:pt idx="53">
                  <c:v>-0.28399999999999997</c:v>
                </c:pt>
                <c:pt idx="54">
                  <c:v>-3.6629999999999998</c:v>
                </c:pt>
                <c:pt idx="55">
                  <c:v>-1.4670000000000001</c:v>
                </c:pt>
                <c:pt idx="56">
                  <c:v>0.39200000000000002</c:v>
                </c:pt>
                <c:pt idx="57">
                  <c:v>1.1020000000000001</c:v>
                </c:pt>
                <c:pt idx="58">
                  <c:v>3.5209999999999999</c:v>
                </c:pt>
                <c:pt idx="59">
                  <c:v>5.319</c:v>
                </c:pt>
                <c:pt idx="60">
                  <c:v>3.7570000000000001</c:v>
                </c:pt>
                <c:pt idx="61">
                  <c:v>0.115</c:v>
                </c:pt>
                <c:pt idx="62">
                  <c:v>1.508</c:v>
                </c:pt>
                <c:pt idx="63">
                  <c:v>-0.52</c:v>
                </c:pt>
                <c:pt idx="64">
                  <c:v>-1.4670000000000001</c:v>
                </c:pt>
                <c:pt idx="65">
                  <c:v>1.2030000000000001</c:v>
                </c:pt>
                <c:pt idx="66">
                  <c:v>1.778</c:v>
                </c:pt>
                <c:pt idx="67">
                  <c:v>3.468</c:v>
                </c:pt>
                <c:pt idx="68">
                  <c:v>-2.7109999999999999</c:v>
                </c:pt>
                <c:pt idx="69">
                  <c:v>-4.1929999999999996</c:v>
                </c:pt>
                <c:pt idx="70">
                  <c:v>-2.5150000000000001</c:v>
                </c:pt>
                <c:pt idx="71">
                  <c:v>-3.0539999999999998</c:v>
                </c:pt>
                <c:pt idx="72">
                  <c:v>-5.4779999999999998</c:v>
                </c:pt>
                <c:pt idx="73">
                  <c:v>-4.3330000000000002</c:v>
                </c:pt>
                <c:pt idx="74">
                  <c:v>-4.2990000000000004</c:v>
                </c:pt>
                <c:pt idx="75">
                  <c:v>-4.9039999999999999</c:v>
                </c:pt>
                <c:pt idx="76">
                  <c:v>-3.794</c:v>
                </c:pt>
                <c:pt idx="77">
                  <c:v>-5.0380000000000003</c:v>
                </c:pt>
                <c:pt idx="78">
                  <c:v>-1.9059999999999999</c:v>
                </c:pt>
                <c:pt idx="79">
                  <c:v>-0.58799999999999997</c:v>
                </c:pt>
                <c:pt idx="80">
                  <c:v>-3.5289999999999999</c:v>
                </c:pt>
                <c:pt idx="81">
                  <c:v>0.35799999999999998</c:v>
                </c:pt>
                <c:pt idx="82">
                  <c:v>0.83099999999999996</c:v>
                </c:pt>
                <c:pt idx="83">
                  <c:v>8.4499999999999993</c:v>
                </c:pt>
                <c:pt idx="84">
                  <c:v>9.99</c:v>
                </c:pt>
                <c:pt idx="85">
                  <c:v>4.8049999999999997</c:v>
                </c:pt>
                <c:pt idx="86">
                  <c:v>0.73</c:v>
                </c:pt>
                <c:pt idx="87">
                  <c:v>2.3119999999999998</c:v>
                </c:pt>
                <c:pt idx="88">
                  <c:v>4.298</c:v>
                </c:pt>
                <c:pt idx="89">
                  <c:v>-0.82499999999999996</c:v>
                </c:pt>
                <c:pt idx="90">
                  <c:v>0.55500000000000005</c:v>
                </c:pt>
                <c:pt idx="91">
                  <c:v>-1.264</c:v>
                </c:pt>
                <c:pt idx="92">
                  <c:v>-0.154</c:v>
                </c:pt>
                <c:pt idx="93">
                  <c:v>4.5</c:v>
                </c:pt>
                <c:pt idx="94">
                  <c:v>8.4499999999999993</c:v>
                </c:pt>
                <c:pt idx="95">
                  <c:v>8.11</c:v>
                </c:pt>
                <c:pt idx="96">
                  <c:v>3.4620000000000002</c:v>
                </c:pt>
                <c:pt idx="97">
                  <c:v>-0.28399999999999997</c:v>
                </c:pt>
                <c:pt idx="98">
                  <c:v>2.8450000000000002</c:v>
                </c:pt>
                <c:pt idx="99">
                  <c:v>4.5369999999999999</c:v>
                </c:pt>
                <c:pt idx="100">
                  <c:v>4.5270000000000001</c:v>
                </c:pt>
                <c:pt idx="101">
                  <c:v>-2.7850000000000001</c:v>
                </c:pt>
                <c:pt idx="102">
                  <c:v>3.2170000000000001</c:v>
                </c:pt>
                <c:pt idx="103">
                  <c:v>7.77</c:v>
                </c:pt>
                <c:pt idx="104">
                  <c:v>8.84</c:v>
                </c:pt>
                <c:pt idx="105">
                  <c:v>1.4259999999999999</c:v>
                </c:pt>
                <c:pt idx="106">
                  <c:v>4.2569999999999997</c:v>
                </c:pt>
                <c:pt idx="107">
                  <c:v>11.5</c:v>
                </c:pt>
                <c:pt idx="108">
                  <c:v>5.3079999999999998</c:v>
                </c:pt>
                <c:pt idx="109">
                  <c:v>0.76400000000000001</c:v>
                </c:pt>
                <c:pt idx="110">
                  <c:v>-1.6020000000000001</c:v>
                </c:pt>
                <c:pt idx="111">
                  <c:v>1.399</c:v>
                </c:pt>
                <c:pt idx="112">
                  <c:v>5.3449999999999998</c:v>
                </c:pt>
                <c:pt idx="113">
                  <c:v>8.8699999999999992</c:v>
                </c:pt>
                <c:pt idx="114">
                  <c:v>11.84</c:v>
                </c:pt>
                <c:pt idx="115">
                  <c:v>10.79</c:v>
                </c:pt>
                <c:pt idx="116">
                  <c:v>8.57</c:v>
                </c:pt>
                <c:pt idx="117">
                  <c:v>4.3689999999999998</c:v>
                </c:pt>
                <c:pt idx="118">
                  <c:v>5.9169999999999998</c:v>
                </c:pt>
                <c:pt idx="119">
                  <c:v>7.8289999999999997</c:v>
                </c:pt>
                <c:pt idx="120">
                  <c:v>12.28</c:v>
                </c:pt>
                <c:pt idx="121">
                  <c:v>15.21</c:v>
                </c:pt>
                <c:pt idx="122">
                  <c:v>8.2200000000000006</c:v>
                </c:pt>
                <c:pt idx="123">
                  <c:v>2.21</c:v>
                </c:pt>
                <c:pt idx="124">
                  <c:v>7.77</c:v>
                </c:pt>
                <c:pt idx="125">
                  <c:v>12.92</c:v>
                </c:pt>
                <c:pt idx="126">
                  <c:v>12.38</c:v>
                </c:pt>
                <c:pt idx="127">
                  <c:v>7.1609999999999996</c:v>
                </c:pt>
                <c:pt idx="128">
                  <c:v>11.44</c:v>
                </c:pt>
                <c:pt idx="129">
                  <c:v>8.11</c:v>
                </c:pt>
                <c:pt idx="130">
                  <c:v>6.0190000000000001</c:v>
                </c:pt>
                <c:pt idx="131">
                  <c:v>2.15</c:v>
                </c:pt>
                <c:pt idx="132">
                  <c:v>8.44</c:v>
                </c:pt>
                <c:pt idx="133">
                  <c:v>5.8179999999999996</c:v>
                </c:pt>
                <c:pt idx="134">
                  <c:v>6.7910000000000004</c:v>
                </c:pt>
                <c:pt idx="135">
                  <c:v>4.0949999999999998</c:v>
                </c:pt>
                <c:pt idx="136">
                  <c:v>4.7699999999999996</c:v>
                </c:pt>
                <c:pt idx="137">
                  <c:v>1.474</c:v>
                </c:pt>
                <c:pt idx="138">
                  <c:v>0.25700000000000001</c:v>
                </c:pt>
                <c:pt idx="139">
                  <c:v>3.4929999999999999</c:v>
                </c:pt>
                <c:pt idx="140">
                  <c:v>6.1230000000000002</c:v>
                </c:pt>
                <c:pt idx="141">
                  <c:v>7</c:v>
                </c:pt>
                <c:pt idx="142">
                  <c:v>10.83</c:v>
                </c:pt>
                <c:pt idx="143">
                  <c:v>14.17</c:v>
                </c:pt>
                <c:pt idx="144">
                  <c:v>17.53</c:v>
                </c:pt>
                <c:pt idx="145">
                  <c:v>9.2899999999999991</c:v>
                </c:pt>
                <c:pt idx="146">
                  <c:v>14.74</c:v>
                </c:pt>
                <c:pt idx="147">
                  <c:v>21.95</c:v>
                </c:pt>
                <c:pt idx="148">
                  <c:v>12.74</c:v>
                </c:pt>
                <c:pt idx="149">
                  <c:v>19.09</c:v>
                </c:pt>
                <c:pt idx="150">
                  <c:v>19.45</c:v>
                </c:pt>
                <c:pt idx="151">
                  <c:v>7.0609999999999999</c:v>
                </c:pt>
                <c:pt idx="152">
                  <c:v>9.41</c:v>
                </c:pt>
                <c:pt idx="153">
                  <c:v>12.14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-9.15</c:v>
                </c:pt>
                <c:pt idx="1">
                  <c:v>-10.17</c:v>
                </c:pt>
                <c:pt idx="2">
                  <c:v>-8.5399999999999991</c:v>
                </c:pt>
                <c:pt idx="3">
                  <c:v>-6.5259999999999998</c:v>
                </c:pt>
                <c:pt idx="4">
                  <c:v>-6.391</c:v>
                </c:pt>
                <c:pt idx="5">
                  <c:v>-6.12</c:v>
                </c:pt>
                <c:pt idx="6">
                  <c:v>-8.5500000000000007</c:v>
                </c:pt>
                <c:pt idx="7">
                  <c:v>-7.4390000000000001</c:v>
                </c:pt>
                <c:pt idx="8">
                  <c:v>-7.101</c:v>
                </c:pt>
                <c:pt idx="9">
                  <c:v>-8.01</c:v>
                </c:pt>
                <c:pt idx="10">
                  <c:v>-7.3029999999999999</c:v>
                </c:pt>
                <c:pt idx="11">
                  <c:v>-8.18</c:v>
                </c:pt>
                <c:pt idx="12">
                  <c:v>-8.0399999999999991</c:v>
                </c:pt>
                <c:pt idx="13">
                  <c:v>-3.3879999999999999</c:v>
                </c:pt>
                <c:pt idx="14">
                  <c:v>-2.4809999999999999</c:v>
                </c:pt>
                <c:pt idx="15">
                  <c:v>-10.34</c:v>
                </c:pt>
                <c:pt idx="16">
                  <c:v>-12.4</c:v>
                </c:pt>
                <c:pt idx="17">
                  <c:v>-15.1</c:v>
                </c:pt>
                <c:pt idx="18">
                  <c:v>-16.52</c:v>
                </c:pt>
                <c:pt idx="19">
                  <c:v>-15.91</c:v>
                </c:pt>
                <c:pt idx="20">
                  <c:v>-11.79</c:v>
                </c:pt>
                <c:pt idx="21">
                  <c:v>-10.98</c:v>
                </c:pt>
                <c:pt idx="22">
                  <c:v>-9.1199999999999992</c:v>
                </c:pt>
                <c:pt idx="23">
                  <c:v>-12.2</c:v>
                </c:pt>
                <c:pt idx="24">
                  <c:v>-13.65</c:v>
                </c:pt>
                <c:pt idx="25">
                  <c:v>-9.2899999999999991</c:v>
                </c:pt>
                <c:pt idx="26">
                  <c:v>-3.9940000000000002</c:v>
                </c:pt>
                <c:pt idx="27">
                  <c:v>-2.645</c:v>
                </c:pt>
                <c:pt idx="28">
                  <c:v>-2.5819999999999999</c:v>
                </c:pt>
                <c:pt idx="29">
                  <c:v>-5.1459999999999999</c:v>
                </c:pt>
                <c:pt idx="30">
                  <c:v>-7.4729999999999999</c:v>
                </c:pt>
                <c:pt idx="31">
                  <c:v>-12.6</c:v>
                </c:pt>
                <c:pt idx="32">
                  <c:v>-15.41</c:v>
                </c:pt>
                <c:pt idx="33">
                  <c:v>-13.58</c:v>
                </c:pt>
                <c:pt idx="34">
                  <c:v>-20.68</c:v>
                </c:pt>
                <c:pt idx="35">
                  <c:v>-23.34</c:v>
                </c:pt>
                <c:pt idx="36">
                  <c:v>-15.81</c:v>
                </c:pt>
                <c:pt idx="37">
                  <c:v>-15.3</c:v>
                </c:pt>
                <c:pt idx="38">
                  <c:v>-17.190000000000001</c:v>
                </c:pt>
                <c:pt idx="39">
                  <c:v>-18.98</c:v>
                </c:pt>
                <c:pt idx="40">
                  <c:v>-20.3</c:v>
                </c:pt>
                <c:pt idx="41">
                  <c:v>-21.42</c:v>
                </c:pt>
                <c:pt idx="42">
                  <c:v>-20.100000000000001</c:v>
                </c:pt>
                <c:pt idx="43">
                  <c:v>-18.920000000000002</c:v>
                </c:pt>
                <c:pt idx="44">
                  <c:v>-12.7</c:v>
                </c:pt>
                <c:pt idx="45">
                  <c:v>-10.74</c:v>
                </c:pt>
                <c:pt idx="46">
                  <c:v>-10.47</c:v>
                </c:pt>
                <c:pt idx="47">
                  <c:v>-8.4499999999999993</c:v>
                </c:pt>
                <c:pt idx="48">
                  <c:v>-8.7200000000000006</c:v>
                </c:pt>
                <c:pt idx="49">
                  <c:v>-7.9119999999999999</c:v>
                </c:pt>
                <c:pt idx="50">
                  <c:v>-5.3460000000000001</c:v>
                </c:pt>
                <c:pt idx="51">
                  <c:v>-5.1100000000000003</c:v>
                </c:pt>
                <c:pt idx="52">
                  <c:v>-5.1769999999999996</c:v>
                </c:pt>
                <c:pt idx="53">
                  <c:v>-4.4080000000000004</c:v>
                </c:pt>
                <c:pt idx="54">
                  <c:v>-5.85</c:v>
                </c:pt>
                <c:pt idx="55">
                  <c:v>-4.8410000000000002</c:v>
                </c:pt>
                <c:pt idx="56">
                  <c:v>-5.5830000000000002</c:v>
                </c:pt>
                <c:pt idx="57">
                  <c:v>-5.077</c:v>
                </c:pt>
                <c:pt idx="58">
                  <c:v>-1.6359999999999999</c:v>
                </c:pt>
                <c:pt idx="59">
                  <c:v>-2.5489999999999999</c:v>
                </c:pt>
                <c:pt idx="60">
                  <c:v>-2.887</c:v>
                </c:pt>
                <c:pt idx="61">
                  <c:v>-5.6180000000000003</c:v>
                </c:pt>
                <c:pt idx="62">
                  <c:v>-6.7960000000000003</c:v>
                </c:pt>
                <c:pt idx="63">
                  <c:v>-7.5060000000000002</c:v>
                </c:pt>
                <c:pt idx="64">
                  <c:v>-6.5259999999999998</c:v>
                </c:pt>
                <c:pt idx="65">
                  <c:v>-7.3369999999999997</c:v>
                </c:pt>
                <c:pt idx="66">
                  <c:v>-3.8969999999999998</c:v>
                </c:pt>
                <c:pt idx="67">
                  <c:v>-6.6310000000000002</c:v>
                </c:pt>
                <c:pt idx="68">
                  <c:v>-9.19</c:v>
                </c:pt>
                <c:pt idx="69">
                  <c:v>-10.4</c:v>
                </c:pt>
                <c:pt idx="70">
                  <c:v>-6.4580000000000002</c:v>
                </c:pt>
                <c:pt idx="71">
                  <c:v>-10.47</c:v>
                </c:pt>
                <c:pt idx="72">
                  <c:v>-12.81</c:v>
                </c:pt>
                <c:pt idx="73">
                  <c:v>-8.65</c:v>
                </c:pt>
                <c:pt idx="74">
                  <c:v>-8.4499999999999993</c:v>
                </c:pt>
                <c:pt idx="75">
                  <c:v>-10.3</c:v>
                </c:pt>
                <c:pt idx="76">
                  <c:v>-11.11</c:v>
                </c:pt>
                <c:pt idx="77">
                  <c:v>-9.9600000000000009</c:v>
                </c:pt>
                <c:pt idx="78">
                  <c:v>-5.75</c:v>
                </c:pt>
                <c:pt idx="79">
                  <c:v>-7.4050000000000002</c:v>
                </c:pt>
                <c:pt idx="80">
                  <c:v>-7.3710000000000004</c:v>
                </c:pt>
                <c:pt idx="81">
                  <c:v>-6.6269999999999998</c:v>
                </c:pt>
                <c:pt idx="82">
                  <c:v>-0.55400000000000005</c:v>
                </c:pt>
                <c:pt idx="83">
                  <c:v>0.42599999999999999</c:v>
                </c:pt>
                <c:pt idx="84">
                  <c:v>2.4809999999999999</c:v>
                </c:pt>
                <c:pt idx="85">
                  <c:v>-0.85899999999999999</c:v>
                </c:pt>
                <c:pt idx="86">
                  <c:v>-2.2109999999999999</c:v>
                </c:pt>
                <c:pt idx="87">
                  <c:v>-4.9740000000000002</c:v>
                </c:pt>
                <c:pt idx="88">
                  <c:v>-5.3090000000000002</c:v>
                </c:pt>
                <c:pt idx="89">
                  <c:v>-5.1150000000000002</c:v>
                </c:pt>
                <c:pt idx="90">
                  <c:v>-5.0419999999999998</c:v>
                </c:pt>
                <c:pt idx="91">
                  <c:v>-4.6379999999999999</c:v>
                </c:pt>
                <c:pt idx="92">
                  <c:v>-6.56</c:v>
                </c:pt>
                <c:pt idx="93">
                  <c:v>-6.9649999999999999</c:v>
                </c:pt>
                <c:pt idx="94">
                  <c:v>-2.883</c:v>
                </c:pt>
                <c:pt idx="95">
                  <c:v>-0.28399999999999997</c:v>
                </c:pt>
                <c:pt idx="96">
                  <c:v>-2.92</c:v>
                </c:pt>
                <c:pt idx="97">
                  <c:v>-4.3710000000000004</c:v>
                </c:pt>
                <c:pt idx="98">
                  <c:v>-4.6040000000000001</c:v>
                </c:pt>
                <c:pt idx="99">
                  <c:v>-2.8530000000000002</c:v>
                </c:pt>
                <c:pt idx="100">
                  <c:v>-4.673</c:v>
                </c:pt>
                <c:pt idx="101">
                  <c:v>-6.7960000000000003</c:v>
                </c:pt>
                <c:pt idx="102">
                  <c:v>-8.82</c:v>
                </c:pt>
                <c:pt idx="103">
                  <c:v>-2.7810000000000001</c:v>
                </c:pt>
                <c:pt idx="104">
                  <c:v>0.122</c:v>
                </c:pt>
                <c:pt idx="105">
                  <c:v>-5.3810000000000002</c:v>
                </c:pt>
                <c:pt idx="106">
                  <c:v>-5.4130000000000003</c:v>
                </c:pt>
                <c:pt idx="107">
                  <c:v>-2.109</c:v>
                </c:pt>
                <c:pt idx="108">
                  <c:v>-2.7850000000000001</c:v>
                </c:pt>
                <c:pt idx="109">
                  <c:v>-4.5030000000000001</c:v>
                </c:pt>
                <c:pt idx="110">
                  <c:v>-6.0860000000000003</c:v>
                </c:pt>
                <c:pt idx="111">
                  <c:v>-7.3710000000000004</c:v>
                </c:pt>
                <c:pt idx="112">
                  <c:v>-4.5030000000000001</c:v>
                </c:pt>
                <c:pt idx="113">
                  <c:v>-2.008</c:v>
                </c:pt>
                <c:pt idx="114">
                  <c:v>2.0129999999999999</c:v>
                </c:pt>
                <c:pt idx="115">
                  <c:v>2.339</c:v>
                </c:pt>
                <c:pt idx="116">
                  <c:v>0.79700000000000004</c:v>
                </c:pt>
                <c:pt idx="117">
                  <c:v>-0.216</c:v>
                </c:pt>
                <c:pt idx="118">
                  <c:v>-1.163</c:v>
                </c:pt>
                <c:pt idx="119">
                  <c:v>-1.4670000000000001</c:v>
                </c:pt>
                <c:pt idx="120">
                  <c:v>1.2709999999999999</c:v>
                </c:pt>
                <c:pt idx="121">
                  <c:v>3.56</c:v>
                </c:pt>
                <c:pt idx="122">
                  <c:v>-4.5030000000000001</c:v>
                </c:pt>
                <c:pt idx="123">
                  <c:v>-4.67</c:v>
                </c:pt>
                <c:pt idx="124">
                  <c:v>-3.085</c:v>
                </c:pt>
                <c:pt idx="125">
                  <c:v>2.0470000000000002</c:v>
                </c:pt>
                <c:pt idx="126">
                  <c:v>1.1950000000000001</c:v>
                </c:pt>
                <c:pt idx="127">
                  <c:v>-4.2389999999999999</c:v>
                </c:pt>
                <c:pt idx="128">
                  <c:v>0.59499999999999997</c:v>
                </c:pt>
                <c:pt idx="129">
                  <c:v>-0.14899999999999999</c:v>
                </c:pt>
                <c:pt idx="130">
                  <c:v>-1.3320000000000001</c:v>
                </c:pt>
                <c:pt idx="131">
                  <c:v>-1.3320000000000001</c:v>
                </c:pt>
                <c:pt idx="132">
                  <c:v>0.46</c:v>
                </c:pt>
                <c:pt idx="133">
                  <c:v>-1.8049999999999999</c:v>
                </c:pt>
                <c:pt idx="134">
                  <c:v>-3.423</c:v>
                </c:pt>
                <c:pt idx="135">
                  <c:v>-1.873</c:v>
                </c:pt>
                <c:pt idx="136">
                  <c:v>-1.4330000000000001</c:v>
                </c:pt>
                <c:pt idx="137">
                  <c:v>-2.5489999999999999</c:v>
                </c:pt>
                <c:pt idx="138">
                  <c:v>-2.819</c:v>
                </c:pt>
                <c:pt idx="139">
                  <c:v>-2.5489999999999999</c:v>
                </c:pt>
                <c:pt idx="140">
                  <c:v>-2.8530000000000002</c:v>
                </c:pt>
                <c:pt idx="141">
                  <c:v>0.155</c:v>
                </c:pt>
                <c:pt idx="142">
                  <c:v>0.25700000000000001</c:v>
                </c:pt>
                <c:pt idx="143">
                  <c:v>2.6480000000000001</c:v>
                </c:pt>
                <c:pt idx="144">
                  <c:v>5.109</c:v>
                </c:pt>
                <c:pt idx="145">
                  <c:v>1.7709999999999999</c:v>
                </c:pt>
                <c:pt idx="146">
                  <c:v>0.93</c:v>
                </c:pt>
                <c:pt idx="147">
                  <c:v>7.7709999999999999</c:v>
                </c:pt>
                <c:pt idx="148">
                  <c:v>1.94</c:v>
                </c:pt>
                <c:pt idx="149">
                  <c:v>2.0110000000000001</c:v>
                </c:pt>
                <c:pt idx="150">
                  <c:v>-0.45300000000000001</c:v>
                </c:pt>
                <c:pt idx="151">
                  <c:v>-0.89200000000000002</c:v>
                </c:pt>
                <c:pt idx="152">
                  <c:v>-0.45300000000000001</c:v>
                </c:pt>
                <c:pt idx="153">
                  <c:v>3.0870000000000002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-8.61</c:v>
                </c:pt>
                <c:pt idx="1">
                  <c:v>-8.8000000000000007</c:v>
                </c:pt>
                <c:pt idx="2">
                  <c:v>-5.96</c:v>
                </c:pt>
                <c:pt idx="3">
                  <c:v>-4.4470000000000001</c:v>
                </c:pt>
                <c:pt idx="4">
                  <c:v>-4.6849999999999996</c:v>
                </c:pt>
                <c:pt idx="5">
                  <c:v>-5.2759999999999998</c:v>
                </c:pt>
                <c:pt idx="6">
                  <c:v>-4.7060000000000004</c:v>
                </c:pt>
                <c:pt idx="7">
                  <c:v>-3.5059999999999998</c:v>
                </c:pt>
                <c:pt idx="8">
                  <c:v>-4.0949999999999998</c:v>
                </c:pt>
                <c:pt idx="9">
                  <c:v>-5.4729999999999999</c:v>
                </c:pt>
                <c:pt idx="10">
                  <c:v>-5.9189999999999996</c:v>
                </c:pt>
                <c:pt idx="11">
                  <c:v>-7.0890000000000004</c:v>
                </c:pt>
                <c:pt idx="12">
                  <c:v>-5.7389999999999999</c:v>
                </c:pt>
                <c:pt idx="13">
                  <c:v>-1.103</c:v>
                </c:pt>
                <c:pt idx="14">
                  <c:v>0.61399999999999999</c:v>
                </c:pt>
                <c:pt idx="15">
                  <c:v>-6.0810000000000004</c:v>
                </c:pt>
                <c:pt idx="16">
                  <c:v>-10.7</c:v>
                </c:pt>
                <c:pt idx="17">
                  <c:v>-12.61</c:v>
                </c:pt>
                <c:pt idx="18">
                  <c:v>-13.14</c:v>
                </c:pt>
                <c:pt idx="19">
                  <c:v>-11.74</c:v>
                </c:pt>
                <c:pt idx="20">
                  <c:v>-9.0299999999999994</c:v>
                </c:pt>
                <c:pt idx="21">
                  <c:v>-7.7850000000000001</c:v>
                </c:pt>
                <c:pt idx="22">
                  <c:v>-6.4850000000000003</c:v>
                </c:pt>
                <c:pt idx="23">
                  <c:v>-10.45</c:v>
                </c:pt>
                <c:pt idx="24">
                  <c:v>-11.39</c:v>
                </c:pt>
                <c:pt idx="25">
                  <c:v>-5.702</c:v>
                </c:pt>
                <c:pt idx="26">
                  <c:v>-1.5780000000000001</c:v>
                </c:pt>
                <c:pt idx="27">
                  <c:v>0.39700000000000002</c:v>
                </c:pt>
                <c:pt idx="28">
                  <c:v>0.38700000000000001</c:v>
                </c:pt>
                <c:pt idx="29">
                  <c:v>-1.573</c:v>
                </c:pt>
                <c:pt idx="30">
                  <c:v>-5.0350000000000001</c:v>
                </c:pt>
                <c:pt idx="31">
                  <c:v>-10.16</c:v>
                </c:pt>
                <c:pt idx="32">
                  <c:v>-12.35</c:v>
                </c:pt>
                <c:pt idx="33">
                  <c:v>-12.32</c:v>
                </c:pt>
                <c:pt idx="34">
                  <c:v>-13.13</c:v>
                </c:pt>
                <c:pt idx="35">
                  <c:v>-17.649999999999999</c:v>
                </c:pt>
                <c:pt idx="36">
                  <c:v>-13.19</c:v>
                </c:pt>
                <c:pt idx="37">
                  <c:v>-12.96</c:v>
                </c:pt>
                <c:pt idx="38">
                  <c:v>-14.29</c:v>
                </c:pt>
                <c:pt idx="39">
                  <c:v>-16.52</c:v>
                </c:pt>
                <c:pt idx="40">
                  <c:v>-18.96</c:v>
                </c:pt>
                <c:pt idx="41">
                  <c:v>-18.97</c:v>
                </c:pt>
                <c:pt idx="42">
                  <c:v>-16.29</c:v>
                </c:pt>
                <c:pt idx="43">
                  <c:v>-14.7</c:v>
                </c:pt>
                <c:pt idx="44">
                  <c:v>-10.97</c:v>
                </c:pt>
                <c:pt idx="45">
                  <c:v>-9.34</c:v>
                </c:pt>
                <c:pt idx="46">
                  <c:v>-8.2200000000000006</c:v>
                </c:pt>
                <c:pt idx="47">
                  <c:v>-7.351</c:v>
                </c:pt>
                <c:pt idx="48">
                  <c:v>-7.181</c:v>
                </c:pt>
                <c:pt idx="49">
                  <c:v>-6.3840000000000003</c:v>
                </c:pt>
                <c:pt idx="50">
                  <c:v>-4.1980000000000004</c:v>
                </c:pt>
                <c:pt idx="51">
                  <c:v>-3.883</c:v>
                </c:pt>
                <c:pt idx="52">
                  <c:v>-3.093</c:v>
                </c:pt>
                <c:pt idx="53">
                  <c:v>-2.0910000000000002</c:v>
                </c:pt>
                <c:pt idx="54">
                  <c:v>-4.4669999999999996</c:v>
                </c:pt>
                <c:pt idx="55">
                  <c:v>-3.6680000000000001</c:v>
                </c:pt>
                <c:pt idx="56">
                  <c:v>-2.984</c:v>
                </c:pt>
                <c:pt idx="57">
                  <c:v>-1.41</c:v>
                </c:pt>
                <c:pt idx="58">
                  <c:v>0.27800000000000002</c:v>
                </c:pt>
                <c:pt idx="59">
                  <c:v>0.71799999999999997</c:v>
                </c:pt>
                <c:pt idx="60">
                  <c:v>0.44500000000000001</c:v>
                </c:pt>
                <c:pt idx="61">
                  <c:v>-3.41</c:v>
                </c:pt>
                <c:pt idx="62">
                  <c:v>-3.9180000000000001</c:v>
                </c:pt>
                <c:pt idx="63">
                  <c:v>-5.3380000000000001</c:v>
                </c:pt>
                <c:pt idx="64">
                  <c:v>-4.9530000000000003</c:v>
                </c:pt>
                <c:pt idx="65">
                  <c:v>-3.081</c:v>
                </c:pt>
                <c:pt idx="66">
                  <c:v>-1.766</c:v>
                </c:pt>
                <c:pt idx="67">
                  <c:v>-1.44</c:v>
                </c:pt>
                <c:pt idx="68">
                  <c:v>-6.6360000000000001</c:v>
                </c:pt>
                <c:pt idx="69">
                  <c:v>-6.9420000000000002</c:v>
                </c:pt>
                <c:pt idx="70">
                  <c:v>-4.2699999999999996</c:v>
                </c:pt>
                <c:pt idx="71">
                  <c:v>-6.1109999999999998</c:v>
                </c:pt>
                <c:pt idx="72">
                  <c:v>-8.93</c:v>
                </c:pt>
                <c:pt idx="73">
                  <c:v>-6.52</c:v>
                </c:pt>
                <c:pt idx="74">
                  <c:v>-6.83</c:v>
                </c:pt>
                <c:pt idx="75">
                  <c:v>-7.8879999999999999</c:v>
                </c:pt>
                <c:pt idx="76">
                  <c:v>-8.16</c:v>
                </c:pt>
                <c:pt idx="77">
                  <c:v>-7.2270000000000003</c:v>
                </c:pt>
                <c:pt idx="78">
                  <c:v>-4.6070000000000002</c:v>
                </c:pt>
                <c:pt idx="79">
                  <c:v>-4.3380000000000001</c:v>
                </c:pt>
                <c:pt idx="80">
                  <c:v>-5.851</c:v>
                </c:pt>
                <c:pt idx="81">
                  <c:v>-3.6040000000000001</c:v>
                </c:pt>
                <c:pt idx="82">
                  <c:v>0.20799999999999999</c:v>
                </c:pt>
                <c:pt idx="83">
                  <c:v>3.601</c:v>
                </c:pt>
                <c:pt idx="84">
                  <c:v>5.3659999999999997</c:v>
                </c:pt>
                <c:pt idx="85">
                  <c:v>1.427</c:v>
                </c:pt>
                <c:pt idx="86">
                  <c:v>-1.181</c:v>
                </c:pt>
                <c:pt idx="87">
                  <c:v>-2.044</c:v>
                </c:pt>
                <c:pt idx="88">
                  <c:v>-0.92700000000000005</c:v>
                </c:pt>
                <c:pt idx="89">
                  <c:v>-2.5449999999999999</c:v>
                </c:pt>
                <c:pt idx="90">
                  <c:v>-2.8879999999999999</c:v>
                </c:pt>
                <c:pt idx="91">
                  <c:v>-3.64</c:v>
                </c:pt>
                <c:pt idx="92">
                  <c:v>-4.1079999999999997</c:v>
                </c:pt>
                <c:pt idx="93">
                  <c:v>-1.2210000000000001</c:v>
                </c:pt>
                <c:pt idx="94">
                  <c:v>2.0259999999999998</c:v>
                </c:pt>
                <c:pt idx="95">
                  <c:v>2.67</c:v>
                </c:pt>
                <c:pt idx="96">
                  <c:v>0.442</c:v>
                </c:pt>
                <c:pt idx="97">
                  <c:v>-2.39</c:v>
                </c:pt>
                <c:pt idx="98">
                  <c:v>-1.4790000000000001</c:v>
                </c:pt>
                <c:pt idx="99">
                  <c:v>0.56699999999999995</c:v>
                </c:pt>
                <c:pt idx="100">
                  <c:v>-0.628</c:v>
                </c:pt>
                <c:pt idx="101">
                  <c:v>-5.1609999999999996</c:v>
                </c:pt>
                <c:pt idx="102">
                  <c:v>-2.6120000000000001</c:v>
                </c:pt>
                <c:pt idx="103">
                  <c:v>2.411</c:v>
                </c:pt>
                <c:pt idx="104">
                  <c:v>3.7250000000000001</c:v>
                </c:pt>
                <c:pt idx="105">
                  <c:v>-2.0640000000000001</c:v>
                </c:pt>
                <c:pt idx="106">
                  <c:v>-0.79600000000000004</c:v>
                </c:pt>
                <c:pt idx="107">
                  <c:v>4.1909999999999998</c:v>
                </c:pt>
                <c:pt idx="108">
                  <c:v>0.53400000000000003</c:v>
                </c:pt>
                <c:pt idx="109">
                  <c:v>-2.2599999999999998</c:v>
                </c:pt>
                <c:pt idx="110">
                  <c:v>-4.2530000000000001</c:v>
                </c:pt>
                <c:pt idx="111">
                  <c:v>-2.7559999999999998</c:v>
                </c:pt>
                <c:pt idx="112">
                  <c:v>0.255</c:v>
                </c:pt>
                <c:pt idx="113">
                  <c:v>3.399</c:v>
                </c:pt>
                <c:pt idx="114">
                  <c:v>6.49</c:v>
                </c:pt>
                <c:pt idx="115">
                  <c:v>5.8819999999999997</c:v>
                </c:pt>
                <c:pt idx="116">
                  <c:v>4.3529999999999998</c:v>
                </c:pt>
                <c:pt idx="117">
                  <c:v>1.272</c:v>
                </c:pt>
                <c:pt idx="118">
                  <c:v>1.403</c:v>
                </c:pt>
                <c:pt idx="119">
                  <c:v>2.9740000000000002</c:v>
                </c:pt>
                <c:pt idx="120">
                  <c:v>6.6680000000000001</c:v>
                </c:pt>
                <c:pt idx="121">
                  <c:v>8.86</c:v>
                </c:pt>
                <c:pt idx="122">
                  <c:v>1.861</c:v>
                </c:pt>
                <c:pt idx="123">
                  <c:v>-1.958</c:v>
                </c:pt>
                <c:pt idx="124">
                  <c:v>2.6560000000000001</c:v>
                </c:pt>
                <c:pt idx="125">
                  <c:v>6.81</c:v>
                </c:pt>
                <c:pt idx="126">
                  <c:v>6.8879999999999999</c:v>
                </c:pt>
                <c:pt idx="127">
                  <c:v>1.724</c:v>
                </c:pt>
                <c:pt idx="128">
                  <c:v>5.3259999999999996</c:v>
                </c:pt>
                <c:pt idx="129">
                  <c:v>5.1390000000000002</c:v>
                </c:pt>
                <c:pt idx="130">
                  <c:v>1.825</c:v>
                </c:pt>
                <c:pt idx="131">
                  <c:v>0.19600000000000001</c:v>
                </c:pt>
                <c:pt idx="132">
                  <c:v>3.2469999999999999</c:v>
                </c:pt>
                <c:pt idx="133">
                  <c:v>1.625</c:v>
                </c:pt>
                <c:pt idx="134">
                  <c:v>1.016</c:v>
                </c:pt>
                <c:pt idx="135">
                  <c:v>0.59699999999999998</c:v>
                </c:pt>
                <c:pt idx="136">
                  <c:v>1.45</c:v>
                </c:pt>
                <c:pt idx="137">
                  <c:v>-0.96599999999999997</c:v>
                </c:pt>
                <c:pt idx="138">
                  <c:v>-1.0169999999999999</c:v>
                </c:pt>
                <c:pt idx="139">
                  <c:v>-0.33900000000000002</c:v>
                </c:pt>
                <c:pt idx="140">
                  <c:v>1.1020000000000001</c:v>
                </c:pt>
                <c:pt idx="141">
                  <c:v>3.2719999999999998</c:v>
                </c:pt>
                <c:pt idx="142">
                  <c:v>5.234</c:v>
                </c:pt>
                <c:pt idx="143">
                  <c:v>7.8760000000000003</c:v>
                </c:pt>
                <c:pt idx="144">
                  <c:v>10.96</c:v>
                </c:pt>
                <c:pt idx="145">
                  <c:v>5.3780000000000001</c:v>
                </c:pt>
                <c:pt idx="146">
                  <c:v>8</c:v>
                </c:pt>
                <c:pt idx="147">
                  <c:v>14.05</c:v>
                </c:pt>
                <c:pt idx="148">
                  <c:v>8.2899999999999991</c:v>
                </c:pt>
                <c:pt idx="149">
                  <c:v>10.7</c:v>
                </c:pt>
                <c:pt idx="150">
                  <c:v>9.1300000000000008</c:v>
                </c:pt>
                <c:pt idx="151">
                  <c:v>2.238</c:v>
                </c:pt>
                <c:pt idx="152">
                  <c:v>4.2060000000000004</c:v>
                </c:pt>
                <c:pt idx="153">
                  <c:v>7.2880000000000003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81248"/>
        <c:axId val="40982784"/>
      </c:lineChart>
      <c:catAx>
        <c:axId val="409812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27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82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1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77916678454349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90.2</c:v>
                </c:pt>
                <c:pt idx="1">
                  <c:v>90.3</c:v>
                </c:pt>
                <c:pt idx="2">
                  <c:v>94.5</c:v>
                </c:pt>
                <c:pt idx="3">
                  <c:v>94.4</c:v>
                </c:pt>
                <c:pt idx="4">
                  <c:v>94.5</c:v>
                </c:pt>
                <c:pt idx="5">
                  <c:v>93.9</c:v>
                </c:pt>
                <c:pt idx="6">
                  <c:v>95.6</c:v>
                </c:pt>
                <c:pt idx="7">
                  <c:v>95.3</c:v>
                </c:pt>
                <c:pt idx="8">
                  <c:v>95.3</c:v>
                </c:pt>
                <c:pt idx="9">
                  <c:v>94.3</c:v>
                </c:pt>
                <c:pt idx="10">
                  <c:v>93.1</c:v>
                </c:pt>
                <c:pt idx="11">
                  <c:v>91.9</c:v>
                </c:pt>
                <c:pt idx="12">
                  <c:v>94.8</c:v>
                </c:pt>
                <c:pt idx="13">
                  <c:v>95.9</c:v>
                </c:pt>
                <c:pt idx="14">
                  <c:v>94.8</c:v>
                </c:pt>
                <c:pt idx="15">
                  <c:v>93.2</c:v>
                </c:pt>
                <c:pt idx="16">
                  <c:v>89.5</c:v>
                </c:pt>
                <c:pt idx="17">
                  <c:v>87.7</c:v>
                </c:pt>
                <c:pt idx="18">
                  <c:v>88.2</c:v>
                </c:pt>
                <c:pt idx="19">
                  <c:v>84.9</c:v>
                </c:pt>
                <c:pt idx="20">
                  <c:v>90.4</c:v>
                </c:pt>
                <c:pt idx="21">
                  <c:v>89.1</c:v>
                </c:pt>
                <c:pt idx="22">
                  <c:v>92.3</c:v>
                </c:pt>
                <c:pt idx="23">
                  <c:v>89.9</c:v>
                </c:pt>
                <c:pt idx="24">
                  <c:v>89.6</c:v>
                </c:pt>
                <c:pt idx="25">
                  <c:v>90.3</c:v>
                </c:pt>
                <c:pt idx="26">
                  <c:v>62.8</c:v>
                </c:pt>
                <c:pt idx="27">
                  <c:v>48.4</c:v>
                </c:pt>
                <c:pt idx="28">
                  <c:v>43.6</c:v>
                </c:pt>
                <c:pt idx="29">
                  <c:v>73.900000000000006</c:v>
                </c:pt>
                <c:pt idx="30">
                  <c:v>94.3</c:v>
                </c:pt>
                <c:pt idx="31">
                  <c:v>93.9</c:v>
                </c:pt>
                <c:pt idx="32">
                  <c:v>87.7</c:v>
                </c:pt>
                <c:pt idx="33">
                  <c:v>87.4</c:v>
                </c:pt>
                <c:pt idx="34">
                  <c:v>87.1</c:v>
                </c:pt>
                <c:pt idx="35">
                  <c:v>84.4</c:v>
                </c:pt>
                <c:pt idx="36">
                  <c:v>86.4</c:v>
                </c:pt>
                <c:pt idx="37">
                  <c:v>83.6</c:v>
                </c:pt>
                <c:pt idx="38">
                  <c:v>86.3</c:v>
                </c:pt>
                <c:pt idx="39">
                  <c:v>83.3</c:v>
                </c:pt>
                <c:pt idx="40">
                  <c:v>81.599999999999994</c:v>
                </c:pt>
                <c:pt idx="41">
                  <c:v>80.5</c:v>
                </c:pt>
                <c:pt idx="42">
                  <c:v>81.900000000000006</c:v>
                </c:pt>
                <c:pt idx="43">
                  <c:v>86.4</c:v>
                </c:pt>
                <c:pt idx="44">
                  <c:v>89.5</c:v>
                </c:pt>
                <c:pt idx="45">
                  <c:v>90.3</c:v>
                </c:pt>
                <c:pt idx="46">
                  <c:v>91.6</c:v>
                </c:pt>
                <c:pt idx="47">
                  <c:v>92.1</c:v>
                </c:pt>
                <c:pt idx="48">
                  <c:v>92.4</c:v>
                </c:pt>
                <c:pt idx="49">
                  <c:v>93.7</c:v>
                </c:pt>
                <c:pt idx="50">
                  <c:v>94.6</c:v>
                </c:pt>
                <c:pt idx="51">
                  <c:v>94.8</c:v>
                </c:pt>
                <c:pt idx="52">
                  <c:v>96.7</c:v>
                </c:pt>
                <c:pt idx="53">
                  <c:v>96.7</c:v>
                </c:pt>
                <c:pt idx="54">
                  <c:v>94.2</c:v>
                </c:pt>
                <c:pt idx="55">
                  <c:v>95.6</c:v>
                </c:pt>
                <c:pt idx="56">
                  <c:v>96.2</c:v>
                </c:pt>
                <c:pt idx="57">
                  <c:v>95.6</c:v>
                </c:pt>
                <c:pt idx="58">
                  <c:v>95.1</c:v>
                </c:pt>
                <c:pt idx="59">
                  <c:v>94</c:v>
                </c:pt>
                <c:pt idx="60">
                  <c:v>96</c:v>
                </c:pt>
                <c:pt idx="61">
                  <c:v>96.4</c:v>
                </c:pt>
                <c:pt idx="62">
                  <c:v>95</c:v>
                </c:pt>
                <c:pt idx="63">
                  <c:v>94</c:v>
                </c:pt>
                <c:pt idx="64">
                  <c:v>93.4</c:v>
                </c:pt>
                <c:pt idx="65">
                  <c:v>84.9</c:v>
                </c:pt>
                <c:pt idx="66">
                  <c:v>84.7</c:v>
                </c:pt>
                <c:pt idx="67">
                  <c:v>94.7</c:v>
                </c:pt>
                <c:pt idx="68">
                  <c:v>91.5</c:v>
                </c:pt>
                <c:pt idx="69">
                  <c:v>92.8</c:v>
                </c:pt>
                <c:pt idx="70">
                  <c:v>95.3</c:v>
                </c:pt>
                <c:pt idx="71">
                  <c:v>94.8</c:v>
                </c:pt>
                <c:pt idx="72">
                  <c:v>91.6</c:v>
                </c:pt>
                <c:pt idx="73">
                  <c:v>93.4</c:v>
                </c:pt>
                <c:pt idx="74">
                  <c:v>92.7</c:v>
                </c:pt>
                <c:pt idx="75">
                  <c:v>90.2</c:v>
                </c:pt>
                <c:pt idx="76">
                  <c:v>90</c:v>
                </c:pt>
                <c:pt idx="77">
                  <c:v>93.2</c:v>
                </c:pt>
                <c:pt idx="78">
                  <c:v>93.7</c:v>
                </c:pt>
                <c:pt idx="79">
                  <c:v>94.1</c:v>
                </c:pt>
                <c:pt idx="80">
                  <c:v>93</c:v>
                </c:pt>
                <c:pt idx="81">
                  <c:v>97.7</c:v>
                </c:pt>
                <c:pt idx="82">
                  <c:v>98.1</c:v>
                </c:pt>
                <c:pt idx="83">
                  <c:v>98.9</c:v>
                </c:pt>
                <c:pt idx="84">
                  <c:v>98.4</c:v>
                </c:pt>
                <c:pt idx="85">
                  <c:v>97.2</c:v>
                </c:pt>
                <c:pt idx="86">
                  <c:v>97.1</c:v>
                </c:pt>
                <c:pt idx="87">
                  <c:v>96.3</c:v>
                </c:pt>
                <c:pt idx="88">
                  <c:v>88.2</c:v>
                </c:pt>
                <c:pt idx="89">
                  <c:v>95.5</c:v>
                </c:pt>
                <c:pt idx="90">
                  <c:v>95.1</c:v>
                </c:pt>
                <c:pt idx="91">
                  <c:v>94.4</c:v>
                </c:pt>
                <c:pt idx="92">
                  <c:v>93.8</c:v>
                </c:pt>
                <c:pt idx="93">
                  <c:v>75</c:v>
                </c:pt>
                <c:pt idx="94">
                  <c:v>67.400000000000006</c:v>
                </c:pt>
                <c:pt idx="95">
                  <c:v>97.8</c:v>
                </c:pt>
                <c:pt idx="96">
                  <c:v>98.3</c:v>
                </c:pt>
                <c:pt idx="97">
                  <c:v>96.8</c:v>
                </c:pt>
                <c:pt idx="98">
                  <c:v>95.4</c:v>
                </c:pt>
                <c:pt idx="99">
                  <c:v>98</c:v>
                </c:pt>
                <c:pt idx="100">
                  <c:v>96.8</c:v>
                </c:pt>
                <c:pt idx="101">
                  <c:v>93.1</c:v>
                </c:pt>
                <c:pt idx="102">
                  <c:v>92.2</c:v>
                </c:pt>
                <c:pt idx="103">
                  <c:v>62.5</c:v>
                </c:pt>
                <c:pt idx="104">
                  <c:v>76.7</c:v>
                </c:pt>
                <c:pt idx="105">
                  <c:v>71.900000000000006</c:v>
                </c:pt>
                <c:pt idx="106">
                  <c:v>57.3</c:v>
                </c:pt>
                <c:pt idx="107">
                  <c:v>79</c:v>
                </c:pt>
                <c:pt idx="108">
                  <c:v>96.1</c:v>
                </c:pt>
                <c:pt idx="109">
                  <c:v>94.7</c:v>
                </c:pt>
                <c:pt idx="110">
                  <c:v>93.9</c:v>
                </c:pt>
                <c:pt idx="111">
                  <c:v>92.3</c:v>
                </c:pt>
                <c:pt idx="112">
                  <c:v>79.7</c:v>
                </c:pt>
                <c:pt idx="113">
                  <c:v>66.8</c:v>
                </c:pt>
                <c:pt idx="114">
                  <c:v>56</c:v>
                </c:pt>
                <c:pt idx="115">
                  <c:v>72.900000000000006</c:v>
                </c:pt>
                <c:pt idx="116">
                  <c:v>78.5</c:v>
                </c:pt>
                <c:pt idx="117">
                  <c:v>96.6</c:v>
                </c:pt>
                <c:pt idx="118">
                  <c:v>91.7</c:v>
                </c:pt>
                <c:pt idx="119">
                  <c:v>87.9</c:v>
                </c:pt>
                <c:pt idx="120">
                  <c:v>66.3</c:v>
                </c:pt>
                <c:pt idx="121">
                  <c:v>68.2</c:v>
                </c:pt>
                <c:pt idx="122">
                  <c:v>97</c:v>
                </c:pt>
                <c:pt idx="123">
                  <c:v>94.5</c:v>
                </c:pt>
                <c:pt idx="124">
                  <c:v>62.7</c:v>
                </c:pt>
                <c:pt idx="125">
                  <c:v>56.2</c:v>
                </c:pt>
                <c:pt idx="126">
                  <c:v>83.9</c:v>
                </c:pt>
                <c:pt idx="127">
                  <c:v>84</c:v>
                </c:pt>
                <c:pt idx="128">
                  <c:v>60.3</c:v>
                </c:pt>
                <c:pt idx="129">
                  <c:v>82.5</c:v>
                </c:pt>
                <c:pt idx="130">
                  <c:v>95.6</c:v>
                </c:pt>
                <c:pt idx="131">
                  <c:v>98.1</c:v>
                </c:pt>
                <c:pt idx="132">
                  <c:v>98.6</c:v>
                </c:pt>
                <c:pt idx="133">
                  <c:v>97.7</c:v>
                </c:pt>
                <c:pt idx="134">
                  <c:v>94.3</c:v>
                </c:pt>
                <c:pt idx="135">
                  <c:v>98</c:v>
                </c:pt>
                <c:pt idx="136">
                  <c:v>98.1</c:v>
                </c:pt>
                <c:pt idx="137">
                  <c:v>96.4</c:v>
                </c:pt>
                <c:pt idx="138">
                  <c:v>97.7</c:v>
                </c:pt>
                <c:pt idx="139">
                  <c:v>96.5</c:v>
                </c:pt>
                <c:pt idx="140">
                  <c:v>90.2</c:v>
                </c:pt>
                <c:pt idx="141">
                  <c:v>85.3</c:v>
                </c:pt>
                <c:pt idx="142">
                  <c:v>91.7</c:v>
                </c:pt>
                <c:pt idx="143">
                  <c:v>80.400000000000006</c:v>
                </c:pt>
                <c:pt idx="144">
                  <c:v>97</c:v>
                </c:pt>
                <c:pt idx="145">
                  <c:v>98.8</c:v>
                </c:pt>
                <c:pt idx="146">
                  <c:v>81.8</c:v>
                </c:pt>
                <c:pt idx="147">
                  <c:v>75.900000000000006</c:v>
                </c:pt>
                <c:pt idx="148">
                  <c:v>95.2</c:v>
                </c:pt>
                <c:pt idx="149">
                  <c:v>80.8</c:v>
                </c:pt>
                <c:pt idx="150">
                  <c:v>92.6</c:v>
                </c:pt>
                <c:pt idx="151">
                  <c:v>95.1</c:v>
                </c:pt>
                <c:pt idx="152">
                  <c:v>77.099999999999994</c:v>
                </c:pt>
                <c:pt idx="153">
                  <c:v>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89.4</c:v>
                </c:pt>
                <c:pt idx="1">
                  <c:v>88.4</c:v>
                </c:pt>
                <c:pt idx="2">
                  <c:v>89.8</c:v>
                </c:pt>
                <c:pt idx="3">
                  <c:v>91.6</c:v>
                </c:pt>
                <c:pt idx="4">
                  <c:v>91.7</c:v>
                </c:pt>
                <c:pt idx="5">
                  <c:v>91.8</c:v>
                </c:pt>
                <c:pt idx="6">
                  <c:v>89.9</c:v>
                </c:pt>
                <c:pt idx="7">
                  <c:v>90.4</c:v>
                </c:pt>
                <c:pt idx="8">
                  <c:v>91</c:v>
                </c:pt>
                <c:pt idx="9">
                  <c:v>90.4</c:v>
                </c:pt>
                <c:pt idx="10">
                  <c:v>91.1</c:v>
                </c:pt>
                <c:pt idx="11">
                  <c:v>90</c:v>
                </c:pt>
                <c:pt idx="12">
                  <c:v>90.1</c:v>
                </c:pt>
                <c:pt idx="13">
                  <c:v>82.6</c:v>
                </c:pt>
                <c:pt idx="14">
                  <c:v>74.900000000000006</c:v>
                </c:pt>
                <c:pt idx="15">
                  <c:v>70.7</c:v>
                </c:pt>
                <c:pt idx="16">
                  <c:v>86.3</c:v>
                </c:pt>
                <c:pt idx="17">
                  <c:v>70.5</c:v>
                </c:pt>
                <c:pt idx="18">
                  <c:v>78.8</c:v>
                </c:pt>
                <c:pt idx="19">
                  <c:v>39.6</c:v>
                </c:pt>
                <c:pt idx="20">
                  <c:v>63.5</c:v>
                </c:pt>
                <c:pt idx="21">
                  <c:v>33.6</c:v>
                </c:pt>
                <c:pt idx="22">
                  <c:v>33.200000000000003</c:v>
                </c:pt>
                <c:pt idx="23">
                  <c:v>86.5</c:v>
                </c:pt>
                <c:pt idx="24">
                  <c:v>84.9</c:v>
                </c:pt>
                <c:pt idx="25">
                  <c:v>51.8</c:v>
                </c:pt>
                <c:pt idx="26">
                  <c:v>35.5</c:v>
                </c:pt>
                <c:pt idx="27">
                  <c:v>21.7</c:v>
                </c:pt>
                <c:pt idx="28">
                  <c:v>24.5</c:v>
                </c:pt>
                <c:pt idx="29">
                  <c:v>27.3</c:v>
                </c:pt>
                <c:pt idx="30">
                  <c:v>65</c:v>
                </c:pt>
                <c:pt idx="31">
                  <c:v>73.8</c:v>
                </c:pt>
                <c:pt idx="32">
                  <c:v>82.4</c:v>
                </c:pt>
                <c:pt idx="33">
                  <c:v>84.9</c:v>
                </c:pt>
                <c:pt idx="34">
                  <c:v>73.599999999999994</c:v>
                </c:pt>
                <c:pt idx="35">
                  <c:v>77</c:v>
                </c:pt>
                <c:pt idx="36">
                  <c:v>81.400000000000006</c:v>
                </c:pt>
                <c:pt idx="37">
                  <c:v>57.4</c:v>
                </c:pt>
                <c:pt idx="38">
                  <c:v>81.2</c:v>
                </c:pt>
                <c:pt idx="39">
                  <c:v>78.099999999999994</c:v>
                </c:pt>
                <c:pt idx="40">
                  <c:v>77.400000000000006</c:v>
                </c:pt>
                <c:pt idx="41">
                  <c:v>73.400000000000006</c:v>
                </c:pt>
                <c:pt idx="42">
                  <c:v>59.9</c:v>
                </c:pt>
                <c:pt idx="43">
                  <c:v>44.4</c:v>
                </c:pt>
                <c:pt idx="44">
                  <c:v>84.4</c:v>
                </c:pt>
                <c:pt idx="45">
                  <c:v>78.7</c:v>
                </c:pt>
                <c:pt idx="46">
                  <c:v>88.2</c:v>
                </c:pt>
                <c:pt idx="47">
                  <c:v>90.1</c:v>
                </c:pt>
                <c:pt idx="48">
                  <c:v>90</c:v>
                </c:pt>
                <c:pt idx="49">
                  <c:v>90.5</c:v>
                </c:pt>
                <c:pt idx="50">
                  <c:v>92.6</c:v>
                </c:pt>
                <c:pt idx="51">
                  <c:v>92.9</c:v>
                </c:pt>
                <c:pt idx="52">
                  <c:v>92.8</c:v>
                </c:pt>
                <c:pt idx="53">
                  <c:v>89.8</c:v>
                </c:pt>
                <c:pt idx="54">
                  <c:v>90.2</c:v>
                </c:pt>
                <c:pt idx="55">
                  <c:v>93.2</c:v>
                </c:pt>
                <c:pt idx="56">
                  <c:v>92.5</c:v>
                </c:pt>
                <c:pt idx="57">
                  <c:v>86.8</c:v>
                </c:pt>
                <c:pt idx="58">
                  <c:v>72.3</c:v>
                </c:pt>
                <c:pt idx="59">
                  <c:v>62.1</c:v>
                </c:pt>
                <c:pt idx="60">
                  <c:v>52</c:v>
                </c:pt>
                <c:pt idx="61">
                  <c:v>59.7</c:v>
                </c:pt>
                <c:pt idx="62">
                  <c:v>53.2</c:v>
                </c:pt>
                <c:pt idx="63">
                  <c:v>51.2</c:v>
                </c:pt>
                <c:pt idx="64">
                  <c:v>64.599999999999994</c:v>
                </c:pt>
                <c:pt idx="65">
                  <c:v>39.6</c:v>
                </c:pt>
                <c:pt idx="66">
                  <c:v>57.3</c:v>
                </c:pt>
                <c:pt idx="67">
                  <c:v>46.5</c:v>
                </c:pt>
                <c:pt idx="68">
                  <c:v>47.8</c:v>
                </c:pt>
                <c:pt idx="69">
                  <c:v>77.400000000000006</c:v>
                </c:pt>
                <c:pt idx="70">
                  <c:v>91.9</c:v>
                </c:pt>
                <c:pt idx="71">
                  <c:v>87.3</c:v>
                </c:pt>
                <c:pt idx="72">
                  <c:v>85.8</c:v>
                </c:pt>
                <c:pt idx="73">
                  <c:v>90</c:v>
                </c:pt>
                <c:pt idx="74">
                  <c:v>88.6</c:v>
                </c:pt>
                <c:pt idx="75">
                  <c:v>72.400000000000006</c:v>
                </c:pt>
                <c:pt idx="76">
                  <c:v>57.2</c:v>
                </c:pt>
                <c:pt idx="77">
                  <c:v>77.5</c:v>
                </c:pt>
                <c:pt idx="78">
                  <c:v>65</c:v>
                </c:pt>
                <c:pt idx="79">
                  <c:v>55.2</c:v>
                </c:pt>
                <c:pt idx="80">
                  <c:v>73</c:v>
                </c:pt>
                <c:pt idx="81">
                  <c:v>88.1</c:v>
                </c:pt>
                <c:pt idx="82">
                  <c:v>81.7</c:v>
                </c:pt>
                <c:pt idx="83">
                  <c:v>69.5</c:v>
                </c:pt>
                <c:pt idx="84">
                  <c:v>62.8</c:v>
                </c:pt>
                <c:pt idx="85">
                  <c:v>62.5</c:v>
                </c:pt>
                <c:pt idx="86">
                  <c:v>87.9</c:v>
                </c:pt>
                <c:pt idx="87">
                  <c:v>47.5</c:v>
                </c:pt>
                <c:pt idx="88">
                  <c:v>40.1</c:v>
                </c:pt>
                <c:pt idx="89">
                  <c:v>71</c:v>
                </c:pt>
                <c:pt idx="90">
                  <c:v>77.3</c:v>
                </c:pt>
                <c:pt idx="91">
                  <c:v>72.7</c:v>
                </c:pt>
                <c:pt idx="92">
                  <c:v>46.3</c:v>
                </c:pt>
                <c:pt idx="93">
                  <c:v>29.3</c:v>
                </c:pt>
                <c:pt idx="94">
                  <c:v>28.1</c:v>
                </c:pt>
                <c:pt idx="95">
                  <c:v>42.5</c:v>
                </c:pt>
                <c:pt idx="96">
                  <c:v>95.5</c:v>
                </c:pt>
                <c:pt idx="97">
                  <c:v>91</c:v>
                </c:pt>
                <c:pt idx="98">
                  <c:v>55</c:v>
                </c:pt>
                <c:pt idx="99">
                  <c:v>61.7</c:v>
                </c:pt>
                <c:pt idx="100">
                  <c:v>36.799999999999997</c:v>
                </c:pt>
                <c:pt idx="101">
                  <c:v>67.400000000000006</c:v>
                </c:pt>
                <c:pt idx="102">
                  <c:v>31.3</c:v>
                </c:pt>
                <c:pt idx="103">
                  <c:v>29.9</c:v>
                </c:pt>
                <c:pt idx="104">
                  <c:v>29.7</c:v>
                </c:pt>
                <c:pt idx="105">
                  <c:v>30.9</c:v>
                </c:pt>
                <c:pt idx="106">
                  <c:v>24.4</c:v>
                </c:pt>
                <c:pt idx="107">
                  <c:v>32.1</c:v>
                </c:pt>
                <c:pt idx="108">
                  <c:v>39.1</c:v>
                </c:pt>
                <c:pt idx="109">
                  <c:v>56.2</c:v>
                </c:pt>
                <c:pt idx="110">
                  <c:v>67</c:v>
                </c:pt>
                <c:pt idx="111">
                  <c:v>39.299999999999997</c:v>
                </c:pt>
                <c:pt idx="112">
                  <c:v>36.6</c:v>
                </c:pt>
                <c:pt idx="113">
                  <c:v>28</c:v>
                </c:pt>
                <c:pt idx="114">
                  <c:v>20.100000000000001</c:v>
                </c:pt>
                <c:pt idx="115">
                  <c:v>30.2</c:v>
                </c:pt>
                <c:pt idx="116">
                  <c:v>35.799999999999997</c:v>
                </c:pt>
                <c:pt idx="117">
                  <c:v>55.8</c:v>
                </c:pt>
                <c:pt idx="118">
                  <c:v>47.6</c:v>
                </c:pt>
                <c:pt idx="119">
                  <c:v>37.299999999999997</c:v>
                </c:pt>
                <c:pt idx="120">
                  <c:v>33.9</c:v>
                </c:pt>
                <c:pt idx="121">
                  <c:v>25.4</c:v>
                </c:pt>
                <c:pt idx="122">
                  <c:v>58.5</c:v>
                </c:pt>
                <c:pt idx="123">
                  <c:v>45.6</c:v>
                </c:pt>
                <c:pt idx="124">
                  <c:v>22</c:v>
                </c:pt>
                <c:pt idx="125">
                  <c:v>21.3</c:v>
                </c:pt>
                <c:pt idx="126">
                  <c:v>33.299999999999997</c:v>
                </c:pt>
                <c:pt idx="127">
                  <c:v>20.7</c:v>
                </c:pt>
                <c:pt idx="128">
                  <c:v>23</c:v>
                </c:pt>
                <c:pt idx="129">
                  <c:v>49.7</c:v>
                </c:pt>
                <c:pt idx="130">
                  <c:v>53.8</c:v>
                </c:pt>
                <c:pt idx="131">
                  <c:v>95.5</c:v>
                </c:pt>
                <c:pt idx="132">
                  <c:v>53.8</c:v>
                </c:pt>
                <c:pt idx="133">
                  <c:v>57.2</c:v>
                </c:pt>
                <c:pt idx="134">
                  <c:v>40.4</c:v>
                </c:pt>
                <c:pt idx="135">
                  <c:v>77.8</c:v>
                </c:pt>
                <c:pt idx="136">
                  <c:v>78.7</c:v>
                </c:pt>
                <c:pt idx="137">
                  <c:v>84.1</c:v>
                </c:pt>
                <c:pt idx="138">
                  <c:v>80.099999999999994</c:v>
                </c:pt>
                <c:pt idx="139">
                  <c:v>63.9</c:v>
                </c:pt>
                <c:pt idx="140">
                  <c:v>49.1</c:v>
                </c:pt>
                <c:pt idx="141">
                  <c:v>44.2</c:v>
                </c:pt>
                <c:pt idx="142">
                  <c:v>37</c:v>
                </c:pt>
                <c:pt idx="143">
                  <c:v>40.4</c:v>
                </c:pt>
                <c:pt idx="144">
                  <c:v>31.6</c:v>
                </c:pt>
                <c:pt idx="145">
                  <c:v>59.7</c:v>
                </c:pt>
                <c:pt idx="146">
                  <c:v>44.8</c:v>
                </c:pt>
                <c:pt idx="147">
                  <c:v>35.299999999999997</c:v>
                </c:pt>
                <c:pt idx="148">
                  <c:v>47.7</c:v>
                </c:pt>
                <c:pt idx="149">
                  <c:v>27.3</c:v>
                </c:pt>
                <c:pt idx="150">
                  <c:v>28.1</c:v>
                </c:pt>
                <c:pt idx="151">
                  <c:v>42</c:v>
                </c:pt>
                <c:pt idx="152">
                  <c:v>32.9</c:v>
                </c:pt>
                <c:pt idx="153">
                  <c:v>32.799999999999997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7168"/>
        <c:axId val="41054592"/>
      </c:lineChart>
      <c:catAx>
        <c:axId val="41047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54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5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47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98864384266512"/>
          <c:y val="0.74748248696350739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4.2999999999999997E-2</c:v>
                </c:pt>
                <c:pt idx="1">
                  <c:v>4.7E-2</c:v>
                </c:pt>
                <c:pt idx="2">
                  <c:v>5.8999999999999997E-2</c:v>
                </c:pt>
                <c:pt idx="3">
                  <c:v>7.1999999999999995E-2</c:v>
                </c:pt>
                <c:pt idx="4">
                  <c:v>7.0000000000000007E-2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7.3999999999999996E-2</c:v>
                </c:pt>
                <c:pt idx="8">
                  <c:v>7.6999999999999999E-2</c:v>
                </c:pt>
                <c:pt idx="9">
                  <c:v>6.7000000000000004E-2</c:v>
                </c:pt>
                <c:pt idx="10">
                  <c:v>6.4000000000000001E-2</c:v>
                </c:pt>
                <c:pt idx="11">
                  <c:v>5.5E-2</c:v>
                </c:pt>
                <c:pt idx="12">
                  <c:v>6.4000000000000001E-2</c:v>
                </c:pt>
                <c:pt idx="13">
                  <c:v>9.7000000000000003E-2</c:v>
                </c:pt>
                <c:pt idx="14">
                  <c:v>0.115</c:v>
                </c:pt>
                <c:pt idx="15">
                  <c:v>7.2999999999999995E-2</c:v>
                </c:pt>
                <c:pt idx="16">
                  <c:v>4.2000000000000003E-2</c:v>
                </c:pt>
                <c:pt idx="17">
                  <c:v>3.9E-2</c:v>
                </c:pt>
                <c:pt idx="18">
                  <c:v>3.7999999999999999E-2</c:v>
                </c:pt>
                <c:pt idx="19">
                  <c:v>4.1000000000000002E-2</c:v>
                </c:pt>
                <c:pt idx="20">
                  <c:v>0.06</c:v>
                </c:pt>
                <c:pt idx="21">
                  <c:v>0.06</c:v>
                </c:pt>
                <c:pt idx="22">
                  <c:v>6.2E-2</c:v>
                </c:pt>
                <c:pt idx="23">
                  <c:v>0.04</c:v>
                </c:pt>
                <c:pt idx="24">
                  <c:v>2.8000000000000001E-2</c:v>
                </c:pt>
                <c:pt idx="25">
                  <c:v>5.1999999999999998E-2</c:v>
                </c:pt>
                <c:pt idx="26">
                  <c:v>7.8E-2</c:v>
                </c:pt>
                <c:pt idx="27">
                  <c:v>0.09</c:v>
                </c:pt>
                <c:pt idx="28">
                  <c:v>0.10100000000000001</c:v>
                </c:pt>
                <c:pt idx="29">
                  <c:v>9.1999999999999998E-2</c:v>
                </c:pt>
                <c:pt idx="30">
                  <c:v>6.4000000000000001E-2</c:v>
                </c:pt>
                <c:pt idx="31">
                  <c:v>4.8000000000000001E-2</c:v>
                </c:pt>
                <c:pt idx="32">
                  <c:v>3.1E-2</c:v>
                </c:pt>
                <c:pt idx="33">
                  <c:v>3.5000000000000003E-2</c:v>
                </c:pt>
                <c:pt idx="34">
                  <c:v>0.03</c:v>
                </c:pt>
                <c:pt idx="35">
                  <c:v>-1E-3</c:v>
                </c:pt>
                <c:pt idx="36">
                  <c:v>1.9E-2</c:v>
                </c:pt>
                <c:pt idx="37">
                  <c:v>-0.01</c:v>
                </c:pt>
                <c:pt idx="38">
                  <c:v>-5.7000000000000002E-2</c:v>
                </c:pt>
                <c:pt idx="39">
                  <c:v>-0.10100000000000001</c:v>
                </c:pt>
                <c:pt idx="40">
                  <c:v>-0.14399999999999999</c:v>
                </c:pt>
                <c:pt idx="41">
                  <c:v>-0.17499999999999999</c:v>
                </c:pt>
                <c:pt idx="42">
                  <c:v>-0.2</c:v>
                </c:pt>
                <c:pt idx="43">
                  <c:v>-0.217</c:v>
                </c:pt>
                <c:pt idx="44">
                  <c:v>-0.214</c:v>
                </c:pt>
                <c:pt idx="45">
                  <c:v>-0.20100000000000001</c:v>
                </c:pt>
                <c:pt idx="46">
                  <c:v>-0.17499999999999999</c:v>
                </c:pt>
                <c:pt idx="47">
                  <c:v>-0.15</c:v>
                </c:pt>
                <c:pt idx="48">
                  <c:v>-0.127</c:v>
                </c:pt>
                <c:pt idx="49">
                  <c:v>-9.2999999999999999E-2</c:v>
                </c:pt>
                <c:pt idx="50">
                  <c:v>-7.4999999999999997E-2</c:v>
                </c:pt>
                <c:pt idx="51">
                  <c:v>-5.6000000000000001E-2</c:v>
                </c:pt>
                <c:pt idx="52">
                  <c:v>-4.2999999999999997E-2</c:v>
                </c:pt>
                <c:pt idx="53">
                  <c:v>-2.1000000000000001E-2</c:v>
                </c:pt>
                <c:pt idx="54">
                  <c:v>-2.4E-2</c:v>
                </c:pt>
                <c:pt idx="55">
                  <c:v>-1.2E-2</c:v>
                </c:pt>
                <c:pt idx="56">
                  <c:v>0.01</c:v>
                </c:pt>
                <c:pt idx="57">
                  <c:v>3.5000000000000003E-2</c:v>
                </c:pt>
                <c:pt idx="58">
                  <c:v>6.4000000000000001E-2</c:v>
                </c:pt>
                <c:pt idx="59">
                  <c:v>6.8000000000000005E-2</c:v>
                </c:pt>
                <c:pt idx="60">
                  <c:v>7.0999999999999994E-2</c:v>
                </c:pt>
                <c:pt idx="61">
                  <c:v>4.3999999999999997E-2</c:v>
                </c:pt>
                <c:pt idx="62">
                  <c:v>4.8000000000000001E-2</c:v>
                </c:pt>
                <c:pt idx="63">
                  <c:v>4.5999999999999999E-2</c:v>
                </c:pt>
                <c:pt idx="64">
                  <c:v>5.7000000000000002E-2</c:v>
                </c:pt>
                <c:pt idx="65">
                  <c:v>6.9000000000000006E-2</c:v>
                </c:pt>
                <c:pt idx="66">
                  <c:v>9.4E-2</c:v>
                </c:pt>
                <c:pt idx="67">
                  <c:v>9.2999999999999999E-2</c:v>
                </c:pt>
                <c:pt idx="68">
                  <c:v>5.8999999999999997E-2</c:v>
                </c:pt>
                <c:pt idx="69">
                  <c:v>6.5000000000000002E-2</c:v>
                </c:pt>
                <c:pt idx="70">
                  <c:v>8.1000000000000003E-2</c:v>
                </c:pt>
                <c:pt idx="71">
                  <c:v>6.6000000000000003E-2</c:v>
                </c:pt>
                <c:pt idx="72">
                  <c:v>4.5999999999999999E-2</c:v>
                </c:pt>
                <c:pt idx="73">
                  <c:v>5.8000000000000003E-2</c:v>
                </c:pt>
                <c:pt idx="74">
                  <c:v>5.3999999999999999E-2</c:v>
                </c:pt>
                <c:pt idx="75">
                  <c:v>4.7E-2</c:v>
                </c:pt>
                <c:pt idx="76">
                  <c:v>4.4999999999999998E-2</c:v>
                </c:pt>
                <c:pt idx="77">
                  <c:v>5.8000000000000003E-2</c:v>
                </c:pt>
                <c:pt idx="78">
                  <c:v>6.3E-2</c:v>
                </c:pt>
                <c:pt idx="79">
                  <c:v>6.7000000000000004E-2</c:v>
                </c:pt>
                <c:pt idx="80">
                  <c:v>5.3999999999999999E-2</c:v>
                </c:pt>
                <c:pt idx="81">
                  <c:v>7.2999999999999995E-2</c:v>
                </c:pt>
                <c:pt idx="82">
                  <c:v>0.108</c:v>
                </c:pt>
                <c:pt idx="83">
                  <c:v>0.124</c:v>
                </c:pt>
                <c:pt idx="84">
                  <c:v>0.11</c:v>
                </c:pt>
                <c:pt idx="85">
                  <c:v>0.10299999999999999</c:v>
                </c:pt>
                <c:pt idx="86">
                  <c:v>8.3000000000000004E-2</c:v>
                </c:pt>
                <c:pt idx="87">
                  <c:v>6.8000000000000005E-2</c:v>
                </c:pt>
                <c:pt idx="88">
                  <c:v>6.8000000000000005E-2</c:v>
                </c:pt>
                <c:pt idx="89">
                  <c:v>6.7000000000000004E-2</c:v>
                </c:pt>
                <c:pt idx="90">
                  <c:v>6.4000000000000001E-2</c:v>
                </c:pt>
                <c:pt idx="91">
                  <c:v>5.6000000000000001E-2</c:v>
                </c:pt>
                <c:pt idx="92">
                  <c:v>5.0999999999999997E-2</c:v>
                </c:pt>
                <c:pt idx="93">
                  <c:v>7.0999999999999994E-2</c:v>
                </c:pt>
                <c:pt idx="94">
                  <c:v>0.08</c:v>
                </c:pt>
                <c:pt idx="95">
                  <c:v>8.7999999999999995E-2</c:v>
                </c:pt>
                <c:pt idx="96">
                  <c:v>9.8000000000000004E-2</c:v>
                </c:pt>
                <c:pt idx="97">
                  <c:v>5.0999999999999997E-2</c:v>
                </c:pt>
                <c:pt idx="98">
                  <c:v>5.7000000000000002E-2</c:v>
                </c:pt>
                <c:pt idx="99">
                  <c:v>7.3999999999999996E-2</c:v>
                </c:pt>
                <c:pt idx="100">
                  <c:v>6.2E-2</c:v>
                </c:pt>
                <c:pt idx="101">
                  <c:v>4.1000000000000002E-2</c:v>
                </c:pt>
                <c:pt idx="102">
                  <c:v>4.9000000000000002E-2</c:v>
                </c:pt>
                <c:pt idx="103">
                  <c:v>6.4000000000000001E-2</c:v>
                </c:pt>
                <c:pt idx="104">
                  <c:v>8.7999999999999995E-2</c:v>
                </c:pt>
                <c:pt idx="105">
                  <c:v>5.6000000000000001E-2</c:v>
                </c:pt>
                <c:pt idx="106">
                  <c:v>5.6000000000000001E-2</c:v>
                </c:pt>
                <c:pt idx="107">
                  <c:v>6.7000000000000004E-2</c:v>
                </c:pt>
                <c:pt idx="108">
                  <c:v>7.9000000000000001E-2</c:v>
                </c:pt>
                <c:pt idx="109">
                  <c:v>4.8000000000000001E-2</c:v>
                </c:pt>
                <c:pt idx="110">
                  <c:v>3.7999999999999999E-2</c:v>
                </c:pt>
                <c:pt idx="111">
                  <c:v>4.7E-2</c:v>
                </c:pt>
                <c:pt idx="112">
                  <c:v>6.2E-2</c:v>
                </c:pt>
                <c:pt idx="113">
                  <c:v>7.1999999999999995E-2</c:v>
                </c:pt>
                <c:pt idx="114">
                  <c:v>8.5000000000000006E-2</c:v>
                </c:pt>
                <c:pt idx="115">
                  <c:v>8.2000000000000003E-2</c:v>
                </c:pt>
                <c:pt idx="116">
                  <c:v>8.5999999999999993E-2</c:v>
                </c:pt>
                <c:pt idx="117">
                  <c:v>8.2000000000000003E-2</c:v>
                </c:pt>
                <c:pt idx="118">
                  <c:v>7.1999999999999995E-2</c:v>
                </c:pt>
                <c:pt idx="119">
                  <c:v>7.0000000000000007E-2</c:v>
                </c:pt>
                <c:pt idx="120">
                  <c:v>7.5999999999999998E-2</c:v>
                </c:pt>
                <c:pt idx="121">
                  <c:v>7.6999999999999999E-2</c:v>
                </c:pt>
                <c:pt idx="122">
                  <c:v>8.2000000000000003E-2</c:v>
                </c:pt>
                <c:pt idx="123">
                  <c:v>5.0999999999999997E-2</c:v>
                </c:pt>
                <c:pt idx="124">
                  <c:v>5.8999999999999997E-2</c:v>
                </c:pt>
                <c:pt idx="125">
                  <c:v>7.6999999999999999E-2</c:v>
                </c:pt>
                <c:pt idx="126">
                  <c:v>8.4000000000000005E-2</c:v>
                </c:pt>
                <c:pt idx="127">
                  <c:v>6.3E-2</c:v>
                </c:pt>
                <c:pt idx="128">
                  <c:v>7.2999999999999995E-2</c:v>
                </c:pt>
                <c:pt idx="129">
                  <c:v>8.8999999999999996E-2</c:v>
                </c:pt>
                <c:pt idx="130">
                  <c:v>7.4999999999999997E-2</c:v>
                </c:pt>
                <c:pt idx="131">
                  <c:v>9.5000000000000001E-2</c:v>
                </c:pt>
                <c:pt idx="132">
                  <c:v>8.4000000000000005E-2</c:v>
                </c:pt>
                <c:pt idx="133">
                  <c:v>0.09</c:v>
                </c:pt>
                <c:pt idx="134">
                  <c:v>6.8000000000000005E-2</c:v>
                </c:pt>
                <c:pt idx="135">
                  <c:v>7.8E-2</c:v>
                </c:pt>
                <c:pt idx="136">
                  <c:v>9.2999999999999999E-2</c:v>
                </c:pt>
                <c:pt idx="137">
                  <c:v>7.0999999999999994E-2</c:v>
                </c:pt>
                <c:pt idx="138">
                  <c:v>7.9000000000000001E-2</c:v>
                </c:pt>
                <c:pt idx="139">
                  <c:v>0.08</c:v>
                </c:pt>
                <c:pt idx="140">
                  <c:v>0.08</c:v>
                </c:pt>
                <c:pt idx="141">
                  <c:v>8.3000000000000004E-2</c:v>
                </c:pt>
                <c:pt idx="142">
                  <c:v>8.3000000000000004E-2</c:v>
                </c:pt>
                <c:pt idx="143">
                  <c:v>0.08</c:v>
                </c:pt>
                <c:pt idx="144">
                  <c:v>8.5000000000000006E-2</c:v>
                </c:pt>
                <c:pt idx="145">
                  <c:v>1.4850000000000001</c:v>
                </c:pt>
                <c:pt idx="146">
                  <c:v>7.3120000000000003</c:v>
                </c:pt>
                <c:pt idx="147">
                  <c:v>13.28</c:v>
                </c:pt>
                <c:pt idx="148">
                  <c:v>7.7279999999999998</c:v>
                </c:pt>
                <c:pt idx="149">
                  <c:v>10.79</c:v>
                </c:pt>
                <c:pt idx="150">
                  <c:v>9.73</c:v>
                </c:pt>
                <c:pt idx="151">
                  <c:v>3.7810000000000001</c:v>
                </c:pt>
                <c:pt idx="152">
                  <c:v>5.5090000000000003</c:v>
                </c:pt>
                <c:pt idx="153">
                  <c:v>8.4600000000000009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-0.55100000000000005</c:v>
                </c:pt>
                <c:pt idx="1">
                  <c:v>-0.62</c:v>
                </c:pt>
                <c:pt idx="2">
                  <c:v>-0.68899999999999995</c:v>
                </c:pt>
                <c:pt idx="3">
                  <c:v>-0.69299999999999995</c:v>
                </c:pt>
                <c:pt idx="4">
                  <c:v>-0.626</c:v>
                </c:pt>
                <c:pt idx="5">
                  <c:v>-0.55300000000000005</c:v>
                </c:pt>
                <c:pt idx="6">
                  <c:v>-0.52700000000000002</c:v>
                </c:pt>
                <c:pt idx="7">
                  <c:v>-0.53100000000000003</c:v>
                </c:pt>
                <c:pt idx="8">
                  <c:v>-0.497</c:v>
                </c:pt>
                <c:pt idx="9">
                  <c:v>-0.48199999999999998</c:v>
                </c:pt>
                <c:pt idx="10">
                  <c:v>-0.48499999999999999</c:v>
                </c:pt>
                <c:pt idx="11">
                  <c:v>-0.47499999999999998</c:v>
                </c:pt>
                <c:pt idx="12">
                  <c:v>-0.46800000000000003</c:v>
                </c:pt>
                <c:pt idx="13">
                  <c:v>-0.45500000000000002</c:v>
                </c:pt>
                <c:pt idx="14">
                  <c:v>-0.40899999999999997</c:v>
                </c:pt>
                <c:pt idx="15">
                  <c:v>-0.316</c:v>
                </c:pt>
                <c:pt idx="16">
                  <c:v>-0.27500000000000002</c:v>
                </c:pt>
                <c:pt idx="17">
                  <c:v>-0.43</c:v>
                </c:pt>
                <c:pt idx="18">
                  <c:v>-0.63300000000000001</c:v>
                </c:pt>
                <c:pt idx="19">
                  <c:v>-0.82399999999999995</c:v>
                </c:pt>
                <c:pt idx="20">
                  <c:v>-0.99399999999999999</c:v>
                </c:pt>
                <c:pt idx="21">
                  <c:v>-1.081</c:v>
                </c:pt>
                <c:pt idx="22">
                  <c:v>-1.1000000000000001</c:v>
                </c:pt>
                <c:pt idx="23">
                  <c:v>-1.06</c:v>
                </c:pt>
                <c:pt idx="24">
                  <c:v>-1.024</c:v>
                </c:pt>
                <c:pt idx="25">
                  <c:v>-1.0449999999999999</c:v>
                </c:pt>
                <c:pt idx="26">
                  <c:v>-1.0329999999999999</c:v>
                </c:pt>
                <c:pt idx="27">
                  <c:v>-0.92800000000000005</c:v>
                </c:pt>
                <c:pt idx="28">
                  <c:v>-0.76800000000000002</c:v>
                </c:pt>
                <c:pt idx="29">
                  <c:v>-0.63600000000000001</c:v>
                </c:pt>
                <c:pt idx="30">
                  <c:v>-0.59399999999999997</c:v>
                </c:pt>
                <c:pt idx="31">
                  <c:v>-0.58599999999999997</c:v>
                </c:pt>
                <c:pt idx="32">
                  <c:v>-0.65200000000000002</c:v>
                </c:pt>
                <c:pt idx="33">
                  <c:v>-0.77700000000000002</c:v>
                </c:pt>
                <c:pt idx="34">
                  <c:v>-0.89100000000000001</c:v>
                </c:pt>
                <c:pt idx="35">
                  <c:v>-0.998</c:v>
                </c:pt>
                <c:pt idx="36">
                  <c:v>-1.099</c:v>
                </c:pt>
                <c:pt idx="37">
                  <c:v>-1.2250000000000001</c:v>
                </c:pt>
                <c:pt idx="38">
                  <c:v>-1.3080000000000001</c:v>
                </c:pt>
                <c:pt idx="39">
                  <c:v>-1.3740000000000001</c:v>
                </c:pt>
                <c:pt idx="40">
                  <c:v>-1.44</c:v>
                </c:pt>
                <c:pt idx="41">
                  <c:v>-1.5249999999999999</c:v>
                </c:pt>
                <c:pt idx="42">
                  <c:v>-1.651</c:v>
                </c:pt>
                <c:pt idx="43">
                  <c:v>-1.7849999999999999</c:v>
                </c:pt>
                <c:pt idx="44">
                  <c:v>-1.847</c:v>
                </c:pt>
                <c:pt idx="45">
                  <c:v>-1.762</c:v>
                </c:pt>
                <c:pt idx="46">
                  <c:v>-1.5780000000000001</c:v>
                </c:pt>
                <c:pt idx="47">
                  <c:v>-1.383</c:v>
                </c:pt>
                <c:pt idx="48">
                  <c:v>-1.204</c:v>
                </c:pt>
                <c:pt idx="49">
                  <c:v>-1.05</c:v>
                </c:pt>
                <c:pt idx="50">
                  <c:v>-0.93400000000000005</c:v>
                </c:pt>
                <c:pt idx="51">
                  <c:v>-0.82199999999999995</c:v>
                </c:pt>
                <c:pt idx="52">
                  <c:v>-0.71499999999999997</c:v>
                </c:pt>
                <c:pt idx="53">
                  <c:v>-0.60799999999999998</c:v>
                </c:pt>
                <c:pt idx="54">
                  <c:v>-0.53500000000000003</c:v>
                </c:pt>
                <c:pt idx="55">
                  <c:v>-0.46200000000000002</c:v>
                </c:pt>
                <c:pt idx="56">
                  <c:v>-0.41199999999999998</c:v>
                </c:pt>
                <c:pt idx="57">
                  <c:v>-0.371</c:v>
                </c:pt>
                <c:pt idx="58">
                  <c:v>-0.316</c:v>
                </c:pt>
                <c:pt idx="59">
                  <c:v>-0.221</c:v>
                </c:pt>
                <c:pt idx="60">
                  <c:v>-7.5999999999999998E-2</c:v>
                </c:pt>
                <c:pt idx="61">
                  <c:v>-5.2999999999999999E-2</c:v>
                </c:pt>
                <c:pt idx="62">
                  <c:v>-4.2999999999999997E-2</c:v>
                </c:pt>
                <c:pt idx="63">
                  <c:v>-9.5000000000000001E-2</c:v>
                </c:pt>
                <c:pt idx="64">
                  <c:v>-0.16300000000000001</c:v>
                </c:pt>
                <c:pt idx="65">
                  <c:v>-0.218</c:v>
                </c:pt>
                <c:pt idx="66">
                  <c:v>-0.248</c:v>
                </c:pt>
                <c:pt idx="67">
                  <c:v>-0.27700000000000002</c:v>
                </c:pt>
                <c:pt idx="68">
                  <c:v>-0.30199999999999999</c:v>
                </c:pt>
                <c:pt idx="69">
                  <c:v>-0.309</c:v>
                </c:pt>
                <c:pt idx="70">
                  <c:v>-0.35199999999999998</c:v>
                </c:pt>
                <c:pt idx="71">
                  <c:v>-0.41</c:v>
                </c:pt>
                <c:pt idx="72">
                  <c:v>-0.42899999999999999</c:v>
                </c:pt>
                <c:pt idx="73">
                  <c:v>-0.40100000000000002</c:v>
                </c:pt>
                <c:pt idx="74">
                  <c:v>-0.40500000000000003</c:v>
                </c:pt>
                <c:pt idx="75">
                  <c:v>-0.41599999999999998</c:v>
                </c:pt>
                <c:pt idx="76">
                  <c:v>-0.41099999999999998</c:v>
                </c:pt>
                <c:pt idx="77">
                  <c:v>-0.39600000000000002</c:v>
                </c:pt>
                <c:pt idx="78">
                  <c:v>-0.39300000000000002</c:v>
                </c:pt>
                <c:pt idx="79">
                  <c:v>-0.39500000000000002</c:v>
                </c:pt>
                <c:pt idx="80">
                  <c:v>-0.39900000000000002</c:v>
                </c:pt>
                <c:pt idx="81">
                  <c:v>-0.36499999999999999</c:v>
                </c:pt>
                <c:pt idx="82">
                  <c:v>-0.30599999999999999</c:v>
                </c:pt>
                <c:pt idx="83">
                  <c:v>-0.245</c:v>
                </c:pt>
                <c:pt idx="84">
                  <c:v>-5.5E-2</c:v>
                </c:pt>
                <c:pt idx="85">
                  <c:v>4.5999999999999999E-2</c:v>
                </c:pt>
                <c:pt idx="86">
                  <c:v>3.1E-2</c:v>
                </c:pt>
                <c:pt idx="87">
                  <c:v>1.6E-2</c:v>
                </c:pt>
                <c:pt idx="88">
                  <c:v>1.7000000000000001E-2</c:v>
                </c:pt>
                <c:pt idx="89">
                  <c:v>1.4999999999999999E-2</c:v>
                </c:pt>
                <c:pt idx="90">
                  <c:v>1.2E-2</c:v>
                </c:pt>
                <c:pt idx="91">
                  <c:v>8.0000000000000002E-3</c:v>
                </c:pt>
                <c:pt idx="92">
                  <c:v>6.0000000000000001E-3</c:v>
                </c:pt>
                <c:pt idx="93">
                  <c:v>2.3E-2</c:v>
                </c:pt>
                <c:pt idx="94">
                  <c:v>3.2000000000000001E-2</c:v>
                </c:pt>
                <c:pt idx="95">
                  <c:v>4.2999999999999997E-2</c:v>
                </c:pt>
                <c:pt idx="96">
                  <c:v>0.05</c:v>
                </c:pt>
                <c:pt idx="97">
                  <c:v>0.01</c:v>
                </c:pt>
                <c:pt idx="98">
                  <c:v>1.9E-2</c:v>
                </c:pt>
                <c:pt idx="99">
                  <c:v>3.1E-2</c:v>
                </c:pt>
                <c:pt idx="100">
                  <c:v>2.3E-2</c:v>
                </c:pt>
                <c:pt idx="101">
                  <c:v>0</c:v>
                </c:pt>
                <c:pt idx="102">
                  <c:v>8.0000000000000002E-3</c:v>
                </c:pt>
                <c:pt idx="103">
                  <c:v>2.1999999999999999E-2</c:v>
                </c:pt>
                <c:pt idx="104">
                  <c:v>4.3999999999999997E-2</c:v>
                </c:pt>
                <c:pt idx="105">
                  <c:v>1.7000000000000001E-2</c:v>
                </c:pt>
                <c:pt idx="106">
                  <c:v>1.7000000000000001E-2</c:v>
                </c:pt>
                <c:pt idx="107">
                  <c:v>2.7E-2</c:v>
                </c:pt>
                <c:pt idx="108">
                  <c:v>3.7999999999999999E-2</c:v>
                </c:pt>
                <c:pt idx="109">
                  <c:v>8.0000000000000002E-3</c:v>
                </c:pt>
                <c:pt idx="110">
                  <c:v>3.0000000000000001E-3</c:v>
                </c:pt>
                <c:pt idx="111">
                  <c:v>8.0000000000000002E-3</c:v>
                </c:pt>
                <c:pt idx="112">
                  <c:v>2.1000000000000001E-2</c:v>
                </c:pt>
                <c:pt idx="113">
                  <c:v>2.8000000000000001E-2</c:v>
                </c:pt>
                <c:pt idx="114">
                  <c:v>4.2999999999999997E-2</c:v>
                </c:pt>
                <c:pt idx="115">
                  <c:v>4.5999999999999999E-2</c:v>
                </c:pt>
                <c:pt idx="116">
                  <c:v>4.8000000000000001E-2</c:v>
                </c:pt>
                <c:pt idx="117">
                  <c:v>4.2000000000000003E-2</c:v>
                </c:pt>
                <c:pt idx="118">
                  <c:v>3.1E-2</c:v>
                </c:pt>
                <c:pt idx="119">
                  <c:v>0.03</c:v>
                </c:pt>
                <c:pt idx="120">
                  <c:v>3.9E-2</c:v>
                </c:pt>
                <c:pt idx="121">
                  <c:v>4.2000000000000003E-2</c:v>
                </c:pt>
                <c:pt idx="122">
                  <c:v>4.4999999999999998E-2</c:v>
                </c:pt>
                <c:pt idx="123">
                  <c:v>1.6E-2</c:v>
                </c:pt>
                <c:pt idx="124">
                  <c:v>2.1000000000000001E-2</c:v>
                </c:pt>
                <c:pt idx="125">
                  <c:v>3.7999999999999999E-2</c:v>
                </c:pt>
                <c:pt idx="126">
                  <c:v>4.7E-2</c:v>
                </c:pt>
                <c:pt idx="127">
                  <c:v>2.8000000000000001E-2</c:v>
                </c:pt>
                <c:pt idx="128">
                  <c:v>3.5999999999999997E-2</c:v>
                </c:pt>
                <c:pt idx="129">
                  <c:v>5.0999999999999997E-2</c:v>
                </c:pt>
                <c:pt idx="130">
                  <c:v>3.6999999999999998E-2</c:v>
                </c:pt>
                <c:pt idx="131">
                  <c:v>4.5999999999999999E-2</c:v>
                </c:pt>
                <c:pt idx="132">
                  <c:v>3.7999999999999999E-2</c:v>
                </c:pt>
                <c:pt idx="133">
                  <c:v>4.4999999999999998E-2</c:v>
                </c:pt>
                <c:pt idx="134">
                  <c:v>2.5000000000000001E-2</c:v>
                </c:pt>
                <c:pt idx="135">
                  <c:v>3.3000000000000002E-2</c:v>
                </c:pt>
                <c:pt idx="136">
                  <c:v>0.05</c:v>
                </c:pt>
                <c:pt idx="137">
                  <c:v>2.8000000000000001E-2</c:v>
                </c:pt>
                <c:pt idx="138">
                  <c:v>3.3000000000000002E-2</c:v>
                </c:pt>
                <c:pt idx="139">
                  <c:v>3.2000000000000001E-2</c:v>
                </c:pt>
                <c:pt idx="140">
                  <c:v>3.2000000000000001E-2</c:v>
                </c:pt>
                <c:pt idx="141">
                  <c:v>3.7999999999999999E-2</c:v>
                </c:pt>
                <c:pt idx="142">
                  <c:v>4.9000000000000002E-2</c:v>
                </c:pt>
                <c:pt idx="143">
                  <c:v>0.14899999999999999</c:v>
                </c:pt>
                <c:pt idx="144">
                  <c:v>5.9779999999999998</c:v>
                </c:pt>
                <c:pt idx="145">
                  <c:v>4.5250000000000004</c:v>
                </c:pt>
                <c:pt idx="146">
                  <c:v>7.149</c:v>
                </c:pt>
                <c:pt idx="147">
                  <c:v>12.86</c:v>
                </c:pt>
                <c:pt idx="148">
                  <c:v>7.5990000000000002</c:v>
                </c:pt>
                <c:pt idx="149">
                  <c:v>10.25</c:v>
                </c:pt>
                <c:pt idx="150">
                  <c:v>9.11</c:v>
                </c:pt>
                <c:pt idx="151">
                  <c:v>2.875</c:v>
                </c:pt>
                <c:pt idx="152">
                  <c:v>4.6289999999999996</c:v>
                </c:pt>
                <c:pt idx="153">
                  <c:v>7.6989999999999998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0.38200000000000001</c:v>
                </c:pt>
                <c:pt idx="1">
                  <c:v>0.38100000000000001</c:v>
                </c:pt>
                <c:pt idx="2">
                  <c:v>0.39300000000000002</c:v>
                </c:pt>
                <c:pt idx="3">
                  <c:v>0.4</c:v>
                </c:pt>
                <c:pt idx="4">
                  <c:v>0.39700000000000002</c:v>
                </c:pt>
                <c:pt idx="5">
                  <c:v>0.39600000000000002</c:v>
                </c:pt>
                <c:pt idx="6">
                  <c:v>0.39300000000000002</c:v>
                </c:pt>
                <c:pt idx="7">
                  <c:v>0.39300000000000002</c:v>
                </c:pt>
                <c:pt idx="8">
                  <c:v>0.38900000000000001</c:v>
                </c:pt>
                <c:pt idx="9">
                  <c:v>0.375</c:v>
                </c:pt>
                <c:pt idx="10">
                  <c:v>0.37</c:v>
                </c:pt>
                <c:pt idx="11">
                  <c:v>0.35799999999999998</c:v>
                </c:pt>
                <c:pt idx="12">
                  <c:v>0.36499999999999999</c:v>
                </c:pt>
                <c:pt idx="13">
                  <c:v>0.4</c:v>
                </c:pt>
                <c:pt idx="14">
                  <c:v>0.40799999999999997</c:v>
                </c:pt>
                <c:pt idx="15">
                  <c:v>0.35799999999999998</c:v>
                </c:pt>
                <c:pt idx="16">
                  <c:v>0.32900000000000001</c:v>
                </c:pt>
                <c:pt idx="17">
                  <c:v>0.318</c:v>
                </c:pt>
                <c:pt idx="18">
                  <c:v>0.316</c:v>
                </c:pt>
                <c:pt idx="19">
                  <c:v>0.32100000000000001</c:v>
                </c:pt>
                <c:pt idx="20">
                  <c:v>0.33300000000000002</c:v>
                </c:pt>
                <c:pt idx="21">
                  <c:v>0.309</c:v>
                </c:pt>
                <c:pt idx="22">
                  <c:v>0.28599999999999998</c:v>
                </c:pt>
                <c:pt idx="23">
                  <c:v>0.245</c:v>
                </c:pt>
                <c:pt idx="24">
                  <c:v>0.222</c:v>
                </c:pt>
                <c:pt idx="25">
                  <c:v>0.23300000000000001</c:v>
                </c:pt>
                <c:pt idx="26">
                  <c:v>0.24</c:v>
                </c:pt>
                <c:pt idx="27">
                  <c:v>0.23899999999999999</c:v>
                </c:pt>
                <c:pt idx="28">
                  <c:v>0.23599999999999999</c:v>
                </c:pt>
                <c:pt idx="29">
                  <c:v>0.23499999999999999</c:v>
                </c:pt>
                <c:pt idx="30">
                  <c:v>0.22500000000000001</c:v>
                </c:pt>
                <c:pt idx="31">
                  <c:v>0.20899999999999999</c:v>
                </c:pt>
                <c:pt idx="32">
                  <c:v>0.19800000000000001</c:v>
                </c:pt>
                <c:pt idx="33">
                  <c:v>0.2</c:v>
                </c:pt>
                <c:pt idx="34">
                  <c:v>0.182</c:v>
                </c:pt>
                <c:pt idx="35">
                  <c:v>0.14000000000000001</c:v>
                </c:pt>
                <c:pt idx="36">
                  <c:v>0.14899999999999999</c:v>
                </c:pt>
                <c:pt idx="37">
                  <c:v>0.127</c:v>
                </c:pt>
                <c:pt idx="38">
                  <c:v>0.10199999999999999</c:v>
                </c:pt>
                <c:pt idx="39">
                  <c:v>6.7000000000000004E-2</c:v>
                </c:pt>
                <c:pt idx="40">
                  <c:v>2.8000000000000001E-2</c:v>
                </c:pt>
                <c:pt idx="41">
                  <c:v>5.0000000000000001E-3</c:v>
                </c:pt>
                <c:pt idx="42">
                  <c:v>-8.0000000000000002E-3</c:v>
                </c:pt>
                <c:pt idx="43">
                  <c:v>-0.02</c:v>
                </c:pt>
                <c:pt idx="44">
                  <c:v>-1.2999999999999999E-2</c:v>
                </c:pt>
                <c:pt idx="45">
                  <c:v>-1.2999999999999999E-2</c:v>
                </c:pt>
                <c:pt idx="46">
                  <c:v>-8.9999999999999993E-3</c:v>
                </c:pt>
                <c:pt idx="47">
                  <c:v>-5.0000000000000001E-3</c:v>
                </c:pt>
                <c:pt idx="48">
                  <c:v>0</c:v>
                </c:pt>
                <c:pt idx="49">
                  <c:v>1.4999999999999999E-2</c:v>
                </c:pt>
                <c:pt idx="50">
                  <c:v>2.3E-2</c:v>
                </c:pt>
                <c:pt idx="51">
                  <c:v>3.3000000000000002E-2</c:v>
                </c:pt>
                <c:pt idx="52">
                  <c:v>4.1000000000000002E-2</c:v>
                </c:pt>
                <c:pt idx="53">
                  <c:v>5.7000000000000002E-2</c:v>
                </c:pt>
                <c:pt idx="54">
                  <c:v>4.4999999999999998E-2</c:v>
                </c:pt>
                <c:pt idx="55">
                  <c:v>5.2999999999999999E-2</c:v>
                </c:pt>
                <c:pt idx="56">
                  <c:v>6.7000000000000004E-2</c:v>
                </c:pt>
                <c:pt idx="57">
                  <c:v>8.6999999999999994E-2</c:v>
                </c:pt>
                <c:pt idx="58">
                  <c:v>0.10199999999999999</c:v>
                </c:pt>
                <c:pt idx="59">
                  <c:v>0.10299999999999999</c:v>
                </c:pt>
                <c:pt idx="60">
                  <c:v>0.112</c:v>
                </c:pt>
                <c:pt idx="61">
                  <c:v>8.6999999999999994E-2</c:v>
                </c:pt>
                <c:pt idx="62">
                  <c:v>9.6000000000000002E-2</c:v>
                </c:pt>
                <c:pt idx="63">
                  <c:v>9.6000000000000002E-2</c:v>
                </c:pt>
                <c:pt idx="64">
                  <c:v>0.107</c:v>
                </c:pt>
                <c:pt idx="65">
                  <c:v>0.12</c:v>
                </c:pt>
                <c:pt idx="66">
                  <c:v>0.14299999999999999</c:v>
                </c:pt>
                <c:pt idx="67">
                  <c:v>0.14399999999999999</c:v>
                </c:pt>
                <c:pt idx="68">
                  <c:v>0.11799999999999999</c:v>
                </c:pt>
                <c:pt idx="69">
                  <c:v>0.13</c:v>
                </c:pt>
                <c:pt idx="70">
                  <c:v>0.151</c:v>
                </c:pt>
                <c:pt idx="71">
                  <c:v>0.14000000000000001</c:v>
                </c:pt>
                <c:pt idx="72">
                  <c:v>0.128</c:v>
                </c:pt>
                <c:pt idx="73">
                  <c:v>0.14699999999999999</c:v>
                </c:pt>
                <c:pt idx="74">
                  <c:v>0.14599999999999999</c:v>
                </c:pt>
                <c:pt idx="75">
                  <c:v>0.14299999999999999</c:v>
                </c:pt>
                <c:pt idx="76">
                  <c:v>0.14499999999999999</c:v>
                </c:pt>
                <c:pt idx="77">
                  <c:v>0.16300000000000001</c:v>
                </c:pt>
                <c:pt idx="78">
                  <c:v>0.17</c:v>
                </c:pt>
                <c:pt idx="79">
                  <c:v>0.17299999999999999</c:v>
                </c:pt>
                <c:pt idx="80">
                  <c:v>0.16600000000000001</c:v>
                </c:pt>
                <c:pt idx="81">
                  <c:v>0.189</c:v>
                </c:pt>
                <c:pt idx="82">
                  <c:v>0.22800000000000001</c:v>
                </c:pt>
                <c:pt idx="83">
                  <c:v>0.218</c:v>
                </c:pt>
                <c:pt idx="84">
                  <c:v>0.2</c:v>
                </c:pt>
                <c:pt idx="85">
                  <c:v>0.192</c:v>
                </c:pt>
                <c:pt idx="86">
                  <c:v>0.20599999999999999</c:v>
                </c:pt>
                <c:pt idx="87">
                  <c:v>0.21199999999999999</c:v>
                </c:pt>
                <c:pt idx="88">
                  <c:v>0.22800000000000001</c:v>
                </c:pt>
                <c:pt idx="89">
                  <c:v>0.23400000000000001</c:v>
                </c:pt>
                <c:pt idx="90">
                  <c:v>0.23599999999999999</c:v>
                </c:pt>
                <c:pt idx="91">
                  <c:v>0.23599999999999999</c:v>
                </c:pt>
                <c:pt idx="92">
                  <c:v>0.23</c:v>
                </c:pt>
                <c:pt idx="93">
                  <c:v>0.247</c:v>
                </c:pt>
                <c:pt idx="94">
                  <c:v>0.25800000000000001</c:v>
                </c:pt>
                <c:pt idx="95">
                  <c:v>0.26900000000000002</c:v>
                </c:pt>
                <c:pt idx="96">
                  <c:v>0.23799999999999999</c:v>
                </c:pt>
                <c:pt idx="97">
                  <c:v>0.19600000000000001</c:v>
                </c:pt>
                <c:pt idx="98">
                  <c:v>0.218</c:v>
                </c:pt>
                <c:pt idx="99">
                  <c:v>0.23799999999999999</c:v>
                </c:pt>
                <c:pt idx="100">
                  <c:v>0.22600000000000001</c:v>
                </c:pt>
                <c:pt idx="101">
                  <c:v>0.20300000000000001</c:v>
                </c:pt>
                <c:pt idx="102">
                  <c:v>0.21299999999999999</c:v>
                </c:pt>
                <c:pt idx="103">
                  <c:v>0.23100000000000001</c:v>
                </c:pt>
                <c:pt idx="104">
                  <c:v>0.24399999999999999</c:v>
                </c:pt>
                <c:pt idx="105">
                  <c:v>0.19600000000000001</c:v>
                </c:pt>
                <c:pt idx="106">
                  <c:v>0.20599999999999999</c:v>
                </c:pt>
                <c:pt idx="107">
                  <c:v>0.222</c:v>
                </c:pt>
                <c:pt idx="108">
                  <c:v>0.21199999999999999</c:v>
                </c:pt>
                <c:pt idx="109">
                  <c:v>0.188</c:v>
                </c:pt>
                <c:pt idx="110">
                  <c:v>0.185</c:v>
                </c:pt>
                <c:pt idx="111">
                  <c:v>0.19900000000000001</c:v>
                </c:pt>
                <c:pt idx="112">
                  <c:v>0.218</c:v>
                </c:pt>
                <c:pt idx="113">
                  <c:v>0.222</c:v>
                </c:pt>
                <c:pt idx="114">
                  <c:v>0.224</c:v>
                </c:pt>
                <c:pt idx="115">
                  <c:v>0.20799999999999999</c:v>
                </c:pt>
                <c:pt idx="116">
                  <c:v>0.20300000000000001</c:v>
                </c:pt>
                <c:pt idx="117">
                  <c:v>0.20300000000000001</c:v>
                </c:pt>
                <c:pt idx="118">
                  <c:v>0.193</c:v>
                </c:pt>
                <c:pt idx="119">
                  <c:v>0.19</c:v>
                </c:pt>
                <c:pt idx="120">
                  <c:v>0.192</c:v>
                </c:pt>
                <c:pt idx="121">
                  <c:v>0.182</c:v>
                </c:pt>
                <c:pt idx="122">
                  <c:v>0.17299999999999999</c:v>
                </c:pt>
                <c:pt idx="123">
                  <c:v>0.16200000000000001</c:v>
                </c:pt>
                <c:pt idx="124">
                  <c:v>0.185</c:v>
                </c:pt>
                <c:pt idx="125">
                  <c:v>0.191</c:v>
                </c:pt>
                <c:pt idx="126">
                  <c:v>0.182</c:v>
                </c:pt>
                <c:pt idx="127">
                  <c:v>0.16200000000000001</c:v>
                </c:pt>
                <c:pt idx="128">
                  <c:v>0.186</c:v>
                </c:pt>
                <c:pt idx="129">
                  <c:v>0.19500000000000001</c:v>
                </c:pt>
                <c:pt idx="130">
                  <c:v>0.185</c:v>
                </c:pt>
                <c:pt idx="131">
                  <c:v>0.20799999999999999</c:v>
                </c:pt>
                <c:pt idx="132">
                  <c:v>0.19600000000000001</c:v>
                </c:pt>
                <c:pt idx="133">
                  <c:v>0.19500000000000001</c:v>
                </c:pt>
                <c:pt idx="134">
                  <c:v>0.182</c:v>
                </c:pt>
                <c:pt idx="135">
                  <c:v>0.193</c:v>
                </c:pt>
                <c:pt idx="136">
                  <c:v>0.20799999999999999</c:v>
                </c:pt>
                <c:pt idx="137">
                  <c:v>0.186</c:v>
                </c:pt>
                <c:pt idx="138">
                  <c:v>0.20200000000000001</c:v>
                </c:pt>
                <c:pt idx="139">
                  <c:v>0.20499999999999999</c:v>
                </c:pt>
                <c:pt idx="140">
                  <c:v>0.20599999999999999</c:v>
                </c:pt>
                <c:pt idx="141">
                  <c:v>0.21099999999999999</c:v>
                </c:pt>
                <c:pt idx="142">
                  <c:v>0.20300000000000001</c:v>
                </c:pt>
                <c:pt idx="143">
                  <c:v>0.191</c:v>
                </c:pt>
                <c:pt idx="144">
                  <c:v>0.18099999999999999</c:v>
                </c:pt>
                <c:pt idx="145">
                  <c:v>0.253</c:v>
                </c:pt>
                <c:pt idx="146">
                  <c:v>3.508</c:v>
                </c:pt>
                <c:pt idx="147">
                  <c:v>9.3000000000000007</c:v>
                </c:pt>
                <c:pt idx="148">
                  <c:v>8.14</c:v>
                </c:pt>
                <c:pt idx="149">
                  <c:v>7.819</c:v>
                </c:pt>
                <c:pt idx="150">
                  <c:v>8.67</c:v>
                </c:pt>
                <c:pt idx="151">
                  <c:v>5.516</c:v>
                </c:pt>
                <c:pt idx="152">
                  <c:v>5.5960000000000001</c:v>
                </c:pt>
                <c:pt idx="153">
                  <c:v>6.8609999999999998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0.95899999999999996</c:v>
                </c:pt>
                <c:pt idx="1">
                  <c:v>0.95299999999999996</c:v>
                </c:pt>
                <c:pt idx="2">
                  <c:v>0.96099999999999997</c:v>
                </c:pt>
                <c:pt idx="3">
                  <c:v>0.96499999999999997</c:v>
                </c:pt>
                <c:pt idx="4">
                  <c:v>0.95799999999999996</c:v>
                </c:pt>
                <c:pt idx="5">
                  <c:v>0.95399999999999996</c:v>
                </c:pt>
                <c:pt idx="6">
                  <c:v>0.94699999999999995</c:v>
                </c:pt>
                <c:pt idx="7">
                  <c:v>0.94399999999999995</c:v>
                </c:pt>
                <c:pt idx="8">
                  <c:v>0.93799999999999994</c:v>
                </c:pt>
                <c:pt idx="9">
                  <c:v>0.92200000000000004</c:v>
                </c:pt>
                <c:pt idx="10">
                  <c:v>0.91600000000000004</c:v>
                </c:pt>
                <c:pt idx="11">
                  <c:v>0.9</c:v>
                </c:pt>
                <c:pt idx="12">
                  <c:v>0.90300000000000002</c:v>
                </c:pt>
                <c:pt idx="13">
                  <c:v>0.93200000000000005</c:v>
                </c:pt>
                <c:pt idx="14">
                  <c:v>0.93600000000000005</c:v>
                </c:pt>
                <c:pt idx="15">
                  <c:v>0.88700000000000001</c:v>
                </c:pt>
                <c:pt idx="16">
                  <c:v>0.85499999999999998</c:v>
                </c:pt>
                <c:pt idx="17">
                  <c:v>0.84199999999999997</c:v>
                </c:pt>
                <c:pt idx="18">
                  <c:v>0.83499999999999996</c:v>
                </c:pt>
                <c:pt idx="19">
                  <c:v>0.83699999999999997</c:v>
                </c:pt>
                <c:pt idx="20">
                  <c:v>0.84899999999999998</c:v>
                </c:pt>
                <c:pt idx="21">
                  <c:v>0.83499999999999996</c:v>
                </c:pt>
                <c:pt idx="22">
                  <c:v>0.81799999999999995</c:v>
                </c:pt>
                <c:pt idx="23">
                  <c:v>0.78400000000000003</c:v>
                </c:pt>
                <c:pt idx="24">
                  <c:v>0.76400000000000001</c:v>
                </c:pt>
                <c:pt idx="25">
                  <c:v>0.77600000000000002</c:v>
                </c:pt>
                <c:pt idx="26">
                  <c:v>0.78600000000000003</c:v>
                </c:pt>
                <c:pt idx="27">
                  <c:v>0.78400000000000003</c:v>
                </c:pt>
                <c:pt idx="28">
                  <c:v>0.77200000000000002</c:v>
                </c:pt>
                <c:pt idx="29">
                  <c:v>0.76100000000000001</c:v>
                </c:pt>
                <c:pt idx="30">
                  <c:v>0.748</c:v>
                </c:pt>
                <c:pt idx="31">
                  <c:v>0.72599999999999998</c:v>
                </c:pt>
                <c:pt idx="32">
                  <c:v>0.71199999999999997</c:v>
                </c:pt>
                <c:pt idx="33">
                  <c:v>0.71399999999999997</c:v>
                </c:pt>
                <c:pt idx="34">
                  <c:v>0.70199999999999996</c:v>
                </c:pt>
                <c:pt idx="35">
                  <c:v>0.66800000000000004</c:v>
                </c:pt>
                <c:pt idx="36">
                  <c:v>0.68100000000000005</c:v>
                </c:pt>
                <c:pt idx="37">
                  <c:v>0.66400000000000003</c:v>
                </c:pt>
                <c:pt idx="38">
                  <c:v>0.64400000000000002</c:v>
                </c:pt>
                <c:pt idx="39">
                  <c:v>0.61899999999999999</c:v>
                </c:pt>
                <c:pt idx="40">
                  <c:v>0.58799999999999997</c:v>
                </c:pt>
                <c:pt idx="41">
                  <c:v>0.57399999999999995</c:v>
                </c:pt>
                <c:pt idx="42">
                  <c:v>0.56999999999999995</c:v>
                </c:pt>
                <c:pt idx="43">
                  <c:v>0.56699999999999995</c:v>
                </c:pt>
                <c:pt idx="44">
                  <c:v>0.57399999999999995</c:v>
                </c:pt>
                <c:pt idx="45">
                  <c:v>0.57099999999999995</c:v>
                </c:pt>
                <c:pt idx="46">
                  <c:v>0.56699999999999995</c:v>
                </c:pt>
                <c:pt idx="47">
                  <c:v>0.56000000000000005</c:v>
                </c:pt>
                <c:pt idx="48">
                  <c:v>0.55200000000000005</c:v>
                </c:pt>
                <c:pt idx="49">
                  <c:v>0.55500000000000005</c:v>
                </c:pt>
                <c:pt idx="50">
                  <c:v>0.55300000000000005</c:v>
                </c:pt>
                <c:pt idx="51">
                  <c:v>0.55300000000000005</c:v>
                </c:pt>
                <c:pt idx="52">
                  <c:v>0.55300000000000005</c:v>
                </c:pt>
                <c:pt idx="53">
                  <c:v>0.56000000000000005</c:v>
                </c:pt>
                <c:pt idx="54">
                  <c:v>0.54400000000000004</c:v>
                </c:pt>
                <c:pt idx="55">
                  <c:v>0.54500000000000004</c:v>
                </c:pt>
                <c:pt idx="56">
                  <c:v>0.55400000000000005</c:v>
                </c:pt>
                <c:pt idx="57">
                  <c:v>0.56699999999999995</c:v>
                </c:pt>
                <c:pt idx="58">
                  <c:v>0.57499999999999996</c:v>
                </c:pt>
                <c:pt idx="59">
                  <c:v>0.56899999999999995</c:v>
                </c:pt>
                <c:pt idx="60">
                  <c:v>0.57199999999999995</c:v>
                </c:pt>
                <c:pt idx="61">
                  <c:v>0.54200000000000004</c:v>
                </c:pt>
                <c:pt idx="62">
                  <c:v>0.54400000000000004</c:v>
                </c:pt>
                <c:pt idx="63">
                  <c:v>0.54</c:v>
                </c:pt>
                <c:pt idx="64">
                  <c:v>0.54500000000000004</c:v>
                </c:pt>
                <c:pt idx="65">
                  <c:v>0.55300000000000005</c:v>
                </c:pt>
                <c:pt idx="66">
                  <c:v>0.57299999999999995</c:v>
                </c:pt>
                <c:pt idx="67">
                  <c:v>0.57199999999999995</c:v>
                </c:pt>
                <c:pt idx="68">
                  <c:v>0.54600000000000004</c:v>
                </c:pt>
                <c:pt idx="69">
                  <c:v>0.55300000000000005</c:v>
                </c:pt>
                <c:pt idx="70">
                  <c:v>0.56999999999999995</c:v>
                </c:pt>
                <c:pt idx="71">
                  <c:v>0.55700000000000005</c:v>
                </c:pt>
                <c:pt idx="72">
                  <c:v>0.54400000000000004</c:v>
                </c:pt>
                <c:pt idx="73">
                  <c:v>0.56100000000000005</c:v>
                </c:pt>
                <c:pt idx="74">
                  <c:v>0.55600000000000005</c:v>
                </c:pt>
                <c:pt idx="75">
                  <c:v>0.55100000000000005</c:v>
                </c:pt>
                <c:pt idx="76">
                  <c:v>0.55200000000000005</c:v>
                </c:pt>
                <c:pt idx="77">
                  <c:v>0.56799999999999995</c:v>
                </c:pt>
                <c:pt idx="78">
                  <c:v>0.57399999999999995</c:v>
                </c:pt>
                <c:pt idx="79">
                  <c:v>0.57399999999999995</c:v>
                </c:pt>
                <c:pt idx="80">
                  <c:v>0.56599999999999995</c:v>
                </c:pt>
                <c:pt idx="81">
                  <c:v>0.58799999999999997</c:v>
                </c:pt>
                <c:pt idx="82">
                  <c:v>0.623</c:v>
                </c:pt>
                <c:pt idx="83">
                  <c:v>0.61599999999999999</c:v>
                </c:pt>
                <c:pt idx="84">
                  <c:v>0.58099999999999996</c:v>
                </c:pt>
                <c:pt idx="85">
                  <c:v>0.54200000000000004</c:v>
                </c:pt>
                <c:pt idx="86">
                  <c:v>0.54500000000000004</c:v>
                </c:pt>
                <c:pt idx="87">
                  <c:v>0.55600000000000005</c:v>
                </c:pt>
                <c:pt idx="88">
                  <c:v>0.57699999999999996</c:v>
                </c:pt>
                <c:pt idx="89">
                  <c:v>0.58499999999999996</c:v>
                </c:pt>
                <c:pt idx="90">
                  <c:v>0.59</c:v>
                </c:pt>
                <c:pt idx="91">
                  <c:v>0.59</c:v>
                </c:pt>
                <c:pt idx="92">
                  <c:v>0.58399999999999996</c:v>
                </c:pt>
                <c:pt idx="93">
                  <c:v>0.6</c:v>
                </c:pt>
                <c:pt idx="94">
                  <c:v>0.61099999999999999</c:v>
                </c:pt>
                <c:pt idx="95">
                  <c:v>0.623</c:v>
                </c:pt>
                <c:pt idx="96">
                  <c:v>0.59</c:v>
                </c:pt>
                <c:pt idx="97">
                  <c:v>0.52600000000000002</c:v>
                </c:pt>
                <c:pt idx="98">
                  <c:v>0.55100000000000005</c:v>
                </c:pt>
                <c:pt idx="99">
                  <c:v>0.57699999999999996</c:v>
                </c:pt>
                <c:pt idx="100">
                  <c:v>0.56599999999999995</c:v>
                </c:pt>
                <c:pt idx="101">
                  <c:v>0.54700000000000004</c:v>
                </c:pt>
                <c:pt idx="102">
                  <c:v>0.55300000000000005</c:v>
                </c:pt>
                <c:pt idx="103">
                  <c:v>0.57099999999999995</c:v>
                </c:pt>
                <c:pt idx="104">
                  <c:v>0.58699999999999997</c:v>
                </c:pt>
                <c:pt idx="105">
                  <c:v>0.53</c:v>
                </c:pt>
                <c:pt idx="106">
                  <c:v>0.53800000000000003</c:v>
                </c:pt>
                <c:pt idx="107">
                  <c:v>0.55600000000000005</c:v>
                </c:pt>
                <c:pt idx="108">
                  <c:v>0.53700000000000003</c:v>
                </c:pt>
                <c:pt idx="109">
                  <c:v>0.50800000000000001</c:v>
                </c:pt>
                <c:pt idx="110">
                  <c:v>0.50800000000000001</c:v>
                </c:pt>
                <c:pt idx="111">
                  <c:v>0.52300000000000002</c:v>
                </c:pt>
                <c:pt idx="112">
                  <c:v>0.54300000000000004</c:v>
                </c:pt>
                <c:pt idx="113">
                  <c:v>0.55100000000000005</c:v>
                </c:pt>
                <c:pt idx="114">
                  <c:v>0.55000000000000004</c:v>
                </c:pt>
                <c:pt idx="115">
                  <c:v>0.52</c:v>
                </c:pt>
                <c:pt idx="116">
                  <c:v>0.50600000000000001</c:v>
                </c:pt>
                <c:pt idx="117">
                  <c:v>0.501</c:v>
                </c:pt>
                <c:pt idx="118">
                  <c:v>0.48899999999999999</c:v>
                </c:pt>
                <c:pt idx="119">
                  <c:v>0.48799999999999999</c:v>
                </c:pt>
                <c:pt idx="120">
                  <c:v>0.48199999999999998</c:v>
                </c:pt>
                <c:pt idx="121">
                  <c:v>0.46500000000000002</c:v>
                </c:pt>
                <c:pt idx="122">
                  <c:v>0.44400000000000001</c:v>
                </c:pt>
                <c:pt idx="123">
                  <c:v>0.434</c:v>
                </c:pt>
                <c:pt idx="124">
                  <c:v>0.47299999999999998</c:v>
                </c:pt>
                <c:pt idx="125">
                  <c:v>0.47</c:v>
                </c:pt>
                <c:pt idx="126">
                  <c:v>0.45</c:v>
                </c:pt>
                <c:pt idx="127">
                  <c:v>0.42</c:v>
                </c:pt>
                <c:pt idx="128">
                  <c:v>0.45200000000000001</c:v>
                </c:pt>
                <c:pt idx="129">
                  <c:v>0.45500000000000002</c:v>
                </c:pt>
                <c:pt idx="130">
                  <c:v>0.44500000000000001</c:v>
                </c:pt>
                <c:pt idx="131">
                  <c:v>0.47499999999999998</c:v>
                </c:pt>
                <c:pt idx="132">
                  <c:v>0.46100000000000002</c:v>
                </c:pt>
                <c:pt idx="133">
                  <c:v>0.44800000000000001</c:v>
                </c:pt>
                <c:pt idx="134">
                  <c:v>0.44400000000000001</c:v>
                </c:pt>
                <c:pt idx="135">
                  <c:v>0.45500000000000002</c:v>
                </c:pt>
                <c:pt idx="136">
                  <c:v>0.47299999999999998</c:v>
                </c:pt>
                <c:pt idx="137">
                  <c:v>0.44600000000000001</c:v>
                </c:pt>
                <c:pt idx="138">
                  <c:v>0.47</c:v>
                </c:pt>
                <c:pt idx="139">
                  <c:v>0.47899999999999998</c:v>
                </c:pt>
                <c:pt idx="140">
                  <c:v>0.48699999999999999</c:v>
                </c:pt>
                <c:pt idx="141">
                  <c:v>0.49299999999999999</c:v>
                </c:pt>
                <c:pt idx="142">
                  <c:v>0.47599999999999998</c:v>
                </c:pt>
                <c:pt idx="143">
                  <c:v>0.44800000000000001</c:v>
                </c:pt>
                <c:pt idx="144">
                  <c:v>0.41799999999999998</c:v>
                </c:pt>
                <c:pt idx="145">
                  <c:v>0.46500000000000002</c:v>
                </c:pt>
                <c:pt idx="146">
                  <c:v>1.462</c:v>
                </c:pt>
                <c:pt idx="147">
                  <c:v>4.431</c:v>
                </c:pt>
                <c:pt idx="148">
                  <c:v>6.109</c:v>
                </c:pt>
                <c:pt idx="149">
                  <c:v>5.3819999999999997</c:v>
                </c:pt>
                <c:pt idx="150">
                  <c:v>6.42</c:v>
                </c:pt>
                <c:pt idx="151">
                  <c:v>5.2850000000000001</c:v>
                </c:pt>
                <c:pt idx="152">
                  <c:v>4.6360000000000001</c:v>
                </c:pt>
                <c:pt idx="153">
                  <c:v>5.1779999999999999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1.788</c:v>
                </c:pt>
                <c:pt idx="1">
                  <c:v>1.7769999999999999</c:v>
                </c:pt>
                <c:pt idx="2">
                  <c:v>1.7809999999999999</c:v>
                </c:pt>
                <c:pt idx="3">
                  <c:v>1.7769999999999999</c:v>
                </c:pt>
                <c:pt idx="4">
                  <c:v>1.764</c:v>
                </c:pt>
                <c:pt idx="5">
                  <c:v>1.7549999999999999</c:v>
                </c:pt>
                <c:pt idx="6">
                  <c:v>1.7430000000000001</c:v>
                </c:pt>
                <c:pt idx="7">
                  <c:v>1.7350000000000001</c:v>
                </c:pt>
                <c:pt idx="8">
                  <c:v>1.722</c:v>
                </c:pt>
                <c:pt idx="9">
                  <c:v>1.7050000000000001</c:v>
                </c:pt>
                <c:pt idx="10">
                  <c:v>1.6930000000000001</c:v>
                </c:pt>
                <c:pt idx="11">
                  <c:v>1.673</c:v>
                </c:pt>
                <c:pt idx="12">
                  <c:v>1.6719999999999999</c:v>
                </c:pt>
                <c:pt idx="13">
                  <c:v>1.6919999999999999</c:v>
                </c:pt>
                <c:pt idx="14">
                  <c:v>1.6870000000000001</c:v>
                </c:pt>
                <c:pt idx="15">
                  <c:v>1.6439999999999999</c:v>
                </c:pt>
                <c:pt idx="16">
                  <c:v>1.609</c:v>
                </c:pt>
                <c:pt idx="17">
                  <c:v>1.5920000000000001</c:v>
                </c:pt>
                <c:pt idx="18">
                  <c:v>1.579</c:v>
                </c:pt>
                <c:pt idx="19">
                  <c:v>1.5780000000000001</c:v>
                </c:pt>
                <c:pt idx="20">
                  <c:v>1.585</c:v>
                </c:pt>
                <c:pt idx="21">
                  <c:v>1.577</c:v>
                </c:pt>
                <c:pt idx="22">
                  <c:v>1.5720000000000001</c:v>
                </c:pt>
                <c:pt idx="23">
                  <c:v>1.5449999999999999</c:v>
                </c:pt>
                <c:pt idx="24">
                  <c:v>1.5269999999999999</c:v>
                </c:pt>
                <c:pt idx="25">
                  <c:v>1.536</c:v>
                </c:pt>
                <c:pt idx="26">
                  <c:v>1.542</c:v>
                </c:pt>
                <c:pt idx="27">
                  <c:v>1.5369999999999999</c:v>
                </c:pt>
                <c:pt idx="28">
                  <c:v>1.5169999999999999</c:v>
                </c:pt>
                <c:pt idx="29">
                  <c:v>1.5</c:v>
                </c:pt>
                <c:pt idx="30">
                  <c:v>1.488</c:v>
                </c:pt>
                <c:pt idx="31">
                  <c:v>1.4590000000000001</c:v>
                </c:pt>
                <c:pt idx="32">
                  <c:v>1.4370000000000001</c:v>
                </c:pt>
                <c:pt idx="33">
                  <c:v>1.4339999999999999</c:v>
                </c:pt>
                <c:pt idx="34">
                  <c:v>1.421</c:v>
                </c:pt>
                <c:pt idx="35">
                  <c:v>1.393</c:v>
                </c:pt>
                <c:pt idx="36">
                  <c:v>1.4059999999999999</c:v>
                </c:pt>
                <c:pt idx="37">
                  <c:v>1.395</c:v>
                </c:pt>
                <c:pt idx="38">
                  <c:v>1.379</c:v>
                </c:pt>
                <c:pt idx="39">
                  <c:v>1.357</c:v>
                </c:pt>
                <c:pt idx="40">
                  <c:v>1.33</c:v>
                </c:pt>
                <c:pt idx="41">
                  <c:v>1.3169999999999999</c:v>
                </c:pt>
                <c:pt idx="42">
                  <c:v>1.3129999999999999</c:v>
                </c:pt>
                <c:pt idx="43">
                  <c:v>1.3080000000000001</c:v>
                </c:pt>
                <c:pt idx="44">
                  <c:v>1.3120000000000001</c:v>
                </c:pt>
                <c:pt idx="45">
                  <c:v>1.3080000000000001</c:v>
                </c:pt>
                <c:pt idx="46">
                  <c:v>1.3</c:v>
                </c:pt>
                <c:pt idx="47">
                  <c:v>1.29</c:v>
                </c:pt>
                <c:pt idx="48">
                  <c:v>1.276</c:v>
                </c:pt>
                <c:pt idx="49">
                  <c:v>1.2769999999999999</c:v>
                </c:pt>
                <c:pt idx="50">
                  <c:v>1.268</c:v>
                </c:pt>
                <c:pt idx="51">
                  <c:v>1.2629999999999999</c:v>
                </c:pt>
                <c:pt idx="52">
                  <c:v>1.258</c:v>
                </c:pt>
                <c:pt idx="53">
                  <c:v>1.2569999999999999</c:v>
                </c:pt>
                <c:pt idx="54">
                  <c:v>1.2390000000000001</c:v>
                </c:pt>
                <c:pt idx="55">
                  <c:v>1.2350000000000001</c:v>
                </c:pt>
                <c:pt idx="56">
                  <c:v>1.236</c:v>
                </c:pt>
                <c:pt idx="57">
                  <c:v>1.246</c:v>
                </c:pt>
                <c:pt idx="58">
                  <c:v>1.242</c:v>
                </c:pt>
                <c:pt idx="59">
                  <c:v>1.234</c:v>
                </c:pt>
                <c:pt idx="60">
                  <c:v>1.2350000000000001</c:v>
                </c:pt>
                <c:pt idx="61">
                  <c:v>1.2050000000000001</c:v>
                </c:pt>
                <c:pt idx="62">
                  <c:v>1.202</c:v>
                </c:pt>
                <c:pt idx="63">
                  <c:v>1.196</c:v>
                </c:pt>
                <c:pt idx="64">
                  <c:v>1.1950000000000001</c:v>
                </c:pt>
                <c:pt idx="65">
                  <c:v>1.196</c:v>
                </c:pt>
                <c:pt idx="66">
                  <c:v>1.21</c:v>
                </c:pt>
                <c:pt idx="67">
                  <c:v>1.204</c:v>
                </c:pt>
                <c:pt idx="68">
                  <c:v>1.177</c:v>
                </c:pt>
                <c:pt idx="69">
                  <c:v>1.177</c:v>
                </c:pt>
                <c:pt idx="70">
                  <c:v>1.19</c:v>
                </c:pt>
                <c:pt idx="71">
                  <c:v>1.1739999999999999</c:v>
                </c:pt>
                <c:pt idx="72">
                  <c:v>1.157</c:v>
                </c:pt>
                <c:pt idx="73">
                  <c:v>1.169</c:v>
                </c:pt>
                <c:pt idx="74">
                  <c:v>1.1619999999999999</c:v>
                </c:pt>
                <c:pt idx="75">
                  <c:v>1.1539999999999999</c:v>
                </c:pt>
                <c:pt idx="76">
                  <c:v>1.1499999999999999</c:v>
                </c:pt>
                <c:pt idx="77">
                  <c:v>1.163</c:v>
                </c:pt>
                <c:pt idx="78">
                  <c:v>1.1639999999999999</c:v>
                </c:pt>
                <c:pt idx="79">
                  <c:v>1.1599999999999999</c:v>
                </c:pt>
                <c:pt idx="80">
                  <c:v>1.1519999999999999</c:v>
                </c:pt>
                <c:pt idx="81">
                  <c:v>1.167</c:v>
                </c:pt>
                <c:pt idx="82">
                  <c:v>1.1970000000000001</c:v>
                </c:pt>
                <c:pt idx="83">
                  <c:v>1.177</c:v>
                </c:pt>
                <c:pt idx="84">
                  <c:v>1.091</c:v>
                </c:pt>
                <c:pt idx="85">
                  <c:v>1.036</c:v>
                </c:pt>
                <c:pt idx="86">
                  <c:v>1.069</c:v>
                </c:pt>
                <c:pt idx="87">
                  <c:v>1.087</c:v>
                </c:pt>
                <c:pt idx="88">
                  <c:v>1.1060000000000001</c:v>
                </c:pt>
                <c:pt idx="89">
                  <c:v>1.115</c:v>
                </c:pt>
                <c:pt idx="90">
                  <c:v>1.1160000000000001</c:v>
                </c:pt>
                <c:pt idx="91">
                  <c:v>1.113</c:v>
                </c:pt>
                <c:pt idx="92">
                  <c:v>1.1040000000000001</c:v>
                </c:pt>
                <c:pt idx="93">
                  <c:v>1.1140000000000001</c:v>
                </c:pt>
                <c:pt idx="94">
                  <c:v>1.1220000000000001</c:v>
                </c:pt>
                <c:pt idx="95">
                  <c:v>1.1339999999999999</c:v>
                </c:pt>
                <c:pt idx="96">
                  <c:v>1.099</c:v>
                </c:pt>
                <c:pt idx="97">
                  <c:v>1.046</c:v>
                </c:pt>
                <c:pt idx="98">
                  <c:v>1.0649999999999999</c:v>
                </c:pt>
                <c:pt idx="99">
                  <c:v>1.0840000000000001</c:v>
                </c:pt>
                <c:pt idx="100">
                  <c:v>1.069</c:v>
                </c:pt>
                <c:pt idx="101">
                  <c:v>1.056</c:v>
                </c:pt>
                <c:pt idx="102">
                  <c:v>1.06</c:v>
                </c:pt>
                <c:pt idx="103">
                  <c:v>1.069</c:v>
                </c:pt>
                <c:pt idx="104">
                  <c:v>1.087</c:v>
                </c:pt>
                <c:pt idx="105">
                  <c:v>1.038</c:v>
                </c:pt>
                <c:pt idx="106">
                  <c:v>1.042</c:v>
                </c:pt>
                <c:pt idx="107">
                  <c:v>1.054</c:v>
                </c:pt>
                <c:pt idx="108">
                  <c:v>1.0389999999999999</c:v>
                </c:pt>
                <c:pt idx="109">
                  <c:v>1.0149999999999999</c:v>
                </c:pt>
                <c:pt idx="110">
                  <c:v>1.0069999999999999</c:v>
                </c:pt>
                <c:pt idx="111">
                  <c:v>1.0169999999999999</c:v>
                </c:pt>
                <c:pt idx="112">
                  <c:v>1.03</c:v>
                </c:pt>
                <c:pt idx="113">
                  <c:v>1.0289999999999999</c:v>
                </c:pt>
                <c:pt idx="114">
                  <c:v>1.03</c:v>
                </c:pt>
                <c:pt idx="115">
                  <c:v>0.997</c:v>
                </c:pt>
                <c:pt idx="116">
                  <c:v>0.98499999999999999</c:v>
                </c:pt>
                <c:pt idx="117">
                  <c:v>0.98299999999999998</c:v>
                </c:pt>
                <c:pt idx="118">
                  <c:v>0.96899999999999997</c:v>
                </c:pt>
                <c:pt idx="119">
                  <c:v>0.96099999999999997</c:v>
                </c:pt>
                <c:pt idx="120">
                  <c:v>0.95399999999999996</c:v>
                </c:pt>
                <c:pt idx="121">
                  <c:v>0.93799999999999994</c:v>
                </c:pt>
                <c:pt idx="122">
                  <c:v>0.92100000000000004</c:v>
                </c:pt>
                <c:pt idx="123">
                  <c:v>0.88200000000000001</c:v>
                </c:pt>
                <c:pt idx="124">
                  <c:v>0.90500000000000003</c:v>
                </c:pt>
                <c:pt idx="125">
                  <c:v>0.91</c:v>
                </c:pt>
                <c:pt idx="126">
                  <c:v>0.90100000000000002</c:v>
                </c:pt>
                <c:pt idx="127">
                  <c:v>0.87</c:v>
                </c:pt>
                <c:pt idx="128">
                  <c:v>0.88200000000000001</c:v>
                </c:pt>
                <c:pt idx="129">
                  <c:v>0.88600000000000001</c:v>
                </c:pt>
                <c:pt idx="130">
                  <c:v>0.86499999999999999</c:v>
                </c:pt>
                <c:pt idx="131">
                  <c:v>0.89</c:v>
                </c:pt>
                <c:pt idx="132">
                  <c:v>0.88200000000000001</c:v>
                </c:pt>
                <c:pt idx="133">
                  <c:v>0.875</c:v>
                </c:pt>
                <c:pt idx="134">
                  <c:v>0.85699999999999998</c:v>
                </c:pt>
                <c:pt idx="135">
                  <c:v>0.86499999999999999</c:v>
                </c:pt>
                <c:pt idx="136">
                  <c:v>0.88400000000000001</c:v>
                </c:pt>
                <c:pt idx="137">
                  <c:v>0.85899999999999999</c:v>
                </c:pt>
                <c:pt idx="138">
                  <c:v>0.879</c:v>
                </c:pt>
                <c:pt idx="139">
                  <c:v>0.88400000000000001</c:v>
                </c:pt>
                <c:pt idx="140">
                  <c:v>0.89500000000000002</c:v>
                </c:pt>
                <c:pt idx="141">
                  <c:v>0.90600000000000003</c:v>
                </c:pt>
                <c:pt idx="142">
                  <c:v>0.88600000000000001</c:v>
                </c:pt>
                <c:pt idx="143">
                  <c:v>0.873</c:v>
                </c:pt>
                <c:pt idx="144">
                  <c:v>0.88</c:v>
                </c:pt>
                <c:pt idx="145">
                  <c:v>0.875</c:v>
                </c:pt>
                <c:pt idx="146">
                  <c:v>0.90400000000000003</c:v>
                </c:pt>
                <c:pt idx="147">
                  <c:v>1.2010000000000001</c:v>
                </c:pt>
                <c:pt idx="148">
                  <c:v>2.0270000000000001</c:v>
                </c:pt>
                <c:pt idx="149">
                  <c:v>2.6110000000000002</c:v>
                </c:pt>
                <c:pt idx="150">
                  <c:v>2.9769999999999999</c:v>
                </c:pt>
                <c:pt idx="151">
                  <c:v>3.3149999999999999</c:v>
                </c:pt>
                <c:pt idx="152">
                  <c:v>3.339</c:v>
                </c:pt>
                <c:pt idx="153">
                  <c:v>3.3679999999999999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-8.86</c:v>
                </c:pt>
                <c:pt idx="1">
                  <c:v>-9.41</c:v>
                </c:pt>
                <c:pt idx="2">
                  <c:v>-6.4619999999999997</c:v>
                </c:pt>
                <c:pt idx="3">
                  <c:v>-5.516</c:v>
                </c:pt>
                <c:pt idx="4">
                  <c:v>-5.2629999999999999</c:v>
                </c:pt>
                <c:pt idx="5">
                  <c:v>-6.5369999999999999</c:v>
                </c:pt>
                <c:pt idx="6">
                  <c:v>-5.8680000000000003</c:v>
                </c:pt>
                <c:pt idx="7">
                  <c:v>-4.2149999999999999</c:v>
                </c:pt>
                <c:pt idx="8">
                  <c:v>-5.1820000000000004</c:v>
                </c:pt>
                <c:pt idx="9">
                  <c:v>-5.7690000000000001</c:v>
                </c:pt>
                <c:pt idx="10">
                  <c:v>-6.2729999999999997</c:v>
                </c:pt>
                <c:pt idx="11">
                  <c:v>-7.5270000000000001</c:v>
                </c:pt>
                <c:pt idx="12">
                  <c:v>-7.3570000000000002</c:v>
                </c:pt>
                <c:pt idx="13">
                  <c:v>-2.9350000000000001</c:v>
                </c:pt>
                <c:pt idx="14">
                  <c:v>-1.512</c:v>
                </c:pt>
                <c:pt idx="15">
                  <c:v>-7.3150000000000004</c:v>
                </c:pt>
                <c:pt idx="16">
                  <c:v>-10.79</c:v>
                </c:pt>
                <c:pt idx="17">
                  <c:v>-13.6</c:v>
                </c:pt>
                <c:pt idx="18">
                  <c:v>-13.67</c:v>
                </c:pt>
                <c:pt idx="19">
                  <c:v>-13.56</c:v>
                </c:pt>
                <c:pt idx="20">
                  <c:v>-10.199999999999999</c:v>
                </c:pt>
                <c:pt idx="21">
                  <c:v>-10.41</c:v>
                </c:pt>
                <c:pt idx="22">
                  <c:v>-7.66</c:v>
                </c:pt>
                <c:pt idx="23">
                  <c:v>-10.55</c:v>
                </c:pt>
                <c:pt idx="24">
                  <c:v>-12.26</c:v>
                </c:pt>
                <c:pt idx="25">
                  <c:v>-8.23</c:v>
                </c:pt>
                <c:pt idx="26">
                  <c:v>-5.7859999999999996</c:v>
                </c:pt>
                <c:pt idx="27">
                  <c:v>-4.282</c:v>
                </c:pt>
                <c:pt idx="28">
                  <c:v>-4.6449999999999996</c:v>
                </c:pt>
                <c:pt idx="29">
                  <c:v>-4.3550000000000004</c:v>
                </c:pt>
                <c:pt idx="30">
                  <c:v>-5.2489999999999997</c:v>
                </c:pt>
                <c:pt idx="31">
                  <c:v>-10.85</c:v>
                </c:pt>
                <c:pt idx="32">
                  <c:v>-13.31</c:v>
                </c:pt>
                <c:pt idx="33">
                  <c:v>-12.56</c:v>
                </c:pt>
                <c:pt idx="34">
                  <c:v>-14.18</c:v>
                </c:pt>
                <c:pt idx="35">
                  <c:v>-18.239999999999998</c:v>
                </c:pt>
                <c:pt idx="36">
                  <c:v>-13.8</c:v>
                </c:pt>
                <c:pt idx="37">
                  <c:v>-14.84</c:v>
                </c:pt>
                <c:pt idx="38">
                  <c:v>-15.04</c:v>
                </c:pt>
                <c:pt idx="39">
                  <c:v>-17.62</c:v>
                </c:pt>
                <c:pt idx="40">
                  <c:v>-19.57</c:v>
                </c:pt>
                <c:pt idx="41">
                  <c:v>-20.43</c:v>
                </c:pt>
                <c:pt idx="42">
                  <c:v>-17.940000000000001</c:v>
                </c:pt>
                <c:pt idx="43">
                  <c:v>-16.100000000000001</c:v>
                </c:pt>
                <c:pt idx="44">
                  <c:v>-11.48</c:v>
                </c:pt>
                <c:pt idx="45">
                  <c:v>-9.5299999999999994</c:v>
                </c:pt>
                <c:pt idx="46">
                  <c:v>-8.4600000000000009</c:v>
                </c:pt>
                <c:pt idx="47">
                  <c:v>-7.6950000000000003</c:v>
                </c:pt>
                <c:pt idx="48">
                  <c:v>-7.3540000000000001</c:v>
                </c:pt>
                <c:pt idx="49">
                  <c:v>-6.7119999999999997</c:v>
                </c:pt>
                <c:pt idx="50">
                  <c:v>-4.6929999999999996</c:v>
                </c:pt>
                <c:pt idx="51">
                  <c:v>-4.3710000000000004</c:v>
                </c:pt>
                <c:pt idx="52">
                  <c:v>-3.51</c:v>
                </c:pt>
                <c:pt idx="53">
                  <c:v>-2.7690000000000001</c:v>
                </c:pt>
                <c:pt idx="54">
                  <c:v>-5.133</c:v>
                </c:pt>
                <c:pt idx="55">
                  <c:v>-4.0910000000000002</c:v>
                </c:pt>
                <c:pt idx="56">
                  <c:v>-3.7890000000000001</c:v>
                </c:pt>
                <c:pt idx="57">
                  <c:v>-2.8069999999999999</c:v>
                </c:pt>
                <c:pt idx="58">
                  <c:v>-1.323</c:v>
                </c:pt>
                <c:pt idx="59">
                  <c:v>-1.7370000000000001</c:v>
                </c:pt>
                <c:pt idx="60">
                  <c:v>-1.8819999999999999</c:v>
                </c:pt>
                <c:pt idx="61">
                  <c:v>-4.1840000000000002</c:v>
                </c:pt>
                <c:pt idx="62">
                  <c:v>-5.2309999999999999</c:v>
                </c:pt>
                <c:pt idx="63">
                  <c:v>-6.3179999999999996</c:v>
                </c:pt>
                <c:pt idx="64">
                  <c:v>-5.8209999999999997</c:v>
                </c:pt>
                <c:pt idx="65">
                  <c:v>-5.35</c:v>
                </c:pt>
                <c:pt idx="66">
                  <c:v>-3.4009999999999998</c:v>
                </c:pt>
                <c:pt idx="67">
                  <c:v>-3.5230000000000001</c:v>
                </c:pt>
                <c:pt idx="68">
                  <c:v>-7.5339999999999998</c:v>
                </c:pt>
                <c:pt idx="69">
                  <c:v>-7.52</c:v>
                </c:pt>
                <c:pt idx="70">
                  <c:v>-4.5599999999999996</c:v>
                </c:pt>
                <c:pt idx="71">
                  <c:v>-6.74</c:v>
                </c:pt>
                <c:pt idx="72">
                  <c:v>-10.28</c:v>
                </c:pt>
                <c:pt idx="73">
                  <c:v>-7.07</c:v>
                </c:pt>
                <c:pt idx="74">
                  <c:v>-7.7050000000000001</c:v>
                </c:pt>
                <c:pt idx="75">
                  <c:v>-9.01</c:v>
                </c:pt>
                <c:pt idx="76">
                  <c:v>-9.51</c:v>
                </c:pt>
                <c:pt idx="77">
                  <c:v>-8.0299999999999994</c:v>
                </c:pt>
                <c:pt idx="78">
                  <c:v>-5.1890000000000001</c:v>
                </c:pt>
                <c:pt idx="79">
                  <c:v>-5.3710000000000004</c:v>
                </c:pt>
                <c:pt idx="80">
                  <c:v>-6.3120000000000003</c:v>
                </c:pt>
                <c:pt idx="81">
                  <c:v>-3.972</c:v>
                </c:pt>
                <c:pt idx="82">
                  <c:v>-0.40400000000000003</c:v>
                </c:pt>
                <c:pt idx="83">
                  <c:v>8.1000000000000003E-2</c:v>
                </c:pt>
                <c:pt idx="84">
                  <c:v>0.13700000000000001</c:v>
                </c:pt>
                <c:pt idx="85">
                  <c:v>-0.26</c:v>
                </c:pt>
                <c:pt idx="86">
                  <c:v>-1.264</c:v>
                </c:pt>
                <c:pt idx="87">
                  <c:v>-3.3239999999999998</c:v>
                </c:pt>
                <c:pt idx="88">
                  <c:v>-2.911</c:v>
                </c:pt>
                <c:pt idx="89">
                  <c:v>-2.734</c:v>
                </c:pt>
                <c:pt idx="90">
                  <c:v>-3.262</c:v>
                </c:pt>
                <c:pt idx="91">
                  <c:v>-3.6720000000000002</c:v>
                </c:pt>
                <c:pt idx="92">
                  <c:v>-5.2450000000000001</c:v>
                </c:pt>
                <c:pt idx="93">
                  <c:v>-3.9940000000000002</c:v>
                </c:pt>
                <c:pt idx="94">
                  <c:v>-2.0499999999999998</c:v>
                </c:pt>
                <c:pt idx="95">
                  <c:v>-0.621</c:v>
                </c:pt>
                <c:pt idx="96">
                  <c:v>-0.43099999999999999</c:v>
                </c:pt>
                <c:pt idx="97">
                  <c:v>-2.573</c:v>
                </c:pt>
                <c:pt idx="98">
                  <c:v>-2.2650000000000001</c:v>
                </c:pt>
                <c:pt idx="99">
                  <c:v>-1.246</c:v>
                </c:pt>
                <c:pt idx="100">
                  <c:v>-1.6160000000000001</c:v>
                </c:pt>
                <c:pt idx="101">
                  <c:v>-5.2530000000000001</c:v>
                </c:pt>
                <c:pt idx="102">
                  <c:v>-4.7670000000000003</c:v>
                </c:pt>
                <c:pt idx="103">
                  <c:v>-1.8009999999999999</c:v>
                </c:pt>
                <c:pt idx="104">
                  <c:v>-0.46</c:v>
                </c:pt>
                <c:pt idx="105">
                  <c:v>-3.3370000000000002</c:v>
                </c:pt>
                <c:pt idx="106">
                  <c:v>-3.3319999999999999</c:v>
                </c:pt>
                <c:pt idx="107">
                  <c:v>-1.2829999999999999</c:v>
                </c:pt>
                <c:pt idx="108">
                  <c:v>-0.71399999999999997</c:v>
                </c:pt>
                <c:pt idx="109">
                  <c:v>-2.37</c:v>
                </c:pt>
                <c:pt idx="110">
                  <c:v>-4.3899999999999997</c:v>
                </c:pt>
                <c:pt idx="111">
                  <c:v>-4.5419999999999998</c:v>
                </c:pt>
                <c:pt idx="112">
                  <c:v>-2.4489999999999998</c:v>
                </c:pt>
                <c:pt idx="113">
                  <c:v>-1.3149999999999999</c:v>
                </c:pt>
                <c:pt idx="114">
                  <c:v>-0.26</c:v>
                </c:pt>
                <c:pt idx="115">
                  <c:v>-9.9000000000000005E-2</c:v>
                </c:pt>
                <c:pt idx="116">
                  <c:v>-0.08</c:v>
                </c:pt>
                <c:pt idx="117">
                  <c:v>-0.45700000000000002</c:v>
                </c:pt>
                <c:pt idx="118">
                  <c:v>-0.47399999999999998</c:v>
                </c:pt>
                <c:pt idx="119">
                  <c:v>-0.64800000000000002</c:v>
                </c:pt>
                <c:pt idx="120">
                  <c:v>-0.124</c:v>
                </c:pt>
                <c:pt idx="121">
                  <c:v>0.13300000000000001</c:v>
                </c:pt>
                <c:pt idx="122">
                  <c:v>-0.70599999999999996</c:v>
                </c:pt>
                <c:pt idx="123">
                  <c:v>-2.5630000000000002</c:v>
                </c:pt>
                <c:pt idx="124">
                  <c:v>-1.635</c:v>
                </c:pt>
                <c:pt idx="125">
                  <c:v>-0.16500000000000001</c:v>
                </c:pt>
                <c:pt idx="126">
                  <c:v>0.1</c:v>
                </c:pt>
                <c:pt idx="127">
                  <c:v>-1.2310000000000001</c:v>
                </c:pt>
                <c:pt idx="128">
                  <c:v>-0.28399999999999997</c:v>
                </c:pt>
                <c:pt idx="129">
                  <c:v>-1.0999999999999999E-2</c:v>
                </c:pt>
                <c:pt idx="130">
                  <c:v>-0.52500000000000002</c:v>
                </c:pt>
                <c:pt idx="131">
                  <c:v>-0.34399999999999997</c:v>
                </c:pt>
                <c:pt idx="132">
                  <c:v>4.2000000000000003E-2</c:v>
                </c:pt>
                <c:pt idx="133">
                  <c:v>-0.13300000000000001</c:v>
                </c:pt>
                <c:pt idx="134">
                  <c:v>-0.91300000000000003</c:v>
                </c:pt>
                <c:pt idx="135">
                  <c:v>-0.41899999999999998</c:v>
                </c:pt>
                <c:pt idx="136">
                  <c:v>-0.13</c:v>
                </c:pt>
                <c:pt idx="137">
                  <c:v>-1.224</c:v>
                </c:pt>
                <c:pt idx="138">
                  <c:v>-1.254</c:v>
                </c:pt>
                <c:pt idx="139">
                  <c:v>-1.3520000000000001</c:v>
                </c:pt>
                <c:pt idx="140">
                  <c:v>-0.99199999999999999</c:v>
                </c:pt>
                <c:pt idx="141">
                  <c:v>-0.17100000000000001</c:v>
                </c:pt>
                <c:pt idx="142">
                  <c:v>9.7000000000000003E-2</c:v>
                </c:pt>
                <c:pt idx="143">
                  <c:v>0.40699999999999997</c:v>
                </c:pt>
                <c:pt idx="144">
                  <c:v>1.508</c:v>
                </c:pt>
                <c:pt idx="145">
                  <c:v>2.5609999999999999</c:v>
                </c:pt>
                <c:pt idx="146">
                  <c:v>6.35</c:v>
                </c:pt>
                <c:pt idx="147">
                  <c:v>12.95</c:v>
                </c:pt>
                <c:pt idx="148">
                  <c:v>7.6559999999999997</c:v>
                </c:pt>
                <c:pt idx="149">
                  <c:v>9.89</c:v>
                </c:pt>
                <c:pt idx="150">
                  <c:v>9.75</c:v>
                </c:pt>
                <c:pt idx="151">
                  <c:v>5.1150000000000002</c:v>
                </c:pt>
                <c:pt idx="152">
                  <c:v>6.5789999999999997</c:v>
                </c:pt>
                <c:pt idx="153">
                  <c:v>9.0299999999999994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3536"/>
        <c:axId val="145249792"/>
      </c:lineChart>
      <c:catAx>
        <c:axId val="439535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49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49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3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41767563629054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0.79699999999999993</c:v>
                </c:pt>
                <c:pt idx="1">
                  <c:v>0.80199999999999982</c:v>
                </c:pt>
                <c:pt idx="2">
                  <c:v>0.81799999999999984</c:v>
                </c:pt>
                <c:pt idx="3">
                  <c:v>0.80899999999999994</c:v>
                </c:pt>
                <c:pt idx="4">
                  <c:v>0.80799999999999983</c:v>
                </c:pt>
                <c:pt idx="5">
                  <c:v>0.80399999999999983</c:v>
                </c:pt>
                <c:pt idx="6">
                  <c:v>0.79299999999999993</c:v>
                </c:pt>
                <c:pt idx="7">
                  <c:v>0.79499999999999993</c:v>
                </c:pt>
                <c:pt idx="8">
                  <c:v>0.78399999999999981</c:v>
                </c:pt>
                <c:pt idx="9">
                  <c:v>0.88100000000000001</c:v>
                </c:pt>
                <c:pt idx="10">
                  <c:v>0.8879999999999999</c:v>
                </c:pt>
                <c:pt idx="11">
                  <c:v>0.873</c:v>
                </c:pt>
                <c:pt idx="12">
                  <c:v>0.88100000000000001</c:v>
                </c:pt>
                <c:pt idx="13">
                  <c:v>0.83399999999999985</c:v>
                </c:pt>
                <c:pt idx="14">
                  <c:v>0.82699999999999996</c:v>
                </c:pt>
                <c:pt idx="15">
                  <c:v>0.84399999999999986</c:v>
                </c:pt>
                <c:pt idx="16">
                  <c:v>0.82299999999999995</c:v>
                </c:pt>
                <c:pt idx="17">
                  <c:v>0.81699999999999995</c:v>
                </c:pt>
                <c:pt idx="18">
                  <c:v>0.82199999999999984</c:v>
                </c:pt>
                <c:pt idx="19">
                  <c:v>0.81799999999999984</c:v>
                </c:pt>
                <c:pt idx="20">
                  <c:v>0.81799999999999984</c:v>
                </c:pt>
                <c:pt idx="21">
                  <c:v>0.81099999999999994</c:v>
                </c:pt>
                <c:pt idx="22">
                  <c:v>0.82799999999999985</c:v>
                </c:pt>
                <c:pt idx="23">
                  <c:v>0.81799999999999984</c:v>
                </c:pt>
                <c:pt idx="24">
                  <c:v>0.82199999999999984</c:v>
                </c:pt>
                <c:pt idx="25">
                  <c:v>0.81799999999999984</c:v>
                </c:pt>
                <c:pt idx="26">
                  <c:v>0.80599999999999983</c:v>
                </c:pt>
                <c:pt idx="27">
                  <c:v>0.80199999999999982</c:v>
                </c:pt>
                <c:pt idx="28">
                  <c:v>0.79499999999999993</c:v>
                </c:pt>
                <c:pt idx="29">
                  <c:v>0.78599999999999981</c:v>
                </c:pt>
                <c:pt idx="30">
                  <c:v>0.82999999999999985</c:v>
                </c:pt>
                <c:pt idx="31">
                  <c:v>0.86399999999999988</c:v>
                </c:pt>
                <c:pt idx="32">
                  <c:v>0.84699999999999998</c:v>
                </c:pt>
                <c:pt idx="33">
                  <c:v>0.86999999999999988</c:v>
                </c:pt>
                <c:pt idx="34">
                  <c:v>0.85299999999999998</c:v>
                </c:pt>
                <c:pt idx="35">
                  <c:v>0.85499999999999998</c:v>
                </c:pt>
                <c:pt idx="36">
                  <c:v>0.84999999999999987</c:v>
                </c:pt>
                <c:pt idx="37">
                  <c:v>0.84199999999999986</c:v>
                </c:pt>
                <c:pt idx="38">
                  <c:v>0.85699999999999998</c:v>
                </c:pt>
                <c:pt idx="39">
                  <c:v>0.86499999999999999</c:v>
                </c:pt>
                <c:pt idx="40">
                  <c:v>0.85699999999999998</c:v>
                </c:pt>
                <c:pt idx="41">
                  <c:v>0.85099999999999998</c:v>
                </c:pt>
                <c:pt idx="42">
                  <c:v>0.84999999999999987</c:v>
                </c:pt>
                <c:pt idx="43">
                  <c:v>0.86099999999999999</c:v>
                </c:pt>
                <c:pt idx="44">
                  <c:v>0.875</c:v>
                </c:pt>
                <c:pt idx="45">
                  <c:v>0.93099999999999983</c:v>
                </c:pt>
                <c:pt idx="46">
                  <c:v>0.97399999999999998</c:v>
                </c:pt>
                <c:pt idx="47">
                  <c:v>0.97099999999999986</c:v>
                </c:pt>
                <c:pt idx="48">
                  <c:v>0.95499999999999985</c:v>
                </c:pt>
                <c:pt idx="49">
                  <c:v>0.98599999999999999</c:v>
                </c:pt>
                <c:pt idx="50">
                  <c:v>0.97599999999999998</c:v>
                </c:pt>
                <c:pt idx="51">
                  <c:v>1.0189999999999999</c:v>
                </c:pt>
                <c:pt idx="52">
                  <c:v>1.0359999999999998</c:v>
                </c:pt>
                <c:pt idx="53">
                  <c:v>1.107</c:v>
                </c:pt>
                <c:pt idx="54">
                  <c:v>1.073</c:v>
                </c:pt>
                <c:pt idx="55">
                  <c:v>1.1529999999999998</c:v>
                </c:pt>
                <c:pt idx="56">
                  <c:v>1.1199999999999999</c:v>
                </c:pt>
                <c:pt idx="57">
                  <c:v>1.1159999999999999</c:v>
                </c:pt>
                <c:pt idx="58">
                  <c:v>1.0759999999999998</c:v>
                </c:pt>
                <c:pt idx="59">
                  <c:v>1.0439999999999998</c:v>
                </c:pt>
                <c:pt idx="60">
                  <c:v>1.0389999999999999</c:v>
                </c:pt>
                <c:pt idx="61">
                  <c:v>1.0279999999999998</c:v>
                </c:pt>
                <c:pt idx="62">
                  <c:v>1.0589999999999999</c:v>
                </c:pt>
                <c:pt idx="63">
                  <c:v>1.0579999999999998</c:v>
                </c:pt>
                <c:pt idx="64">
                  <c:v>1.0479999999999998</c:v>
                </c:pt>
                <c:pt idx="65">
                  <c:v>1.0379999999999998</c:v>
                </c:pt>
                <c:pt idx="66">
                  <c:v>1.018</c:v>
                </c:pt>
                <c:pt idx="67">
                  <c:v>1.0299999999999998</c:v>
                </c:pt>
                <c:pt idx="68">
                  <c:v>1.0439999999999998</c:v>
                </c:pt>
                <c:pt idx="69">
                  <c:v>1.0759999999999998</c:v>
                </c:pt>
                <c:pt idx="70">
                  <c:v>1.0999999999999999</c:v>
                </c:pt>
                <c:pt idx="71">
                  <c:v>1.2689999999999999</c:v>
                </c:pt>
                <c:pt idx="72">
                  <c:v>1.2529999999999999</c:v>
                </c:pt>
                <c:pt idx="73">
                  <c:v>1.3089999999999999</c:v>
                </c:pt>
                <c:pt idx="74">
                  <c:v>1.3029999999999999</c:v>
                </c:pt>
                <c:pt idx="75">
                  <c:v>1.26</c:v>
                </c:pt>
                <c:pt idx="76">
                  <c:v>1.286</c:v>
                </c:pt>
                <c:pt idx="77">
                  <c:v>1.294</c:v>
                </c:pt>
                <c:pt idx="78">
                  <c:v>1.278</c:v>
                </c:pt>
                <c:pt idx="79">
                  <c:v>1.2669999999999999</c:v>
                </c:pt>
                <c:pt idx="80">
                  <c:v>1.3359999999999999</c:v>
                </c:pt>
                <c:pt idx="81">
                  <c:v>1.4179999999999999</c:v>
                </c:pt>
                <c:pt idx="82">
                  <c:v>1.407</c:v>
                </c:pt>
                <c:pt idx="83">
                  <c:v>1.2909999999999999</c:v>
                </c:pt>
                <c:pt idx="84">
                  <c:v>1.1969999999999998</c:v>
                </c:pt>
                <c:pt idx="85">
                  <c:v>1.1749999999999998</c:v>
                </c:pt>
                <c:pt idx="86">
                  <c:v>1.1849999999999998</c:v>
                </c:pt>
                <c:pt idx="87">
                  <c:v>1.1809999999999998</c:v>
                </c:pt>
                <c:pt idx="88">
                  <c:v>1.149</c:v>
                </c:pt>
                <c:pt idx="89">
                  <c:v>1.224</c:v>
                </c:pt>
                <c:pt idx="90">
                  <c:v>1.202</c:v>
                </c:pt>
                <c:pt idx="91">
                  <c:v>1.23</c:v>
                </c:pt>
                <c:pt idx="92">
                  <c:v>1.2149999999999999</c:v>
                </c:pt>
                <c:pt idx="93">
                  <c:v>1.1989999999999998</c:v>
                </c:pt>
                <c:pt idx="94">
                  <c:v>1.1629999999999998</c:v>
                </c:pt>
                <c:pt idx="95">
                  <c:v>1.139</c:v>
                </c:pt>
                <c:pt idx="96">
                  <c:v>1.1619999999999999</c:v>
                </c:pt>
                <c:pt idx="97">
                  <c:v>1.133</c:v>
                </c:pt>
                <c:pt idx="98">
                  <c:v>1.1419999999999999</c:v>
                </c:pt>
                <c:pt idx="99">
                  <c:v>1.1319999999999999</c:v>
                </c:pt>
                <c:pt idx="100">
                  <c:v>1.113</c:v>
                </c:pt>
                <c:pt idx="101">
                  <c:v>1.1579999999999999</c:v>
                </c:pt>
                <c:pt idx="102">
                  <c:v>1.1259999999999999</c:v>
                </c:pt>
                <c:pt idx="103">
                  <c:v>1.1019999999999999</c:v>
                </c:pt>
                <c:pt idx="104">
                  <c:v>1.083</c:v>
                </c:pt>
                <c:pt idx="105">
                  <c:v>1.0719999999999998</c:v>
                </c:pt>
                <c:pt idx="106">
                  <c:v>1.0559999999999998</c:v>
                </c:pt>
                <c:pt idx="107">
                  <c:v>1.014</c:v>
                </c:pt>
                <c:pt idx="108">
                  <c:v>1.01</c:v>
                </c:pt>
                <c:pt idx="109">
                  <c:v>1.01</c:v>
                </c:pt>
                <c:pt idx="110">
                  <c:v>1.0249999999999999</c:v>
                </c:pt>
                <c:pt idx="111">
                  <c:v>1.0209999999999999</c:v>
                </c:pt>
                <c:pt idx="112">
                  <c:v>1.004</c:v>
                </c:pt>
                <c:pt idx="113">
                  <c:v>0.97399999999999998</c:v>
                </c:pt>
                <c:pt idx="114">
                  <c:v>0.91699999999999982</c:v>
                </c:pt>
                <c:pt idx="115">
                  <c:v>0.8839999999999999</c:v>
                </c:pt>
                <c:pt idx="116">
                  <c:v>0.84999999999999987</c:v>
                </c:pt>
                <c:pt idx="117">
                  <c:v>0.84099999999999997</c:v>
                </c:pt>
                <c:pt idx="118">
                  <c:v>0.82599999999999985</c:v>
                </c:pt>
                <c:pt idx="119">
                  <c:v>0.80899999999999994</c:v>
                </c:pt>
                <c:pt idx="120">
                  <c:v>0.74099999999999988</c:v>
                </c:pt>
                <c:pt idx="121">
                  <c:v>0.67499999999999982</c:v>
                </c:pt>
                <c:pt idx="122">
                  <c:v>0.65199999999999991</c:v>
                </c:pt>
                <c:pt idx="123">
                  <c:v>0.6339999999999999</c:v>
                </c:pt>
                <c:pt idx="124">
                  <c:v>0.61199999999999988</c:v>
                </c:pt>
                <c:pt idx="125">
                  <c:v>0.55399999999999983</c:v>
                </c:pt>
                <c:pt idx="126">
                  <c:v>0.49099999999999988</c:v>
                </c:pt>
                <c:pt idx="127">
                  <c:v>0.45599999999999996</c:v>
                </c:pt>
                <c:pt idx="128">
                  <c:v>0.40399999999999991</c:v>
                </c:pt>
                <c:pt idx="129">
                  <c:v>0.377</c:v>
                </c:pt>
                <c:pt idx="130">
                  <c:v>0.373</c:v>
                </c:pt>
                <c:pt idx="131">
                  <c:v>0.41399999999999992</c:v>
                </c:pt>
                <c:pt idx="132">
                  <c:v>0.37399999999999989</c:v>
                </c:pt>
                <c:pt idx="133">
                  <c:v>0.36499999999999999</c:v>
                </c:pt>
                <c:pt idx="134">
                  <c:v>0.34999999999999987</c:v>
                </c:pt>
                <c:pt idx="135">
                  <c:v>0.33099999999999996</c:v>
                </c:pt>
                <c:pt idx="136">
                  <c:v>0.31299999999999994</c:v>
                </c:pt>
                <c:pt idx="137">
                  <c:v>0.31499999999999995</c:v>
                </c:pt>
                <c:pt idx="138">
                  <c:v>0.36499999999999999</c:v>
                </c:pt>
                <c:pt idx="139">
                  <c:v>0.33799999999999986</c:v>
                </c:pt>
                <c:pt idx="140">
                  <c:v>0.32599999999999985</c:v>
                </c:pt>
                <c:pt idx="141">
                  <c:v>0.30599999999999983</c:v>
                </c:pt>
                <c:pt idx="142">
                  <c:v>0.25</c:v>
                </c:pt>
                <c:pt idx="143">
                  <c:v>0.17999999999999972</c:v>
                </c:pt>
                <c:pt idx="144">
                  <c:v>8.8999999999999968E-2</c:v>
                </c:pt>
                <c:pt idx="145">
                  <c:v>3.6999999999999922E-2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26368"/>
        <c:axId val="176766336"/>
      </c:lineChart>
      <c:catAx>
        <c:axId val="170826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66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766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6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-7.7450000000000001</c:v>
                </c:pt>
                <c:pt idx="1">
                  <c:v>-8.6</c:v>
                </c:pt>
                <c:pt idx="2">
                  <c:v>-4.0570000000000004</c:v>
                </c:pt>
                <c:pt idx="3">
                  <c:v>-4.0579999999999998</c:v>
                </c:pt>
                <c:pt idx="4">
                  <c:v>-2.8479999999999999</c:v>
                </c:pt>
                <c:pt idx="5">
                  <c:v>-4.9550000000000001</c:v>
                </c:pt>
                <c:pt idx="6">
                  <c:v>-2.274</c:v>
                </c:pt>
                <c:pt idx="7">
                  <c:v>-2.3090000000000002</c:v>
                </c:pt>
                <c:pt idx="8">
                  <c:v>-2.4950000000000001</c:v>
                </c:pt>
                <c:pt idx="9">
                  <c:v>-4.1159999999999997</c:v>
                </c:pt>
                <c:pt idx="10">
                  <c:v>-5.4349999999999996</c:v>
                </c:pt>
                <c:pt idx="11">
                  <c:v>-6.2960000000000003</c:v>
                </c:pt>
                <c:pt idx="12">
                  <c:v>-4.87</c:v>
                </c:pt>
                <c:pt idx="13">
                  <c:v>-0.26400000000000001</c:v>
                </c:pt>
                <c:pt idx="14">
                  <c:v>7.0000000000000007E-2</c:v>
                </c:pt>
                <c:pt idx="15">
                  <c:v>-3.3580000000000001</c:v>
                </c:pt>
                <c:pt idx="16">
                  <c:v>-9.34</c:v>
                </c:pt>
                <c:pt idx="17">
                  <c:v>-11.26</c:v>
                </c:pt>
                <c:pt idx="18">
                  <c:v>-11.2</c:v>
                </c:pt>
                <c:pt idx="19">
                  <c:v>-9.68</c:v>
                </c:pt>
                <c:pt idx="20">
                  <c:v>-6.8150000000000004</c:v>
                </c:pt>
                <c:pt idx="21">
                  <c:v>-6.3739999999999997</c:v>
                </c:pt>
                <c:pt idx="22">
                  <c:v>-4.5990000000000002</c:v>
                </c:pt>
                <c:pt idx="23">
                  <c:v>-8.42</c:v>
                </c:pt>
                <c:pt idx="24">
                  <c:v>-10.08</c:v>
                </c:pt>
                <c:pt idx="25">
                  <c:v>-4.2640000000000002</c:v>
                </c:pt>
                <c:pt idx="26">
                  <c:v>-2.1549999999999998</c:v>
                </c:pt>
                <c:pt idx="27">
                  <c:v>0.122</c:v>
                </c:pt>
                <c:pt idx="28">
                  <c:v>-0.86599999999999999</c:v>
                </c:pt>
                <c:pt idx="29">
                  <c:v>-2.5680000000000001</c:v>
                </c:pt>
                <c:pt idx="30">
                  <c:v>-3.4929999999999999</c:v>
                </c:pt>
                <c:pt idx="31">
                  <c:v>-4.8680000000000003</c:v>
                </c:pt>
                <c:pt idx="32">
                  <c:v>-10.3</c:v>
                </c:pt>
                <c:pt idx="33">
                  <c:v>-11.02</c:v>
                </c:pt>
                <c:pt idx="34">
                  <c:v>-9.8699999999999992</c:v>
                </c:pt>
                <c:pt idx="35">
                  <c:v>-13.75</c:v>
                </c:pt>
                <c:pt idx="36">
                  <c:v>-10.11</c:v>
                </c:pt>
                <c:pt idx="37">
                  <c:v>-7.9569999999999999</c:v>
                </c:pt>
                <c:pt idx="38">
                  <c:v>-11.31</c:v>
                </c:pt>
                <c:pt idx="39">
                  <c:v>-12.82</c:v>
                </c:pt>
                <c:pt idx="40">
                  <c:v>-14.7</c:v>
                </c:pt>
                <c:pt idx="41">
                  <c:v>-13.74</c:v>
                </c:pt>
                <c:pt idx="42">
                  <c:v>-9.18</c:v>
                </c:pt>
                <c:pt idx="43">
                  <c:v>-9.99</c:v>
                </c:pt>
                <c:pt idx="44">
                  <c:v>-7.75</c:v>
                </c:pt>
                <c:pt idx="45">
                  <c:v>-4.7089999999999996</c:v>
                </c:pt>
                <c:pt idx="46">
                  <c:v>-6.1980000000000004</c:v>
                </c:pt>
                <c:pt idx="47">
                  <c:v>-6.0339999999999998</c:v>
                </c:pt>
                <c:pt idx="48">
                  <c:v>-5.266</c:v>
                </c:pt>
                <c:pt idx="49">
                  <c:v>-4.71</c:v>
                </c:pt>
                <c:pt idx="50">
                  <c:v>-2.6629999999999998</c:v>
                </c:pt>
                <c:pt idx="51">
                  <c:v>-2.7330000000000001</c:v>
                </c:pt>
                <c:pt idx="52">
                  <c:v>-0.81299999999999994</c:v>
                </c:pt>
                <c:pt idx="53">
                  <c:v>-1.5660000000000001</c:v>
                </c:pt>
                <c:pt idx="54">
                  <c:v>-3.86</c:v>
                </c:pt>
                <c:pt idx="55">
                  <c:v>-1.3109999999999999</c:v>
                </c:pt>
                <c:pt idx="56">
                  <c:v>-4.7E-2</c:v>
                </c:pt>
                <c:pt idx="57">
                  <c:v>-1.0999999999999999E-2</c:v>
                </c:pt>
                <c:pt idx="58">
                  <c:v>0.35099999999999998</c:v>
                </c:pt>
                <c:pt idx="59">
                  <c:v>0.39700000000000002</c:v>
                </c:pt>
                <c:pt idx="60">
                  <c:v>0.22700000000000001</c:v>
                </c:pt>
                <c:pt idx="61">
                  <c:v>0.29599999999999999</c:v>
                </c:pt>
                <c:pt idx="62">
                  <c:v>-0.24399999999999999</c:v>
                </c:pt>
                <c:pt idx="63">
                  <c:v>-1.1930000000000001</c:v>
                </c:pt>
                <c:pt idx="64">
                  <c:v>-0.192</c:v>
                </c:pt>
                <c:pt idx="65">
                  <c:v>-0.97799999999999998</c:v>
                </c:pt>
                <c:pt idx="66">
                  <c:v>-0.47499999999999998</c:v>
                </c:pt>
                <c:pt idx="67">
                  <c:v>0.17199999999999999</c:v>
                </c:pt>
                <c:pt idx="68">
                  <c:v>-3.278</c:v>
                </c:pt>
                <c:pt idx="69">
                  <c:v>-4.6929999999999996</c:v>
                </c:pt>
                <c:pt idx="70">
                  <c:v>-2.9929999999999999</c:v>
                </c:pt>
                <c:pt idx="71">
                  <c:v>-3.5089999999999999</c:v>
                </c:pt>
                <c:pt idx="72">
                  <c:v>-3.444</c:v>
                </c:pt>
                <c:pt idx="73">
                  <c:v>-4.4530000000000003</c:v>
                </c:pt>
                <c:pt idx="74">
                  <c:v>-1.0760000000000001</c:v>
                </c:pt>
                <c:pt idx="75">
                  <c:v>-0.93799999999999994</c:v>
                </c:pt>
                <c:pt idx="76">
                  <c:v>-2.0190000000000001</c:v>
                </c:pt>
                <c:pt idx="77">
                  <c:v>-5.484</c:v>
                </c:pt>
                <c:pt idx="78">
                  <c:v>-3.3000000000000002E-2</c:v>
                </c:pt>
                <c:pt idx="79">
                  <c:v>0.29899999999999999</c:v>
                </c:pt>
                <c:pt idx="80">
                  <c:v>-2.319</c:v>
                </c:pt>
                <c:pt idx="81">
                  <c:v>-0.19500000000000001</c:v>
                </c:pt>
                <c:pt idx="82">
                  <c:v>-6.2E-2</c:v>
                </c:pt>
                <c:pt idx="83">
                  <c:v>1.012</c:v>
                </c:pt>
                <c:pt idx="84">
                  <c:v>1.1220000000000001</c:v>
                </c:pt>
                <c:pt idx="85">
                  <c:v>0.35199999999999998</c:v>
                </c:pt>
                <c:pt idx="86">
                  <c:v>0.155</c:v>
                </c:pt>
                <c:pt idx="87">
                  <c:v>0.73799999999999999</c:v>
                </c:pt>
                <c:pt idx="88">
                  <c:v>0.56299999999999994</c:v>
                </c:pt>
                <c:pt idx="89">
                  <c:v>0.27600000000000002</c:v>
                </c:pt>
                <c:pt idx="90">
                  <c:v>0.314</c:v>
                </c:pt>
                <c:pt idx="91">
                  <c:v>0.249</c:v>
                </c:pt>
                <c:pt idx="92">
                  <c:v>0.307</c:v>
                </c:pt>
                <c:pt idx="93">
                  <c:v>0.71699999999999997</c:v>
                </c:pt>
                <c:pt idx="94">
                  <c:v>0.71699999999999997</c:v>
                </c:pt>
                <c:pt idx="95">
                  <c:v>0.65</c:v>
                </c:pt>
                <c:pt idx="96">
                  <c:v>0.39900000000000002</c:v>
                </c:pt>
                <c:pt idx="97">
                  <c:v>-8.8999999999999996E-2</c:v>
                </c:pt>
                <c:pt idx="98">
                  <c:v>0.46300000000000002</c:v>
                </c:pt>
                <c:pt idx="99">
                  <c:v>0.14699999999999999</c:v>
                </c:pt>
                <c:pt idx="100">
                  <c:v>0.50700000000000001</c:v>
                </c:pt>
                <c:pt idx="101">
                  <c:v>-0.123</c:v>
                </c:pt>
                <c:pt idx="102">
                  <c:v>0.16</c:v>
                </c:pt>
                <c:pt idx="103">
                  <c:v>0.64</c:v>
                </c:pt>
                <c:pt idx="104">
                  <c:v>0.60299999999999998</c:v>
                </c:pt>
                <c:pt idx="105">
                  <c:v>0.44500000000000001</c:v>
                </c:pt>
                <c:pt idx="106">
                  <c:v>0.53700000000000003</c:v>
                </c:pt>
                <c:pt idx="107">
                  <c:v>0.8</c:v>
                </c:pt>
                <c:pt idx="108">
                  <c:v>0.59</c:v>
                </c:pt>
                <c:pt idx="109">
                  <c:v>0.26100000000000001</c:v>
                </c:pt>
                <c:pt idx="110">
                  <c:v>1.6E-2</c:v>
                </c:pt>
                <c:pt idx="111">
                  <c:v>0.371</c:v>
                </c:pt>
                <c:pt idx="112">
                  <c:v>0.84499999999999997</c:v>
                </c:pt>
                <c:pt idx="113">
                  <c:v>0.81</c:v>
                </c:pt>
                <c:pt idx="114">
                  <c:v>0.871</c:v>
                </c:pt>
                <c:pt idx="115">
                  <c:v>0.85</c:v>
                </c:pt>
                <c:pt idx="116">
                  <c:v>0.84099999999999997</c:v>
                </c:pt>
                <c:pt idx="117">
                  <c:v>0.28499999999999998</c:v>
                </c:pt>
                <c:pt idx="118">
                  <c:v>0.47899999999999998</c:v>
                </c:pt>
                <c:pt idx="119">
                  <c:v>0.69099999999999995</c:v>
                </c:pt>
                <c:pt idx="120">
                  <c:v>0.86799999999999999</c:v>
                </c:pt>
                <c:pt idx="121">
                  <c:v>0.88200000000000001</c:v>
                </c:pt>
                <c:pt idx="122">
                  <c:v>0.38300000000000001</c:v>
                </c:pt>
                <c:pt idx="123">
                  <c:v>0.36799999999999999</c:v>
                </c:pt>
                <c:pt idx="124">
                  <c:v>0.629</c:v>
                </c:pt>
                <c:pt idx="125">
                  <c:v>0.95299999999999996</c:v>
                </c:pt>
                <c:pt idx="126">
                  <c:v>1.07</c:v>
                </c:pt>
                <c:pt idx="127">
                  <c:v>0.75700000000000001</c:v>
                </c:pt>
                <c:pt idx="128">
                  <c:v>0.57399999999999995</c:v>
                </c:pt>
                <c:pt idx="129">
                  <c:v>0.29399999999999998</c:v>
                </c:pt>
                <c:pt idx="130">
                  <c:v>0.499</c:v>
                </c:pt>
                <c:pt idx="131">
                  <c:v>0.316</c:v>
                </c:pt>
                <c:pt idx="132">
                  <c:v>0.97499999999999998</c:v>
                </c:pt>
                <c:pt idx="133">
                  <c:v>0.44800000000000001</c:v>
                </c:pt>
                <c:pt idx="134">
                  <c:v>0.67400000000000004</c:v>
                </c:pt>
                <c:pt idx="135">
                  <c:v>0.314</c:v>
                </c:pt>
                <c:pt idx="136">
                  <c:v>0.82499999999999996</c:v>
                </c:pt>
                <c:pt idx="137">
                  <c:v>0.23599999999999999</c:v>
                </c:pt>
                <c:pt idx="138">
                  <c:v>-6.4000000000000001E-2</c:v>
                </c:pt>
                <c:pt idx="139">
                  <c:v>0.496</c:v>
                </c:pt>
                <c:pt idx="140">
                  <c:v>0.77500000000000002</c:v>
                </c:pt>
                <c:pt idx="141">
                  <c:v>0.81399999999999995</c:v>
                </c:pt>
                <c:pt idx="142">
                  <c:v>0.94499999999999995</c:v>
                </c:pt>
                <c:pt idx="143">
                  <c:v>1.4330000000000001</c:v>
                </c:pt>
                <c:pt idx="144">
                  <c:v>3.899</c:v>
                </c:pt>
                <c:pt idx="145">
                  <c:v>8.49</c:v>
                </c:pt>
                <c:pt idx="146">
                  <c:v>18.010000000000002</c:v>
                </c:pt>
                <c:pt idx="147">
                  <c:v>31.57</c:v>
                </c:pt>
                <c:pt idx="148">
                  <c:v>21.54</c:v>
                </c:pt>
                <c:pt idx="149">
                  <c:v>24.32</c:v>
                </c:pt>
                <c:pt idx="150">
                  <c:v>34.49</c:v>
                </c:pt>
                <c:pt idx="151">
                  <c:v>23.91</c:v>
                </c:pt>
                <c:pt idx="152">
                  <c:v>28.19</c:v>
                </c:pt>
                <c:pt idx="153">
                  <c:v>30.85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-9.68</c:v>
                </c:pt>
                <c:pt idx="1">
                  <c:v>-11.12</c:v>
                </c:pt>
                <c:pt idx="2">
                  <c:v>-9.3000000000000007</c:v>
                </c:pt>
                <c:pt idx="3">
                  <c:v>-7.0960000000000001</c:v>
                </c:pt>
                <c:pt idx="4">
                  <c:v>-7.3150000000000004</c:v>
                </c:pt>
                <c:pt idx="5">
                  <c:v>-7.5620000000000003</c:v>
                </c:pt>
                <c:pt idx="6">
                  <c:v>-9.4</c:v>
                </c:pt>
                <c:pt idx="7">
                  <c:v>-7.7320000000000002</c:v>
                </c:pt>
                <c:pt idx="8">
                  <c:v>-8.14</c:v>
                </c:pt>
                <c:pt idx="9">
                  <c:v>-8.4499999999999993</c:v>
                </c:pt>
                <c:pt idx="10">
                  <c:v>-7.6139999999999999</c:v>
                </c:pt>
                <c:pt idx="11">
                  <c:v>-9.59</c:v>
                </c:pt>
                <c:pt idx="12">
                  <c:v>-9.9600000000000009</c:v>
                </c:pt>
                <c:pt idx="13">
                  <c:v>-5.0999999999999996</c:v>
                </c:pt>
                <c:pt idx="14">
                  <c:v>-3.4340000000000002</c:v>
                </c:pt>
                <c:pt idx="15">
                  <c:v>-12.3</c:v>
                </c:pt>
                <c:pt idx="16">
                  <c:v>-14.05</c:v>
                </c:pt>
                <c:pt idx="17">
                  <c:v>-16.61</c:v>
                </c:pt>
                <c:pt idx="18">
                  <c:v>-18.12</c:v>
                </c:pt>
                <c:pt idx="19">
                  <c:v>-17.72</c:v>
                </c:pt>
                <c:pt idx="20">
                  <c:v>-13.29</c:v>
                </c:pt>
                <c:pt idx="21">
                  <c:v>-13.87</c:v>
                </c:pt>
                <c:pt idx="22">
                  <c:v>-10.29</c:v>
                </c:pt>
                <c:pt idx="23">
                  <c:v>-13.98</c:v>
                </c:pt>
                <c:pt idx="24">
                  <c:v>-15.46</c:v>
                </c:pt>
                <c:pt idx="25">
                  <c:v>-11.07</c:v>
                </c:pt>
                <c:pt idx="26">
                  <c:v>-7.57</c:v>
                </c:pt>
                <c:pt idx="27">
                  <c:v>-6.5030000000000001</c:v>
                </c:pt>
                <c:pt idx="28">
                  <c:v>-6.8339999999999996</c:v>
                </c:pt>
                <c:pt idx="29">
                  <c:v>-5.9260000000000002</c:v>
                </c:pt>
                <c:pt idx="30">
                  <c:v>-7.6079999999999997</c:v>
                </c:pt>
                <c:pt idx="31">
                  <c:v>-14.18</c:v>
                </c:pt>
                <c:pt idx="32">
                  <c:v>-17.07</c:v>
                </c:pt>
                <c:pt idx="33">
                  <c:v>-14.67</c:v>
                </c:pt>
                <c:pt idx="34">
                  <c:v>-21.28</c:v>
                </c:pt>
                <c:pt idx="35">
                  <c:v>-23.94</c:v>
                </c:pt>
                <c:pt idx="36">
                  <c:v>-16.96</c:v>
                </c:pt>
                <c:pt idx="37">
                  <c:v>-17.12</c:v>
                </c:pt>
                <c:pt idx="38">
                  <c:v>-19.27</c:v>
                </c:pt>
                <c:pt idx="39">
                  <c:v>-20.64</c:v>
                </c:pt>
                <c:pt idx="40">
                  <c:v>-21.9</c:v>
                </c:pt>
                <c:pt idx="41">
                  <c:v>-22.86</c:v>
                </c:pt>
                <c:pt idx="42">
                  <c:v>-21.64</c:v>
                </c:pt>
                <c:pt idx="43">
                  <c:v>-20.149999999999999</c:v>
                </c:pt>
                <c:pt idx="44">
                  <c:v>-13.82</c:v>
                </c:pt>
                <c:pt idx="45">
                  <c:v>-11.35</c:v>
                </c:pt>
                <c:pt idx="46">
                  <c:v>-10.66</c:v>
                </c:pt>
                <c:pt idx="47">
                  <c:v>-9.5500000000000007</c:v>
                </c:pt>
                <c:pt idx="48">
                  <c:v>-8.82</c:v>
                </c:pt>
                <c:pt idx="49">
                  <c:v>-8.09</c:v>
                </c:pt>
                <c:pt idx="50">
                  <c:v>-6.7750000000000004</c:v>
                </c:pt>
                <c:pt idx="51">
                  <c:v>-5.3920000000000003</c:v>
                </c:pt>
                <c:pt idx="52">
                  <c:v>-5.8819999999999997</c:v>
                </c:pt>
                <c:pt idx="53">
                  <c:v>-5.2549999999999999</c:v>
                </c:pt>
                <c:pt idx="54">
                  <c:v>-7.2990000000000004</c:v>
                </c:pt>
                <c:pt idx="55">
                  <c:v>-5.6980000000000004</c:v>
                </c:pt>
                <c:pt idx="56">
                  <c:v>-6.8520000000000003</c:v>
                </c:pt>
                <c:pt idx="57">
                  <c:v>-6.9269999999999996</c:v>
                </c:pt>
                <c:pt idx="58">
                  <c:v>-3.181</c:v>
                </c:pt>
                <c:pt idx="59">
                  <c:v>-4.2460000000000004</c:v>
                </c:pt>
                <c:pt idx="60">
                  <c:v>-3.94</c:v>
                </c:pt>
                <c:pt idx="61">
                  <c:v>-7.5389999999999997</c:v>
                </c:pt>
                <c:pt idx="62">
                  <c:v>-8.6999999999999993</c:v>
                </c:pt>
                <c:pt idx="63">
                  <c:v>-9.07</c:v>
                </c:pt>
                <c:pt idx="64">
                  <c:v>-8.48</c:v>
                </c:pt>
                <c:pt idx="65">
                  <c:v>-9.43</c:v>
                </c:pt>
                <c:pt idx="66">
                  <c:v>-5.8890000000000002</c:v>
                </c:pt>
                <c:pt idx="67">
                  <c:v>-7.9980000000000002</c:v>
                </c:pt>
                <c:pt idx="68">
                  <c:v>-10.48</c:v>
                </c:pt>
                <c:pt idx="69">
                  <c:v>-11.78</c:v>
                </c:pt>
                <c:pt idx="70">
                  <c:v>-6.8170000000000002</c:v>
                </c:pt>
                <c:pt idx="71">
                  <c:v>-12.22</c:v>
                </c:pt>
                <c:pt idx="72">
                  <c:v>-14.73</c:v>
                </c:pt>
                <c:pt idx="73">
                  <c:v>-9.39</c:v>
                </c:pt>
                <c:pt idx="74">
                  <c:v>-10.39</c:v>
                </c:pt>
                <c:pt idx="75">
                  <c:v>-12.29</c:v>
                </c:pt>
                <c:pt idx="76">
                  <c:v>-13.72</c:v>
                </c:pt>
                <c:pt idx="77">
                  <c:v>-11.98</c:v>
                </c:pt>
                <c:pt idx="78">
                  <c:v>-6.5439999999999996</c:v>
                </c:pt>
                <c:pt idx="79">
                  <c:v>-9.0500000000000007</c:v>
                </c:pt>
                <c:pt idx="80">
                  <c:v>-9.19</c:v>
                </c:pt>
                <c:pt idx="81">
                  <c:v>-7.1289999999999996</c:v>
                </c:pt>
                <c:pt idx="82">
                  <c:v>-1.0169999999999999</c:v>
                </c:pt>
                <c:pt idx="83">
                  <c:v>-0.33600000000000002</c:v>
                </c:pt>
                <c:pt idx="84">
                  <c:v>-0.33600000000000002</c:v>
                </c:pt>
                <c:pt idx="85">
                  <c:v>-1.4059999999999999</c:v>
                </c:pt>
                <c:pt idx="86">
                  <c:v>-2.2759999999999998</c:v>
                </c:pt>
                <c:pt idx="87">
                  <c:v>-6.69</c:v>
                </c:pt>
                <c:pt idx="88">
                  <c:v>-6.9560000000000004</c:v>
                </c:pt>
                <c:pt idx="89">
                  <c:v>-6.3579999999999997</c:v>
                </c:pt>
                <c:pt idx="90">
                  <c:v>-6.2290000000000001</c:v>
                </c:pt>
                <c:pt idx="91">
                  <c:v>-5.4889999999999999</c:v>
                </c:pt>
                <c:pt idx="92">
                  <c:v>-8.34</c:v>
                </c:pt>
                <c:pt idx="93">
                  <c:v>-8.86</c:v>
                </c:pt>
                <c:pt idx="94">
                  <c:v>-5.577</c:v>
                </c:pt>
                <c:pt idx="95">
                  <c:v>-2.8660000000000001</c:v>
                </c:pt>
                <c:pt idx="96">
                  <c:v>-3.25</c:v>
                </c:pt>
                <c:pt idx="97">
                  <c:v>-4.758</c:v>
                </c:pt>
                <c:pt idx="98">
                  <c:v>-5.5529999999999999</c:v>
                </c:pt>
                <c:pt idx="99">
                  <c:v>-3.9860000000000002</c:v>
                </c:pt>
                <c:pt idx="100">
                  <c:v>-4.9580000000000002</c:v>
                </c:pt>
                <c:pt idx="101">
                  <c:v>-8.5500000000000007</c:v>
                </c:pt>
                <c:pt idx="102">
                  <c:v>-10.5</c:v>
                </c:pt>
                <c:pt idx="103">
                  <c:v>-5.4450000000000003</c:v>
                </c:pt>
                <c:pt idx="104">
                  <c:v>-1.615</c:v>
                </c:pt>
                <c:pt idx="105">
                  <c:v>-6.8090000000000002</c:v>
                </c:pt>
                <c:pt idx="106">
                  <c:v>-7.5170000000000003</c:v>
                </c:pt>
                <c:pt idx="107">
                  <c:v>-4.4290000000000003</c:v>
                </c:pt>
                <c:pt idx="108">
                  <c:v>-3.1070000000000002</c:v>
                </c:pt>
                <c:pt idx="109">
                  <c:v>-4.6159999999999997</c:v>
                </c:pt>
                <c:pt idx="110">
                  <c:v>-7.7149999999999999</c:v>
                </c:pt>
                <c:pt idx="111">
                  <c:v>-8.86</c:v>
                </c:pt>
                <c:pt idx="112">
                  <c:v>-6.5049999999999999</c:v>
                </c:pt>
                <c:pt idx="113">
                  <c:v>-4.3040000000000003</c:v>
                </c:pt>
                <c:pt idx="114">
                  <c:v>-1.4770000000000001</c:v>
                </c:pt>
                <c:pt idx="115">
                  <c:v>-0.84599999999999997</c:v>
                </c:pt>
                <c:pt idx="116">
                  <c:v>-0.79900000000000004</c:v>
                </c:pt>
                <c:pt idx="117">
                  <c:v>-1.6839999999999999</c:v>
                </c:pt>
                <c:pt idx="118">
                  <c:v>-1.925</c:v>
                </c:pt>
                <c:pt idx="119">
                  <c:v>-2.7280000000000002</c:v>
                </c:pt>
                <c:pt idx="120">
                  <c:v>-1.2789999999999999</c:v>
                </c:pt>
                <c:pt idx="121">
                  <c:v>-0.16400000000000001</c:v>
                </c:pt>
                <c:pt idx="122">
                  <c:v>-4.6449999999999996</c:v>
                </c:pt>
                <c:pt idx="123">
                  <c:v>-4.875</c:v>
                </c:pt>
                <c:pt idx="124">
                  <c:v>-5.2229999999999999</c:v>
                </c:pt>
                <c:pt idx="125">
                  <c:v>-1.266</c:v>
                </c:pt>
                <c:pt idx="126">
                  <c:v>-0.49399999999999999</c:v>
                </c:pt>
                <c:pt idx="127">
                  <c:v>-5.0170000000000003</c:v>
                </c:pt>
                <c:pt idx="128">
                  <c:v>-1.7130000000000001</c:v>
                </c:pt>
                <c:pt idx="129">
                  <c:v>-1.024</c:v>
                </c:pt>
                <c:pt idx="130">
                  <c:v>-2.2789999999999999</c:v>
                </c:pt>
                <c:pt idx="131">
                  <c:v>-1.3049999999999999</c:v>
                </c:pt>
                <c:pt idx="132">
                  <c:v>-0.441</c:v>
                </c:pt>
                <c:pt idx="133">
                  <c:v>-1.4079999999999999</c:v>
                </c:pt>
                <c:pt idx="134">
                  <c:v>-3.476</c:v>
                </c:pt>
                <c:pt idx="135">
                  <c:v>-1.5389999999999999</c:v>
                </c:pt>
                <c:pt idx="136">
                  <c:v>-1.905</c:v>
                </c:pt>
                <c:pt idx="137">
                  <c:v>-2.8260000000000001</c:v>
                </c:pt>
                <c:pt idx="138">
                  <c:v>-2.8679999999999999</c:v>
                </c:pt>
                <c:pt idx="139">
                  <c:v>-3.5329999999999999</c:v>
                </c:pt>
                <c:pt idx="140">
                  <c:v>-3.7269999999999999</c:v>
                </c:pt>
                <c:pt idx="141">
                  <c:v>-1.113</c:v>
                </c:pt>
                <c:pt idx="142">
                  <c:v>-0.63</c:v>
                </c:pt>
                <c:pt idx="143">
                  <c:v>-0.125</c:v>
                </c:pt>
                <c:pt idx="144">
                  <c:v>8.5000000000000006E-2</c:v>
                </c:pt>
                <c:pt idx="145">
                  <c:v>0.28999999999999998</c:v>
                </c:pt>
                <c:pt idx="146">
                  <c:v>-0.11899999999999999</c:v>
                </c:pt>
                <c:pt idx="147">
                  <c:v>4.2960000000000003</c:v>
                </c:pt>
                <c:pt idx="148">
                  <c:v>1.2769999999999999</c:v>
                </c:pt>
                <c:pt idx="149">
                  <c:v>0.83399999999999996</c:v>
                </c:pt>
                <c:pt idx="150">
                  <c:v>-0.193</c:v>
                </c:pt>
                <c:pt idx="151">
                  <c:v>-0.621</c:v>
                </c:pt>
                <c:pt idx="152">
                  <c:v>-1.4590000000000001</c:v>
                </c:pt>
                <c:pt idx="153">
                  <c:v>1.982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49376"/>
        <c:axId val="197760128"/>
      </c:lineChart>
      <c:catAx>
        <c:axId val="197749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60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6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49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0.111</c:v>
                </c:pt>
                <c:pt idx="1">
                  <c:v>0.111</c:v>
                </c:pt>
                <c:pt idx="2">
                  <c:v>0.111</c:v>
                </c:pt>
                <c:pt idx="3">
                  <c:v>0.111</c:v>
                </c:pt>
                <c:pt idx="4">
                  <c:v>0.111</c:v>
                </c:pt>
                <c:pt idx="5">
                  <c:v>0.111</c:v>
                </c:pt>
                <c:pt idx="6">
                  <c:v>0.112</c:v>
                </c:pt>
                <c:pt idx="7">
                  <c:v>0.112</c:v>
                </c:pt>
                <c:pt idx="8">
                  <c:v>0.112</c:v>
                </c:pt>
                <c:pt idx="9">
                  <c:v>0.112</c:v>
                </c:pt>
                <c:pt idx="10">
                  <c:v>0.112</c:v>
                </c:pt>
                <c:pt idx="11">
                  <c:v>0.112</c:v>
                </c:pt>
                <c:pt idx="12">
                  <c:v>0.112</c:v>
                </c:pt>
                <c:pt idx="13">
                  <c:v>0.113</c:v>
                </c:pt>
                <c:pt idx="14">
                  <c:v>0.113</c:v>
                </c:pt>
                <c:pt idx="15">
                  <c:v>0.114</c:v>
                </c:pt>
                <c:pt idx="16">
                  <c:v>0.115</c:v>
                </c:pt>
                <c:pt idx="17">
                  <c:v>0.115</c:v>
                </c:pt>
                <c:pt idx="18">
                  <c:v>0.115</c:v>
                </c:pt>
                <c:pt idx="19">
                  <c:v>0.115</c:v>
                </c:pt>
                <c:pt idx="20">
                  <c:v>0.115</c:v>
                </c:pt>
                <c:pt idx="21">
                  <c:v>0.115</c:v>
                </c:pt>
                <c:pt idx="22">
                  <c:v>0.114</c:v>
                </c:pt>
                <c:pt idx="23">
                  <c:v>0.114</c:v>
                </c:pt>
                <c:pt idx="24">
                  <c:v>0.114</c:v>
                </c:pt>
                <c:pt idx="25">
                  <c:v>0.113</c:v>
                </c:pt>
                <c:pt idx="26">
                  <c:v>0.113</c:v>
                </c:pt>
                <c:pt idx="27">
                  <c:v>0.113</c:v>
                </c:pt>
                <c:pt idx="28">
                  <c:v>0.112</c:v>
                </c:pt>
                <c:pt idx="29">
                  <c:v>0.112</c:v>
                </c:pt>
                <c:pt idx="30">
                  <c:v>0.112</c:v>
                </c:pt>
                <c:pt idx="31">
                  <c:v>0.112</c:v>
                </c:pt>
                <c:pt idx="32">
                  <c:v>0.112</c:v>
                </c:pt>
                <c:pt idx="33">
                  <c:v>0.112</c:v>
                </c:pt>
                <c:pt idx="34">
                  <c:v>0.112</c:v>
                </c:pt>
                <c:pt idx="35">
                  <c:v>0.112</c:v>
                </c:pt>
                <c:pt idx="36">
                  <c:v>0.111</c:v>
                </c:pt>
                <c:pt idx="37">
                  <c:v>0.111</c:v>
                </c:pt>
                <c:pt idx="38">
                  <c:v>0.111</c:v>
                </c:pt>
                <c:pt idx="39">
                  <c:v>0.111</c:v>
                </c:pt>
                <c:pt idx="40">
                  <c:v>0.11</c:v>
                </c:pt>
                <c:pt idx="41">
                  <c:v>0.11</c:v>
                </c:pt>
                <c:pt idx="42">
                  <c:v>0.109</c:v>
                </c:pt>
                <c:pt idx="43">
                  <c:v>0.108</c:v>
                </c:pt>
                <c:pt idx="44">
                  <c:v>0.108</c:v>
                </c:pt>
                <c:pt idx="45">
                  <c:v>0.107</c:v>
                </c:pt>
                <c:pt idx="46">
                  <c:v>0.106</c:v>
                </c:pt>
                <c:pt idx="47">
                  <c:v>0.105</c:v>
                </c:pt>
                <c:pt idx="48">
                  <c:v>0.105</c:v>
                </c:pt>
                <c:pt idx="49">
                  <c:v>0.104</c:v>
                </c:pt>
                <c:pt idx="50">
                  <c:v>0.104</c:v>
                </c:pt>
                <c:pt idx="51">
                  <c:v>0.104</c:v>
                </c:pt>
                <c:pt idx="52">
                  <c:v>0.104</c:v>
                </c:pt>
                <c:pt idx="53">
                  <c:v>0.104</c:v>
                </c:pt>
                <c:pt idx="54">
                  <c:v>0.104</c:v>
                </c:pt>
                <c:pt idx="55">
                  <c:v>0.104</c:v>
                </c:pt>
                <c:pt idx="56">
                  <c:v>0.104</c:v>
                </c:pt>
                <c:pt idx="57">
                  <c:v>0.104</c:v>
                </c:pt>
                <c:pt idx="58">
                  <c:v>0.105</c:v>
                </c:pt>
                <c:pt idx="59">
                  <c:v>0.105</c:v>
                </c:pt>
                <c:pt idx="60">
                  <c:v>0.105</c:v>
                </c:pt>
                <c:pt idx="61">
                  <c:v>0.106</c:v>
                </c:pt>
                <c:pt idx="62">
                  <c:v>0.106</c:v>
                </c:pt>
                <c:pt idx="63">
                  <c:v>0.106</c:v>
                </c:pt>
                <c:pt idx="64">
                  <c:v>0.107</c:v>
                </c:pt>
                <c:pt idx="65">
                  <c:v>0.108</c:v>
                </c:pt>
                <c:pt idx="66">
                  <c:v>0.109</c:v>
                </c:pt>
                <c:pt idx="67">
                  <c:v>0.111</c:v>
                </c:pt>
                <c:pt idx="68">
                  <c:v>0.112</c:v>
                </c:pt>
                <c:pt idx="69">
                  <c:v>0.113</c:v>
                </c:pt>
                <c:pt idx="70">
                  <c:v>0.114</c:v>
                </c:pt>
                <c:pt idx="71">
                  <c:v>0.114</c:v>
                </c:pt>
                <c:pt idx="72">
                  <c:v>0.114</c:v>
                </c:pt>
                <c:pt idx="73">
                  <c:v>0.114</c:v>
                </c:pt>
                <c:pt idx="74">
                  <c:v>0.114</c:v>
                </c:pt>
                <c:pt idx="75">
                  <c:v>0.114</c:v>
                </c:pt>
                <c:pt idx="76">
                  <c:v>0.114</c:v>
                </c:pt>
                <c:pt idx="77">
                  <c:v>0.113</c:v>
                </c:pt>
                <c:pt idx="78">
                  <c:v>0.113</c:v>
                </c:pt>
                <c:pt idx="79">
                  <c:v>0.114</c:v>
                </c:pt>
                <c:pt idx="80">
                  <c:v>0.114</c:v>
                </c:pt>
                <c:pt idx="81">
                  <c:v>0.114</c:v>
                </c:pt>
                <c:pt idx="82">
                  <c:v>0.114</c:v>
                </c:pt>
                <c:pt idx="83">
                  <c:v>0.11899999999999999</c:v>
                </c:pt>
                <c:pt idx="84">
                  <c:v>0.13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0.13800000000000001</c:v>
                </c:pt>
                <c:pt idx="88">
                  <c:v>0.13700000000000001</c:v>
                </c:pt>
                <c:pt idx="89">
                  <c:v>0.13700000000000001</c:v>
                </c:pt>
                <c:pt idx="90">
                  <c:v>0.13700000000000001</c:v>
                </c:pt>
                <c:pt idx="91">
                  <c:v>0.13700000000000001</c:v>
                </c:pt>
                <c:pt idx="92">
                  <c:v>0.13600000000000001</c:v>
                </c:pt>
                <c:pt idx="93">
                  <c:v>0.13600000000000001</c:v>
                </c:pt>
                <c:pt idx="94">
                  <c:v>0.13700000000000001</c:v>
                </c:pt>
                <c:pt idx="95">
                  <c:v>0.14000000000000001</c:v>
                </c:pt>
                <c:pt idx="96">
                  <c:v>0.156</c:v>
                </c:pt>
                <c:pt idx="97">
                  <c:v>0.16</c:v>
                </c:pt>
                <c:pt idx="98">
                  <c:v>0.155</c:v>
                </c:pt>
                <c:pt idx="99">
                  <c:v>0.153</c:v>
                </c:pt>
                <c:pt idx="100">
                  <c:v>0.152</c:v>
                </c:pt>
                <c:pt idx="101">
                  <c:v>0.154</c:v>
                </c:pt>
                <c:pt idx="102">
                  <c:v>0.154</c:v>
                </c:pt>
                <c:pt idx="103">
                  <c:v>0.152</c:v>
                </c:pt>
                <c:pt idx="104">
                  <c:v>0.157</c:v>
                </c:pt>
                <c:pt idx="105">
                  <c:v>0.16300000000000001</c:v>
                </c:pt>
                <c:pt idx="106">
                  <c:v>0.16</c:v>
                </c:pt>
                <c:pt idx="107">
                  <c:v>0.16300000000000001</c:v>
                </c:pt>
                <c:pt idx="108">
                  <c:v>0.17100000000000001</c:v>
                </c:pt>
                <c:pt idx="109">
                  <c:v>0.17</c:v>
                </c:pt>
                <c:pt idx="110">
                  <c:v>0.16400000000000001</c:v>
                </c:pt>
                <c:pt idx="111">
                  <c:v>0.161</c:v>
                </c:pt>
                <c:pt idx="112">
                  <c:v>0.159</c:v>
                </c:pt>
                <c:pt idx="113">
                  <c:v>0.16</c:v>
                </c:pt>
                <c:pt idx="114">
                  <c:v>0.183</c:v>
                </c:pt>
                <c:pt idx="115">
                  <c:v>0.21099999999999999</c:v>
                </c:pt>
                <c:pt idx="116">
                  <c:v>0.224</c:v>
                </c:pt>
                <c:pt idx="117">
                  <c:v>0.21199999999999999</c:v>
                </c:pt>
                <c:pt idx="118">
                  <c:v>0.21</c:v>
                </c:pt>
                <c:pt idx="119">
                  <c:v>0.218</c:v>
                </c:pt>
                <c:pt idx="120">
                  <c:v>0.246</c:v>
                </c:pt>
                <c:pt idx="121">
                  <c:v>0.27900000000000003</c:v>
                </c:pt>
                <c:pt idx="122">
                  <c:v>0.28299999999999997</c:v>
                </c:pt>
                <c:pt idx="123">
                  <c:v>0.23799999999999999</c:v>
                </c:pt>
                <c:pt idx="124">
                  <c:v>0.22900000000000001</c:v>
                </c:pt>
                <c:pt idx="125">
                  <c:v>0.26400000000000001</c:v>
                </c:pt>
                <c:pt idx="126">
                  <c:v>0.28399999999999997</c:v>
                </c:pt>
                <c:pt idx="127">
                  <c:v>0.26800000000000002</c:v>
                </c:pt>
                <c:pt idx="128">
                  <c:v>0.25600000000000001</c:v>
                </c:pt>
                <c:pt idx="129">
                  <c:v>0.26500000000000001</c:v>
                </c:pt>
                <c:pt idx="130">
                  <c:v>0.24399999999999999</c:v>
                </c:pt>
                <c:pt idx="131">
                  <c:v>0.23300000000000001</c:v>
                </c:pt>
                <c:pt idx="132">
                  <c:v>0.27500000000000002</c:v>
                </c:pt>
                <c:pt idx="133">
                  <c:v>0.249</c:v>
                </c:pt>
                <c:pt idx="134">
                  <c:v>0.24399999999999999</c:v>
                </c:pt>
                <c:pt idx="135">
                  <c:v>0.23499999999999999</c:v>
                </c:pt>
                <c:pt idx="136">
                  <c:v>0.24099999999999999</c:v>
                </c:pt>
                <c:pt idx="137">
                  <c:v>0.23100000000000001</c:v>
                </c:pt>
                <c:pt idx="138">
                  <c:v>0.224</c:v>
                </c:pt>
                <c:pt idx="139">
                  <c:v>0.215</c:v>
                </c:pt>
                <c:pt idx="140">
                  <c:v>0.218</c:v>
                </c:pt>
                <c:pt idx="141">
                  <c:v>0.221</c:v>
                </c:pt>
                <c:pt idx="142">
                  <c:v>0.246</c:v>
                </c:pt>
                <c:pt idx="143">
                  <c:v>0.27</c:v>
                </c:pt>
                <c:pt idx="144">
                  <c:v>0.28599999999999998</c:v>
                </c:pt>
                <c:pt idx="145">
                  <c:v>0.27300000000000002</c:v>
                </c:pt>
                <c:pt idx="146">
                  <c:v>0.23899999999999999</c:v>
                </c:pt>
                <c:pt idx="147">
                  <c:v>0.23100000000000001</c:v>
                </c:pt>
                <c:pt idx="148">
                  <c:v>0.21299999999999999</c:v>
                </c:pt>
                <c:pt idx="149">
                  <c:v>0.20100000000000001</c:v>
                </c:pt>
                <c:pt idx="150">
                  <c:v>0.19</c:v>
                </c:pt>
                <c:pt idx="151">
                  <c:v>0.182</c:v>
                </c:pt>
                <c:pt idx="152">
                  <c:v>0.17699999999999999</c:v>
                </c:pt>
                <c:pt idx="153">
                  <c:v>0.17199999999999999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8288"/>
        <c:axId val="200190208"/>
      </c:lineChart>
      <c:catAx>
        <c:axId val="200188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0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90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88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-8.25</c:v>
                </c:pt>
                <c:pt idx="1">
                  <c:v>-8.41</c:v>
                </c:pt>
                <c:pt idx="2">
                  <c:v>-3.819</c:v>
                </c:pt>
                <c:pt idx="3">
                  <c:v>-2.9820000000000002</c:v>
                </c:pt>
                <c:pt idx="4">
                  <c:v>-2.581</c:v>
                </c:pt>
                <c:pt idx="5">
                  <c:v>-3.2919999999999998</c:v>
                </c:pt>
                <c:pt idx="6">
                  <c:v>-1.079</c:v>
                </c:pt>
                <c:pt idx="7">
                  <c:v>-2.0870000000000002</c:v>
                </c:pt>
                <c:pt idx="8">
                  <c:v>-0.75700000000000001</c:v>
                </c:pt>
                <c:pt idx="9">
                  <c:v>-3.9910000000000001</c:v>
                </c:pt>
                <c:pt idx="10">
                  <c:v>-5.3639999999999999</c:v>
                </c:pt>
                <c:pt idx="11">
                  <c:v>-6.3620000000000001</c:v>
                </c:pt>
                <c:pt idx="12">
                  <c:v>-3.7189999999999999</c:v>
                </c:pt>
                <c:pt idx="13">
                  <c:v>1.4550000000000001</c:v>
                </c:pt>
                <c:pt idx="14">
                  <c:v>4.6219999999999999</c:v>
                </c:pt>
                <c:pt idx="15">
                  <c:v>-1.448</c:v>
                </c:pt>
                <c:pt idx="16">
                  <c:v>-9.85</c:v>
                </c:pt>
                <c:pt idx="17">
                  <c:v>-9.93</c:v>
                </c:pt>
                <c:pt idx="18">
                  <c:v>-10.69</c:v>
                </c:pt>
                <c:pt idx="19">
                  <c:v>-7.157</c:v>
                </c:pt>
                <c:pt idx="20">
                  <c:v>-5.5519999999999996</c:v>
                </c:pt>
                <c:pt idx="21">
                  <c:v>-3.4449999999999998</c:v>
                </c:pt>
                <c:pt idx="22">
                  <c:v>-3.181</c:v>
                </c:pt>
                <c:pt idx="23">
                  <c:v>-8.77</c:v>
                </c:pt>
                <c:pt idx="24">
                  <c:v>-9.2799999999999994</c:v>
                </c:pt>
                <c:pt idx="25">
                  <c:v>-1.173</c:v>
                </c:pt>
                <c:pt idx="26">
                  <c:v>1.617</c:v>
                </c:pt>
                <c:pt idx="27">
                  <c:v>6.4390000000000001</c:v>
                </c:pt>
                <c:pt idx="28">
                  <c:v>3.9390000000000001</c:v>
                </c:pt>
                <c:pt idx="29">
                  <c:v>0.30099999999999999</c:v>
                </c:pt>
                <c:pt idx="30">
                  <c:v>-3.1539999999999999</c:v>
                </c:pt>
                <c:pt idx="31">
                  <c:v>-4.74</c:v>
                </c:pt>
                <c:pt idx="32">
                  <c:v>-9.74</c:v>
                </c:pt>
                <c:pt idx="33">
                  <c:v>-10.72</c:v>
                </c:pt>
                <c:pt idx="34">
                  <c:v>-8.2899999999999991</c:v>
                </c:pt>
                <c:pt idx="35">
                  <c:v>-13.19</c:v>
                </c:pt>
                <c:pt idx="36">
                  <c:v>-9.48</c:v>
                </c:pt>
                <c:pt idx="37">
                  <c:v>-6.8789999999999996</c:v>
                </c:pt>
                <c:pt idx="38">
                  <c:v>-11.26</c:v>
                </c:pt>
                <c:pt idx="39">
                  <c:v>-12.71</c:v>
                </c:pt>
                <c:pt idx="40">
                  <c:v>-14.44</c:v>
                </c:pt>
                <c:pt idx="41">
                  <c:v>-14.38</c:v>
                </c:pt>
                <c:pt idx="42">
                  <c:v>-9.23</c:v>
                </c:pt>
                <c:pt idx="43">
                  <c:v>-9.48</c:v>
                </c:pt>
                <c:pt idx="44">
                  <c:v>-8.0500000000000007</c:v>
                </c:pt>
                <c:pt idx="45">
                  <c:v>-5.0659999999999998</c:v>
                </c:pt>
                <c:pt idx="46">
                  <c:v>-5.7619999999999996</c:v>
                </c:pt>
                <c:pt idx="47">
                  <c:v>-5.1660000000000004</c:v>
                </c:pt>
                <c:pt idx="48">
                  <c:v>-5.0659999999999998</c:v>
                </c:pt>
                <c:pt idx="49">
                  <c:v>-4.649</c:v>
                </c:pt>
                <c:pt idx="50">
                  <c:v>-1.762</c:v>
                </c:pt>
                <c:pt idx="51">
                  <c:v>-2.0550000000000002</c:v>
                </c:pt>
                <c:pt idx="52">
                  <c:v>-1.3560000000000001</c:v>
                </c:pt>
                <c:pt idx="53">
                  <c:v>0.26800000000000002</c:v>
                </c:pt>
                <c:pt idx="54">
                  <c:v>-3.65</c:v>
                </c:pt>
                <c:pt idx="55">
                  <c:v>-0.379</c:v>
                </c:pt>
                <c:pt idx="56">
                  <c:v>0.89400000000000002</c:v>
                </c:pt>
                <c:pt idx="57">
                  <c:v>2.2109999999999999</c:v>
                </c:pt>
                <c:pt idx="58">
                  <c:v>6.6970000000000001</c:v>
                </c:pt>
                <c:pt idx="59">
                  <c:v>7.7240000000000002</c:v>
                </c:pt>
                <c:pt idx="60">
                  <c:v>5.2729999999999997</c:v>
                </c:pt>
                <c:pt idx="61">
                  <c:v>2.6120000000000001</c:v>
                </c:pt>
                <c:pt idx="62">
                  <c:v>2.4060000000000001</c:v>
                </c:pt>
                <c:pt idx="63">
                  <c:v>0.16600000000000001</c:v>
                </c:pt>
                <c:pt idx="64">
                  <c:v>1.9410000000000001</c:v>
                </c:pt>
                <c:pt idx="65">
                  <c:v>1.4770000000000001</c:v>
                </c:pt>
                <c:pt idx="66">
                  <c:v>1.9950000000000001</c:v>
                </c:pt>
                <c:pt idx="67">
                  <c:v>3.6819999999999999</c:v>
                </c:pt>
                <c:pt idx="68">
                  <c:v>-1.7929999999999999</c:v>
                </c:pt>
                <c:pt idx="69">
                  <c:v>-3.7229999999999999</c:v>
                </c:pt>
                <c:pt idx="70">
                  <c:v>-2.7050000000000001</c:v>
                </c:pt>
                <c:pt idx="71">
                  <c:v>-3.411</c:v>
                </c:pt>
                <c:pt idx="72">
                  <c:v>-4.0679999999999996</c:v>
                </c:pt>
                <c:pt idx="73">
                  <c:v>-4.2089999999999996</c:v>
                </c:pt>
                <c:pt idx="74">
                  <c:v>-2.5249999999999999</c:v>
                </c:pt>
                <c:pt idx="75">
                  <c:v>-2.6520000000000001</c:v>
                </c:pt>
                <c:pt idx="76">
                  <c:v>-2.92</c:v>
                </c:pt>
                <c:pt idx="77">
                  <c:v>-5.1440000000000001</c:v>
                </c:pt>
                <c:pt idx="78">
                  <c:v>-0.23899999999999999</c:v>
                </c:pt>
                <c:pt idx="79">
                  <c:v>1.0669999999999999</c:v>
                </c:pt>
                <c:pt idx="80">
                  <c:v>-2.4119999999999999</c:v>
                </c:pt>
                <c:pt idx="81">
                  <c:v>0.17100000000000001</c:v>
                </c:pt>
                <c:pt idx="82">
                  <c:v>0.77500000000000002</c:v>
                </c:pt>
                <c:pt idx="83">
                  <c:v>9.93</c:v>
                </c:pt>
                <c:pt idx="84">
                  <c:v>12.24</c:v>
                </c:pt>
                <c:pt idx="85">
                  <c:v>4.4249999999999998</c:v>
                </c:pt>
                <c:pt idx="86">
                  <c:v>0.9</c:v>
                </c:pt>
                <c:pt idx="87">
                  <c:v>5.6749999999999998</c:v>
                </c:pt>
                <c:pt idx="88">
                  <c:v>9.41</c:v>
                </c:pt>
                <c:pt idx="89">
                  <c:v>8.5000000000000006E-2</c:v>
                </c:pt>
                <c:pt idx="90">
                  <c:v>1.2929999999999999</c:v>
                </c:pt>
                <c:pt idx="91">
                  <c:v>1.4390000000000001</c:v>
                </c:pt>
                <c:pt idx="92">
                  <c:v>2.2330000000000001</c:v>
                </c:pt>
                <c:pt idx="93">
                  <c:v>8.98</c:v>
                </c:pt>
                <c:pt idx="94">
                  <c:v>12.59</c:v>
                </c:pt>
                <c:pt idx="95">
                  <c:v>9.92</c:v>
                </c:pt>
                <c:pt idx="96">
                  <c:v>4.0590000000000002</c:v>
                </c:pt>
                <c:pt idx="97">
                  <c:v>0.52700000000000002</c:v>
                </c:pt>
                <c:pt idx="98">
                  <c:v>3.4550000000000001</c:v>
                </c:pt>
                <c:pt idx="99">
                  <c:v>4.0510000000000002</c:v>
                </c:pt>
                <c:pt idx="100">
                  <c:v>7.1459999999999999</c:v>
                </c:pt>
                <c:pt idx="101">
                  <c:v>-0.90800000000000003</c:v>
                </c:pt>
                <c:pt idx="102">
                  <c:v>4.3559999999999999</c:v>
                </c:pt>
                <c:pt idx="103">
                  <c:v>11.07</c:v>
                </c:pt>
                <c:pt idx="104">
                  <c:v>10.68</c:v>
                </c:pt>
                <c:pt idx="105">
                  <c:v>3.5590000000000002</c:v>
                </c:pt>
                <c:pt idx="106">
                  <c:v>6.1289999999999996</c:v>
                </c:pt>
                <c:pt idx="107">
                  <c:v>12.76</c:v>
                </c:pt>
                <c:pt idx="108">
                  <c:v>5.4370000000000003</c:v>
                </c:pt>
                <c:pt idx="109">
                  <c:v>1.196</c:v>
                </c:pt>
                <c:pt idx="110">
                  <c:v>0.47299999999999998</c:v>
                </c:pt>
                <c:pt idx="111">
                  <c:v>2.61</c:v>
                </c:pt>
                <c:pt idx="112">
                  <c:v>8.6300000000000008</c:v>
                </c:pt>
                <c:pt idx="113">
                  <c:v>14.06</c:v>
                </c:pt>
                <c:pt idx="114">
                  <c:v>14.27</c:v>
                </c:pt>
                <c:pt idx="115">
                  <c:v>13.19</c:v>
                </c:pt>
                <c:pt idx="116">
                  <c:v>9.86</c:v>
                </c:pt>
                <c:pt idx="117">
                  <c:v>5.0229999999999997</c:v>
                </c:pt>
                <c:pt idx="118">
                  <c:v>5.7519999999999998</c:v>
                </c:pt>
                <c:pt idx="119">
                  <c:v>9.1999999999999993</c:v>
                </c:pt>
                <c:pt idx="120">
                  <c:v>14.58</c:v>
                </c:pt>
                <c:pt idx="121">
                  <c:v>17.14</c:v>
                </c:pt>
                <c:pt idx="122">
                  <c:v>6.8129999999999997</c:v>
                </c:pt>
                <c:pt idx="123">
                  <c:v>2.33</c:v>
                </c:pt>
                <c:pt idx="124">
                  <c:v>9.7799999999999994</c:v>
                </c:pt>
                <c:pt idx="125">
                  <c:v>15.24</c:v>
                </c:pt>
                <c:pt idx="126">
                  <c:v>13.14</c:v>
                </c:pt>
                <c:pt idx="127">
                  <c:v>9.27</c:v>
                </c:pt>
                <c:pt idx="128">
                  <c:v>11.03</c:v>
                </c:pt>
                <c:pt idx="129">
                  <c:v>7.984</c:v>
                </c:pt>
                <c:pt idx="130">
                  <c:v>6.37</c:v>
                </c:pt>
                <c:pt idx="131">
                  <c:v>2.0059999999999998</c:v>
                </c:pt>
                <c:pt idx="132">
                  <c:v>9.32</c:v>
                </c:pt>
                <c:pt idx="133">
                  <c:v>5.3170000000000002</c:v>
                </c:pt>
                <c:pt idx="134">
                  <c:v>6.6909999999999998</c:v>
                </c:pt>
                <c:pt idx="135">
                  <c:v>3.5030000000000001</c:v>
                </c:pt>
                <c:pt idx="136">
                  <c:v>5.3609999999999998</c:v>
                </c:pt>
                <c:pt idx="137">
                  <c:v>1.5309999999999999</c:v>
                </c:pt>
                <c:pt idx="138">
                  <c:v>0.22500000000000001</c:v>
                </c:pt>
                <c:pt idx="139">
                  <c:v>4.4290000000000003</c:v>
                </c:pt>
                <c:pt idx="140">
                  <c:v>7.1749999999999998</c:v>
                </c:pt>
                <c:pt idx="141">
                  <c:v>10.71</c:v>
                </c:pt>
                <c:pt idx="142">
                  <c:v>11.41</c:v>
                </c:pt>
                <c:pt idx="143">
                  <c:v>14.2</c:v>
                </c:pt>
                <c:pt idx="144">
                  <c:v>18.600000000000001</c:v>
                </c:pt>
                <c:pt idx="145">
                  <c:v>8.4</c:v>
                </c:pt>
                <c:pt idx="146">
                  <c:v>14.77</c:v>
                </c:pt>
                <c:pt idx="147">
                  <c:v>22.51</c:v>
                </c:pt>
                <c:pt idx="148">
                  <c:v>12.35</c:v>
                </c:pt>
                <c:pt idx="149">
                  <c:v>19.13</c:v>
                </c:pt>
                <c:pt idx="150">
                  <c:v>21.21</c:v>
                </c:pt>
                <c:pt idx="151">
                  <c:v>7.16</c:v>
                </c:pt>
                <c:pt idx="152">
                  <c:v>11.42</c:v>
                </c:pt>
                <c:pt idx="153">
                  <c:v>13.08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-9.3000000000000007</c:v>
                </c:pt>
                <c:pt idx="1">
                  <c:v>-10.45</c:v>
                </c:pt>
                <c:pt idx="2">
                  <c:v>-8.7799999999999994</c:v>
                </c:pt>
                <c:pt idx="3">
                  <c:v>-6.78</c:v>
                </c:pt>
                <c:pt idx="4">
                  <c:v>-6.6070000000000002</c:v>
                </c:pt>
                <c:pt idx="5">
                  <c:v>-6.3840000000000003</c:v>
                </c:pt>
                <c:pt idx="6">
                  <c:v>-8.8000000000000007</c:v>
                </c:pt>
                <c:pt idx="7">
                  <c:v>-7.38</c:v>
                </c:pt>
                <c:pt idx="8">
                  <c:v>-7.3570000000000002</c:v>
                </c:pt>
                <c:pt idx="9">
                  <c:v>-8.24</c:v>
                </c:pt>
                <c:pt idx="10">
                  <c:v>-7.47</c:v>
                </c:pt>
                <c:pt idx="11">
                  <c:v>-8.4700000000000006</c:v>
                </c:pt>
                <c:pt idx="12">
                  <c:v>-8.3800000000000008</c:v>
                </c:pt>
                <c:pt idx="13">
                  <c:v>-3.72</c:v>
                </c:pt>
                <c:pt idx="14">
                  <c:v>-2.4990000000000001</c:v>
                </c:pt>
                <c:pt idx="15">
                  <c:v>-10.5</c:v>
                </c:pt>
                <c:pt idx="16">
                  <c:v>-12.62</c:v>
                </c:pt>
                <c:pt idx="17">
                  <c:v>-15.42</c:v>
                </c:pt>
                <c:pt idx="18">
                  <c:v>-16.78</c:v>
                </c:pt>
                <c:pt idx="19">
                  <c:v>-16.23</c:v>
                </c:pt>
                <c:pt idx="20">
                  <c:v>-11.87</c:v>
                </c:pt>
                <c:pt idx="21">
                  <c:v>-11.42</c:v>
                </c:pt>
                <c:pt idx="22">
                  <c:v>-9.14</c:v>
                </c:pt>
                <c:pt idx="23">
                  <c:v>-12.49</c:v>
                </c:pt>
                <c:pt idx="24">
                  <c:v>-13.96</c:v>
                </c:pt>
                <c:pt idx="25">
                  <c:v>-9.43</c:v>
                </c:pt>
                <c:pt idx="26">
                  <c:v>-4.3559999999999999</c:v>
                </c:pt>
                <c:pt idx="27">
                  <c:v>-3.081</c:v>
                </c:pt>
                <c:pt idx="28">
                  <c:v>-3.0960000000000001</c:v>
                </c:pt>
                <c:pt idx="29">
                  <c:v>-5.0819999999999999</c:v>
                </c:pt>
                <c:pt idx="30">
                  <c:v>-7.4580000000000002</c:v>
                </c:pt>
                <c:pt idx="31">
                  <c:v>-12.67</c:v>
                </c:pt>
                <c:pt idx="32">
                  <c:v>-15.46</c:v>
                </c:pt>
                <c:pt idx="33">
                  <c:v>-13.69</c:v>
                </c:pt>
                <c:pt idx="34">
                  <c:v>-20.51</c:v>
                </c:pt>
                <c:pt idx="35">
                  <c:v>-23.38</c:v>
                </c:pt>
                <c:pt idx="36">
                  <c:v>-15.54</c:v>
                </c:pt>
                <c:pt idx="37">
                  <c:v>-15.6</c:v>
                </c:pt>
                <c:pt idx="38">
                  <c:v>-17.489999999999998</c:v>
                </c:pt>
                <c:pt idx="39">
                  <c:v>-19.3</c:v>
                </c:pt>
                <c:pt idx="40">
                  <c:v>-20.47</c:v>
                </c:pt>
                <c:pt idx="41">
                  <c:v>-21.68</c:v>
                </c:pt>
                <c:pt idx="42">
                  <c:v>-20.36</c:v>
                </c:pt>
                <c:pt idx="43">
                  <c:v>-19.059999999999999</c:v>
                </c:pt>
                <c:pt idx="44">
                  <c:v>-12.87</c:v>
                </c:pt>
                <c:pt idx="45">
                  <c:v>-10.84</c:v>
                </c:pt>
                <c:pt idx="46">
                  <c:v>-10.63</c:v>
                </c:pt>
                <c:pt idx="47">
                  <c:v>-8.48</c:v>
                </c:pt>
                <c:pt idx="48">
                  <c:v>-8.6999999999999993</c:v>
                </c:pt>
                <c:pt idx="49">
                  <c:v>-8.01</c:v>
                </c:pt>
                <c:pt idx="50">
                  <c:v>-5.61</c:v>
                </c:pt>
                <c:pt idx="51">
                  <c:v>-5.2910000000000004</c:v>
                </c:pt>
                <c:pt idx="52">
                  <c:v>-5.3780000000000001</c:v>
                </c:pt>
                <c:pt idx="53">
                  <c:v>-4.5490000000000004</c:v>
                </c:pt>
                <c:pt idx="54">
                  <c:v>-5.9850000000000003</c:v>
                </c:pt>
                <c:pt idx="55">
                  <c:v>-5.0819999999999999</c:v>
                </c:pt>
                <c:pt idx="56">
                  <c:v>-5.8109999999999999</c:v>
                </c:pt>
                <c:pt idx="57">
                  <c:v>-5.4240000000000004</c:v>
                </c:pt>
                <c:pt idx="58">
                  <c:v>-1.8320000000000001</c:v>
                </c:pt>
                <c:pt idx="59">
                  <c:v>-2.83</c:v>
                </c:pt>
                <c:pt idx="60">
                  <c:v>-2.8359999999999999</c:v>
                </c:pt>
                <c:pt idx="61">
                  <c:v>-5.6740000000000004</c:v>
                </c:pt>
                <c:pt idx="62">
                  <c:v>-7.1440000000000001</c:v>
                </c:pt>
                <c:pt idx="63">
                  <c:v>-7.6219999999999999</c:v>
                </c:pt>
                <c:pt idx="64">
                  <c:v>-6.5289999999999999</c:v>
                </c:pt>
                <c:pt idx="65">
                  <c:v>-7.2560000000000002</c:v>
                </c:pt>
                <c:pt idx="66">
                  <c:v>-3.9809999999999999</c:v>
                </c:pt>
                <c:pt idx="67">
                  <c:v>-6.6550000000000002</c:v>
                </c:pt>
                <c:pt idx="68">
                  <c:v>-9.24</c:v>
                </c:pt>
                <c:pt idx="69">
                  <c:v>-10.56</c:v>
                </c:pt>
                <c:pt idx="70">
                  <c:v>-6.54</c:v>
                </c:pt>
                <c:pt idx="71">
                  <c:v>-10.5</c:v>
                </c:pt>
                <c:pt idx="72">
                  <c:v>-13.13</c:v>
                </c:pt>
                <c:pt idx="73">
                  <c:v>-8.92</c:v>
                </c:pt>
                <c:pt idx="74">
                  <c:v>-8.5299999999999994</c:v>
                </c:pt>
                <c:pt idx="75">
                  <c:v>-10.56</c:v>
                </c:pt>
                <c:pt idx="76">
                  <c:v>-11.39</c:v>
                </c:pt>
                <c:pt idx="77">
                  <c:v>-10.17</c:v>
                </c:pt>
                <c:pt idx="78">
                  <c:v>-5.72</c:v>
                </c:pt>
                <c:pt idx="79">
                  <c:v>-7.633</c:v>
                </c:pt>
                <c:pt idx="80">
                  <c:v>-7.47</c:v>
                </c:pt>
                <c:pt idx="81">
                  <c:v>-6.8970000000000002</c:v>
                </c:pt>
                <c:pt idx="82">
                  <c:v>-0.41099999999999998</c:v>
                </c:pt>
                <c:pt idx="83">
                  <c:v>0.128</c:v>
                </c:pt>
                <c:pt idx="84">
                  <c:v>2.0489999999999999</c:v>
                </c:pt>
                <c:pt idx="85">
                  <c:v>-1.0589999999999999</c:v>
                </c:pt>
                <c:pt idx="86">
                  <c:v>-2.3359999999999999</c:v>
                </c:pt>
                <c:pt idx="87">
                  <c:v>-5.2249999999999996</c:v>
                </c:pt>
                <c:pt idx="88">
                  <c:v>-5.6509999999999998</c:v>
                </c:pt>
                <c:pt idx="89">
                  <c:v>-5.1509999999999998</c:v>
                </c:pt>
                <c:pt idx="90">
                  <c:v>-5.2249999999999996</c:v>
                </c:pt>
                <c:pt idx="91">
                  <c:v>-4.7030000000000003</c:v>
                </c:pt>
                <c:pt idx="92">
                  <c:v>-6.4619999999999997</c:v>
                </c:pt>
                <c:pt idx="93">
                  <c:v>-7.3070000000000004</c:v>
                </c:pt>
                <c:pt idx="94">
                  <c:v>-3.1920000000000002</c:v>
                </c:pt>
                <c:pt idx="95">
                  <c:v>-0.60599999999999998</c:v>
                </c:pt>
                <c:pt idx="96">
                  <c:v>-2.988</c:v>
                </c:pt>
                <c:pt idx="97">
                  <c:v>-4.5570000000000004</c:v>
                </c:pt>
                <c:pt idx="98">
                  <c:v>-4.7629999999999999</c:v>
                </c:pt>
                <c:pt idx="99">
                  <c:v>-3.02</c:v>
                </c:pt>
                <c:pt idx="100">
                  <c:v>-4.7320000000000002</c:v>
                </c:pt>
                <c:pt idx="101">
                  <c:v>-6.92</c:v>
                </c:pt>
                <c:pt idx="102">
                  <c:v>-9.18</c:v>
                </c:pt>
                <c:pt idx="103">
                  <c:v>-3.202</c:v>
                </c:pt>
                <c:pt idx="104">
                  <c:v>-8.7999999999999995E-2</c:v>
                </c:pt>
                <c:pt idx="105">
                  <c:v>-5.3710000000000004</c:v>
                </c:pt>
                <c:pt idx="106">
                  <c:v>-5.7409999999999997</c:v>
                </c:pt>
                <c:pt idx="107">
                  <c:v>-2.4119999999999999</c:v>
                </c:pt>
                <c:pt idx="108">
                  <c:v>-2.8359999999999999</c:v>
                </c:pt>
                <c:pt idx="109">
                  <c:v>-4.4240000000000004</c:v>
                </c:pt>
                <c:pt idx="110">
                  <c:v>-6.1390000000000002</c:v>
                </c:pt>
                <c:pt idx="111">
                  <c:v>-7.65</c:v>
                </c:pt>
                <c:pt idx="112">
                  <c:v>-4.84</c:v>
                </c:pt>
                <c:pt idx="113">
                  <c:v>-2.4119999999999999</c:v>
                </c:pt>
                <c:pt idx="114">
                  <c:v>1.53</c:v>
                </c:pt>
                <c:pt idx="115">
                  <c:v>2.194</c:v>
                </c:pt>
                <c:pt idx="116">
                  <c:v>0.70599999999999996</c:v>
                </c:pt>
                <c:pt idx="117">
                  <c:v>-0.57899999999999996</c:v>
                </c:pt>
                <c:pt idx="118">
                  <c:v>-1.27</c:v>
                </c:pt>
                <c:pt idx="119">
                  <c:v>-1.8109999999999999</c:v>
                </c:pt>
                <c:pt idx="120">
                  <c:v>0.88300000000000001</c:v>
                </c:pt>
                <c:pt idx="121">
                  <c:v>3.032</c:v>
                </c:pt>
                <c:pt idx="122">
                  <c:v>-4.6760000000000002</c:v>
                </c:pt>
                <c:pt idx="123">
                  <c:v>-4.7789999999999999</c:v>
                </c:pt>
                <c:pt idx="124">
                  <c:v>-3.4830000000000001</c:v>
                </c:pt>
                <c:pt idx="125">
                  <c:v>1.6579999999999999</c:v>
                </c:pt>
                <c:pt idx="126">
                  <c:v>1.1359999999999999</c:v>
                </c:pt>
                <c:pt idx="127">
                  <c:v>-4.2910000000000004</c:v>
                </c:pt>
                <c:pt idx="128">
                  <c:v>0.161</c:v>
                </c:pt>
                <c:pt idx="129">
                  <c:v>-0.379</c:v>
                </c:pt>
                <c:pt idx="130">
                  <c:v>-1.6</c:v>
                </c:pt>
                <c:pt idx="131">
                  <c:v>-1.3620000000000001</c:v>
                </c:pt>
                <c:pt idx="132">
                  <c:v>0.161</c:v>
                </c:pt>
                <c:pt idx="133">
                  <c:v>-1.8049999999999999</c:v>
                </c:pt>
                <c:pt idx="134">
                  <c:v>-3.6389999999999998</c:v>
                </c:pt>
                <c:pt idx="135">
                  <c:v>-1.925</c:v>
                </c:pt>
                <c:pt idx="136">
                  <c:v>-1.492</c:v>
                </c:pt>
                <c:pt idx="137">
                  <c:v>-2.8570000000000002</c:v>
                </c:pt>
                <c:pt idx="138">
                  <c:v>-3.0419999999999998</c:v>
                </c:pt>
                <c:pt idx="139">
                  <c:v>-2.5750000000000002</c:v>
                </c:pt>
                <c:pt idx="140">
                  <c:v>-3.0190000000000001</c:v>
                </c:pt>
                <c:pt idx="141">
                  <c:v>-0.109</c:v>
                </c:pt>
                <c:pt idx="142">
                  <c:v>-2.3E-2</c:v>
                </c:pt>
                <c:pt idx="143">
                  <c:v>2.3769999999999998</c:v>
                </c:pt>
                <c:pt idx="144">
                  <c:v>4.6280000000000001</c:v>
                </c:pt>
                <c:pt idx="145">
                  <c:v>1.5680000000000001</c:v>
                </c:pt>
                <c:pt idx="146">
                  <c:v>0.82899999999999996</c:v>
                </c:pt>
                <c:pt idx="147">
                  <c:v>7.2519999999999998</c:v>
                </c:pt>
                <c:pt idx="148">
                  <c:v>1.9350000000000001</c:v>
                </c:pt>
                <c:pt idx="149">
                  <c:v>1.7230000000000001</c:v>
                </c:pt>
                <c:pt idx="150">
                  <c:v>-0.60599999999999998</c:v>
                </c:pt>
                <c:pt idx="151">
                  <c:v>-0.90800000000000003</c:v>
                </c:pt>
                <c:pt idx="152">
                  <c:v>-0.80500000000000005</c:v>
                </c:pt>
                <c:pt idx="153">
                  <c:v>2.9060000000000001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72160"/>
        <c:axId val="224573696"/>
      </c:lineChart>
      <c:catAx>
        <c:axId val="224572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3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457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12.63</c:v>
                </c:pt>
                <c:pt idx="1">
                  <c:v>12.62</c:v>
                </c:pt>
                <c:pt idx="2">
                  <c:v>12.62</c:v>
                </c:pt>
                <c:pt idx="3">
                  <c:v>12.68</c:v>
                </c:pt>
                <c:pt idx="4">
                  <c:v>12.65</c:v>
                </c:pt>
                <c:pt idx="5">
                  <c:v>12.73</c:v>
                </c:pt>
                <c:pt idx="6">
                  <c:v>12.65</c:v>
                </c:pt>
                <c:pt idx="7">
                  <c:v>12.62</c:v>
                </c:pt>
                <c:pt idx="8">
                  <c:v>12.69</c:v>
                </c:pt>
                <c:pt idx="9">
                  <c:v>12.6</c:v>
                </c:pt>
                <c:pt idx="10">
                  <c:v>12.59</c:v>
                </c:pt>
                <c:pt idx="11">
                  <c:v>12.6</c:v>
                </c:pt>
                <c:pt idx="12">
                  <c:v>12.65</c:v>
                </c:pt>
                <c:pt idx="13">
                  <c:v>12.71</c:v>
                </c:pt>
                <c:pt idx="14">
                  <c:v>12.84</c:v>
                </c:pt>
                <c:pt idx="15">
                  <c:v>12.68</c:v>
                </c:pt>
                <c:pt idx="16">
                  <c:v>12.63</c:v>
                </c:pt>
                <c:pt idx="17">
                  <c:v>12.8</c:v>
                </c:pt>
                <c:pt idx="18">
                  <c:v>12.86</c:v>
                </c:pt>
                <c:pt idx="19">
                  <c:v>12.9</c:v>
                </c:pt>
                <c:pt idx="20">
                  <c:v>12.87</c:v>
                </c:pt>
                <c:pt idx="21">
                  <c:v>12.92</c:v>
                </c:pt>
                <c:pt idx="22">
                  <c:v>12.82</c:v>
                </c:pt>
                <c:pt idx="23">
                  <c:v>12.86</c:v>
                </c:pt>
                <c:pt idx="24">
                  <c:v>12.84</c:v>
                </c:pt>
                <c:pt idx="25">
                  <c:v>12.96</c:v>
                </c:pt>
                <c:pt idx="26">
                  <c:v>12.99</c:v>
                </c:pt>
                <c:pt idx="27">
                  <c:v>13</c:v>
                </c:pt>
                <c:pt idx="28">
                  <c:v>13.02</c:v>
                </c:pt>
                <c:pt idx="29">
                  <c:v>12.93</c:v>
                </c:pt>
                <c:pt idx="30">
                  <c:v>12.88</c:v>
                </c:pt>
                <c:pt idx="31">
                  <c:v>12.88</c:v>
                </c:pt>
                <c:pt idx="32">
                  <c:v>12.85</c:v>
                </c:pt>
                <c:pt idx="33">
                  <c:v>12.85</c:v>
                </c:pt>
                <c:pt idx="34">
                  <c:v>12.97</c:v>
                </c:pt>
                <c:pt idx="35">
                  <c:v>12.92</c:v>
                </c:pt>
                <c:pt idx="36">
                  <c:v>12.9</c:v>
                </c:pt>
                <c:pt idx="37">
                  <c:v>12.99</c:v>
                </c:pt>
                <c:pt idx="38">
                  <c:v>12.93</c:v>
                </c:pt>
                <c:pt idx="39">
                  <c:v>13.01</c:v>
                </c:pt>
                <c:pt idx="40">
                  <c:v>13.03</c:v>
                </c:pt>
                <c:pt idx="41">
                  <c:v>13.04</c:v>
                </c:pt>
                <c:pt idx="42">
                  <c:v>13.04</c:v>
                </c:pt>
                <c:pt idx="43">
                  <c:v>13.05</c:v>
                </c:pt>
                <c:pt idx="44">
                  <c:v>13.04</c:v>
                </c:pt>
                <c:pt idx="45">
                  <c:v>13.01</c:v>
                </c:pt>
                <c:pt idx="46">
                  <c:v>12.97</c:v>
                </c:pt>
                <c:pt idx="47">
                  <c:v>12.98</c:v>
                </c:pt>
                <c:pt idx="48">
                  <c:v>12.91</c:v>
                </c:pt>
                <c:pt idx="49">
                  <c:v>12.88</c:v>
                </c:pt>
                <c:pt idx="50">
                  <c:v>12.98</c:v>
                </c:pt>
                <c:pt idx="51">
                  <c:v>12.87</c:v>
                </c:pt>
                <c:pt idx="52">
                  <c:v>12.86</c:v>
                </c:pt>
                <c:pt idx="53">
                  <c:v>12.96</c:v>
                </c:pt>
                <c:pt idx="54">
                  <c:v>12.87</c:v>
                </c:pt>
                <c:pt idx="55">
                  <c:v>12.97</c:v>
                </c:pt>
                <c:pt idx="56">
                  <c:v>13.01</c:v>
                </c:pt>
                <c:pt idx="57">
                  <c:v>12.97</c:v>
                </c:pt>
                <c:pt idx="58">
                  <c:v>13.04</c:v>
                </c:pt>
                <c:pt idx="59">
                  <c:v>13.02</c:v>
                </c:pt>
                <c:pt idx="60">
                  <c:v>13.02</c:v>
                </c:pt>
                <c:pt idx="61">
                  <c:v>13.02</c:v>
                </c:pt>
                <c:pt idx="62">
                  <c:v>12.94</c:v>
                </c:pt>
                <c:pt idx="63">
                  <c:v>12.98</c:v>
                </c:pt>
                <c:pt idx="64">
                  <c:v>13.02</c:v>
                </c:pt>
                <c:pt idx="65">
                  <c:v>13.01</c:v>
                </c:pt>
                <c:pt idx="66">
                  <c:v>12.85</c:v>
                </c:pt>
                <c:pt idx="67">
                  <c:v>12.94</c:v>
                </c:pt>
                <c:pt idx="68">
                  <c:v>12.96</c:v>
                </c:pt>
                <c:pt idx="69">
                  <c:v>12.92</c:v>
                </c:pt>
                <c:pt idx="70">
                  <c:v>12.78</c:v>
                </c:pt>
                <c:pt idx="71">
                  <c:v>13</c:v>
                </c:pt>
                <c:pt idx="72">
                  <c:v>12.98</c:v>
                </c:pt>
                <c:pt idx="73">
                  <c:v>12.92</c:v>
                </c:pt>
                <c:pt idx="74">
                  <c:v>13.03</c:v>
                </c:pt>
                <c:pt idx="75">
                  <c:v>13.03</c:v>
                </c:pt>
                <c:pt idx="76">
                  <c:v>13.04</c:v>
                </c:pt>
                <c:pt idx="77">
                  <c:v>12.89</c:v>
                </c:pt>
                <c:pt idx="78">
                  <c:v>13.02</c:v>
                </c:pt>
                <c:pt idx="79">
                  <c:v>13.07</c:v>
                </c:pt>
                <c:pt idx="80">
                  <c:v>13.05</c:v>
                </c:pt>
                <c:pt idx="81">
                  <c:v>12.93</c:v>
                </c:pt>
                <c:pt idx="82">
                  <c:v>12.95</c:v>
                </c:pt>
                <c:pt idx="83">
                  <c:v>13.05</c:v>
                </c:pt>
                <c:pt idx="84">
                  <c:v>13.05</c:v>
                </c:pt>
                <c:pt idx="85">
                  <c:v>13.04</c:v>
                </c:pt>
                <c:pt idx="86">
                  <c:v>12.9</c:v>
                </c:pt>
                <c:pt idx="87">
                  <c:v>13.09</c:v>
                </c:pt>
                <c:pt idx="88">
                  <c:v>13.08</c:v>
                </c:pt>
                <c:pt idx="89">
                  <c:v>13.03</c:v>
                </c:pt>
                <c:pt idx="90">
                  <c:v>13.06</c:v>
                </c:pt>
                <c:pt idx="91">
                  <c:v>13.06</c:v>
                </c:pt>
                <c:pt idx="92">
                  <c:v>13.12</c:v>
                </c:pt>
                <c:pt idx="93">
                  <c:v>13.11</c:v>
                </c:pt>
                <c:pt idx="94">
                  <c:v>13.11</c:v>
                </c:pt>
                <c:pt idx="95">
                  <c:v>13.02</c:v>
                </c:pt>
                <c:pt idx="96">
                  <c:v>12.97</c:v>
                </c:pt>
                <c:pt idx="97">
                  <c:v>13.04</c:v>
                </c:pt>
                <c:pt idx="98">
                  <c:v>13.12</c:v>
                </c:pt>
                <c:pt idx="99">
                  <c:v>13.02</c:v>
                </c:pt>
                <c:pt idx="100">
                  <c:v>13.11</c:v>
                </c:pt>
                <c:pt idx="101">
                  <c:v>13.11</c:v>
                </c:pt>
                <c:pt idx="102">
                  <c:v>13.13</c:v>
                </c:pt>
                <c:pt idx="103">
                  <c:v>13.13</c:v>
                </c:pt>
                <c:pt idx="104">
                  <c:v>13.12</c:v>
                </c:pt>
                <c:pt idx="105">
                  <c:v>13.13</c:v>
                </c:pt>
                <c:pt idx="106">
                  <c:v>13.14</c:v>
                </c:pt>
                <c:pt idx="107">
                  <c:v>13.12</c:v>
                </c:pt>
                <c:pt idx="108">
                  <c:v>13.13</c:v>
                </c:pt>
                <c:pt idx="109">
                  <c:v>13.15</c:v>
                </c:pt>
                <c:pt idx="110">
                  <c:v>13.13</c:v>
                </c:pt>
                <c:pt idx="111">
                  <c:v>13.16</c:v>
                </c:pt>
                <c:pt idx="112">
                  <c:v>13.16</c:v>
                </c:pt>
                <c:pt idx="113">
                  <c:v>13.15</c:v>
                </c:pt>
                <c:pt idx="114">
                  <c:v>13.16</c:v>
                </c:pt>
                <c:pt idx="115">
                  <c:v>13.14</c:v>
                </c:pt>
                <c:pt idx="116">
                  <c:v>13.17</c:v>
                </c:pt>
                <c:pt idx="117">
                  <c:v>12.97</c:v>
                </c:pt>
                <c:pt idx="118">
                  <c:v>13.14</c:v>
                </c:pt>
                <c:pt idx="119">
                  <c:v>13.18</c:v>
                </c:pt>
                <c:pt idx="120">
                  <c:v>13.17</c:v>
                </c:pt>
                <c:pt idx="121">
                  <c:v>13.17</c:v>
                </c:pt>
                <c:pt idx="122">
                  <c:v>13.04</c:v>
                </c:pt>
                <c:pt idx="123">
                  <c:v>13.18</c:v>
                </c:pt>
                <c:pt idx="124">
                  <c:v>13.17</c:v>
                </c:pt>
                <c:pt idx="125">
                  <c:v>13.16</c:v>
                </c:pt>
                <c:pt idx="126">
                  <c:v>13.13</c:v>
                </c:pt>
                <c:pt idx="127">
                  <c:v>13.19</c:v>
                </c:pt>
                <c:pt idx="128">
                  <c:v>13.18</c:v>
                </c:pt>
                <c:pt idx="129">
                  <c:v>13.11</c:v>
                </c:pt>
                <c:pt idx="130">
                  <c:v>13.07</c:v>
                </c:pt>
                <c:pt idx="131">
                  <c:v>13.07</c:v>
                </c:pt>
                <c:pt idx="132">
                  <c:v>13.05</c:v>
                </c:pt>
                <c:pt idx="133">
                  <c:v>13.1</c:v>
                </c:pt>
                <c:pt idx="134">
                  <c:v>13.1</c:v>
                </c:pt>
                <c:pt idx="135">
                  <c:v>13.15</c:v>
                </c:pt>
                <c:pt idx="136">
                  <c:v>12.95</c:v>
                </c:pt>
                <c:pt idx="137">
                  <c:v>13.19</c:v>
                </c:pt>
                <c:pt idx="138">
                  <c:v>12.88</c:v>
                </c:pt>
                <c:pt idx="139">
                  <c:v>13.18</c:v>
                </c:pt>
                <c:pt idx="140">
                  <c:v>13.13</c:v>
                </c:pt>
                <c:pt idx="141">
                  <c:v>13.08</c:v>
                </c:pt>
                <c:pt idx="142">
                  <c:v>13.1</c:v>
                </c:pt>
                <c:pt idx="143">
                  <c:v>13.07</c:v>
                </c:pt>
                <c:pt idx="144">
                  <c:v>12.98</c:v>
                </c:pt>
                <c:pt idx="145">
                  <c:v>13.03</c:v>
                </c:pt>
                <c:pt idx="146">
                  <c:v>12.97</c:v>
                </c:pt>
                <c:pt idx="147">
                  <c:v>12.87</c:v>
                </c:pt>
                <c:pt idx="148">
                  <c:v>12.9</c:v>
                </c:pt>
                <c:pt idx="149">
                  <c:v>12.9</c:v>
                </c:pt>
                <c:pt idx="150">
                  <c:v>12.91</c:v>
                </c:pt>
                <c:pt idx="151">
                  <c:v>13</c:v>
                </c:pt>
                <c:pt idx="152">
                  <c:v>12.98</c:v>
                </c:pt>
                <c:pt idx="153">
                  <c:v>12.98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78144"/>
        <c:axId val="239880448"/>
      </c:lineChart>
      <c:catAx>
        <c:axId val="239878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80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88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7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-7.9509999999999996</c:v>
                </c:pt>
                <c:pt idx="1">
                  <c:v>-8.4600000000000009</c:v>
                </c:pt>
                <c:pt idx="2">
                  <c:v>-3.9449999999999998</c:v>
                </c:pt>
                <c:pt idx="3">
                  <c:v>-2.677</c:v>
                </c:pt>
                <c:pt idx="4">
                  <c:v>-2.4630000000000001</c:v>
                </c:pt>
                <c:pt idx="5">
                  <c:v>-3.278</c:v>
                </c:pt>
                <c:pt idx="6">
                  <c:v>-1.5</c:v>
                </c:pt>
                <c:pt idx="7">
                  <c:v>-1.8640000000000001</c:v>
                </c:pt>
                <c:pt idx="8">
                  <c:v>-1.2450000000000001</c:v>
                </c:pt>
                <c:pt idx="9">
                  <c:v>-4.0510000000000002</c:v>
                </c:pt>
                <c:pt idx="10">
                  <c:v>-4.8959999999999999</c:v>
                </c:pt>
                <c:pt idx="11">
                  <c:v>-6.093</c:v>
                </c:pt>
                <c:pt idx="12">
                  <c:v>-3.665</c:v>
                </c:pt>
                <c:pt idx="13">
                  <c:v>1.202</c:v>
                </c:pt>
                <c:pt idx="14">
                  <c:v>3.1850000000000001</c:v>
                </c:pt>
                <c:pt idx="15">
                  <c:v>-1.5660000000000001</c:v>
                </c:pt>
                <c:pt idx="16">
                  <c:v>-9.39</c:v>
                </c:pt>
                <c:pt idx="17">
                  <c:v>-9.5500000000000007</c:v>
                </c:pt>
                <c:pt idx="18">
                  <c:v>-10.4</c:v>
                </c:pt>
                <c:pt idx="19">
                  <c:v>-7.46</c:v>
                </c:pt>
                <c:pt idx="20">
                  <c:v>-5.5469999999999997</c:v>
                </c:pt>
                <c:pt idx="21">
                  <c:v>-4.0739999999999998</c:v>
                </c:pt>
                <c:pt idx="22">
                  <c:v>-4.0960000000000001</c:v>
                </c:pt>
                <c:pt idx="23">
                  <c:v>-8.24</c:v>
                </c:pt>
                <c:pt idx="24">
                  <c:v>-9.66</c:v>
                </c:pt>
                <c:pt idx="25">
                  <c:v>-1.629</c:v>
                </c:pt>
                <c:pt idx="26">
                  <c:v>1.075</c:v>
                </c:pt>
                <c:pt idx="27">
                  <c:v>4.3849999999999998</c:v>
                </c:pt>
                <c:pt idx="28">
                  <c:v>2.9710000000000001</c:v>
                </c:pt>
                <c:pt idx="29">
                  <c:v>-0.58499999999999996</c:v>
                </c:pt>
                <c:pt idx="30">
                  <c:v>-3.3420000000000001</c:v>
                </c:pt>
                <c:pt idx="31">
                  <c:v>-4.2679999999999998</c:v>
                </c:pt>
                <c:pt idx="32">
                  <c:v>-9.91</c:v>
                </c:pt>
                <c:pt idx="33">
                  <c:v>-10.44</c:v>
                </c:pt>
                <c:pt idx="34">
                  <c:v>-8.31</c:v>
                </c:pt>
                <c:pt idx="35">
                  <c:v>-13.61</c:v>
                </c:pt>
                <c:pt idx="36">
                  <c:v>-9.57</c:v>
                </c:pt>
                <c:pt idx="37">
                  <c:v>-6.665</c:v>
                </c:pt>
                <c:pt idx="38">
                  <c:v>-11</c:v>
                </c:pt>
                <c:pt idx="39">
                  <c:v>-12.24</c:v>
                </c:pt>
                <c:pt idx="40">
                  <c:v>-13.86</c:v>
                </c:pt>
                <c:pt idx="41">
                  <c:v>-13.71</c:v>
                </c:pt>
                <c:pt idx="42">
                  <c:v>-8.85</c:v>
                </c:pt>
                <c:pt idx="43">
                  <c:v>-9.0500000000000007</c:v>
                </c:pt>
                <c:pt idx="44">
                  <c:v>-7.2610000000000001</c:v>
                </c:pt>
                <c:pt idx="45">
                  <c:v>-4.9619999999999997</c:v>
                </c:pt>
                <c:pt idx="46">
                  <c:v>-5.2869999999999999</c:v>
                </c:pt>
                <c:pt idx="47">
                  <c:v>-4.7880000000000003</c:v>
                </c:pt>
                <c:pt idx="48">
                  <c:v>-4.8730000000000002</c:v>
                </c:pt>
                <c:pt idx="49">
                  <c:v>-4.8529999999999998</c:v>
                </c:pt>
                <c:pt idx="50">
                  <c:v>-1.3939999999999999</c:v>
                </c:pt>
                <c:pt idx="51">
                  <c:v>-1.8440000000000001</c:v>
                </c:pt>
                <c:pt idx="52">
                  <c:v>-1.4370000000000001</c:v>
                </c:pt>
                <c:pt idx="53">
                  <c:v>0.436</c:v>
                </c:pt>
                <c:pt idx="54">
                  <c:v>-3.15</c:v>
                </c:pt>
                <c:pt idx="55">
                  <c:v>-1.0329999999999999</c:v>
                </c:pt>
                <c:pt idx="56">
                  <c:v>1.032</c:v>
                </c:pt>
                <c:pt idx="57">
                  <c:v>1.629</c:v>
                </c:pt>
                <c:pt idx="58">
                  <c:v>4.5999999999999996</c:v>
                </c:pt>
                <c:pt idx="59">
                  <c:v>5.2679999999999998</c:v>
                </c:pt>
                <c:pt idx="60">
                  <c:v>4.4930000000000003</c:v>
                </c:pt>
                <c:pt idx="61">
                  <c:v>2.3740000000000001</c:v>
                </c:pt>
                <c:pt idx="62">
                  <c:v>1.649</c:v>
                </c:pt>
                <c:pt idx="63">
                  <c:v>-0.628</c:v>
                </c:pt>
                <c:pt idx="64">
                  <c:v>1.224</c:v>
                </c:pt>
                <c:pt idx="65">
                  <c:v>1.3939999999999999</c:v>
                </c:pt>
                <c:pt idx="66">
                  <c:v>0.501</c:v>
                </c:pt>
                <c:pt idx="67">
                  <c:v>2.63</c:v>
                </c:pt>
                <c:pt idx="68">
                  <c:v>-1.907</c:v>
                </c:pt>
                <c:pt idx="69">
                  <c:v>-3.407</c:v>
                </c:pt>
                <c:pt idx="70">
                  <c:v>-2.4830000000000001</c:v>
                </c:pt>
                <c:pt idx="71">
                  <c:v>-3.1070000000000002</c:v>
                </c:pt>
                <c:pt idx="72">
                  <c:v>-4.9160000000000004</c:v>
                </c:pt>
                <c:pt idx="73">
                  <c:v>-4.008</c:v>
                </c:pt>
                <c:pt idx="74">
                  <c:v>-2.42</c:v>
                </c:pt>
                <c:pt idx="75">
                  <c:v>-2.9119999999999999</c:v>
                </c:pt>
                <c:pt idx="76">
                  <c:v>-2.6549999999999998</c:v>
                </c:pt>
                <c:pt idx="77">
                  <c:v>-5.4379999999999997</c:v>
                </c:pt>
                <c:pt idx="78">
                  <c:v>-1.119</c:v>
                </c:pt>
                <c:pt idx="79">
                  <c:v>0.18099999999999999</c:v>
                </c:pt>
                <c:pt idx="80">
                  <c:v>-1.927</c:v>
                </c:pt>
                <c:pt idx="81">
                  <c:v>1.0999999999999999E-2</c:v>
                </c:pt>
                <c:pt idx="82">
                  <c:v>1.0529999999999999</c:v>
                </c:pt>
                <c:pt idx="83">
                  <c:v>7.532</c:v>
                </c:pt>
                <c:pt idx="84">
                  <c:v>10.58</c:v>
                </c:pt>
                <c:pt idx="85">
                  <c:v>4.3650000000000002</c:v>
                </c:pt>
                <c:pt idx="86">
                  <c:v>1.1379999999999999</c:v>
                </c:pt>
                <c:pt idx="87">
                  <c:v>3.827</c:v>
                </c:pt>
                <c:pt idx="88">
                  <c:v>8.1</c:v>
                </c:pt>
                <c:pt idx="89">
                  <c:v>0.60799999999999998</c:v>
                </c:pt>
                <c:pt idx="90">
                  <c:v>2.1819999999999999</c:v>
                </c:pt>
                <c:pt idx="91">
                  <c:v>1.6719999999999999</c:v>
                </c:pt>
                <c:pt idx="92">
                  <c:v>2.609</c:v>
                </c:pt>
                <c:pt idx="93">
                  <c:v>5.9390000000000001</c:v>
                </c:pt>
                <c:pt idx="94">
                  <c:v>10.72</c:v>
                </c:pt>
                <c:pt idx="95">
                  <c:v>10.36</c:v>
                </c:pt>
                <c:pt idx="96">
                  <c:v>2.7149999999999999</c:v>
                </c:pt>
                <c:pt idx="97">
                  <c:v>0.75700000000000001</c:v>
                </c:pt>
                <c:pt idx="98">
                  <c:v>3.7210000000000001</c:v>
                </c:pt>
                <c:pt idx="99">
                  <c:v>2.95</c:v>
                </c:pt>
                <c:pt idx="100">
                  <c:v>8.7200000000000006</c:v>
                </c:pt>
                <c:pt idx="101">
                  <c:v>1.0999999999999999E-2</c:v>
                </c:pt>
                <c:pt idx="102">
                  <c:v>4.5789999999999997</c:v>
                </c:pt>
                <c:pt idx="103">
                  <c:v>11.52</c:v>
                </c:pt>
                <c:pt idx="104">
                  <c:v>12.09</c:v>
                </c:pt>
                <c:pt idx="105">
                  <c:v>5.5910000000000002</c:v>
                </c:pt>
                <c:pt idx="106">
                  <c:v>8.23</c:v>
                </c:pt>
                <c:pt idx="107">
                  <c:v>15</c:v>
                </c:pt>
                <c:pt idx="108">
                  <c:v>6.8090000000000002</c:v>
                </c:pt>
                <c:pt idx="109">
                  <c:v>1.861</c:v>
                </c:pt>
                <c:pt idx="110">
                  <c:v>0.79700000000000004</c:v>
                </c:pt>
                <c:pt idx="111">
                  <c:v>2.7360000000000002</c:v>
                </c:pt>
                <c:pt idx="112">
                  <c:v>7.5750000000000002</c:v>
                </c:pt>
                <c:pt idx="113">
                  <c:v>13.71</c:v>
                </c:pt>
                <c:pt idx="114">
                  <c:v>15.24</c:v>
                </c:pt>
                <c:pt idx="115">
                  <c:v>13.71</c:v>
                </c:pt>
                <c:pt idx="116">
                  <c:v>10.7</c:v>
                </c:pt>
                <c:pt idx="117">
                  <c:v>4.3849999999999998</c:v>
                </c:pt>
                <c:pt idx="118">
                  <c:v>7.3330000000000002</c:v>
                </c:pt>
                <c:pt idx="119">
                  <c:v>10.72</c:v>
                </c:pt>
                <c:pt idx="120">
                  <c:v>15.58</c:v>
                </c:pt>
                <c:pt idx="121">
                  <c:v>17.989999999999998</c:v>
                </c:pt>
                <c:pt idx="122">
                  <c:v>6.3730000000000002</c:v>
                </c:pt>
                <c:pt idx="123">
                  <c:v>3.2919999999999998</c:v>
                </c:pt>
                <c:pt idx="124">
                  <c:v>11.11</c:v>
                </c:pt>
                <c:pt idx="125">
                  <c:v>15.48</c:v>
                </c:pt>
                <c:pt idx="126">
                  <c:v>14.21</c:v>
                </c:pt>
                <c:pt idx="127">
                  <c:v>10.02</c:v>
                </c:pt>
                <c:pt idx="128">
                  <c:v>11.59</c:v>
                </c:pt>
                <c:pt idx="129">
                  <c:v>8.81</c:v>
                </c:pt>
                <c:pt idx="130">
                  <c:v>6.875</c:v>
                </c:pt>
                <c:pt idx="131">
                  <c:v>1.4159999999999999</c:v>
                </c:pt>
                <c:pt idx="132">
                  <c:v>10.67</c:v>
                </c:pt>
                <c:pt idx="133">
                  <c:v>5.2030000000000003</c:v>
                </c:pt>
                <c:pt idx="134">
                  <c:v>7.641</c:v>
                </c:pt>
                <c:pt idx="135">
                  <c:v>4.1500000000000004</c:v>
                </c:pt>
                <c:pt idx="136">
                  <c:v>5.2910000000000004</c:v>
                </c:pt>
                <c:pt idx="137">
                  <c:v>1.97</c:v>
                </c:pt>
                <c:pt idx="138">
                  <c:v>0.501</c:v>
                </c:pt>
                <c:pt idx="139">
                  <c:v>2.9929999999999999</c:v>
                </c:pt>
                <c:pt idx="140">
                  <c:v>5.5709999999999997</c:v>
                </c:pt>
                <c:pt idx="141">
                  <c:v>9.57</c:v>
                </c:pt>
                <c:pt idx="142">
                  <c:v>12.26</c:v>
                </c:pt>
                <c:pt idx="143">
                  <c:v>15.14</c:v>
                </c:pt>
                <c:pt idx="144">
                  <c:v>19.02</c:v>
                </c:pt>
                <c:pt idx="145">
                  <c:v>8.99</c:v>
                </c:pt>
                <c:pt idx="146">
                  <c:v>15.92</c:v>
                </c:pt>
                <c:pt idx="147">
                  <c:v>23.64</c:v>
                </c:pt>
                <c:pt idx="148">
                  <c:v>11.91</c:v>
                </c:pt>
                <c:pt idx="149">
                  <c:v>20.29</c:v>
                </c:pt>
                <c:pt idx="150">
                  <c:v>21.81</c:v>
                </c:pt>
                <c:pt idx="151">
                  <c:v>8.6999999999999993</c:v>
                </c:pt>
                <c:pt idx="152">
                  <c:v>12.05</c:v>
                </c:pt>
                <c:pt idx="153">
                  <c:v>14.09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-8.8699999999999992</c:v>
                </c:pt>
                <c:pt idx="1">
                  <c:v>-9.7799999999999994</c:v>
                </c:pt>
                <c:pt idx="2">
                  <c:v>-8.5500000000000007</c:v>
                </c:pt>
                <c:pt idx="3">
                  <c:v>-6.0279999999999996</c:v>
                </c:pt>
                <c:pt idx="4">
                  <c:v>-6.1390000000000002</c:v>
                </c:pt>
                <c:pt idx="5">
                  <c:v>-5.8090000000000002</c:v>
                </c:pt>
                <c:pt idx="6">
                  <c:v>-7.327</c:v>
                </c:pt>
                <c:pt idx="7">
                  <c:v>-6.7530000000000001</c:v>
                </c:pt>
                <c:pt idx="8">
                  <c:v>-5.4610000000000003</c:v>
                </c:pt>
                <c:pt idx="9">
                  <c:v>-7.282</c:v>
                </c:pt>
                <c:pt idx="10">
                  <c:v>-6.9290000000000003</c:v>
                </c:pt>
                <c:pt idx="11">
                  <c:v>-7.8380000000000001</c:v>
                </c:pt>
                <c:pt idx="12">
                  <c:v>-8.0399999999999991</c:v>
                </c:pt>
                <c:pt idx="13">
                  <c:v>-4.6790000000000003</c:v>
                </c:pt>
                <c:pt idx="14">
                  <c:v>-1.5660000000000001</c:v>
                </c:pt>
                <c:pt idx="15">
                  <c:v>-9.89</c:v>
                </c:pt>
                <c:pt idx="16">
                  <c:v>-11.84</c:v>
                </c:pt>
                <c:pt idx="17">
                  <c:v>-14.17</c:v>
                </c:pt>
                <c:pt idx="18">
                  <c:v>-15.8</c:v>
                </c:pt>
                <c:pt idx="19">
                  <c:v>-16</c:v>
                </c:pt>
                <c:pt idx="20">
                  <c:v>-11.25</c:v>
                </c:pt>
                <c:pt idx="21">
                  <c:v>-10.95</c:v>
                </c:pt>
                <c:pt idx="22">
                  <c:v>-8.64</c:v>
                </c:pt>
                <c:pt idx="23">
                  <c:v>-11.68</c:v>
                </c:pt>
                <c:pt idx="24">
                  <c:v>-13.13</c:v>
                </c:pt>
                <c:pt idx="25">
                  <c:v>-10.07</c:v>
                </c:pt>
                <c:pt idx="26">
                  <c:v>-4.8310000000000004</c:v>
                </c:pt>
                <c:pt idx="27">
                  <c:v>-3.6419999999999999</c:v>
                </c:pt>
                <c:pt idx="28">
                  <c:v>-3.0409999999999999</c:v>
                </c:pt>
                <c:pt idx="29">
                  <c:v>-4.4400000000000004</c:v>
                </c:pt>
                <c:pt idx="30">
                  <c:v>-6.577</c:v>
                </c:pt>
                <c:pt idx="31">
                  <c:v>-11.79</c:v>
                </c:pt>
                <c:pt idx="32">
                  <c:v>-14.22</c:v>
                </c:pt>
                <c:pt idx="33">
                  <c:v>-13.1</c:v>
                </c:pt>
                <c:pt idx="34">
                  <c:v>-16.57</c:v>
                </c:pt>
                <c:pt idx="35">
                  <c:v>-22.25</c:v>
                </c:pt>
                <c:pt idx="36">
                  <c:v>-14.62</c:v>
                </c:pt>
                <c:pt idx="37">
                  <c:v>-15.44</c:v>
                </c:pt>
                <c:pt idx="38">
                  <c:v>-16.8</c:v>
                </c:pt>
                <c:pt idx="39">
                  <c:v>-18.5</c:v>
                </c:pt>
                <c:pt idx="40">
                  <c:v>-19.97</c:v>
                </c:pt>
                <c:pt idx="41">
                  <c:v>-21.21</c:v>
                </c:pt>
                <c:pt idx="42">
                  <c:v>-19.89</c:v>
                </c:pt>
                <c:pt idx="43">
                  <c:v>-18.53</c:v>
                </c:pt>
                <c:pt idx="44">
                  <c:v>-12.55</c:v>
                </c:pt>
                <c:pt idx="45">
                  <c:v>-10.6</c:v>
                </c:pt>
                <c:pt idx="46">
                  <c:v>-10.19</c:v>
                </c:pt>
                <c:pt idx="47">
                  <c:v>-7.9729999999999999</c:v>
                </c:pt>
                <c:pt idx="48">
                  <c:v>-8.33</c:v>
                </c:pt>
                <c:pt idx="49">
                  <c:v>-7.548</c:v>
                </c:pt>
                <c:pt idx="50">
                  <c:v>-4.9820000000000002</c:v>
                </c:pt>
                <c:pt idx="51">
                  <c:v>-4.6989999999999998</c:v>
                </c:pt>
                <c:pt idx="52">
                  <c:v>-4.9619999999999997</c:v>
                </c:pt>
                <c:pt idx="53">
                  <c:v>-3.1269999999999998</c:v>
                </c:pt>
                <c:pt idx="54">
                  <c:v>-5.33</c:v>
                </c:pt>
                <c:pt idx="55">
                  <c:v>-4.593</c:v>
                </c:pt>
                <c:pt idx="56">
                  <c:v>-4.9160000000000004</c:v>
                </c:pt>
                <c:pt idx="57">
                  <c:v>-4.8730000000000002</c:v>
                </c:pt>
                <c:pt idx="58">
                  <c:v>-1.331</c:v>
                </c:pt>
                <c:pt idx="59">
                  <c:v>-1.97</c:v>
                </c:pt>
                <c:pt idx="60">
                  <c:v>-2.0790000000000002</c:v>
                </c:pt>
                <c:pt idx="61">
                  <c:v>-5.4379999999999997</c:v>
                </c:pt>
                <c:pt idx="62">
                  <c:v>-7.04</c:v>
                </c:pt>
                <c:pt idx="63">
                  <c:v>-7.0170000000000003</c:v>
                </c:pt>
                <c:pt idx="64">
                  <c:v>-6.0049999999999999</c:v>
                </c:pt>
                <c:pt idx="65">
                  <c:v>-6.819</c:v>
                </c:pt>
                <c:pt idx="66">
                  <c:v>-3.7280000000000002</c:v>
                </c:pt>
                <c:pt idx="67">
                  <c:v>-4.9390000000000001</c:v>
                </c:pt>
                <c:pt idx="68">
                  <c:v>-8.67</c:v>
                </c:pt>
                <c:pt idx="69">
                  <c:v>-9.66</c:v>
                </c:pt>
                <c:pt idx="70">
                  <c:v>-6.1820000000000004</c:v>
                </c:pt>
                <c:pt idx="71">
                  <c:v>-9.23</c:v>
                </c:pt>
                <c:pt idx="72">
                  <c:v>-12.05</c:v>
                </c:pt>
                <c:pt idx="73">
                  <c:v>-8.51</c:v>
                </c:pt>
                <c:pt idx="74">
                  <c:v>-7.9050000000000002</c:v>
                </c:pt>
                <c:pt idx="75">
                  <c:v>-9.3000000000000007</c:v>
                </c:pt>
                <c:pt idx="76">
                  <c:v>-10.26</c:v>
                </c:pt>
                <c:pt idx="77">
                  <c:v>-9.8699999999999992</c:v>
                </c:pt>
                <c:pt idx="78">
                  <c:v>-5.4610000000000003</c:v>
                </c:pt>
                <c:pt idx="79">
                  <c:v>-6.577</c:v>
                </c:pt>
                <c:pt idx="80">
                  <c:v>-6.952</c:v>
                </c:pt>
                <c:pt idx="81">
                  <c:v>-6.3780000000000001</c:v>
                </c:pt>
                <c:pt idx="82">
                  <c:v>-0.13800000000000001</c:v>
                </c:pt>
                <c:pt idx="83">
                  <c:v>0.28699999999999998</c:v>
                </c:pt>
                <c:pt idx="84">
                  <c:v>1.8839999999999999</c:v>
                </c:pt>
                <c:pt idx="85">
                  <c:v>-0.56299999999999994</c:v>
                </c:pt>
                <c:pt idx="86">
                  <c:v>-1.6719999999999999</c:v>
                </c:pt>
                <c:pt idx="87">
                  <c:v>-4.6989999999999998</c:v>
                </c:pt>
                <c:pt idx="88">
                  <c:v>-5.5919999999999996</c:v>
                </c:pt>
                <c:pt idx="89">
                  <c:v>-4.2249999999999996</c:v>
                </c:pt>
                <c:pt idx="90">
                  <c:v>-4.5279999999999996</c:v>
                </c:pt>
                <c:pt idx="91">
                  <c:v>-4.2249999999999996</c:v>
                </c:pt>
                <c:pt idx="92">
                  <c:v>-5.6349999999999998</c:v>
                </c:pt>
                <c:pt idx="93">
                  <c:v>-6.7759999999999998</c:v>
                </c:pt>
                <c:pt idx="94">
                  <c:v>-3.3639999999999999</c:v>
                </c:pt>
                <c:pt idx="95">
                  <c:v>-0.54200000000000004</c:v>
                </c:pt>
                <c:pt idx="96">
                  <c:v>-1.5229999999999999</c:v>
                </c:pt>
                <c:pt idx="97">
                  <c:v>-3.5790000000000002</c:v>
                </c:pt>
                <c:pt idx="98">
                  <c:v>-4.1390000000000002</c:v>
                </c:pt>
                <c:pt idx="99">
                  <c:v>-2.7629999999999999</c:v>
                </c:pt>
                <c:pt idx="100">
                  <c:v>-3.665</c:v>
                </c:pt>
                <c:pt idx="101">
                  <c:v>-6.27</c:v>
                </c:pt>
                <c:pt idx="102">
                  <c:v>-8.69</c:v>
                </c:pt>
                <c:pt idx="103">
                  <c:v>-3.4929999999999999</c:v>
                </c:pt>
                <c:pt idx="104">
                  <c:v>0.71399999999999997</c:v>
                </c:pt>
                <c:pt idx="105">
                  <c:v>-4.6360000000000001</c:v>
                </c:pt>
                <c:pt idx="106">
                  <c:v>-5.8310000000000004</c:v>
                </c:pt>
                <c:pt idx="107">
                  <c:v>-2.677</c:v>
                </c:pt>
                <c:pt idx="108">
                  <c:v>-2.036</c:v>
                </c:pt>
                <c:pt idx="109">
                  <c:v>-3.45</c:v>
                </c:pt>
                <c:pt idx="110">
                  <c:v>-5.5469999999999997</c:v>
                </c:pt>
                <c:pt idx="111">
                  <c:v>-7.0629999999999997</c:v>
                </c:pt>
                <c:pt idx="112">
                  <c:v>-4.6360000000000001</c:v>
                </c:pt>
                <c:pt idx="113">
                  <c:v>-2.6120000000000001</c:v>
                </c:pt>
                <c:pt idx="114">
                  <c:v>1.351</c:v>
                </c:pt>
                <c:pt idx="115">
                  <c:v>2.1619999999999999</c:v>
                </c:pt>
                <c:pt idx="116">
                  <c:v>1.4370000000000001</c:v>
                </c:pt>
                <c:pt idx="117">
                  <c:v>-0.54200000000000004</c:v>
                </c:pt>
                <c:pt idx="118">
                  <c:v>-0.82</c:v>
                </c:pt>
                <c:pt idx="119">
                  <c:v>-1.6719999999999999</c:v>
                </c:pt>
                <c:pt idx="120">
                  <c:v>1.012</c:v>
                </c:pt>
                <c:pt idx="121">
                  <c:v>2.8220000000000001</c:v>
                </c:pt>
                <c:pt idx="122">
                  <c:v>-3.9649999999999999</c:v>
                </c:pt>
                <c:pt idx="123">
                  <c:v>-4.5049999999999999</c:v>
                </c:pt>
                <c:pt idx="124">
                  <c:v>-3.5990000000000002</c:v>
                </c:pt>
                <c:pt idx="125">
                  <c:v>1.6719999999999999</c:v>
                </c:pt>
                <c:pt idx="126">
                  <c:v>2.6720000000000002</c:v>
                </c:pt>
                <c:pt idx="127">
                  <c:v>-3.8359999999999999</c:v>
                </c:pt>
                <c:pt idx="128">
                  <c:v>0.26600000000000001</c:v>
                </c:pt>
                <c:pt idx="129">
                  <c:v>0.54200000000000004</c:v>
                </c:pt>
                <c:pt idx="130">
                  <c:v>-1.5429999999999999</c:v>
                </c:pt>
                <c:pt idx="131">
                  <c:v>-0.67100000000000004</c:v>
                </c:pt>
                <c:pt idx="132">
                  <c:v>0.35199999999999998</c:v>
                </c:pt>
                <c:pt idx="133">
                  <c:v>-0.39300000000000002</c:v>
                </c:pt>
                <c:pt idx="134">
                  <c:v>-3.3210000000000002</c:v>
                </c:pt>
                <c:pt idx="135">
                  <c:v>-1.417</c:v>
                </c:pt>
                <c:pt idx="136">
                  <c:v>-0.47899999999999998</c:v>
                </c:pt>
                <c:pt idx="137">
                  <c:v>-2.1219999999999999</c:v>
                </c:pt>
                <c:pt idx="138">
                  <c:v>-2.6120000000000001</c:v>
                </c:pt>
                <c:pt idx="139">
                  <c:v>-1.8640000000000001</c:v>
                </c:pt>
                <c:pt idx="140">
                  <c:v>-2.8690000000000002</c:v>
                </c:pt>
                <c:pt idx="141">
                  <c:v>7.3999999999999996E-2</c:v>
                </c:pt>
                <c:pt idx="142">
                  <c:v>0.35199999999999998</c:v>
                </c:pt>
                <c:pt idx="143">
                  <c:v>2.48</c:v>
                </c:pt>
                <c:pt idx="144">
                  <c:v>4.5140000000000002</c:v>
                </c:pt>
                <c:pt idx="145">
                  <c:v>2.0760000000000001</c:v>
                </c:pt>
                <c:pt idx="146">
                  <c:v>1.4159999999999999</c:v>
                </c:pt>
                <c:pt idx="147">
                  <c:v>7.0279999999999996</c:v>
                </c:pt>
                <c:pt idx="148">
                  <c:v>2.6949999999999998</c:v>
                </c:pt>
                <c:pt idx="149">
                  <c:v>1.8839999999999999</c:v>
                </c:pt>
                <c:pt idx="150">
                  <c:v>0.56499999999999995</c:v>
                </c:pt>
                <c:pt idx="151">
                  <c:v>-0.373</c:v>
                </c:pt>
                <c:pt idx="152">
                  <c:v>-0.77700000000000002</c:v>
                </c:pt>
                <c:pt idx="153">
                  <c:v>3.2280000000000002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16000"/>
        <c:axId val="482817536"/>
      </c:lineChart>
      <c:catAx>
        <c:axId val="482816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7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8281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6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90.2</c:v>
                </c:pt>
                <c:pt idx="1">
                  <c:v>90.3</c:v>
                </c:pt>
                <c:pt idx="2">
                  <c:v>94.5</c:v>
                </c:pt>
                <c:pt idx="3">
                  <c:v>94.4</c:v>
                </c:pt>
                <c:pt idx="4">
                  <c:v>94.5</c:v>
                </c:pt>
                <c:pt idx="5">
                  <c:v>93.9</c:v>
                </c:pt>
                <c:pt idx="6">
                  <c:v>95.6</c:v>
                </c:pt>
                <c:pt idx="7">
                  <c:v>95.3</c:v>
                </c:pt>
                <c:pt idx="8">
                  <c:v>95.3</c:v>
                </c:pt>
                <c:pt idx="9">
                  <c:v>94.3</c:v>
                </c:pt>
                <c:pt idx="10">
                  <c:v>93.1</c:v>
                </c:pt>
                <c:pt idx="11">
                  <c:v>91.9</c:v>
                </c:pt>
                <c:pt idx="12">
                  <c:v>94.8</c:v>
                </c:pt>
                <c:pt idx="13">
                  <c:v>95.9</c:v>
                </c:pt>
                <c:pt idx="14">
                  <c:v>94.8</c:v>
                </c:pt>
                <c:pt idx="15">
                  <c:v>93.2</c:v>
                </c:pt>
                <c:pt idx="16">
                  <c:v>89.5</c:v>
                </c:pt>
                <c:pt idx="17">
                  <c:v>87.7</c:v>
                </c:pt>
                <c:pt idx="18">
                  <c:v>88.2</c:v>
                </c:pt>
                <c:pt idx="19">
                  <c:v>84.9</c:v>
                </c:pt>
                <c:pt idx="20">
                  <c:v>90.4</c:v>
                </c:pt>
                <c:pt idx="21">
                  <c:v>89.1</c:v>
                </c:pt>
                <c:pt idx="22">
                  <c:v>92.3</c:v>
                </c:pt>
                <c:pt idx="23">
                  <c:v>89.9</c:v>
                </c:pt>
                <c:pt idx="24">
                  <c:v>89.6</c:v>
                </c:pt>
                <c:pt idx="25">
                  <c:v>90.3</c:v>
                </c:pt>
                <c:pt idx="26">
                  <c:v>62.82</c:v>
                </c:pt>
                <c:pt idx="27">
                  <c:v>48.44</c:v>
                </c:pt>
                <c:pt idx="28">
                  <c:v>43.64</c:v>
                </c:pt>
                <c:pt idx="29">
                  <c:v>73.900000000000006</c:v>
                </c:pt>
                <c:pt idx="30">
                  <c:v>94.3</c:v>
                </c:pt>
                <c:pt idx="31">
                  <c:v>93.9</c:v>
                </c:pt>
                <c:pt idx="32">
                  <c:v>87.7</c:v>
                </c:pt>
                <c:pt idx="33">
                  <c:v>87.4</c:v>
                </c:pt>
                <c:pt idx="34">
                  <c:v>87.1</c:v>
                </c:pt>
                <c:pt idx="35">
                  <c:v>84.4</c:v>
                </c:pt>
                <c:pt idx="36">
                  <c:v>86.4</c:v>
                </c:pt>
                <c:pt idx="37">
                  <c:v>83.6</c:v>
                </c:pt>
                <c:pt idx="38">
                  <c:v>86.3</c:v>
                </c:pt>
                <c:pt idx="39">
                  <c:v>83.3</c:v>
                </c:pt>
                <c:pt idx="40">
                  <c:v>81.599999999999994</c:v>
                </c:pt>
                <c:pt idx="41">
                  <c:v>80.5</c:v>
                </c:pt>
                <c:pt idx="42">
                  <c:v>81.900000000000006</c:v>
                </c:pt>
                <c:pt idx="43">
                  <c:v>86.4</c:v>
                </c:pt>
                <c:pt idx="44">
                  <c:v>89.5</c:v>
                </c:pt>
                <c:pt idx="45">
                  <c:v>90.3</c:v>
                </c:pt>
                <c:pt idx="46">
                  <c:v>91.6</c:v>
                </c:pt>
                <c:pt idx="47">
                  <c:v>92.1</c:v>
                </c:pt>
                <c:pt idx="48">
                  <c:v>92.4</c:v>
                </c:pt>
                <c:pt idx="49">
                  <c:v>93.7</c:v>
                </c:pt>
                <c:pt idx="50">
                  <c:v>94.6</c:v>
                </c:pt>
                <c:pt idx="51">
                  <c:v>94.8</c:v>
                </c:pt>
                <c:pt idx="52">
                  <c:v>96.7</c:v>
                </c:pt>
                <c:pt idx="53">
                  <c:v>96.7</c:v>
                </c:pt>
                <c:pt idx="54">
                  <c:v>94.2</c:v>
                </c:pt>
                <c:pt idx="55">
                  <c:v>95.6</c:v>
                </c:pt>
                <c:pt idx="56">
                  <c:v>96.2</c:v>
                </c:pt>
                <c:pt idx="57">
                  <c:v>95.6</c:v>
                </c:pt>
                <c:pt idx="58">
                  <c:v>95.1</c:v>
                </c:pt>
                <c:pt idx="59">
                  <c:v>94</c:v>
                </c:pt>
                <c:pt idx="60">
                  <c:v>96</c:v>
                </c:pt>
                <c:pt idx="61">
                  <c:v>96.4</c:v>
                </c:pt>
                <c:pt idx="62">
                  <c:v>95</c:v>
                </c:pt>
                <c:pt idx="63">
                  <c:v>94</c:v>
                </c:pt>
                <c:pt idx="64">
                  <c:v>93.4</c:v>
                </c:pt>
                <c:pt idx="65">
                  <c:v>84.9</c:v>
                </c:pt>
                <c:pt idx="66">
                  <c:v>84.7</c:v>
                </c:pt>
                <c:pt idx="67">
                  <c:v>94.7</c:v>
                </c:pt>
                <c:pt idx="68">
                  <c:v>91.5</c:v>
                </c:pt>
                <c:pt idx="69">
                  <c:v>92.8</c:v>
                </c:pt>
                <c:pt idx="70">
                  <c:v>95.3</c:v>
                </c:pt>
                <c:pt idx="71">
                  <c:v>94.8</c:v>
                </c:pt>
                <c:pt idx="72">
                  <c:v>91.6</c:v>
                </c:pt>
                <c:pt idx="73">
                  <c:v>93.4</c:v>
                </c:pt>
                <c:pt idx="74">
                  <c:v>92.7</c:v>
                </c:pt>
                <c:pt idx="75">
                  <c:v>90.2</c:v>
                </c:pt>
                <c:pt idx="76">
                  <c:v>90</c:v>
                </c:pt>
                <c:pt idx="77">
                  <c:v>93.2</c:v>
                </c:pt>
                <c:pt idx="78">
                  <c:v>93.7</c:v>
                </c:pt>
                <c:pt idx="79">
                  <c:v>94.1</c:v>
                </c:pt>
                <c:pt idx="80">
                  <c:v>93</c:v>
                </c:pt>
                <c:pt idx="81">
                  <c:v>97.7</c:v>
                </c:pt>
                <c:pt idx="82">
                  <c:v>98.1</c:v>
                </c:pt>
                <c:pt idx="83">
                  <c:v>98.9</c:v>
                </c:pt>
                <c:pt idx="84">
                  <c:v>98.4</c:v>
                </c:pt>
                <c:pt idx="85">
                  <c:v>97.2</c:v>
                </c:pt>
                <c:pt idx="86">
                  <c:v>97.1</c:v>
                </c:pt>
                <c:pt idx="87">
                  <c:v>96.3</c:v>
                </c:pt>
                <c:pt idx="88">
                  <c:v>88.2</c:v>
                </c:pt>
                <c:pt idx="89">
                  <c:v>95.5</c:v>
                </c:pt>
                <c:pt idx="90">
                  <c:v>95.1</c:v>
                </c:pt>
                <c:pt idx="91">
                  <c:v>94.4</c:v>
                </c:pt>
                <c:pt idx="92">
                  <c:v>93.8</c:v>
                </c:pt>
                <c:pt idx="93">
                  <c:v>75</c:v>
                </c:pt>
                <c:pt idx="94">
                  <c:v>67.41</c:v>
                </c:pt>
                <c:pt idx="95">
                  <c:v>97.8</c:v>
                </c:pt>
                <c:pt idx="96">
                  <c:v>98.3</c:v>
                </c:pt>
                <c:pt idx="97">
                  <c:v>96.8</c:v>
                </c:pt>
                <c:pt idx="98">
                  <c:v>95.4</c:v>
                </c:pt>
                <c:pt idx="99">
                  <c:v>98</c:v>
                </c:pt>
                <c:pt idx="100">
                  <c:v>96.8</c:v>
                </c:pt>
                <c:pt idx="101">
                  <c:v>93.1</c:v>
                </c:pt>
                <c:pt idx="102">
                  <c:v>92.2</c:v>
                </c:pt>
                <c:pt idx="103">
                  <c:v>62.54</c:v>
                </c:pt>
                <c:pt idx="104">
                  <c:v>76.650000000000006</c:v>
                </c:pt>
                <c:pt idx="105">
                  <c:v>71.89</c:v>
                </c:pt>
                <c:pt idx="106">
                  <c:v>57.34</c:v>
                </c:pt>
                <c:pt idx="107">
                  <c:v>79.03</c:v>
                </c:pt>
                <c:pt idx="108">
                  <c:v>96.1</c:v>
                </c:pt>
                <c:pt idx="109">
                  <c:v>94.7</c:v>
                </c:pt>
                <c:pt idx="110">
                  <c:v>93.9</c:v>
                </c:pt>
                <c:pt idx="111">
                  <c:v>92.3</c:v>
                </c:pt>
                <c:pt idx="112">
                  <c:v>79.69</c:v>
                </c:pt>
                <c:pt idx="113">
                  <c:v>66.790000000000006</c:v>
                </c:pt>
                <c:pt idx="114">
                  <c:v>56.04</c:v>
                </c:pt>
                <c:pt idx="115">
                  <c:v>72.849999999999994</c:v>
                </c:pt>
                <c:pt idx="116">
                  <c:v>78.489999999999995</c:v>
                </c:pt>
                <c:pt idx="117">
                  <c:v>96.6</c:v>
                </c:pt>
                <c:pt idx="118">
                  <c:v>91.7</c:v>
                </c:pt>
                <c:pt idx="119">
                  <c:v>87.9</c:v>
                </c:pt>
                <c:pt idx="120">
                  <c:v>66.28</c:v>
                </c:pt>
                <c:pt idx="121">
                  <c:v>68.2</c:v>
                </c:pt>
                <c:pt idx="122">
                  <c:v>97</c:v>
                </c:pt>
                <c:pt idx="123">
                  <c:v>94.5</c:v>
                </c:pt>
                <c:pt idx="124">
                  <c:v>62.7</c:v>
                </c:pt>
                <c:pt idx="125">
                  <c:v>56.19</c:v>
                </c:pt>
                <c:pt idx="126">
                  <c:v>83.9</c:v>
                </c:pt>
                <c:pt idx="127">
                  <c:v>84</c:v>
                </c:pt>
                <c:pt idx="128">
                  <c:v>60.33</c:v>
                </c:pt>
                <c:pt idx="129">
                  <c:v>82.5</c:v>
                </c:pt>
                <c:pt idx="130">
                  <c:v>95.6</c:v>
                </c:pt>
                <c:pt idx="131">
                  <c:v>98.1</c:v>
                </c:pt>
                <c:pt idx="132">
                  <c:v>98.6</c:v>
                </c:pt>
                <c:pt idx="133">
                  <c:v>97.7</c:v>
                </c:pt>
                <c:pt idx="134">
                  <c:v>94.3</c:v>
                </c:pt>
                <c:pt idx="135">
                  <c:v>98</c:v>
                </c:pt>
                <c:pt idx="136">
                  <c:v>98.1</c:v>
                </c:pt>
                <c:pt idx="137">
                  <c:v>96.4</c:v>
                </c:pt>
                <c:pt idx="138">
                  <c:v>97.7</c:v>
                </c:pt>
                <c:pt idx="139">
                  <c:v>96.5</c:v>
                </c:pt>
                <c:pt idx="140">
                  <c:v>90.2</c:v>
                </c:pt>
                <c:pt idx="141">
                  <c:v>85.3</c:v>
                </c:pt>
                <c:pt idx="142">
                  <c:v>91.7</c:v>
                </c:pt>
                <c:pt idx="143">
                  <c:v>80.400000000000006</c:v>
                </c:pt>
                <c:pt idx="144">
                  <c:v>97</c:v>
                </c:pt>
                <c:pt idx="145">
                  <c:v>98.8</c:v>
                </c:pt>
                <c:pt idx="146">
                  <c:v>81.8</c:v>
                </c:pt>
                <c:pt idx="147">
                  <c:v>75.91</c:v>
                </c:pt>
                <c:pt idx="148">
                  <c:v>95.2</c:v>
                </c:pt>
                <c:pt idx="149">
                  <c:v>80.8</c:v>
                </c:pt>
                <c:pt idx="150">
                  <c:v>92.6</c:v>
                </c:pt>
                <c:pt idx="151">
                  <c:v>95.1</c:v>
                </c:pt>
                <c:pt idx="152">
                  <c:v>77.069999999999993</c:v>
                </c:pt>
                <c:pt idx="153">
                  <c:v>75.97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89.4</c:v>
                </c:pt>
                <c:pt idx="1">
                  <c:v>88.4</c:v>
                </c:pt>
                <c:pt idx="2">
                  <c:v>89.8</c:v>
                </c:pt>
                <c:pt idx="3">
                  <c:v>91.6</c:v>
                </c:pt>
                <c:pt idx="4">
                  <c:v>91.7</c:v>
                </c:pt>
                <c:pt idx="5">
                  <c:v>91.8</c:v>
                </c:pt>
                <c:pt idx="6">
                  <c:v>89.9</c:v>
                </c:pt>
                <c:pt idx="7">
                  <c:v>90.4</c:v>
                </c:pt>
                <c:pt idx="8">
                  <c:v>91</c:v>
                </c:pt>
                <c:pt idx="9">
                  <c:v>90.4</c:v>
                </c:pt>
                <c:pt idx="10">
                  <c:v>91.1</c:v>
                </c:pt>
                <c:pt idx="11">
                  <c:v>90</c:v>
                </c:pt>
                <c:pt idx="12">
                  <c:v>90.1</c:v>
                </c:pt>
                <c:pt idx="13">
                  <c:v>82.6</c:v>
                </c:pt>
                <c:pt idx="14">
                  <c:v>74.900000000000006</c:v>
                </c:pt>
                <c:pt idx="15">
                  <c:v>70.66</c:v>
                </c:pt>
                <c:pt idx="16">
                  <c:v>86.3</c:v>
                </c:pt>
                <c:pt idx="17">
                  <c:v>70.53</c:v>
                </c:pt>
                <c:pt idx="18">
                  <c:v>78.819999999999993</c:v>
                </c:pt>
                <c:pt idx="19">
                  <c:v>39.56</c:v>
                </c:pt>
                <c:pt idx="20">
                  <c:v>63.53</c:v>
                </c:pt>
                <c:pt idx="21">
                  <c:v>33.57</c:v>
                </c:pt>
                <c:pt idx="22">
                  <c:v>33.24</c:v>
                </c:pt>
                <c:pt idx="23">
                  <c:v>86.5</c:v>
                </c:pt>
                <c:pt idx="24">
                  <c:v>84.9</c:v>
                </c:pt>
                <c:pt idx="25">
                  <c:v>51.75</c:v>
                </c:pt>
                <c:pt idx="26">
                  <c:v>35.46</c:v>
                </c:pt>
                <c:pt idx="27">
                  <c:v>21.7</c:v>
                </c:pt>
                <c:pt idx="28">
                  <c:v>24.51</c:v>
                </c:pt>
                <c:pt idx="29">
                  <c:v>27.31</c:v>
                </c:pt>
                <c:pt idx="30">
                  <c:v>64.98</c:v>
                </c:pt>
                <c:pt idx="31">
                  <c:v>73.8</c:v>
                </c:pt>
                <c:pt idx="32">
                  <c:v>82.4</c:v>
                </c:pt>
                <c:pt idx="33">
                  <c:v>84.9</c:v>
                </c:pt>
                <c:pt idx="34">
                  <c:v>73.56</c:v>
                </c:pt>
                <c:pt idx="35">
                  <c:v>76.98</c:v>
                </c:pt>
                <c:pt idx="36">
                  <c:v>81.400000000000006</c:v>
                </c:pt>
                <c:pt idx="37">
                  <c:v>57.41</c:v>
                </c:pt>
                <c:pt idx="38">
                  <c:v>81.2</c:v>
                </c:pt>
                <c:pt idx="39">
                  <c:v>78.13</c:v>
                </c:pt>
                <c:pt idx="40">
                  <c:v>77.38</c:v>
                </c:pt>
                <c:pt idx="41">
                  <c:v>73.37</c:v>
                </c:pt>
                <c:pt idx="42">
                  <c:v>59.87</c:v>
                </c:pt>
                <c:pt idx="43">
                  <c:v>44.38</c:v>
                </c:pt>
                <c:pt idx="44">
                  <c:v>84.4</c:v>
                </c:pt>
                <c:pt idx="45">
                  <c:v>78.680000000000007</c:v>
                </c:pt>
                <c:pt idx="46">
                  <c:v>88.2</c:v>
                </c:pt>
                <c:pt idx="47">
                  <c:v>90.1</c:v>
                </c:pt>
                <c:pt idx="48">
                  <c:v>90</c:v>
                </c:pt>
                <c:pt idx="49">
                  <c:v>90.5</c:v>
                </c:pt>
                <c:pt idx="50">
                  <c:v>92.6</c:v>
                </c:pt>
                <c:pt idx="51">
                  <c:v>92.9</c:v>
                </c:pt>
                <c:pt idx="52">
                  <c:v>92.8</c:v>
                </c:pt>
                <c:pt idx="53">
                  <c:v>89.8</c:v>
                </c:pt>
                <c:pt idx="54">
                  <c:v>90.2</c:v>
                </c:pt>
                <c:pt idx="55">
                  <c:v>93.2</c:v>
                </c:pt>
                <c:pt idx="56">
                  <c:v>92.5</c:v>
                </c:pt>
                <c:pt idx="57">
                  <c:v>86.8</c:v>
                </c:pt>
                <c:pt idx="58">
                  <c:v>72.31</c:v>
                </c:pt>
                <c:pt idx="59">
                  <c:v>62.09</c:v>
                </c:pt>
                <c:pt idx="60">
                  <c:v>51.97</c:v>
                </c:pt>
                <c:pt idx="61">
                  <c:v>59.68</c:v>
                </c:pt>
                <c:pt idx="62">
                  <c:v>53.24</c:v>
                </c:pt>
                <c:pt idx="63">
                  <c:v>51.17</c:v>
                </c:pt>
                <c:pt idx="64">
                  <c:v>64.56</c:v>
                </c:pt>
                <c:pt idx="65">
                  <c:v>39.549999999999997</c:v>
                </c:pt>
                <c:pt idx="66">
                  <c:v>57.29</c:v>
                </c:pt>
                <c:pt idx="67">
                  <c:v>46.47</c:v>
                </c:pt>
                <c:pt idx="68">
                  <c:v>47.83</c:v>
                </c:pt>
                <c:pt idx="69">
                  <c:v>77.36</c:v>
                </c:pt>
                <c:pt idx="70">
                  <c:v>91.9</c:v>
                </c:pt>
                <c:pt idx="71">
                  <c:v>87.3</c:v>
                </c:pt>
                <c:pt idx="72">
                  <c:v>85.8</c:v>
                </c:pt>
                <c:pt idx="73">
                  <c:v>90</c:v>
                </c:pt>
                <c:pt idx="74">
                  <c:v>88.6</c:v>
                </c:pt>
                <c:pt idx="75">
                  <c:v>72.41</c:v>
                </c:pt>
                <c:pt idx="76">
                  <c:v>57.16</c:v>
                </c:pt>
                <c:pt idx="77">
                  <c:v>77.459999999999994</c:v>
                </c:pt>
                <c:pt idx="78">
                  <c:v>64.97</c:v>
                </c:pt>
                <c:pt idx="79">
                  <c:v>55.23</c:v>
                </c:pt>
                <c:pt idx="80">
                  <c:v>73.010000000000005</c:v>
                </c:pt>
                <c:pt idx="81">
                  <c:v>88.1</c:v>
                </c:pt>
                <c:pt idx="82">
                  <c:v>81.7</c:v>
                </c:pt>
                <c:pt idx="83">
                  <c:v>69.540000000000006</c:v>
                </c:pt>
                <c:pt idx="84">
                  <c:v>62.83</c:v>
                </c:pt>
                <c:pt idx="85">
                  <c:v>62.48</c:v>
                </c:pt>
                <c:pt idx="86">
                  <c:v>87.9</c:v>
                </c:pt>
                <c:pt idx="87">
                  <c:v>47.45</c:v>
                </c:pt>
                <c:pt idx="88">
                  <c:v>40.14</c:v>
                </c:pt>
                <c:pt idx="89">
                  <c:v>70.98</c:v>
                </c:pt>
                <c:pt idx="90">
                  <c:v>77.319999999999993</c:v>
                </c:pt>
                <c:pt idx="91">
                  <c:v>72.739999999999995</c:v>
                </c:pt>
                <c:pt idx="92">
                  <c:v>46.33</c:v>
                </c:pt>
                <c:pt idx="93">
                  <c:v>29.26</c:v>
                </c:pt>
                <c:pt idx="94">
                  <c:v>28.11</c:v>
                </c:pt>
                <c:pt idx="95">
                  <c:v>42.5</c:v>
                </c:pt>
                <c:pt idx="96">
                  <c:v>95.5</c:v>
                </c:pt>
                <c:pt idx="97">
                  <c:v>91</c:v>
                </c:pt>
                <c:pt idx="98">
                  <c:v>55.01</c:v>
                </c:pt>
                <c:pt idx="99">
                  <c:v>61.67</c:v>
                </c:pt>
                <c:pt idx="100">
                  <c:v>36.82</c:v>
                </c:pt>
                <c:pt idx="101">
                  <c:v>67.400000000000006</c:v>
                </c:pt>
                <c:pt idx="102">
                  <c:v>31.29</c:v>
                </c:pt>
                <c:pt idx="103">
                  <c:v>29.86</c:v>
                </c:pt>
                <c:pt idx="104">
                  <c:v>29.65</c:v>
                </c:pt>
                <c:pt idx="105">
                  <c:v>30.88</c:v>
                </c:pt>
                <c:pt idx="106">
                  <c:v>24.36</c:v>
                </c:pt>
                <c:pt idx="107">
                  <c:v>32.1</c:v>
                </c:pt>
                <c:pt idx="108">
                  <c:v>39.130000000000003</c:v>
                </c:pt>
                <c:pt idx="109">
                  <c:v>56.21</c:v>
                </c:pt>
                <c:pt idx="110">
                  <c:v>67.03</c:v>
                </c:pt>
                <c:pt idx="111">
                  <c:v>39.340000000000003</c:v>
                </c:pt>
                <c:pt idx="112">
                  <c:v>36.630000000000003</c:v>
                </c:pt>
                <c:pt idx="113">
                  <c:v>27.96</c:v>
                </c:pt>
                <c:pt idx="114">
                  <c:v>20.13</c:v>
                </c:pt>
                <c:pt idx="115">
                  <c:v>30.23</c:v>
                </c:pt>
                <c:pt idx="116">
                  <c:v>35.770000000000003</c:v>
                </c:pt>
                <c:pt idx="117">
                  <c:v>55.76</c:v>
                </c:pt>
                <c:pt idx="118">
                  <c:v>47.57</c:v>
                </c:pt>
                <c:pt idx="119">
                  <c:v>37.29</c:v>
                </c:pt>
                <c:pt idx="120">
                  <c:v>33.909999999999997</c:v>
                </c:pt>
                <c:pt idx="121">
                  <c:v>25.39</c:v>
                </c:pt>
                <c:pt idx="122">
                  <c:v>58.52</c:v>
                </c:pt>
                <c:pt idx="123">
                  <c:v>45.56</c:v>
                </c:pt>
                <c:pt idx="124">
                  <c:v>21.99</c:v>
                </c:pt>
                <c:pt idx="125">
                  <c:v>21.29</c:v>
                </c:pt>
                <c:pt idx="126">
                  <c:v>33.25</c:v>
                </c:pt>
                <c:pt idx="127">
                  <c:v>20.68</c:v>
                </c:pt>
                <c:pt idx="128">
                  <c:v>23.04</c:v>
                </c:pt>
                <c:pt idx="129">
                  <c:v>49.7</c:v>
                </c:pt>
                <c:pt idx="130">
                  <c:v>53.83</c:v>
                </c:pt>
                <c:pt idx="131">
                  <c:v>95.5</c:v>
                </c:pt>
                <c:pt idx="132">
                  <c:v>53.82</c:v>
                </c:pt>
                <c:pt idx="133">
                  <c:v>57.17</c:v>
                </c:pt>
                <c:pt idx="134">
                  <c:v>40.409999999999997</c:v>
                </c:pt>
                <c:pt idx="135">
                  <c:v>77.75</c:v>
                </c:pt>
                <c:pt idx="136">
                  <c:v>78.66</c:v>
                </c:pt>
                <c:pt idx="137">
                  <c:v>84.1</c:v>
                </c:pt>
                <c:pt idx="138">
                  <c:v>80.099999999999994</c:v>
                </c:pt>
                <c:pt idx="139">
                  <c:v>63.87</c:v>
                </c:pt>
                <c:pt idx="140">
                  <c:v>49.13</c:v>
                </c:pt>
                <c:pt idx="141">
                  <c:v>44.2</c:v>
                </c:pt>
                <c:pt idx="142">
                  <c:v>37.01</c:v>
                </c:pt>
                <c:pt idx="143">
                  <c:v>40.39</c:v>
                </c:pt>
                <c:pt idx="144">
                  <c:v>31.64</c:v>
                </c:pt>
                <c:pt idx="145">
                  <c:v>59.66</c:v>
                </c:pt>
                <c:pt idx="146">
                  <c:v>44.78</c:v>
                </c:pt>
                <c:pt idx="147">
                  <c:v>35.31</c:v>
                </c:pt>
                <c:pt idx="148">
                  <c:v>47.72</c:v>
                </c:pt>
                <c:pt idx="149">
                  <c:v>27.28</c:v>
                </c:pt>
                <c:pt idx="150">
                  <c:v>28.09</c:v>
                </c:pt>
                <c:pt idx="151">
                  <c:v>41.96</c:v>
                </c:pt>
                <c:pt idx="152">
                  <c:v>32.86</c:v>
                </c:pt>
                <c:pt idx="153">
                  <c:v>32.76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0432"/>
        <c:axId val="498452352"/>
      </c:lineChart>
      <c:catAx>
        <c:axId val="498450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2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845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96293531287124"/>
          <c:y val="0.74085604684029882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0.39500000000000046</c:v>
                </c:pt>
                <c:pt idx="1">
                  <c:v>-0.69799999999999951</c:v>
                </c:pt>
                <c:pt idx="2">
                  <c:v>-0.6720000000000006</c:v>
                </c:pt>
                <c:pt idx="3">
                  <c:v>-1.141</c:v>
                </c:pt>
                <c:pt idx="4">
                  <c:v>-0.13700000000000001</c:v>
                </c:pt>
                <c:pt idx="5">
                  <c:v>-1.4710000000000001</c:v>
                </c:pt>
                <c:pt idx="6">
                  <c:v>-1.113</c:v>
                </c:pt>
                <c:pt idx="7">
                  <c:v>-0.40300000000000025</c:v>
                </c:pt>
                <c:pt idx="8">
                  <c:v>-1.1300000000000001</c:v>
                </c:pt>
                <c:pt idx="9">
                  <c:v>-0.35799999999999965</c:v>
                </c:pt>
                <c:pt idx="10">
                  <c:v>-0.39699999999999935</c:v>
                </c:pt>
                <c:pt idx="11">
                  <c:v>-0.14200000000000035</c:v>
                </c:pt>
                <c:pt idx="12">
                  <c:v>-1.8250000000000002</c:v>
                </c:pt>
                <c:pt idx="13">
                  <c:v>-0.96</c:v>
                </c:pt>
                <c:pt idx="14">
                  <c:v>-4.3</c:v>
                </c:pt>
                <c:pt idx="15">
                  <c:v>-2.6680000000000001</c:v>
                </c:pt>
                <c:pt idx="16">
                  <c:v>0.39000000000000057</c:v>
                </c:pt>
                <c:pt idx="17">
                  <c:v>-0.65000000000000036</c:v>
                </c:pt>
                <c:pt idx="18">
                  <c:v>0.32000000000000028</c:v>
                </c:pt>
                <c:pt idx="19">
                  <c:v>-2.2409999999999997</c:v>
                </c:pt>
                <c:pt idx="20">
                  <c:v>-1.2700000000000005</c:v>
                </c:pt>
                <c:pt idx="21">
                  <c:v>-2.7519999999999998</c:v>
                </c:pt>
                <c:pt idx="22">
                  <c:v>-1.6220000000000003</c:v>
                </c:pt>
                <c:pt idx="23">
                  <c:v>0.42999999999999972</c:v>
                </c:pt>
                <c:pt idx="24">
                  <c:v>-1.3000000000000007</c:v>
                </c:pt>
                <c:pt idx="25">
                  <c:v>-1.7490000000000001</c:v>
                </c:pt>
                <c:pt idx="26">
                  <c:v>-3.0539999999999998</c:v>
                </c:pt>
                <c:pt idx="27">
                  <c:v>-5.5010000000000003</c:v>
                </c:pt>
                <c:pt idx="28">
                  <c:v>-4.4989999999999997</c:v>
                </c:pt>
                <c:pt idx="29">
                  <c:v>-3.0620000000000003</c:v>
                </c:pt>
                <c:pt idx="30">
                  <c:v>-0.17499999999999982</c:v>
                </c:pt>
                <c:pt idx="31">
                  <c:v>-0.36600000000000055</c:v>
                </c:pt>
                <c:pt idx="32">
                  <c:v>-3.0000000000001137E-2</c:v>
                </c:pt>
                <c:pt idx="33">
                  <c:v>0.13000000000000078</c:v>
                </c:pt>
                <c:pt idx="34">
                  <c:v>-0.17999999999999972</c:v>
                </c:pt>
                <c:pt idx="35">
                  <c:v>-0.50999999999999979</c:v>
                </c:pt>
                <c:pt idx="36">
                  <c:v>0.36000000000000121</c:v>
                </c:pt>
                <c:pt idx="37">
                  <c:v>4.3000000000000149E-2</c:v>
                </c:pt>
                <c:pt idx="38">
                  <c:v>0.54999999999999893</c:v>
                </c:pt>
                <c:pt idx="39">
                  <c:v>0.83000000000000007</c:v>
                </c:pt>
                <c:pt idx="40">
                  <c:v>1.17</c:v>
                </c:pt>
                <c:pt idx="41">
                  <c:v>1.4499999999999993</c:v>
                </c:pt>
                <c:pt idx="42">
                  <c:v>1.2599999999999998</c:v>
                </c:pt>
                <c:pt idx="43">
                  <c:v>0.20999999999999908</c:v>
                </c:pt>
                <c:pt idx="44">
                  <c:v>0.78999999999999915</c:v>
                </c:pt>
                <c:pt idx="45">
                  <c:v>1.141</c:v>
                </c:pt>
                <c:pt idx="46">
                  <c:v>-0.1120000000000001</c:v>
                </c:pt>
                <c:pt idx="47">
                  <c:v>0.12000000000000011</c:v>
                </c:pt>
                <c:pt idx="48">
                  <c:v>0.21400000000000041</c:v>
                </c:pt>
                <c:pt idx="49">
                  <c:v>-0.55100000000000016</c:v>
                </c:pt>
                <c:pt idx="50">
                  <c:v>-0.14799999999999969</c:v>
                </c:pt>
                <c:pt idx="51">
                  <c:v>-0.38700000000000001</c:v>
                </c:pt>
                <c:pt idx="52">
                  <c:v>-0.35999999999999993</c:v>
                </c:pt>
                <c:pt idx="53">
                  <c:v>-1.282</c:v>
                </c:pt>
                <c:pt idx="54">
                  <c:v>-0.19700000000000006</c:v>
                </c:pt>
                <c:pt idx="55">
                  <c:v>0.15600000000000014</c:v>
                </c:pt>
                <c:pt idx="56">
                  <c:v>-0.439</c:v>
                </c:pt>
                <c:pt idx="57">
                  <c:v>-1.113</c:v>
                </c:pt>
                <c:pt idx="58">
                  <c:v>-3.17</c:v>
                </c:pt>
                <c:pt idx="59">
                  <c:v>-4.9219999999999997</c:v>
                </c:pt>
                <c:pt idx="60">
                  <c:v>-3.5300000000000002</c:v>
                </c:pt>
                <c:pt idx="61">
                  <c:v>0.18099999999999999</c:v>
                </c:pt>
                <c:pt idx="62">
                  <c:v>-1.752</c:v>
                </c:pt>
                <c:pt idx="63">
                  <c:v>-0.67300000000000004</c:v>
                </c:pt>
                <c:pt idx="64">
                  <c:v>1.2750000000000001</c:v>
                </c:pt>
                <c:pt idx="65">
                  <c:v>-2.181</c:v>
                </c:pt>
                <c:pt idx="66">
                  <c:v>-2.2530000000000001</c:v>
                </c:pt>
                <c:pt idx="67">
                  <c:v>-3.2959999999999998</c:v>
                </c:pt>
                <c:pt idx="68">
                  <c:v>-0.56700000000000017</c:v>
                </c:pt>
                <c:pt idx="69">
                  <c:v>-0.5</c:v>
                </c:pt>
                <c:pt idx="70">
                  <c:v>-0.47799999999999976</c:v>
                </c:pt>
                <c:pt idx="71">
                  <c:v>-0.45500000000000007</c:v>
                </c:pt>
                <c:pt idx="72">
                  <c:v>2.0339999999999998</c:v>
                </c:pt>
                <c:pt idx="73">
                  <c:v>-0.12000000000000011</c:v>
                </c:pt>
                <c:pt idx="74">
                  <c:v>3.2230000000000003</c:v>
                </c:pt>
                <c:pt idx="75">
                  <c:v>3.9660000000000002</c:v>
                </c:pt>
                <c:pt idx="76">
                  <c:v>1.7749999999999999</c:v>
                </c:pt>
                <c:pt idx="77">
                  <c:v>-0.44599999999999973</c:v>
                </c:pt>
                <c:pt idx="78">
                  <c:v>1.873</c:v>
                </c:pt>
                <c:pt idx="79">
                  <c:v>0.88700000000000001</c:v>
                </c:pt>
                <c:pt idx="80">
                  <c:v>1.21</c:v>
                </c:pt>
                <c:pt idx="81">
                  <c:v>-0.55299999999999994</c:v>
                </c:pt>
                <c:pt idx="82">
                  <c:v>-0.89300000000000002</c:v>
                </c:pt>
                <c:pt idx="83">
                  <c:v>-7.4379999999999988</c:v>
                </c:pt>
                <c:pt idx="84">
                  <c:v>-8.8680000000000003</c:v>
                </c:pt>
                <c:pt idx="85">
                  <c:v>-4.4529999999999994</c:v>
                </c:pt>
                <c:pt idx="86">
                  <c:v>-0.57499999999999996</c:v>
                </c:pt>
                <c:pt idx="87">
                  <c:v>-1.5739999999999998</c:v>
                </c:pt>
                <c:pt idx="88">
                  <c:v>-3.7350000000000003</c:v>
                </c:pt>
                <c:pt idx="89">
                  <c:v>1.101</c:v>
                </c:pt>
                <c:pt idx="90">
                  <c:v>-0.24100000000000005</c:v>
                </c:pt>
                <c:pt idx="91">
                  <c:v>1.5129999999999999</c:v>
                </c:pt>
                <c:pt idx="92">
                  <c:v>0.46099999999999997</c:v>
                </c:pt>
                <c:pt idx="93">
                  <c:v>-3.7829999999999999</c:v>
                </c:pt>
                <c:pt idx="94">
                  <c:v>-7.7329999999999997</c:v>
                </c:pt>
                <c:pt idx="95">
                  <c:v>-7.4599999999999991</c:v>
                </c:pt>
                <c:pt idx="96">
                  <c:v>-3.0630000000000002</c:v>
                </c:pt>
                <c:pt idx="97">
                  <c:v>0.19499999999999998</c:v>
                </c:pt>
                <c:pt idx="98">
                  <c:v>-2.3820000000000001</c:v>
                </c:pt>
                <c:pt idx="99">
                  <c:v>-4.3899999999999997</c:v>
                </c:pt>
                <c:pt idx="100">
                  <c:v>-4.0200000000000005</c:v>
                </c:pt>
                <c:pt idx="101">
                  <c:v>2.6619999999999999</c:v>
                </c:pt>
                <c:pt idx="102">
                  <c:v>-3.0569999999999999</c:v>
                </c:pt>
                <c:pt idx="103">
                  <c:v>-7.13</c:v>
                </c:pt>
                <c:pt idx="104">
                  <c:v>-8.2370000000000001</c:v>
                </c:pt>
                <c:pt idx="105">
                  <c:v>-0.98099999999999987</c:v>
                </c:pt>
                <c:pt idx="106">
                  <c:v>-3.7199999999999998</c:v>
                </c:pt>
                <c:pt idx="107">
                  <c:v>-10.7</c:v>
                </c:pt>
                <c:pt idx="108">
                  <c:v>-4.718</c:v>
                </c:pt>
                <c:pt idx="109">
                  <c:v>-0.503</c:v>
                </c:pt>
                <c:pt idx="110">
                  <c:v>1.6180000000000001</c:v>
                </c:pt>
                <c:pt idx="111">
                  <c:v>-1.028</c:v>
                </c:pt>
                <c:pt idx="112">
                  <c:v>-4.5</c:v>
                </c:pt>
                <c:pt idx="113">
                  <c:v>-8.0599999999999987</c:v>
                </c:pt>
                <c:pt idx="114">
                  <c:v>-10.968999999999999</c:v>
                </c:pt>
                <c:pt idx="115">
                  <c:v>-9.94</c:v>
                </c:pt>
                <c:pt idx="116">
                  <c:v>-7.7290000000000001</c:v>
                </c:pt>
                <c:pt idx="117">
                  <c:v>-4.0839999999999996</c:v>
                </c:pt>
                <c:pt idx="118">
                  <c:v>-5.4379999999999997</c:v>
                </c:pt>
                <c:pt idx="119">
                  <c:v>-7.1379999999999999</c:v>
                </c:pt>
                <c:pt idx="120">
                  <c:v>-11.411999999999999</c:v>
                </c:pt>
                <c:pt idx="121">
                  <c:v>-14.328000000000001</c:v>
                </c:pt>
                <c:pt idx="122">
                  <c:v>-7.8370000000000006</c:v>
                </c:pt>
                <c:pt idx="123">
                  <c:v>-1.8420000000000001</c:v>
                </c:pt>
                <c:pt idx="124">
                  <c:v>-7.141</c:v>
                </c:pt>
                <c:pt idx="125">
                  <c:v>-11.967000000000001</c:v>
                </c:pt>
                <c:pt idx="126">
                  <c:v>-11.31</c:v>
                </c:pt>
                <c:pt idx="127">
                  <c:v>-6.4039999999999999</c:v>
                </c:pt>
                <c:pt idx="128">
                  <c:v>-10.866</c:v>
                </c:pt>
                <c:pt idx="129">
                  <c:v>-7.8159999999999998</c:v>
                </c:pt>
                <c:pt idx="130">
                  <c:v>-5.5200000000000005</c:v>
                </c:pt>
                <c:pt idx="131">
                  <c:v>-1.8339999999999999</c:v>
                </c:pt>
                <c:pt idx="132">
                  <c:v>-7.4649999999999999</c:v>
                </c:pt>
                <c:pt idx="133">
                  <c:v>-5.3699999999999992</c:v>
                </c:pt>
                <c:pt idx="134">
                  <c:v>-6.117</c:v>
                </c:pt>
                <c:pt idx="135">
                  <c:v>-3.7809999999999997</c:v>
                </c:pt>
                <c:pt idx="136">
                  <c:v>-3.9449999999999994</c:v>
                </c:pt>
                <c:pt idx="137">
                  <c:v>-1.238</c:v>
                </c:pt>
                <c:pt idx="138">
                  <c:v>-0.32100000000000001</c:v>
                </c:pt>
                <c:pt idx="139">
                  <c:v>-2.9969999999999999</c:v>
                </c:pt>
                <c:pt idx="140">
                  <c:v>-5.3479999999999999</c:v>
                </c:pt>
                <c:pt idx="141">
                  <c:v>-6.1859999999999999</c:v>
                </c:pt>
                <c:pt idx="142">
                  <c:v>-9.8849999999999998</c:v>
                </c:pt>
                <c:pt idx="143">
                  <c:v>-12.737</c:v>
                </c:pt>
                <c:pt idx="144">
                  <c:v>-13.631</c:v>
                </c:pt>
                <c:pt idx="145">
                  <c:v>-0.79999999999999893</c:v>
                </c:pt>
                <c:pt idx="146">
                  <c:v>3.2700000000000014</c:v>
                </c:pt>
                <c:pt idx="147">
                  <c:v>9.620000000000001</c:v>
                </c:pt>
                <c:pt idx="148">
                  <c:v>8.7999999999999989</c:v>
                </c:pt>
                <c:pt idx="149">
                  <c:v>5.23</c:v>
                </c:pt>
                <c:pt idx="150">
                  <c:v>15.040000000000003</c:v>
                </c:pt>
                <c:pt idx="151">
                  <c:v>16.849</c:v>
                </c:pt>
                <c:pt idx="152">
                  <c:v>18.78</c:v>
                </c:pt>
                <c:pt idx="153">
                  <c:v>18.71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-0.52999999999999936</c:v>
                </c:pt>
                <c:pt idx="1">
                  <c:v>-0.94999999999999929</c:v>
                </c:pt>
                <c:pt idx="2">
                  <c:v>-0.76000000000000156</c:v>
                </c:pt>
                <c:pt idx="3">
                  <c:v>-0.57000000000000028</c:v>
                </c:pt>
                <c:pt idx="4">
                  <c:v>-0.92400000000000038</c:v>
                </c:pt>
                <c:pt idx="5">
                  <c:v>-1.4420000000000002</c:v>
                </c:pt>
                <c:pt idx="6">
                  <c:v>-0.84999999999999964</c:v>
                </c:pt>
                <c:pt idx="7">
                  <c:v>-0.29300000000000015</c:v>
                </c:pt>
                <c:pt idx="8">
                  <c:v>-1.0390000000000006</c:v>
                </c:pt>
                <c:pt idx="9">
                  <c:v>-0.4399999999999995</c:v>
                </c:pt>
                <c:pt idx="10">
                  <c:v>-0.31099999999999994</c:v>
                </c:pt>
                <c:pt idx="11">
                  <c:v>-1.4100000000000001</c:v>
                </c:pt>
                <c:pt idx="12">
                  <c:v>-1.9200000000000017</c:v>
                </c:pt>
                <c:pt idx="13">
                  <c:v>-1.7119999999999997</c:v>
                </c:pt>
                <c:pt idx="14">
                  <c:v>-0.95300000000000029</c:v>
                </c:pt>
                <c:pt idx="15">
                  <c:v>-1.9600000000000009</c:v>
                </c:pt>
                <c:pt idx="16">
                  <c:v>-1.6500000000000004</c:v>
                </c:pt>
                <c:pt idx="17">
                  <c:v>-1.5099999999999998</c:v>
                </c:pt>
                <c:pt idx="18">
                  <c:v>-1.6000000000000014</c:v>
                </c:pt>
                <c:pt idx="19">
                  <c:v>-1.8099999999999987</c:v>
                </c:pt>
                <c:pt idx="20">
                  <c:v>-1.5</c:v>
                </c:pt>
                <c:pt idx="21">
                  <c:v>-2.8899999999999988</c:v>
                </c:pt>
                <c:pt idx="22">
                  <c:v>-1.17</c:v>
                </c:pt>
                <c:pt idx="23">
                  <c:v>-1.7800000000000011</c:v>
                </c:pt>
                <c:pt idx="24">
                  <c:v>-1.8100000000000005</c:v>
                </c:pt>
                <c:pt idx="25">
                  <c:v>-1.7800000000000011</c:v>
                </c:pt>
                <c:pt idx="26">
                  <c:v>-3.5760000000000001</c:v>
                </c:pt>
                <c:pt idx="27">
                  <c:v>-3.8580000000000001</c:v>
                </c:pt>
                <c:pt idx="28">
                  <c:v>-4.2519999999999998</c:v>
                </c:pt>
                <c:pt idx="29">
                  <c:v>-0.78000000000000025</c:v>
                </c:pt>
                <c:pt idx="30">
                  <c:v>-0.13499999999999979</c:v>
                </c:pt>
                <c:pt idx="31">
                  <c:v>-1.58</c:v>
                </c:pt>
                <c:pt idx="32">
                  <c:v>-1.6600000000000001</c:v>
                </c:pt>
                <c:pt idx="33">
                  <c:v>-1.0899999999999999</c:v>
                </c:pt>
                <c:pt idx="34">
                  <c:v>-0.60000000000000142</c:v>
                </c:pt>
                <c:pt idx="35">
                  <c:v>-0.60000000000000142</c:v>
                </c:pt>
                <c:pt idx="36">
                  <c:v>-1.1500000000000004</c:v>
                </c:pt>
                <c:pt idx="37">
                  <c:v>-1.8200000000000003</c:v>
                </c:pt>
                <c:pt idx="38">
                  <c:v>-2.0799999999999983</c:v>
                </c:pt>
                <c:pt idx="39">
                  <c:v>-1.6600000000000001</c:v>
                </c:pt>
                <c:pt idx="40">
                  <c:v>-1.5999999999999979</c:v>
                </c:pt>
                <c:pt idx="41">
                  <c:v>-1.4399999999999977</c:v>
                </c:pt>
                <c:pt idx="42">
                  <c:v>-1.5399999999999991</c:v>
                </c:pt>
                <c:pt idx="43">
                  <c:v>-1.2299999999999969</c:v>
                </c:pt>
                <c:pt idx="44">
                  <c:v>-1.120000000000001</c:v>
                </c:pt>
                <c:pt idx="45">
                  <c:v>-0.60999999999999943</c:v>
                </c:pt>
                <c:pt idx="46">
                  <c:v>-0.1899999999999995</c:v>
                </c:pt>
                <c:pt idx="47">
                  <c:v>-1.1000000000000014</c:v>
                </c:pt>
                <c:pt idx="48">
                  <c:v>-9.9999999999999645E-2</c:v>
                </c:pt>
                <c:pt idx="49">
                  <c:v>-0.17799999999999994</c:v>
                </c:pt>
                <c:pt idx="50">
                  <c:v>-1.4290000000000003</c:v>
                </c:pt>
                <c:pt idx="51">
                  <c:v>-0.28200000000000003</c:v>
                </c:pt>
                <c:pt idx="52">
                  <c:v>-0.70500000000000007</c:v>
                </c:pt>
                <c:pt idx="53">
                  <c:v>-0.84699999999999953</c:v>
                </c:pt>
                <c:pt idx="54">
                  <c:v>-1.4490000000000007</c:v>
                </c:pt>
                <c:pt idx="55">
                  <c:v>-0.85700000000000021</c:v>
                </c:pt>
                <c:pt idx="56">
                  <c:v>-1.2690000000000001</c:v>
                </c:pt>
                <c:pt idx="57">
                  <c:v>-1.8499999999999996</c:v>
                </c:pt>
                <c:pt idx="58">
                  <c:v>-1.5450000000000002</c:v>
                </c:pt>
                <c:pt idx="59">
                  <c:v>-1.6970000000000005</c:v>
                </c:pt>
                <c:pt idx="60">
                  <c:v>-1.0529999999999999</c:v>
                </c:pt>
                <c:pt idx="61">
                  <c:v>-1.9209999999999994</c:v>
                </c:pt>
                <c:pt idx="62">
                  <c:v>-1.903999999999999</c:v>
                </c:pt>
                <c:pt idx="63">
                  <c:v>-1.5640000000000001</c:v>
                </c:pt>
                <c:pt idx="64">
                  <c:v>-1.9540000000000006</c:v>
                </c:pt>
                <c:pt idx="65">
                  <c:v>-2.093</c:v>
                </c:pt>
                <c:pt idx="66">
                  <c:v>-1.9920000000000004</c:v>
                </c:pt>
                <c:pt idx="67">
                  <c:v>-1.367</c:v>
                </c:pt>
                <c:pt idx="68">
                  <c:v>-1.2900000000000009</c:v>
                </c:pt>
                <c:pt idx="69">
                  <c:v>-1.379999999999999</c:v>
                </c:pt>
                <c:pt idx="70">
                  <c:v>-0.35899999999999999</c:v>
                </c:pt>
                <c:pt idx="71">
                  <c:v>-1.75</c:v>
                </c:pt>
                <c:pt idx="72">
                  <c:v>-1.92</c:v>
                </c:pt>
                <c:pt idx="73">
                  <c:v>-0.74000000000000021</c:v>
                </c:pt>
                <c:pt idx="74">
                  <c:v>-1.9400000000000013</c:v>
                </c:pt>
                <c:pt idx="75">
                  <c:v>-1.9899999999999984</c:v>
                </c:pt>
                <c:pt idx="76">
                  <c:v>-2.6100000000000012</c:v>
                </c:pt>
                <c:pt idx="77">
                  <c:v>-2.0199999999999996</c:v>
                </c:pt>
                <c:pt idx="78">
                  <c:v>-0.79399999999999959</c:v>
                </c:pt>
                <c:pt idx="79">
                  <c:v>-1.6450000000000005</c:v>
                </c:pt>
                <c:pt idx="80">
                  <c:v>-1.8189999999999991</c:v>
                </c:pt>
                <c:pt idx="81">
                  <c:v>-0.50199999999999978</c:v>
                </c:pt>
                <c:pt idx="82">
                  <c:v>-0.46299999999999986</c:v>
                </c:pt>
                <c:pt idx="83">
                  <c:v>-0.76200000000000001</c:v>
                </c:pt>
                <c:pt idx="84">
                  <c:v>-2.8169999999999997</c:v>
                </c:pt>
                <c:pt idx="85">
                  <c:v>-0.54699999999999993</c:v>
                </c:pt>
                <c:pt idx="86">
                  <c:v>-6.4999999999999947E-2</c:v>
                </c:pt>
                <c:pt idx="87">
                  <c:v>-1.7160000000000002</c:v>
                </c:pt>
                <c:pt idx="88">
                  <c:v>-1.6470000000000002</c:v>
                </c:pt>
                <c:pt idx="89">
                  <c:v>-1.2429999999999994</c:v>
                </c:pt>
                <c:pt idx="90">
                  <c:v>-1.1870000000000003</c:v>
                </c:pt>
                <c:pt idx="91">
                  <c:v>-0.85099999999999998</c:v>
                </c:pt>
                <c:pt idx="92">
                  <c:v>-1.7800000000000002</c:v>
                </c:pt>
                <c:pt idx="93">
                  <c:v>-1.8949999999999996</c:v>
                </c:pt>
                <c:pt idx="94">
                  <c:v>-2.694</c:v>
                </c:pt>
                <c:pt idx="95">
                  <c:v>-2.5820000000000003</c:v>
                </c:pt>
                <c:pt idx="96">
                  <c:v>-0.33000000000000007</c:v>
                </c:pt>
                <c:pt idx="97">
                  <c:v>-0.38699999999999957</c:v>
                </c:pt>
                <c:pt idx="98">
                  <c:v>-0.94899999999999984</c:v>
                </c:pt>
                <c:pt idx="99">
                  <c:v>-1.133</c:v>
                </c:pt>
                <c:pt idx="100">
                  <c:v>-0.28500000000000014</c:v>
                </c:pt>
                <c:pt idx="101">
                  <c:v>-1.7540000000000004</c:v>
                </c:pt>
                <c:pt idx="102">
                  <c:v>-1.6799999999999997</c:v>
                </c:pt>
                <c:pt idx="103">
                  <c:v>-2.6640000000000001</c:v>
                </c:pt>
                <c:pt idx="104">
                  <c:v>-1.7370000000000001</c:v>
                </c:pt>
                <c:pt idx="105">
                  <c:v>-1.4279999999999999</c:v>
                </c:pt>
                <c:pt idx="106">
                  <c:v>-2.1040000000000001</c:v>
                </c:pt>
                <c:pt idx="107">
                  <c:v>-2.3200000000000003</c:v>
                </c:pt>
                <c:pt idx="108">
                  <c:v>-0.32200000000000006</c:v>
                </c:pt>
                <c:pt idx="109">
                  <c:v>-0.11299999999999955</c:v>
                </c:pt>
                <c:pt idx="110">
                  <c:v>-1.6289999999999996</c:v>
                </c:pt>
                <c:pt idx="111">
                  <c:v>-1.488999999999999</c:v>
                </c:pt>
                <c:pt idx="112">
                  <c:v>-2.0019999999999998</c:v>
                </c:pt>
                <c:pt idx="113">
                  <c:v>-2.2960000000000003</c:v>
                </c:pt>
                <c:pt idx="114">
                  <c:v>-3.49</c:v>
                </c:pt>
                <c:pt idx="115">
                  <c:v>-3.1850000000000001</c:v>
                </c:pt>
                <c:pt idx="116">
                  <c:v>-1.5960000000000001</c:v>
                </c:pt>
                <c:pt idx="117">
                  <c:v>-1.468</c:v>
                </c:pt>
                <c:pt idx="118">
                  <c:v>-0.76200000000000001</c:v>
                </c:pt>
                <c:pt idx="119">
                  <c:v>-1.2610000000000001</c:v>
                </c:pt>
                <c:pt idx="120">
                  <c:v>-2.5499999999999998</c:v>
                </c:pt>
                <c:pt idx="121">
                  <c:v>-3.7240000000000002</c:v>
                </c:pt>
                <c:pt idx="122">
                  <c:v>-0.14199999999999946</c:v>
                </c:pt>
                <c:pt idx="123">
                  <c:v>-0.20500000000000007</c:v>
                </c:pt>
                <c:pt idx="124">
                  <c:v>-2.1379999999999999</c:v>
                </c:pt>
                <c:pt idx="125">
                  <c:v>-3.3130000000000002</c:v>
                </c:pt>
                <c:pt idx="126">
                  <c:v>-1.6890000000000001</c:v>
                </c:pt>
                <c:pt idx="127">
                  <c:v>-0.77800000000000047</c:v>
                </c:pt>
                <c:pt idx="128">
                  <c:v>-2.3079999999999998</c:v>
                </c:pt>
                <c:pt idx="129">
                  <c:v>-0.875</c:v>
                </c:pt>
                <c:pt idx="130">
                  <c:v>-0.94699999999999984</c:v>
                </c:pt>
                <c:pt idx="131">
                  <c:v>2.7000000000000135E-2</c:v>
                </c:pt>
                <c:pt idx="132">
                  <c:v>-0.90100000000000002</c:v>
                </c:pt>
                <c:pt idx="133">
                  <c:v>0.39700000000000002</c:v>
                </c:pt>
                <c:pt idx="134">
                  <c:v>-5.2999999999999936E-2</c:v>
                </c:pt>
                <c:pt idx="135">
                  <c:v>0.33400000000000007</c:v>
                </c:pt>
                <c:pt idx="136">
                  <c:v>-0.47199999999999998</c:v>
                </c:pt>
                <c:pt idx="137">
                  <c:v>-0.27700000000000014</c:v>
                </c:pt>
                <c:pt idx="138">
                  <c:v>-4.8999999999999932E-2</c:v>
                </c:pt>
                <c:pt idx="139">
                  <c:v>-0.98399999999999999</c:v>
                </c:pt>
                <c:pt idx="140">
                  <c:v>-0.87399999999999967</c:v>
                </c:pt>
                <c:pt idx="141">
                  <c:v>-1.268</c:v>
                </c:pt>
                <c:pt idx="142">
                  <c:v>-0.88700000000000001</c:v>
                </c:pt>
                <c:pt idx="143">
                  <c:v>-2.7730000000000001</c:v>
                </c:pt>
                <c:pt idx="144">
                  <c:v>-5.024</c:v>
                </c:pt>
                <c:pt idx="145">
                  <c:v>-1.4809999999999999</c:v>
                </c:pt>
                <c:pt idx="146">
                  <c:v>-1.0489999999999999</c:v>
                </c:pt>
                <c:pt idx="147">
                  <c:v>-3.4749999999999996</c:v>
                </c:pt>
                <c:pt idx="148">
                  <c:v>-0.66300000000000003</c:v>
                </c:pt>
                <c:pt idx="149">
                  <c:v>-1.177</c:v>
                </c:pt>
                <c:pt idx="150">
                  <c:v>0.26</c:v>
                </c:pt>
                <c:pt idx="151">
                  <c:v>0.27100000000000002</c:v>
                </c:pt>
                <c:pt idx="152">
                  <c:v>-1.006</c:v>
                </c:pt>
                <c:pt idx="153">
                  <c:v>-1.1050000000000002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95264"/>
        <c:axId val="591997184"/>
      </c:lineChart>
      <c:catAx>
        <c:axId val="591995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591997184"/>
        <c:crosses val="autoZero"/>
        <c:auto val="1"/>
        <c:lblAlgn val="ctr"/>
        <c:lblOffset val="100"/>
        <c:tickMarkSkip val="8"/>
        <c:noMultiLvlLbl val="0"/>
      </c:catAx>
      <c:valAx>
        <c:axId val="591997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199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0.29599999999999999</c:v>
                </c:pt>
                <c:pt idx="1">
                  <c:v>0.29799999999999999</c:v>
                </c:pt>
                <c:pt idx="2">
                  <c:v>0.42699999999999999</c:v>
                </c:pt>
                <c:pt idx="3">
                  <c:v>0.45100000000000001</c:v>
                </c:pt>
                <c:pt idx="4">
                  <c:v>0.45900000000000002</c:v>
                </c:pt>
                <c:pt idx="5">
                  <c:v>0.433</c:v>
                </c:pt>
                <c:pt idx="6">
                  <c:v>0.504</c:v>
                </c:pt>
                <c:pt idx="7">
                  <c:v>0.48</c:v>
                </c:pt>
                <c:pt idx="8">
                  <c:v>0.503</c:v>
                </c:pt>
                <c:pt idx="9">
                  <c:v>0.41799999999999998</c:v>
                </c:pt>
                <c:pt idx="10">
                  <c:v>0.38200000000000001</c:v>
                </c:pt>
                <c:pt idx="11">
                  <c:v>0.34699999999999998</c:v>
                </c:pt>
                <c:pt idx="12">
                  <c:v>0.439</c:v>
                </c:pt>
                <c:pt idx="13">
                  <c:v>0.53</c:v>
                </c:pt>
                <c:pt idx="14">
                  <c:v>0.625</c:v>
                </c:pt>
                <c:pt idx="15">
                  <c:v>0.41</c:v>
                </c:pt>
                <c:pt idx="16">
                  <c:v>0.252</c:v>
                </c:pt>
                <c:pt idx="17">
                  <c:v>0.192</c:v>
                </c:pt>
                <c:pt idx="18">
                  <c:v>0.19900000000000001</c:v>
                </c:pt>
                <c:pt idx="19">
                  <c:v>0.13800000000000001</c:v>
                </c:pt>
                <c:pt idx="20">
                  <c:v>0.25600000000000001</c:v>
                </c:pt>
                <c:pt idx="21">
                  <c:v>0.157</c:v>
                </c:pt>
                <c:pt idx="22">
                  <c:v>0.16300000000000001</c:v>
                </c:pt>
                <c:pt idx="23">
                  <c:v>0.27</c:v>
                </c:pt>
                <c:pt idx="24">
                  <c:v>0.26700000000000002</c:v>
                </c:pt>
                <c:pt idx="25">
                  <c:v>0.26300000000000001</c:v>
                </c:pt>
                <c:pt idx="26">
                  <c:v>0.23100000000000001</c:v>
                </c:pt>
                <c:pt idx="27">
                  <c:v>0.19800000000000001</c:v>
                </c:pt>
                <c:pt idx="28">
                  <c:v>0.19400000000000001</c:v>
                </c:pt>
                <c:pt idx="29">
                  <c:v>0.17299999999999999</c:v>
                </c:pt>
                <c:pt idx="30">
                  <c:v>0.311</c:v>
                </c:pt>
                <c:pt idx="31">
                  <c:v>0.32300000000000001</c:v>
                </c:pt>
                <c:pt idx="32">
                  <c:v>0.23</c:v>
                </c:pt>
                <c:pt idx="33">
                  <c:v>0.221</c:v>
                </c:pt>
                <c:pt idx="34">
                  <c:v>0.215</c:v>
                </c:pt>
                <c:pt idx="35">
                  <c:v>0.16900000000000001</c:v>
                </c:pt>
                <c:pt idx="36">
                  <c:v>0.224</c:v>
                </c:pt>
                <c:pt idx="37">
                  <c:v>0.192</c:v>
                </c:pt>
                <c:pt idx="38">
                  <c:v>0.2</c:v>
                </c:pt>
                <c:pt idx="39">
                  <c:v>0.16600000000000001</c:v>
                </c:pt>
                <c:pt idx="40">
                  <c:v>0.13700000000000001</c:v>
                </c:pt>
                <c:pt idx="41">
                  <c:v>0.13800000000000001</c:v>
                </c:pt>
                <c:pt idx="42">
                  <c:v>0.16500000000000001</c:v>
                </c:pt>
                <c:pt idx="43">
                  <c:v>0.125</c:v>
                </c:pt>
                <c:pt idx="44">
                  <c:v>0.27</c:v>
                </c:pt>
                <c:pt idx="45">
                  <c:v>0.31</c:v>
                </c:pt>
                <c:pt idx="46">
                  <c:v>0.34200000000000003</c:v>
                </c:pt>
                <c:pt idx="47">
                  <c:v>0.34699999999999998</c:v>
                </c:pt>
                <c:pt idx="48">
                  <c:v>0.36499999999999999</c:v>
                </c:pt>
                <c:pt idx="49">
                  <c:v>0.40600000000000003</c:v>
                </c:pt>
                <c:pt idx="50">
                  <c:v>0.47</c:v>
                </c:pt>
                <c:pt idx="51">
                  <c:v>0.47699999999999998</c:v>
                </c:pt>
                <c:pt idx="52">
                  <c:v>0.54800000000000004</c:v>
                </c:pt>
                <c:pt idx="53">
                  <c:v>0.53700000000000003</c:v>
                </c:pt>
                <c:pt idx="54">
                  <c:v>0.42</c:v>
                </c:pt>
                <c:pt idx="55">
                  <c:v>0.51100000000000001</c:v>
                </c:pt>
                <c:pt idx="56">
                  <c:v>0.58099999999999996</c:v>
                </c:pt>
                <c:pt idx="57">
                  <c:v>0.57399999999999995</c:v>
                </c:pt>
                <c:pt idx="58">
                  <c:v>0.56799999999999995</c:v>
                </c:pt>
                <c:pt idx="59">
                  <c:v>0.55400000000000005</c:v>
                </c:pt>
                <c:pt idx="60">
                  <c:v>0.41599999999999998</c:v>
                </c:pt>
                <c:pt idx="61">
                  <c:v>0.36799999999999999</c:v>
                </c:pt>
                <c:pt idx="62">
                  <c:v>0.36199999999999999</c:v>
                </c:pt>
                <c:pt idx="63">
                  <c:v>0.30099999999999999</c:v>
                </c:pt>
                <c:pt idx="64">
                  <c:v>0.35399999999999998</c:v>
                </c:pt>
                <c:pt idx="65">
                  <c:v>0.26400000000000001</c:v>
                </c:pt>
                <c:pt idx="66">
                  <c:v>0.39800000000000002</c:v>
                </c:pt>
                <c:pt idx="67">
                  <c:v>0.36399999999999999</c:v>
                </c:pt>
                <c:pt idx="68">
                  <c:v>0.23899999999999999</c:v>
                </c:pt>
                <c:pt idx="69">
                  <c:v>0.34599999999999997</c:v>
                </c:pt>
                <c:pt idx="70">
                  <c:v>0.46600000000000003</c:v>
                </c:pt>
                <c:pt idx="71">
                  <c:v>0.42499999999999999</c:v>
                </c:pt>
                <c:pt idx="72">
                  <c:v>0.34799999999999998</c:v>
                </c:pt>
                <c:pt idx="73">
                  <c:v>0.39800000000000002</c:v>
                </c:pt>
                <c:pt idx="74">
                  <c:v>0.39300000000000002</c:v>
                </c:pt>
                <c:pt idx="75">
                  <c:v>0.307</c:v>
                </c:pt>
                <c:pt idx="76">
                  <c:v>0.26400000000000001</c:v>
                </c:pt>
                <c:pt idx="77">
                  <c:v>0.32500000000000001</c:v>
                </c:pt>
                <c:pt idx="78">
                  <c:v>0.34499999999999997</c:v>
                </c:pt>
                <c:pt idx="79">
                  <c:v>0.32300000000000001</c:v>
                </c:pt>
                <c:pt idx="80">
                  <c:v>0.34300000000000003</c:v>
                </c:pt>
                <c:pt idx="81">
                  <c:v>0.55200000000000005</c:v>
                </c:pt>
                <c:pt idx="82">
                  <c:v>0.53</c:v>
                </c:pt>
                <c:pt idx="83">
                  <c:v>0.76800000000000002</c:v>
                </c:pt>
                <c:pt idx="84">
                  <c:v>0.77</c:v>
                </c:pt>
                <c:pt idx="85">
                  <c:v>0.53800000000000003</c:v>
                </c:pt>
                <c:pt idx="86">
                  <c:v>0.56599999999999995</c:v>
                </c:pt>
                <c:pt idx="87">
                  <c:v>0.34300000000000003</c:v>
                </c:pt>
                <c:pt idx="88">
                  <c:v>0.33300000000000002</c:v>
                </c:pt>
                <c:pt idx="89">
                  <c:v>0.40799999999999997</c:v>
                </c:pt>
                <c:pt idx="90">
                  <c:v>0.49099999999999999</c:v>
                </c:pt>
                <c:pt idx="91">
                  <c:v>0.40500000000000003</c:v>
                </c:pt>
                <c:pt idx="92">
                  <c:v>0.28000000000000003</c:v>
                </c:pt>
                <c:pt idx="93">
                  <c:v>0.247</c:v>
                </c:pt>
                <c:pt idx="94">
                  <c:v>0.311</c:v>
                </c:pt>
                <c:pt idx="95">
                  <c:v>0.45900000000000002</c:v>
                </c:pt>
                <c:pt idx="96">
                  <c:v>0.747</c:v>
                </c:pt>
                <c:pt idx="97">
                  <c:v>0.54400000000000004</c:v>
                </c:pt>
                <c:pt idx="98">
                  <c:v>0.41199999999999998</c:v>
                </c:pt>
                <c:pt idx="99">
                  <c:v>0.52100000000000002</c:v>
                </c:pt>
                <c:pt idx="100">
                  <c:v>0.31</c:v>
                </c:pt>
                <c:pt idx="101">
                  <c:v>0.33500000000000002</c:v>
                </c:pt>
                <c:pt idx="102">
                  <c:v>0.24099999999999999</c:v>
                </c:pt>
                <c:pt idx="103">
                  <c:v>0.316</c:v>
                </c:pt>
                <c:pt idx="104">
                  <c:v>0.33700000000000002</c:v>
                </c:pt>
                <c:pt idx="105">
                  <c:v>0.20899999999999999</c:v>
                </c:pt>
                <c:pt idx="106">
                  <c:v>0.20200000000000001</c:v>
                </c:pt>
                <c:pt idx="107">
                  <c:v>0.435</c:v>
                </c:pt>
                <c:pt idx="108">
                  <c:v>0.34799999999999998</c:v>
                </c:pt>
                <c:pt idx="109">
                  <c:v>0.36299999999999999</c:v>
                </c:pt>
                <c:pt idx="110">
                  <c:v>0.36399999999999999</c:v>
                </c:pt>
                <c:pt idx="111">
                  <c:v>0.26500000000000001</c:v>
                </c:pt>
                <c:pt idx="112">
                  <c:v>0.32700000000000001</c:v>
                </c:pt>
                <c:pt idx="113">
                  <c:v>0.31900000000000001</c:v>
                </c:pt>
                <c:pt idx="114">
                  <c:v>0.27900000000000003</c:v>
                </c:pt>
                <c:pt idx="115">
                  <c:v>0.39100000000000001</c:v>
                </c:pt>
                <c:pt idx="116">
                  <c:v>0.39900000000000002</c:v>
                </c:pt>
                <c:pt idx="117">
                  <c:v>0.46600000000000003</c:v>
                </c:pt>
                <c:pt idx="118">
                  <c:v>0.442</c:v>
                </c:pt>
                <c:pt idx="119">
                  <c:v>0.39500000000000002</c:v>
                </c:pt>
                <c:pt idx="120">
                  <c:v>0.48399999999999999</c:v>
                </c:pt>
                <c:pt idx="121">
                  <c:v>0.439</c:v>
                </c:pt>
                <c:pt idx="122">
                  <c:v>0.63700000000000001</c:v>
                </c:pt>
                <c:pt idx="123">
                  <c:v>0.32600000000000001</c:v>
                </c:pt>
                <c:pt idx="124">
                  <c:v>0.23200000000000001</c:v>
                </c:pt>
                <c:pt idx="125">
                  <c:v>0.317</c:v>
                </c:pt>
                <c:pt idx="126">
                  <c:v>0.47899999999999998</c:v>
                </c:pt>
                <c:pt idx="127">
                  <c:v>0.21</c:v>
                </c:pt>
                <c:pt idx="128">
                  <c:v>0.311</c:v>
                </c:pt>
                <c:pt idx="129">
                  <c:v>0.53700000000000003</c:v>
                </c:pt>
                <c:pt idx="130">
                  <c:v>0.504</c:v>
                </c:pt>
                <c:pt idx="131">
                  <c:v>0.68100000000000005</c:v>
                </c:pt>
                <c:pt idx="132">
                  <c:v>0.59399999999999997</c:v>
                </c:pt>
                <c:pt idx="133">
                  <c:v>0.52800000000000002</c:v>
                </c:pt>
                <c:pt idx="134">
                  <c:v>0.39900000000000002</c:v>
                </c:pt>
                <c:pt idx="135">
                  <c:v>0.63700000000000001</c:v>
                </c:pt>
                <c:pt idx="136">
                  <c:v>0.67500000000000004</c:v>
                </c:pt>
                <c:pt idx="137">
                  <c:v>0.57099999999999995</c:v>
                </c:pt>
                <c:pt idx="138">
                  <c:v>0.498</c:v>
                </c:pt>
                <c:pt idx="139">
                  <c:v>0.501</c:v>
                </c:pt>
                <c:pt idx="140">
                  <c:v>0.46300000000000002</c:v>
                </c:pt>
                <c:pt idx="141">
                  <c:v>0.443</c:v>
                </c:pt>
                <c:pt idx="142">
                  <c:v>0.48</c:v>
                </c:pt>
                <c:pt idx="143">
                  <c:v>0.65300000000000002</c:v>
                </c:pt>
                <c:pt idx="144">
                  <c:v>0.63300000000000001</c:v>
                </c:pt>
                <c:pt idx="145">
                  <c:v>0.69899999999999995</c:v>
                </c:pt>
                <c:pt idx="146">
                  <c:v>0.751</c:v>
                </c:pt>
                <c:pt idx="147">
                  <c:v>0.93</c:v>
                </c:pt>
                <c:pt idx="148">
                  <c:v>0.70199999999999996</c:v>
                </c:pt>
                <c:pt idx="149">
                  <c:v>0.60299999999999998</c:v>
                </c:pt>
                <c:pt idx="150">
                  <c:v>0.63500000000000001</c:v>
                </c:pt>
                <c:pt idx="151">
                  <c:v>0.42199999999999999</c:v>
                </c:pt>
                <c:pt idx="152">
                  <c:v>0.38800000000000001</c:v>
                </c:pt>
                <c:pt idx="153">
                  <c:v>0.46400000000000002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3.5000000000000003E-2</c:v>
                </c:pt>
                <c:pt idx="1">
                  <c:v>3.9E-2</c:v>
                </c:pt>
                <c:pt idx="2">
                  <c:v>4.9000000000000002E-2</c:v>
                </c:pt>
                <c:pt idx="3">
                  <c:v>4.1000000000000002E-2</c:v>
                </c:pt>
                <c:pt idx="4">
                  <c:v>4.2000000000000003E-2</c:v>
                </c:pt>
                <c:pt idx="5">
                  <c:v>3.9E-2</c:v>
                </c:pt>
                <c:pt idx="6">
                  <c:v>5.7000000000000002E-2</c:v>
                </c:pt>
                <c:pt idx="7">
                  <c:v>5.0999999999999997E-2</c:v>
                </c:pt>
                <c:pt idx="8">
                  <c:v>0.05</c:v>
                </c:pt>
                <c:pt idx="9">
                  <c:v>4.3999999999999997E-2</c:v>
                </c:pt>
                <c:pt idx="10">
                  <c:v>3.6999999999999998E-2</c:v>
                </c:pt>
                <c:pt idx="11">
                  <c:v>3.9E-2</c:v>
                </c:pt>
                <c:pt idx="12">
                  <c:v>4.8000000000000001E-2</c:v>
                </c:pt>
                <c:pt idx="13">
                  <c:v>0.112</c:v>
                </c:pt>
                <c:pt idx="14">
                  <c:v>0.20899999999999999</c:v>
                </c:pt>
                <c:pt idx="15">
                  <c:v>0.17</c:v>
                </c:pt>
                <c:pt idx="16">
                  <c:v>0.04</c:v>
                </c:pt>
                <c:pt idx="17">
                  <c:v>0.08</c:v>
                </c:pt>
                <c:pt idx="18">
                  <c:v>5.3999999999999999E-2</c:v>
                </c:pt>
                <c:pt idx="19">
                  <c:v>0.21</c:v>
                </c:pt>
                <c:pt idx="20">
                  <c:v>0.14699999999999999</c:v>
                </c:pt>
                <c:pt idx="21">
                  <c:v>0.31</c:v>
                </c:pt>
                <c:pt idx="22">
                  <c:v>0.32800000000000001</c:v>
                </c:pt>
                <c:pt idx="23">
                  <c:v>4.2000000000000003E-2</c:v>
                </c:pt>
                <c:pt idx="24">
                  <c:v>4.7E-2</c:v>
                </c:pt>
                <c:pt idx="25">
                  <c:v>0.245</c:v>
                </c:pt>
                <c:pt idx="26">
                  <c:v>0.42</c:v>
                </c:pt>
                <c:pt idx="27">
                  <c:v>0.71399999999999997</c:v>
                </c:pt>
                <c:pt idx="28">
                  <c:v>0.59799999999999998</c:v>
                </c:pt>
                <c:pt idx="29">
                  <c:v>0.46100000000000002</c:v>
                </c:pt>
                <c:pt idx="30">
                  <c:v>0.16700000000000001</c:v>
                </c:pt>
                <c:pt idx="31">
                  <c:v>0.115</c:v>
                </c:pt>
                <c:pt idx="32">
                  <c:v>4.9000000000000002E-2</c:v>
                </c:pt>
                <c:pt idx="33">
                  <c:v>3.9E-2</c:v>
                </c:pt>
                <c:pt idx="34">
                  <c:v>7.6999999999999999E-2</c:v>
                </c:pt>
                <c:pt idx="35">
                  <c:v>0.05</c:v>
                </c:pt>
                <c:pt idx="36">
                  <c:v>5.0999999999999997E-2</c:v>
                </c:pt>
                <c:pt idx="37">
                  <c:v>0.14199999999999999</c:v>
                </c:pt>
                <c:pt idx="38">
                  <c:v>4.5999999999999999E-2</c:v>
                </c:pt>
                <c:pt idx="39">
                  <c:v>4.7E-2</c:v>
                </c:pt>
                <c:pt idx="40">
                  <c:v>0.04</c:v>
                </c:pt>
                <c:pt idx="41">
                  <c:v>0.05</c:v>
                </c:pt>
                <c:pt idx="42">
                  <c:v>0.11</c:v>
                </c:pt>
                <c:pt idx="43">
                  <c:v>0.157</c:v>
                </c:pt>
                <c:pt idx="44">
                  <c:v>0.05</c:v>
                </c:pt>
                <c:pt idx="45">
                  <c:v>8.4000000000000005E-2</c:v>
                </c:pt>
                <c:pt idx="46">
                  <c:v>4.5999999999999999E-2</c:v>
                </c:pt>
                <c:pt idx="47">
                  <c:v>3.7999999999999999E-2</c:v>
                </c:pt>
                <c:pt idx="48">
                  <c:v>4.1000000000000002E-2</c:v>
                </c:pt>
                <c:pt idx="49">
                  <c:v>4.2999999999999997E-2</c:v>
                </c:pt>
                <c:pt idx="50">
                  <c:v>3.7999999999999999E-2</c:v>
                </c:pt>
                <c:pt idx="51">
                  <c:v>3.5999999999999997E-2</c:v>
                </c:pt>
                <c:pt idx="52">
                  <c:v>4.2999999999999997E-2</c:v>
                </c:pt>
                <c:pt idx="53">
                  <c:v>6.0999999999999999E-2</c:v>
                </c:pt>
                <c:pt idx="54">
                  <c:v>4.5999999999999999E-2</c:v>
                </c:pt>
                <c:pt idx="55">
                  <c:v>3.6999999999999998E-2</c:v>
                </c:pt>
                <c:pt idx="56">
                  <c:v>4.7E-2</c:v>
                </c:pt>
                <c:pt idx="57">
                  <c:v>8.6999999999999994E-2</c:v>
                </c:pt>
                <c:pt idx="58">
                  <c:v>0.218</c:v>
                </c:pt>
                <c:pt idx="59">
                  <c:v>0.33800000000000002</c:v>
                </c:pt>
                <c:pt idx="60">
                  <c:v>0.38400000000000001</c:v>
                </c:pt>
                <c:pt idx="61">
                  <c:v>0.248</c:v>
                </c:pt>
                <c:pt idx="62">
                  <c:v>0.318</c:v>
                </c:pt>
                <c:pt idx="63">
                  <c:v>0.28699999999999998</c:v>
                </c:pt>
                <c:pt idx="64">
                  <c:v>0.19400000000000001</c:v>
                </c:pt>
                <c:pt idx="65">
                  <c:v>0.40300000000000002</c:v>
                </c:pt>
                <c:pt idx="66">
                  <c:v>0.29699999999999999</c:v>
                </c:pt>
                <c:pt idx="67">
                  <c:v>0.41899999999999998</c:v>
                </c:pt>
                <c:pt idx="68">
                  <c:v>0.26100000000000001</c:v>
                </c:pt>
                <c:pt idx="69">
                  <c:v>0.10100000000000001</c:v>
                </c:pt>
                <c:pt idx="70">
                  <c:v>4.1000000000000002E-2</c:v>
                </c:pt>
                <c:pt idx="71">
                  <c:v>6.2E-2</c:v>
                </c:pt>
                <c:pt idx="72">
                  <c:v>5.8000000000000003E-2</c:v>
                </c:pt>
                <c:pt idx="73">
                  <c:v>4.3999999999999997E-2</c:v>
                </c:pt>
                <c:pt idx="74">
                  <c:v>5.0999999999999997E-2</c:v>
                </c:pt>
                <c:pt idx="75">
                  <c:v>0.11700000000000001</c:v>
                </c:pt>
                <c:pt idx="76">
                  <c:v>0.19800000000000001</c:v>
                </c:pt>
                <c:pt idx="77">
                  <c:v>9.4E-2</c:v>
                </c:pt>
                <c:pt idx="78">
                  <c:v>0.186</c:v>
                </c:pt>
                <c:pt idx="79">
                  <c:v>0.26200000000000001</c:v>
                </c:pt>
                <c:pt idx="80">
                  <c:v>0.127</c:v>
                </c:pt>
                <c:pt idx="81">
                  <c:v>7.4999999999999997E-2</c:v>
                </c:pt>
                <c:pt idx="82">
                  <c:v>0.11899999999999999</c:v>
                </c:pt>
                <c:pt idx="83">
                  <c:v>0.33700000000000002</c:v>
                </c:pt>
                <c:pt idx="84">
                  <c:v>0.45600000000000002</c:v>
                </c:pt>
                <c:pt idx="85">
                  <c:v>0.32300000000000001</c:v>
                </c:pt>
                <c:pt idx="86">
                  <c:v>7.8E-2</c:v>
                </c:pt>
                <c:pt idx="87">
                  <c:v>0.379</c:v>
                </c:pt>
                <c:pt idx="88">
                  <c:v>0.497</c:v>
                </c:pt>
                <c:pt idx="89">
                  <c:v>0.16700000000000001</c:v>
                </c:pt>
                <c:pt idx="90">
                  <c:v>0.14399999999999999</c:v>
                </c:pt>
                <c:pt idx="91">
                  <c:v>0.152</c:v>
                </c:pt>
                <c:pt idx="92">
                  <c:v>0.32500000000000001</c:v>
                </c:pt>
                <c:pt idx="93">
                  <c:v>0.59599999999999997</c:v>
                </c:pt>
                <c:pt idx="94">
                  <c:v>0.79600000000000004</c:v>
                </c:pt>
                <c:pt idx="95">
                  <c:v>0.621</c:v>
                </c:pt>
                <c:pt idx="96">
                  <c:v>3.5000000000000003E-2</c:v>
                </c:pt>
                <c:pt idx="97">
                  <c:v>5.3999999999999999E-2</c:v>
                </c:pt>
                <c:pt idx="98">
                  <c:v>0.33700000000000002</c:v>
                </c:pt>
                <c:pt idx="99">
                  <c:v>0.32300000000000001</c:v>
                </c:pt>
                <c:pt idx="100">
                  <c:v>0.53200000000000003</c:v>
                </c:pt>
                <c:pt idx="101">
                  <c:v>0.16200000000000001</c:v>
                </c:pt>
                <c:pt idx="102">
                  <c:v>0.52900000000000003</c:v>
                </c:pt>
                <c:pt idx="103">
                  <c:v>0.74099999999999999</c:v>
                </c:pt>
                <c:pt idx="104">
                  <c:v>0.79800000000000004</c:v>
                </c:pt>
                <c:pt idx="105">
                  <c:v>0.46700000000000003</c:v>
                </c:pt>
                <c:pt idx="106">
                  <c:v>0.626</c:v>
                </c:pt>
                <c:pt idx="107">
                  <c:v>0.92</c:v>
                </c:pt>
                <c:pt idx="108">
                  <c:v>0.54200000000000004</c:v>
                </c:pt>
                <c:pt idx="109">
                  <c:v>0.28299999999999997</c:v>
                </c:pt>
                <c:pt idx="110">
                  <c:v>0.17899999999999999</c:v>
                </c:pt>
                <c:pt idx="111">
                  <c:v>0.40899999999999997</c:v>
                </c:pt>
                <c:pt idx="112">
                  <c:v>0.56599999999999995</c:v>
                </c:pt>
                <c:pt idx="113">
                  <c:v>0.82</c:v>
                </c:pt>
                <c:pt idx="114">
                  <c:v>1.109</c:v>
                </c:pt>
                <c:pt idx="115">
                  <c:v>0.90400000000000003</c:v>
                </c:pt>
                <c:pt idx="116">
                  <c:v>0.71599999999999997</c:v>
                </c:pt>
                <c:pt idx="117">
                  <c:v>0.36899999999999999</c:v>
                </c:pt>
                <c:pt idx="118">
                  <c:v>0.48699999999999999</c:v>
                </c:pt>
                <c:pt idx="119">
                  <c:v>0.66400000000000003</c:v>
                </c:pt>
                <c:pt idx="120">
                  <c:v>0.94399999999999995</c:v>
                </c:pt>
                <c:pt idx="121">
                  <c:v>1.2889999999999999</c:v>
                </c:pt>
                <c:pt idx="122">
                  <c:v>0.45200000000000001</c:v>
                </c:pt>
                <c:pt idx="123">
                  <c:v>0.38900000000000001</c:v>
                </c:pt>
                <c:pt idx="124">
                  <c:v>0.82299999999999995</c:v>
                </c:pt>
                <c:pt idx="125">
                  <c:v>1.171</c:v>
                </c:pt>
                <c:pt idx="126">
                  <c:v>0.95899999999999996</c:v>
                </c:pt>
                <c:pt idx="127">
                  <c:v>0.80400000000000005</c:v>
                </c:pt>
                <c:pt idx="128">
                  <c:v>1.0409999999999999</c:v>
                </c:pt>
                <c:pt idx="129">
                  <c:v>0.54300000000000004</c:v>
                </c:pt>
                <c:pt idx="130">
                  <c:v>0.433</c:v>
                </c:pt>
                <c:pt idx="131">
                  <c:v>3.2000000000000001E-2</c:v>
                </c:pt>
                <c:pt idx="132">
                  <c:v>0.51</c:v>
                </c:pt>
                <c:pt idx="133">
                  <c:v>0.39500000000000002</c:v>
                </c:pt>
                <c:pt idx="134">
                  <c:v>0.58899999999999997</c:v>
                </c:pt>
                <c:pt idx="135">
                  <c:v>0.182</c:v>
                </c:pt>
                <c:pt idx="136">
                  <c:v>0.183</c:v>
                </c:pt>
                <c:pt idx="137">
                  <c:v>0.108</c:v>
                </c:pt>
                <c:pt idx="138">
                  <c:v>0.124</c:v>
                </c:pt>
                <c:pt idx="139">
                  <c:v>0.28299999999999997</c:v>
                </c:pt>
                <c:pt idx="140">
                  <c:v>0.48</c:v>
                </c:pt>
                <c:pt idx="141">
                  <c:v>0.55900000000000005</c:v>
                </c:pt>
                <c:pt idx="142">
                  <c:v>0.81699999999999995</c:v>
                </c:pt>
                <c:pt idx="143">
                  <c:v>0.96299999999999997</c:v>
                </c:pt>
                <c:pt idx="144">
                  <c:v>1.37</c:v>
                </c:pt>
                <c:pt idx="145">
                  <c:v>0.47199999999999998</c:v>
                </c:pt>
                <c:pt idx="146">
                  <c:v>0.92500000000000004</c:v>
                </c:pt>
                <c:pt idx="147">
                  <c:v>1.7050000000000001</c:v>
                </c:pt>
                <c:pt idx="148">
                  <c:v>0.77</c:v>
                </c:pt>
                <c:pt idx="149">
                  <c:v>1.6060000000000001</c:v>
                </c:pt>
                <c:pt idx="150">
                  <c:v>1.625</c:v>
                </c:pt>
                <c:pt idx="151">
                  <c:v>0.58299999999999996</c:v>
                </c:pt>
                <c:pt idx="152">
                  <c:v>0.79100000000000004</c:v>
                </c:pt>
                <c:pt idx="153">
                  <c:v>0.95099999999999996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69728"/>
        <c:axId val="40971264"/>
      </c:lineChart>
      <c:catAx>
        <c:axId val="40969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12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71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69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152625376210801"/>
          <c:y val="0.24775939989749801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95249</xdr:rowOff>
    </xdr:from>
    <xdr:to>
      <xdr:col>9</xdr:col>
      <xdr:colOff>123825</xdr:colOff>
      <xdr:row>103</xdr:row>
      <xdr:rowOff>66674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123824</xdr:colOff>
      <xdr:row>104</xdr:row>
      <xdr:rowOff>28575</xdr:rowOff>
    </xdr:from>
    <xdr:to>
      <xdr:col>8</xdr:col>
      <xdr:colOff>571499</xdr:colOff>
      <xdr:row>124</xdr:row>
      <xdr:rowOff>9525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314325</xdr:colOff>
      <xdr:row>104</xdr:row>
      <xdr:rowOff>28575</xdr:rowOff>
    </xdr:from>
    <xdr:to>
      <xdr:col>18</xdr:col>
      <xdr:colOff>152400</xdr:colOff>
      <xdr:row>124</xdr:row>
      <xdr:rowOff>9525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101</v>
      </c>
      <c r="D1" s="1"/>
      <c r="E1" s="1"/>
      <c r="F1" s="1"/>
      <c r="G1" s="1"/>
      <c r="H1" s="1"/>
      <c r="I1" s="1" t="s">
        <v>98</v>
      </c>
      <c r="J1" s="1"/>
      <c r="K1" s="1"/>
      <c r="L1" s="1"/>
      <c r="M1" s="1"/>
      <c r="N1" s="1"/>
      <c r="O1" s="1">
        <f>MAX(O6:O370)</f>
        <v>98.9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MAX(AN6:AN370)</f>
        <v>98.9</v>
      </c>
      <c r="AN1" s="5"/>
      <c r="AO1" s="1">
        <v>1</v>
      </c>
      <c r="AT1" s="17" t="str">
        <f>A1</f>
        <v xml:space="preserve">Penticton Creek 2025 Site PC - daily data </v>
      </c>
      <c r="AU1" s="17"/>
    </row>
    <row r="2" spans="1:66" x14ac:dyDescent="0.2">
      <c r="A2" s="1" t="s">
        <v>107</v>
      </c>
      <c r="D2" s="1"/>
      <c r="E2" s="1" t="s">
        <v>15</v>
      </c>
      <c r="F2" s="1" t="s">
        <v>14</v>
      </c>
      <c r="G2" s="1" t="s">
        <v>13</v>
      </c>
      <c r="H2" s="1"/>
      <c r="I2" s="2"/>
      <c r="J2" s="2"/>
      <c r="K2" s="2"/>
      <c r="L2" s="2"/>
      <c r="M2" s="2"/>
      <c r="N2" s="2" t="s">
        <v>15</v>
      </c>
      <c r="O2" s="2"/>
      <c r="P2" s="2"/>
      <c r="Q2" s="2"/>
      <c r="R2" s="2"/>
      <c r="S2" s="2"/>
      <c r="T2" s="2"/>
      <c r="U2" s="2" t="s">
        <v>14</v>
      </c>
      <c r="V2" s="2"/>
      <c r="W2" s="2"/>
      <c r="X2" s="2"/>
      <c r="Y2" s="2"/>
      <c r="Z2" s="2"/>
      <c r="AA2" s="2"/>
      <c r="AB2" s="2" t="s">
        <v>21</v>
      </c>
      <c r="AC2" s="2" t="s">
        <v>24</v>
      </c>
      <c r="AD2" s="2" t="s">
        <v>27</v>
      </c>
      <c r="AE2" s="2" t="s">
        <v>28</v>
      </c>
      <c r="AF2" s="2" t="s">
        <v>27</v>
      </c>
      <c r="AG2" s="2" t="s">
        <v>28</v>
      </c>
      <c r="AH2" s="2" t="s">
        <v>21</v>
      </c>
      <c r="AI2" s="2" t="s">
        <v>96</v>
      </c>
      <c r="AJ2" s="1" t="s">
        <v>5</v>
      </c>
      <c r="AK2" s="1" t="s">
        <v>6</v>
      </c>
      <c r="AL2" s="1" t="s">
        <v>32</v>
      </c>
      <c r="AM2" s="2"/>
      <c r="AN2" s="1" t="s">
        <v>47</v>
      </c>
      <c r="AQ2" s="1" t="s">
        <v>80</v>
      </c>
      <c r="AT2" s="17" t="str">
        <f>A2</f>
        <v>Last edit 19/12/25</v>
      </c>
      <c r="AV2" s="1" t="s">
        <v>89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17</v>
      </c>
      <c r="E3" s="2" t="s">
        <v>7</v>
      </c>
      <c r="F3" s="2" t="s">
        <v>7</v>
      </c>
      <c r="G3" s="2" t="s">
        <v>2</v>
      </c>
      <c r="H3" s="2" t="s">
        <v>8</v>
      </c>
      <c r="I3" s="2" t="s">
        <v>11</v>
      </c>
      <c r="J3" s="2" t="s">
        <v>12</v>
      </c>
      <c r="K3" s="2" t="s">
        <v>45</v>
      </c>
      <c r="L3" s="2" t="s">
        <v>9</v>
      </c>
      <c r="M3" s="2" t="s">
        <v>10</v>
      </c>
      <c r="N3" s="2" t="s">
        <v>2</v>
      </c>
      <c r="O3" s="2" t="s">
        <v>8</v>
      </c>
      <c r="P3" s="2" t="s">
        <v>11</v>
      </c>
      <c r="Q3" s="2" t="s">
        <v>12</v>
      </c>
      <c r="R3" s="2" t="s">
        <v>45</v>
      </c>
      <c r="S3" s="2" t="s">
        <v>9</v>
      </c>
      <c r="T3" s="2" t="s">
        <v>10</v>
      </c>
      <c r="U3" s="2" t="s">
        <v>2</v>
      </c>
      <c r="V3" s="2" t="s">
        <v>8</v>
      </c>
      <c r="W3" s="2" t="s">
        <v>11</v>
      </c>
      <c r="X3" s="2" t="s">
        <v>12</v>
      </c>
      <c r="Y3" s="2" t="s">
        <v>45</v>
      </c>
      <c r="Z3" s="2" t="s">
        <v>9</v>
      </c>
      <c r="AA3" s="2" t="s">
        <v>10</v>
      </c>
      <c r="AB3" s="2" t="s">
        <v>22</v>
      </c>
      <c r="AC3" s="2" t="s">
        <v>25</v>
      </c>
      <c r="AD3" s="2" t="s">
        <v>25</v>
      </c>
      <c r="AE3" s="2" t="s">
        <v>25</v>
      </c>
      <c r="AF3" s="2" t="s">
        <v>29</v>
      </c>
      <c r="AG3" s="2" t="s">
        <v>29</v>
      </c>
      <c r="AH3" s="2" t="s">
        <v>30</v>
      </c>
      <c r="AI3" s="2"/>
      <c r="AJ3" s="1"/>
      <c r="AK3" s="1" t="s">
        <v>16</v>
      </c>
      <c r="AM3" s="2"/>
      <c r="AN3" s="1" t="s">
        <v>15</v>
      </c>
      <c r="AO3" s="1" t="s">
        <v>31</v>
      </c>
      <c r="AP3" s="1" t="s">
        <v>14</v>
      </c>
      <c r="AQ3" s="1" t="s">
        <v>79</v>
      </c>
      <c r="AR3" s="1" t="s">
        <v>102</v>
      </c>
      <c r="AT3" s="1" t="s">
        <v>1</v>
      </c>
      <c r="AU3" s="1" t="s">
        <v>90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5" t="s">
        <v>87</v>
      </c>
      <c r="BB3" s="1" t="s">
        <v>78</v>
      </c>
      <c r="BC3" s="1" t="s">
        <v>88</v>
      </c>
      <c r="BD3" s="1" t="s">
        <v>93</v>
      </c>
      <c r="BE3" s="1" t="s">
        <v>94</v>
      </c>
      <c r="BF3" s="2" t="s">
        <v>45</v>
      </c>
      <c r="BG3" s="2" t="s">
        <v>9</v>
      </c>
      <c r="BH3" s="2" t="s">
        <v>10</v>
      </c>
      <c r="BI3" s="2" t="s">
        <v>96</v>
      </c>
      <c r="BJ3" s="1" t="s">
        <v>65</v>
      </c>
      <c r="BK3" s="1" t="s">
        <v>102</v>
      </c>
      <c r="BM3" s="1" t="s">
        <v>91</v>
      </c>
    </row>
    <row r="4" spans="1:66" x14ac:dyDescent="0.2">
      <c r="D4" s="2" t="s">
        <v>18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20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20</v>
      </c>
      <c r="W4" s="2" t="s">
        <v>19</v>
      </c>
      <c r="X4" s="2" t="s">
        <v>19</v>
      </c>
      <c r="Y4" s="2" t="s">
        <v>19</v>
      </c>
      <c r="Z4" s="2" t="s">
        <v>19</v>
      </c>
      <c r="AA4" s="2" t="s">
        <v>19</v>
      </c>
      <c r="AB4" s="2" t="s">
        <v>23</v>
      </c>
      <c r="AC4" s="2" t="s">
        <v>26</v>
      </c>
      <c r="AD4" s="2" t="s">
        <v>26</v>
      </c>
      <c r="AE4" s="2" t="s">
        <v>26</v>
      </c>
      <c r="AF4" s="2" t="s">
        <v>26</v>
      </c>
      <c r="AG4" s="2" t="s">
        <v>26</v>
      </c>
      <c r="AH4" s="2" t="s">
        <v>23</v>
      </c>
      <c r="AI4" s="2" t="s">
        <v>95</v>
      </c>
      <c r="AJ4" s="1"/>
      <c r="AK4" s="1" t="s">
        <v>4</v>
      </c>
      <c r="AQ4" s="1" t="s">
        <v>81</v>
      </c>
      <c r="AR4" s="1" t="s">
        <v>81</v>
      </c>
      <c r="AV4" s="1" t="s">
        <v>26</v>
      </c>
      <c r="AW4" s="1" t="s">
        <v>26</v>
      </c>
      <c r="AX4" s="1" t="s">
        <v>26</v>
      </c>
      <c r="AY4" s="1" t="s">
        <v>20</v>
      </c>
      <c r="AZ4" s="1" t="s">
        <v>20</v>
      </c>
      <c r="BA4" s="5" t="s">
        <v>103</v>
      </c>
      <c r="BB4" s="1" t="s">
        <v>26</v>
      </c>
      <c r="BC4" s="1" t="s">
        <v>26</v>
      </c>
      <c r="BD4" s="2" t="s">
        <v>26</v>
      </c>
      <c r="BE4" s="2" t="s">
        <v>26</v>
      </c>
      <c r="BF4" s="1" t="s">
        <v>26</v>
      </c>
      <c r="BG4" s="1" t="s">
        <v>26</v>
      </c>
      <c r="BH4" s="1" t="s">
        <v>26</v>
      </c>
      <c r="BI4" s="1" t="s">
        <v>95</v>
      </c>
      <c r="BJ4" s="1" t="s">
        <v>81</v>
      </c>
      <c r="BK4" s="1" t="s">
        <v>81</v>
      </c>
      <c r="BL4" s="2"/>
      <c r="BM4" s="1" t="s">
        <v>15</v>
      </c>
      <c r="BN4" s="1" t="s">
        <v>14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6"/>
      <c r="AR5" s="16"/>
      <c r="BA5" s="25"/>
      <c r="BB5" s="25"/>
      <c r="BF5" s="15"/>
      <c r="BG5" s="15"/>
      <c r="BH5" s="15"/>
      <c r="BI5" s="5"/>
    </row>
    <row r="6" spans="1:66" x14ac:dyDescent="0.2">
      <c r="A6" s="4">
        <v>45658</v>
      </c>
      <c r="B6" s="1">
        <v>1</v>
      </c>
      <c r="C6" s="1">
        <v>12</v>
      </c>
      <c r="D6" s="5">
        <v>12.63</v>
      </c>
      <c r="E6" s="5">
        <v>-7.9509999999999996</v>
      </c>
      <c r="F6" s="5">
        <v>-8.8699999999999992</v>
      </c>
      <c r="G6" s="5">
        <v>-8.61</v>
      </c>
      <c r="H6" s="5">
        <v>89.8</v>
      </c>
      <c r="I6" s="5">
        <v>4.2999999999999997E-2</v>
      </c>
      <c r="J6" s="5">
        <v>-0.55100000000000005</v>
      </c>
      <c r="K6" s="5">
        <v>0.38200000000000001</v>
      </c>
      <c r="L6" s="5">
        <v>0.95899999999999996</v>
      </c>
      <c r="M6" s="5">
        <v>1.788</v>
      </c>
      <c r="N6" s="5">
        <v>-8.14</v>
      </c>
      <c r="O6" s="5">
        <v>90.2</v>
      </c>
      <c r="P6" s="5">
        <v>0.11899999999999999</v>
      </c>
      <c r="Q6" s="5">
        <v>-0.46400000000000002</v>
      </c>
      <c r="R6" s="5">
        <v>0.47</v>
      </c>
      <c r="S6" s="5">
        <v>1.05</v>
      </c>
      <c r="T6" s="5">
        <v>1.8680000000000001</v>
      </c>
      <c r="U6" s="5">
        <v>-9.15</v>
      </c>
      <c r="V6" s="5">
        <v>89.4</v>
      </c>
      <c r="W6" s="5">
        <v>-2.7E-2</v>
      </c>
      <c r="X6" s="5">
        <v>-0.64500000000000002</v>
      </c>
      <c r="Y6" s="5">
        <v>0.308</v>
      </c>
      <c r="Z6" s="5">
        <v>0.89200000000000002</v>
      </c>
      <c r="AA6" s="5">
        <v>1.7110000000000001</v>
      </c>
      <c r="AB6" s="5">
        <v>1.478</v>
      </c>
      <c r="AC6" s="5">
        <v>-8.86</v>
      </c>
      <c r="AD6" s="5">
        <v>-7.7450000000000001</v>
      </c>
      <c r="AE6" s="5">
        <v>-9.68</v>
      </c>
      <c r="AF6" s="5">
        <v>-8.25</v>
      </c>
      <c r="AG6" s="5">
        <v>-9.3000000000000007</v>
      </c>
      <c r="AH6" s="5">
        <v>1.502</v>
      </c>
      <c r="AI6" s="5">
        <v>0.111</v>
      </c>
      <c r="AK6" s="5">
        <f t="shared" ref="AK6:AK69" si="0">AK$1-AB6</f>
        <v>0.79699999999999993</v>
      </c>
      <c r="AL6" s="22">
        <f t="shared" ref="AL6:AL69" si="1">ROUND(AVERAGE(J6:K6),1)</f>
        <v>-0.1</v>
      </c>
      <c r="AN6" s="1">
        <f>ROUND(O6*AO$1,1)</f>
        <v>90.2</v>
      </c>
      <c r="AO6" s="1">
        <f>ROUND(H6*AO$1,1)</f>
        <v>89.8</v>
      </c>
      <c r="AP6" s="1">
        <f>ROUND(V6*AO$1,1)</f>
        <v>89.4</v>
      </c>
      <c r="AQ6" s="16">
        <f t="shared" ref="AQ6:AQ68" si="2">ROUND((0.6105*(EXP((17.273*N6)/(N6+237.3))))*AP6/100,3)</f>
        <v>0.29599999999999999</v>
      </c>
      <c r="AR6" s="23">
        <f>ROUND(AQ6/AP6*(100-AP6),3)</f>
        <v>3.5000000000000003E-2</v>
      </c>
      <c r="AT6" s="18">
        <f t="shared" ref="AT6:AT69" si="3">A6</f>
        <v>45658</v>
      </c>
      <c r="AU6" s="19">
        <f t="shared" ref="AU6:AU69" si="4">B6</f>
        <v>1</v>
      </c>
      <c r="AV6" s="1">
        <f t="shared" ref="AV6" si="5">ROUND(G6,1)</f>
        <v>-8.6</v>
      </c>
      <c r="AW6" s="1">
        <f t="shared" ref="AW6" si="6">ROUND(N6,1)</f>
        <v>-8.1</v>
      </c>
      <c r="AX6" s="1">
        <f t="shared" ref="AX6" si="7">ROUND(U6,1)</f>
        <v>-9.1999999999999993</v>
      </c>
      <c r="AY6" s="1">
        <f t="shared" ref="AY6:AY68" si="8">AO6</f>
        <v>89.8</v>
      </c>
      <c r="AZ6" s="1">
        <f t="shared" ref="AZ6:AZ68" si="9">AP6</f>
        <v>89.4</v>
      </c>
      <c r="BA6" s="1">
        <f>AK6</f>
        <v>0.79699999999999993</v>
      </c>
      <c r="BB6" s="5">
        <f>IF(AL6="","NAN",AL6)</f>
        <v>-0.1</v>
      </c>
      <c r="BC6" s="1">
        <f>ROUND(AC6,1)</f>
        <v>-8.9</v>
      </c>
      <c r="BD6" s="1">
        <f>ROUND(AD6,1)</f>
        <v>-7.7</v>
      </c>
      <c r="BE6" s="1">
        <f>ROUND(AE6,1)</f>
        <v>-9.6999999999999993</v>
      </c>
      <c r="BF6" s="5">
        <f>ROUND(K6,1)</f>
        <v>0.4</v>
      </c>
      <c r="BG6" s="5">
        <f>ROUND(L6,1)</f>
        <v>1</v>
      </c>
      <c r="BH6" s="5">
        <f>ROUND(M6,1)</f>
        <v>1.8</v>
      </c>
      <c r="BI6" s="5">
        <f>IF(AI6="NAN",-999,ROUND(AI6,3))</f>
        <v>0.111</v>
      </c>
      <c r="BJ6" s="9">
        <f>AQ6</f>
        <v>0.29599999999999999</v>
      </c>
      <c r="BK6" s="9">
        <f>AR6</f>
        <v>3.5000000000000003E-2</v>
      </c>
      <c r="BM6" s="1">
        <f>AD6-N6</f>
        <v>0.39500000000000046</v>
      </c>
      <c r="BN6" s="1">
        <f>AE6-U6</f>
        <v>-0.52999999999999936</v>
      </c>
    </row>
    <row r="7" spans="1:66" x14ac:dyDescent="0.2">
      <c r="A7" s="4">
        <f>A6+1</f>
        <v>45659</v>
      </c>
      <c r="B7" s="1">
        <v>2</v>
      </c>
      <c r="C7" s="1">
        <v>12</v>
      </c>
      <c r="D7" s="5">
        <v>12.62</v>
      </c>
      <c r="E7" s="5">
        <v>-8.4600000000000009</v>
      </c>
      <c r="F7" s="5">
        <v>-9.7799999999999994</v>
      </c>
      <c r="G7" s="5">
        <v>-8.8000000000000007</v>
      </c>
      <c r="H7" s="5">
        <v>89.6</v>
      </c>
      <c r="I7" s="5">
        <v>4.7E-2</v>
      </c>
      <c r="J7" s="5">
        <v>-0.62</v>
      </c>
      <c r="K7" s="5">
        <v>0.38100000000000001</v>
      </c>
      <c r="L7" s="5">
        <v>0.95299999999999996</v>
      </c>
      <c r="M7" s="5">
        <v>1.7769999999999999</v>
      </c>
      <c r="N7" s="5">
        <v>-7.9020000000000001</v>
      </c>
      <c r="O7" s="5">
        <v>90.3</v>
      </c>
      <c r="P7" s="5">
        <v>0.11899999999999999</v>
      </c>
      <c r="Q7" s="5">
        <v>-0.52800000000000002</v>
      </c>
      <c r="R7" s="5">
        <v>0.44700000000000001</v>
      </c>
      <c r="S7" s="5">
        <v>1.0289999999999999</v>
      </c>
      <c r="T7" s="5">
        <v>1.8520000000000001</v>
      </c>
      <c r="U7" s="5">
        <v>-10.17</v>
      </c>
      <c r="V7" s="5">
        <v>88.4</v>
      </c>
      <c r="W7" s="5">
        <v>-2.5999999999999999E-2</v>
      </c>
      <c r="X7" s="5">
        <v>-0.72799999999999998</v>
      </c>
      <c r="Y7" s="5">
        <v>0.314</v>
      </c>
      <c r="Z7" s="5">
        <v>0.878</v>
      </c>
      <c r="AA7" s="5">
        <v>1.6950000000000001</v>
      </c>
      <c r="AB7" s="5">
        <v>1.4730000000000001</v>
      </c>
      <c r="AC7" s="5">
        <v>-9.41</v>
      </c>
      <c r="AD7" s="5">
        <v>-8.6</v>
      </c>
      <c r="AE7" s="5">
        <v>-11.12</v>
      </c>
      <c r="AF7" s="5">
        <v>-8.41</v>
      </c>
      <c r="AG7" s="5">
        <v>-10.45</v>
      </c>
      <c r="AH7" s="5">
        <v>1.496</v>
      </c>
      <c r="AI7" s="5">
        <v>0.111</v>
      </c>
      <c r="AK7" s="5">
        <f t="shared" si="0"/>
        <v>0.80199999999999982</v>
      </c>
      <c r="AL7" s="22">
        <f t="shared" si="1"/>
        <v>-0.1</v>
      </c>
      <c r="AN7" s="1">
        <f t="shared" ref="AN7:AN70" si="10">ROUND(O7*AO$1,1)</f>
        <v>90.3</v>
      </c>
      <c r="AO7" s="1">
        <f t="shared" ref="AO7:AO70" si="11">ROUND(H7*AO$1,1)</f>
        <v>89.6</v>
      </c>
      <c r="AP7" s="1">
        <f t="shared" ref="AP7:AP70" si="12">ROUND(V7*AO$1,1)</f>
        <v>88.4</v>
      </c>
      <c r="AQ7" s="16">
        <f t="shared" si="2"/>
        <v>0.29799999999999999</v>
      </c>
      <c r="AR7" s="23">
        <f t="shared" ref="AR7:AR70" si="13">ROUND(AQ7/AP7*(100-AP7),3)</f>
        <v>3.9E-2</v>
      </c>
      <c r="AT7" s="18">
        <f t="shared" si="3"/>
        <v>45659</v>
      </c>
      <c r="AU7" s="19">
        <f t="shared" si="4"/>
        <v>2</v>
      </c>
      <c r="AV7" s="1">
        <f t="shared" ref="AV7:AV70" si="14">ROUND(G7,1)</f>
        <v>-8.8000000000000007</v>
      </c>
      <c r="AW7" s="1">
        <f t="shared" ref="AW7:AW70" si="15">ROUND(N7,1)</f>
        <v>-7.9</v>
      </c>
      <c r="AX7" s="1">
        <f t="shared" ref="AX7:AX70" si="16">ROUND(U7,1)</f>
        <v>-10.199999999999999</v>
      </c>
      <c r="AY7" s="1">
        <f t="shared" si="8"/>
        <v>89.6</v>
      </c>
      <c r="AZ7" s="1">
        <f t="shared" si="9"/>
        <v>88.4</v>
      </c>
      <c r="BA7" s="1">
        <f t="shared" ref="BA7:BA70" si="17">AK7</f>
        <v>0.80199999999999982</v>
      </c>
      <c r="BB7" s="5">
        <f t="shared" ref="BB7:BB70" si="18">IF(AL7="","NAN",AL7)</f>
        <v>-0.1</v>
      </c>
      <c r="BC7" s="1">
        <f>ROUND(AC7,1)</f>
        <v>-9.4</v>
      </c>
      <c r="BD7" s="1">
        <f>ROUND(AD7,1)</f>
        <v>-8.6</v>
      </c>
      <c r="BE7" s="1">
        <f>ROUND(AE7,1)</f>
        <v>-11.1</v>
      </c>
      <c r="BF7" s="5">
        <f t="shared" ref="BF7:BF70" si="19">ROUND(K7,1)</f>
        <v>0.4</v>
      </c>
      <c r="BG7" s="5">
        <f t="shared" ref="BG7:BG70" si="20">ROUND(L7,1)</f>
        <v>1</v>
      </c>
      <c r="BH7" s="5">
        <f t="shared" ref="BH7:BH70" si="21">ROUND(M7,1)</f>
        <v>1.8</v>
      </c>
      <c r="BI7" s="5">
        <f t="shared" ref="BI7:BI70" si="22">IF(AI7="NAN",-999,ROUND(AI7,3))</f>
        <v>0.111</v>
      </c>
      <c r="BJ7" s="9">
        <f t="shared" ref="BJ7:BK70" si="23">AQ7</f>
        <v>0.29799999999999999</v>
      </c>
      <c r="BK7" s="9">
        <f t="shared" si="23"/>
        <v>3.9E-2</v>
      </c>
      <c r="BM7" s="1">
        <f t="shared" ref="BM7:BM70" si="24">AD7-N7</f>
        <v>-0.69799999999999951</v>
      </c>
      <c r="BN7" s="1">
        <f t="shared" ref="BN7:BN70" si="25">AE7-U7</f>
        <v>-0.94999999999999929</v>
      </c>
    </row>
    <row r="8" spans="1:66" x14ac:dyDescent="0.2">
      <c r="A8" s="4">
        <f t="shared" ref="A8:A71" si="26">A7+1</f>
        <v>45660</v>
      </c>
      <c r="B8" s="1">
        <v>3</v>
      </c>
      <c r="C8" s="1">
        <v>12</v>
      </c>
      <c r="D8" s="5">
        <v>12.62</v>
      </c>
      <c r="E8" s="5">
        <v>-3.9449999999999998</v>
      </c>
      <c r="F8" s="5">
        <v>-8.5500000000000007</v>
      </c>
      <c r="G8" s="5">
        <v>-5.96</v>
      </c>
      <c r="H8" s="5">
        <v>92</v>
      </c>
      <c r="I8" s="5">
        <v>5.8999999999999997E-2</v>
      </c>
      <c r="J8" s="5">
        <v>-0.68899999999999995</v>
      </c>
      <c r="K8" s="5">
        <v>0.39300000000000002</v>
      </c>
      <c r="L8" s="5">
        <v>0.96099999999999997</v>
      </c>
      <c r="M8" s="5">
        <v>1.7809999999999999</v>
      </c>
      <c r="N8" s="5">
        <v>-3.3849999999999998</v>
      </c>
      <c r="O8" s="5">
        <v>94.5</v>
      </c>
      <c r="P8" s="5">
        <v>0.13600000000000001</v>
      </c>
      <c r="Q8" s="5">
        <v>-0.60099999999999998</v>
      </c>
      <c r="R8" s="5">
        <v>0.47199999999999998</v>
      </c>
      <c r="S8" s="5">
        <v>1.0369999999999999</v>
      </c>
      <c r="T8" s="5">
        <v>1.8640000000000001</v>
      </c>
      <c r="U8" s="5">
        <v>-8.5399999999999991</v>
      </c>
      <c r="V8" s="5">
        <v>89.8</v>
      </c>
      <c r="W8" s="5">
        <v>-2.5999999999999999E-2</v>
      </c>
      <c r="X8" s="5">
        <v>-0.79</v>
      </c>
      <c r="Y8" s="5">
        <v>0.312</v>
      </c>
      <c r="Z8" s="5">
        <v>0.88700000000000001</v>
      </c>
      <c r="AA8" s="5">
        <v>1.6970000000000001</v>
      </c>
      <c r="AB8" s="5">
        <v>1.4570000000000001</v>
      </c>
      <c r="AC8" s="5">
        <v>-6.4619999999999997</v>
      </c>
      <c r="AD8" s="5">
        <v>-4.0570000000000004</v>
      </c>
      <c r="AE8" s="5">
        <v>-9.3000000000000007</v>
      </c>
      <c r="AF8" s="5">
        <v>-3.819</v>
      </c>
      <c r="AG8" s="5">
        <v>-8.7799999999999994</v>
      </c>
      <c r="AH8" s="5">
        <v>1.4670000000000001</v>
      </c>
      <c r="AI8" s="5">
        <v>0.111</v>
      </c>
      <c r="AK8" s="5">
        <f t="shared" si="0"/>
        <v>0.81799999999999984</v>
      </c>
      <c r="AL8" s="22">
        <f t="shared" si="1"/>
        <v>-0.1</v>
      </c>
      <c r="AN8" s="1">
        <f t="shared" si="10"/>
        <v>94.5</v>
      </c>
      <c r="AO8" s="1">
        <f t="shared" si="11"/>
        <v>92</v>
      </c>
      <c r="AP8" s="1">
        <f t="shared" si="12"/>
        <v>89.8</v>
      </c>
      <c r="AQ8" s="16">
        <f t="shared" si="2"/>
        <v>0.42699999999999999</v>
      </c>
      <c r="AR8" s="23">
        <f t="shared" si="13"/>
        <v>4.9000000000000002E-2</v>
      </c>
      <c r="AT8" s="18">
        <f t="shared" si="3"/>
        <v>45660</v>
      </c>
      <c r="AU8" s="19">
        <f t="shared" si="4"/>
        <v>3</v>
      </c>
      <c r="AV8" s="1">
        <f t="shared" si="14"/>
        <v>-6</v>
      </c>
      <c r="AW8" s="1">
        <f t="shared" si="15"/>
        <v>-3.4</v>
      </c>
      <c r="AX8" s="1">
        <f t="shared" si="16"/>
        <v>-8.5</v>
      </c>
      <c r="AY8" s="1">
        <f t="shared" si="8"/>
        <v>92</v>
      </c>
      <c r="AZ8" s="1">
        <f t="shared" si="9"/>
        <v>89.8</v>
      </c>
      <c r="BA8" s="1">
        <f t="shared" si="17"/>
        <v>0.81799999999999984</v>
      </c>
      <c r="BB8" s="5">
        <f t="shared" si="18"/>
        <v>-0.1</v>
      </c>
      <c r="BC8" s="1">
        <f>ROUND(AC8,1)</f>
        <v>-6.5</v>
      </c>
      <c r="BD8" s="1">
        <f>ROUND(AD8,1)</f>
        <v>-4.0999999999999996</v>
      </c>
      <c r="BE8" s="1">
        <f>ROUND(AE8,1)</f>
        <v>-9.3000000000000007</v>
      </c>
      <c r="BF8" s="5">
        <f t="shared" si="19"/>
        <v>0.4</v>
      </c>
      <c r="BG8" s="5">
        <f t="shared" si="20"/>
        <v>1</v>
      </c>
      <c r="BH8" s="5">
        <f t="shared" si="21"/>
        <v>1.8</v>
      </c>
      <c r="BI8" s="5">
        <f t="shared" si="22"/>
        <v>0.111</v>
      </c>
      <c r="BJ8" s="9">
        <f t="shared" si="23"/>
        <v>0.42699999999999999</v>
      </c>
      <c r="BK8" s="9">
        <f t="shared" si="23"/>
        <v>4.9000000000000002E-2</v>
      </c>
      <c r="BM8" s="1">
        <f t="shared" si="24"/>
        <v>-0.6720000000000006</v>
      </c>
      <c r="BN8" s="1">
        <f t="shared" si="25"/>
        <v>-0.76000000000000156</v>
      </c>
    </row>
    <row r="9" spans="1:66" x14ac:dyDescent="0.2">
      <c r="A9" s="4">
        <f t="shared" si="26"/>
        <v>45661</v>
      </c>
      <c r="B9" s="1">
        <v>4</v>
      </c>
      <c r="C9" s="1">
        <v>12</v>
      </c>
      <c r="D9" s="5">
        <v>12.68</v>
      </c>
      <c r="E9" s="5">
        <v>-2.677</v>
      </c>
      <c r="F9" s="5">
        <v>-6.0279999999999996</v>
      </c>
      <c r="G9" s="5">
        <v>-4.4470000000000001</v>
      </c>
      <c r="H9" s="5">
        <v>93.3</v>
      </c>
      <c r="I9" s="5">
        <v>7.1999999999999995E-2</v>
      </c>
      <c r="J9" s="5">
        <v>-0.69299999999999995</v>
      </c>
      <c r="K9" s="5">
        <v>0.4</v>
      </c>
      <c r="L9" s="5">
        <v>0.96499999999999997</v>
      </c>
      <c r="M9" s="5">
        <v>1.7769999999999999</v>
      </c>
      <c r="N9" s="5">
        <v>-2.9169999999999998</v>
      </c>
      <c r="O9" s="5">
        <v>94.4</v>
      </c>
      <c r="P9" s="5">
        <v>0.14699999999999999</v>
      </c>
      <c r="Q9" s="5">
        <v>-0.60099999999999998</v>
      </c>
      <c r="R9" s="5">
        <v>0.48799999999999999</v>
      </c>
      <c r="S9" s="5">
        <v>1.046</v>
      </c>
      <c r="T9" s="5">
        <v>1.857</v>
      </c>
      <c r="U9" s="5">
        <v>-6.5259999999999998</v>
      </c>
      <c r="V9" s="5">
        <v>91.6</v>
      </c>
      <c r="W9" s="5">
        <v>-1.2999999999999999E-2</v>
      </c>
      <c r="X9" s="5">
        <v>-0.78100000000000003</v>
      </c>
      <c r="Y9" s="5">
        <v>0.32100000000000001</v>
      </c>
      <c r="Z9" s="5">
        <v>0.88200000000000001</v>
      </c>
      <c r="AA9" s="5">
        <v>1.69</v>
      </c>
      <c r="AB9" s="5">
        <v>1.466</v>
      </c>
      <c r="AC9" s="5">
        <v>-5.516</v>
      </c>
      <c r="AD9" s="5">
        <v>-4.0579999999999998</v>
      </c>
      <c r="AE9" s="5">
        <v>-7.0960000000000001</v>
      </c>
      <c r="AF9" s="5">
        <v>-2.9820000000000002</v>
      </c>
      <c r="AG9" s="5">
        <v>-6.78</v>
      </c>
      <c r="AH9" s="5">
        <v>1.4830000000000001</v>
      </c>
      <c r="AI9" s="5">
        <v>0.111</v>
      </c>
      <c r="AK9" s="5">
        <f t="shared" si="0"/>
        <v>0.80899999999999994</v>
      </c>
      <c r="AL9" s="22">
        <f t="shared" si="1"/>
        <v>-0.1</v>
      </c>
      <c r="AN9" s="1">
        <f t="shared" si="10"/>
        <v>94.4</v>
      </c>
      <c r="AO9" s="1">
        <f t="shared" si="11"/>
        <v>93.3</v>
      </c>
      <c r="AP9" s="1">
        <f t="shared" si="12"/>
        <v>91.6</v>
      </c>
      <c r="AQ9" s="16">
        <f t="shared" si="2"/>
        <v>0.45100000000000001</v>
      </c>
      <c r="AR9" s="23">
        <f t="shared" si="13"/>
        <v>4.1000000000000002E-2</v>
      </c>
      <c r="AT9" s="18">
        <f t="shared" si="3"/>
        <v>45661</v>
      </c>
      <c r="AU9" s="19">
        <f t="shared" si="4"/>
        <v>4</v>
      </c>
      <c r="AV9" s="1">
        <f t="shared" si="14"/>
        <v>-4.4000000000000004</v>
      </c>
      <c r="AW9" s="1">
        <f t="shared" si="15"/>
        <v>-2.9</v>
      </c>
      <c r="AX9" s="1">
        <f t="shared" si="16"/>
        <v>-6.5</v>
      </c>
      <c r="AY9" s="1">
        <f t="shared" si="8"/>
        <v>93.3</v>
      </c>
      <c r="AZ9" s="1">
        <f t="shared" si="9"/>
        <v>91.6</v>
      </c>
      <c r="BA9" s="1">
        <f t="shared" si="17"/>
        <v>0.80899999999999994</v>
      </c>
      <c r="BB9" s="5">
        <f t="shared" si="18"/>
        <v>-0.1</v>
      </c>
      <c r="BC9" s="1">
        <f>ROUND(AC9,1)</f>
        <v>-5.5</v>
      </c>
      <c r="BD9" s="1">
        <f>ROUND(AD9,1)</f>
        <v>-4.0999999999999996</v>
      </c>
      <c r="BE9" s="1">
        <f>ROUND(AE9,1)</f>
        <v>-7.1</v>
      </c>
      <c r="BF9" s="5">
        <f t="shared" si="19"/>
        <v>0.4</v>
      </c>
      <c r="BG9" s="5">
        <f t="shared" si="20"/>
        <v>1</v>
      </c>
      <c r="BH9" s="5">
        <f t="shared" si="21"/>
        <v>1.8</v>
      </c>
      <c r="BI9" s="5">
        <f t="shared" si="22"/>
        <v>0.111</v>
      </c>
      <c r="BJ9" s="9">
        <f t="shared" si="23"/>
        <v>0.45100000000000001</v>
      </c>
      <c r="BK9" s="9">
        <f t="shared" si="23"/>
        <v>4.1000000000000002E-2</v>
      </c>
      <c r="BM9" s="1">
        <f t="shared" si="24"/>
        <v>-1.141</v>
      </c>
      <c r="BN9" s="1">
        <f t="shared" si="25"/>
        <v>-0.57000000000000028</v>
      </c>
    </row>
    <row r="10" spans="1:66" x14ac:dyDescent="0.2">
      <c r="A10" s="4">
        <f t="shared" si="26"/>
        <v>45662</v>
      </c>
      <c r="B10" s="1">
        <v>5</v>
      </c>
      <c r="C10" s="1">
        <v>12</v>
      </c>
      <c r="D10" s="5">
        <v>12.65</v>
      </c>
      <c r="E10" s="5">
        <v>-2.4630000000000001</v>
      </c>
      <c r="F10" s="5">
        <v>-6.1390000000000002</v>
      </c>
      <c r="G10" s="5">
        <v>-4.6849999999999996</v>
      </c>
      <c r="H10" s="5">
        <v>93.1</v>
      </c>
      <c r="I10" s="5">
        <v>7.0000000000000007E-2</v>
      </c>
      <c r="J10" s="5">
        <v>-0.626</v>
      </c>
      <c r="K10" s="5">
        <v>0.39700000000000002</v>
      </c>
      <c r="L10" s="5">
        <v>0.95799999999999996</v>
      </c>
      <c r="M10" s="5">
        <v>1.764</v>
      </c>
      <c r="N10" s="5">
        <v>-2.7109999999999999</v>
      </c>
      <c r="O10" s="5">
        <v>94.5</v>
      </c>
      <c r="P10" s="5">
        <v>0.14499999999999999</v>
      </c>
      <c r="Q10" s="5">
        <v>-0.53100000000000003</v>
      </c>
      <c r="R10" s="5">
        <v>0.48</v>
      </c>
      <c r="S10" s="5">
        <v>1.0409999999999999</v>
      </c>
      <c r="T10" s="5">
        <v>1.843</v>
      </c>
      <c r="U10" s="5">
        <v>-6.391</v>
      </c>
      <c r="V10" s="5">
        <v>91.7</v>
      </c>
      <c r="W10" s="5">
        <v>-1.2999999999999999E-2</v>
      </c>
      <c r="X10" s="5">
        <v>-0.73699999999999999</v>
      </c>
      <c r="Y10" s="5">
        <v>0.32</v>
      </c>
      <c r="Z10" s="5">
        <v>0.88200000000000001</v>
      </c>
      <c r="AA10" s="5">
        <v>1.6859999999999999</v>
      </c>
      <c r="AB10" s="5">
        <v>1.4670000000000001</v>
      </c>
      <c r="AC10" s="5">
        <v>-5.2629999999999999</v>
      </c>
      <c r="AD10" s="5">
        <v>-2.8479999999999999</v>
      </c>
      <c r="AE10" s="5">
        <v>-7.3150000000000004</v>
      </c>
      <c r="AF10" s="5">
        <v>-2.581</v>
      </c>
      <c r="AG10" s="5">
        <v>-6.6070000000000002</v>
      </c>
      <c r="AH10" s="5">
        <v>1.4810000000000001</v>
      </c>
      <c r="AI10" s="5">
        <v>0.111</v>
      </c>
      <c r="AK10" s="5">
        <f t="shared" si="0"/>
        <v>0.80799999999999983</v>
      </c>
      <c r="AL10" s="22">
        <f t="shared" si="1"/>
        <v>-0.1</v>
      </c>
      <c r="AN10" s="1">
        <f t="shared" si="10"/>
        <v>94.5</v>
      </c>
      <c r="AO10" s="1">
        <f t="shared" si="11"/>
        <v>93.1</v>
      </c>
      <c r="AP10" s="1">
        <f t="shared" si="12"/>
        <v>91.7</v>
      </c>
      <c r="AQ10" s="16">
        <f t="shared" si="2"/>
        <v>0.45900000000000002</v>
      </c>
      <c r="AR10" s="23">
        <f t="shared" si="13"/>
        <v>4.2000000000000003E-2</v>
      </c>
      <c r="AT10" s="18">
        <f t="shared" si="3"/>
        <v>45662</v>
      </c>
      <c r="AU10" s="19">
        <f t="shared" si="4"/>
        <v>5</v>
      </c>
      <c r="AV10" s="1">
        <f t="shared" si="14"/>
        <v>-4.7</v>
      </c>
      <c r="AW10" s="1">
        <f t="shared" si="15"/>
        <v>-2.7</v>
      </c>
      <c r="AX10" s="1">
        <f t="shared" si="16"/>
        <v>-6.4</v>
      </c>
      <c r="AY10" s="1">
        <f t="shared" si="8"/>
        <v>93.1</v>
      </c>
      <c r="AZ10" s="1">
        <f t="shared" si="9"/>
        <v>91.7</v>
      </c>
      <c r="BA10" s="1">
        <f t="shared" si="17"/>
        <v>0.80799999999999983</v>
      </c>
      <c r="BB10" s="5">
        <f t="shared" si="18"/>
        <v>-0.1</v>
      </c>
      <c r="BC10" s="1">
        <f>ROUND(AC10,1)</f>
        <v>-5.3</v>
      </c>
      <c r="BD10" s="1">
        <f>ROUND(AD10,1)</f>
        <v>-2.8</v>
      </c>
      <c r="BE10" s="1">
        <f>ROUND(AE10,1)</f>
        <v>-7.3</v>
      </c>
      <c r="BF10" s="5">
        <f t="shared" si="19"/>
        <v>0.4</v>
      </c>
      <c r="BG10" s="5">
        <f t="shared" si="20"/>
        <v>1</v>
      </c>
      <c r="BH10" s="5">
        <f t="shared" si="21"/>
        <v>1.8</v>
      </c>
      <c r="BI10" s="5">
        <f t="shared" si="22"/>
        <v>0.111</v>
      </c>
      <c r="BJ10" s="9">
        <f t="shared" si="23"/>
        <v>0.45900000000000002</v>
      </c>
      <c r="BK10" s="9">
        <f t="shared" si="23"/>
        <v>4.2000000000000003E-2</v>
      </c>
      <c r="BM10" s="1">
        <f t="shared" si="24"/>
        <v>-0.13700000000000001</v>
      </c>
      <c r="BN10" s="1">
        <f t="shared" si="25"/>
        <v>-0.92400000000000038</v>
      </c>
    </row>
    <row r="11" spans="1:66" x14ac:dyDescent="0.2">
      <c r="A11" s="4">
        <f t="shared" si="26"/>
        <v>45663</v>
      </c>
      <c r="B11" s="1">
        <v>6</v>
      </c>
      <c r="C11" s="1">
        <v>12</v>
      </c>
      <c r="D11" s="5">
        <v>12.73</v>
      </c>
      <c r="E11" s="5">
        <v>-3.278</v>
      </c>
      <c r="F11" s="5">
        <v>-5.8090000000000002</v>
      </c>
      <c r="G11" s="5">
        <v>-5.2759999999999998</v>
      </c>
      <c r="H11" s="5">
        <v>92.6</v>
      </c>
      <c r="I11" s="5">
        <v>7.5999999999999998E-2</v>
      </c>
      <c r="J11" s="5">
        <v>-0.55300000000000005</v>
      </c>
      <c r="K11" s="5">
        <v>0.39600000000000002</v>
      </c>
      <c r="L11" s="5">
        <v>0.95399999999999996</v>
      </c>
      <c r="M11" s="5">
        <v>1.7549999999999999</v>
      </c>
      <c r="N11" s="5">
        <v>-3.484</v>
      </c>
      <c r="O11" s="5">
        <v>93.9</v>
      </c>
      <c r="P11" s="5">
        <v>0.155</v>
      </c>
      <c r="Q11" s="5">
        <v>-0.45</v>
      </c>
      <c r="R11" s="5">
        <v>0.47599999999999998</v>
      </c>
      <c r="S11" s="5">
        <v>1.034</v>
      </c>
      <c r="T11" s="5">
        <v>1.8320000000000001</v>
      </c>
      <c r="U11" s="5">
        <v>-6.12</v>
      </c>
      <c r="V11" s="5">
        <v>91.8</v>
      </c>
      <c r="W11" s="5">
        <v>6.0000000000000001E-3</v>
      </c>
      <c r="X11" s="5">
        <v>-0.65900000000000003</v>
      </c>
      <c r="Y11" s="5">
        <v>0.32400000000000001</v>
      </c>
      <c r="Z11" s="5">
        <v>0.88100000000000001</v>
      </c>
      <c r="AA11" s="5">
        <v>1.667</v>
      </c>
      <c r="AB11" s="5">
        <v>1.4710000000000001</v>
      </c>
      <c r="AC11" s="5">
        <v>-6.5369999999999999</v>
      </c>
      <c r="AD11" s="5">
        <v>-4.9550000000000001</v>
      </c>
      <c r="AE11" s="5">
        <v>-7.5620000000000003</v>
      </c>
      <c r="AF11" s="5">
        <v>-3.2919999999999998</v>
      </c>
      <c r="AG11" s="5">
        <v>-6.3840000000000003</v>
      </c>
      <c r="AH11" s="5">
        <v>1.4850000000000001</v>
      </c>
      <c r="AI11" s="5">
        <v>0.111</v>
      </c>
      <c r="AK11" s="5">
        <f t="shared" si="0"/>
        <v>0.80399999999999983</v>
      </c>
      <c r="AL11" s="22">
        <f t="shared" si="1"/>
        <v>-0.1</v>
      </c>
      <c r="AN11" s="1">
        <f t="shared" si="10"/>
        <v>93.9</v>
      </c>
      <c r="AO11" s="1">
        <f t="shared" si="11"/>
        <v>92.6</v>
      </c>
      <c r="AP11" s="1">
        <f t="shared" si="12"/>
        <v>91.8</v>
      </c>
      <c r="AQ11" s="16">
        <f t="shared" si="2"/>
        <v>0.433</v>
      </c>
      <c r="AR11" s="23">
        <f t="shared" si="13"/>
        <v>3.9E-2</v>
      </c>
      <c r="AT11" s="18">
        <f t="shared" si="3"/>
        <v>45663</v>
      </c>
      <c r="AU11" s="19">
        <f t="shared" si="4"/>
        <v>6</v>
      </c>
      <c r="AV11" s="1">
        <f t="shared" si="14"/>
        <v>-5.3</v>
      </c>
      <c r="AW11" s="1">
        <f t="shared" si="15"/>
        <v>-3.5</v>
      </c>
      <c r="AX11" s="1">
        <f t="shared" si="16"/>
        <v>-6.1</v>
      </c>
      <c r="AY11" s="1">
        <f t="shared" si="8"/>
        <v>92.6</v>
      </c>
      <c r="AZ11" s="1">
        <f t="shared" si="9"/>
        <v>91.8</v>
      </c>
      <c r="BA11" s="1">
        <f t="shared" si="17"/>
        <v>0.80399999999999983</v>
      </c>
      <c r="BB11" s="5">
        <f t="shared" si="18"/>
        <v>-0.1</v>
      </c>
      <c r="BC11" s="1">
        <f>ROUND(AC11,1)</f>
        <v>-6.5</v>
      </c>
      <c r="BD11" s="1">
        <f>ROUND(AD11,1)</f>
        <v>-5</v>
      </c>
      <c r="BE11" s="1">
        <f>ROUND(AE11,1)</f>
        <v>-7.6</v>
      </c>
      <c r="BF11" s="5">
        <f t="shared" si="19"/>
        <v>0.4</v>
      </c>
      <c r="BG11" s="5">
        <f t="shared" si="20"/>
        <v>1</v>
      </c>
      <c r="BH11" s="5">
        <f t="shared" si="21"/>
        <v>1.8</v>
      </c>
      <c r="BI11" s="5">
        <f t="shared" si="22"/>
        <v>0.111</v>
      </c>
      <c r="BJ11" s="9">
        <f t="shared" si="23"/>
        <v>0.433</v>
      </c>
      <c r="BK11" s="9">
        <f t="shared" si="23"/>
        <v>3.9E-2</v>
      </c>
      <c r="BM11" s="1">
        <f t="shared" si="24"/>
        <v>-1.4710000000000001</v>
      </c>
      <c r="BN11" s="1">
        <f t="shared" si="25"/>
        <v>-1.4420000000000002</v>
      </c>
    </row>
    <row r="12" spans="1:66" x14ac:dyDescent="0.2">
      <c r="A12" s="4">
        <f t="shared" si="26"/>
        <v>45664</v>
      </c>
      <c r="B12" s="1">
        <v>7</v>
      </c>
      <c r="C12" s="1">
        <v>12</v>
      </c>
      <c r="D12" s="5">
        <v>12.65</v>
      </c>
      <c r="E12" s="5">
        <v>-1.5</v>
      </c>
      <c r="F12" s="5">
        <v>-7.327</v>
      </c>
      <c r="G12" s="5">
        <v>-4.7060000000000004</v>
      </c>
      <c r="H12" s="5">
        <v>93</v>
      </c>
      <c r="I12" s="5">
        <v>7.5999999999999998E-2</v>
      </c>
      <c r="J12" s="5">
        <v>-0.52700000000000002</v>
      </c>
      <c r="K12" s="5">
        <v>0.39300000000000002</v>
      </c>
      <c r="L12" s="5">
        <v>0.94699999999999995</v>
      </c>
      <c r="M12" s="5">
        <v>1.7430000000000001</v>
      </c>
      <c r="N12" s="5">
        <v>-1.161</v>
      </c>
      <c r="O12" s="5">
        <v>95.6</v>
      </c>
      <c r="P12" s="5">
        <v>0.16</v>
      </c>
      <c r="Q12" s="5">
        <v>-0.438</v>
      </c>
      <c r="R12" s="5">
        <v>0.49299999999999999</v>
      </c>
      <c r="S12" s="5">
        <v>1.044</v>
      </c>
      <c r="T12" s="5">
        <v>1.8360000000000001</v>
      </c>
      <c r="U12" s="5">
        <v>-8.5500000000000007</v>
      </c>
      <c r="V12" s="5">
        <v>89.9</v>
      </c>
      <c r="W12" s="5">
        <v>-1.2999999999999999E-2</v>
      </c>
      <c r="X12" s="5">
        <v>-0.621</v>
      </c>
      <c r="Y12" s="5">
        <v>0.307</v>
      </c>
      <c r="Z12" s="5">
        <v>0.86199999999999999</v>
      </c>
      <c r="AA12" s="5">
        <v>1.653</v>
      </c>
      <c r="AB12" s="5">
        <v>1.482</v>
      </c>
      <c r="AC12" s="5">
        <v>-5.8680000000000003</v>
      </c>
      <c r="AD12" s="5">
        <v>-2.274</v>
      </c>
      <c r="AE12" s="5">
        <v>-9.4</v>
      </c>
      <c r="AF12" s="5">
        <v>-1.079</v>
      </c>
      <c r="AG12" s="5">
        <v>-8.8000000000000007</v>
      </c>
      <c r="AH12" s="5">
        <v>1.5</v>
      </c>
      <c r="AI12" s="5">
        <v>0.112</v>
      </c>
      <c r="AK12" s="5">
        <f t="shared" si="0"/>
        <v>0.79299999999999993</v>
      </c>
      <c r="AL12" s="22">
        <f t="shared" si="1"/>
        <v>-0.1</v>
      </c>
      <c r="AN12" s="1">
        <f t="shared" si="10"/>
        <v>95.6</v>
      </c>
      <c r="AO12" s="1">
        <f t="shared" si="11"/>
        <v>93</v>
      </c>
      <c r="AP12" s="1">
        <f t="shared" si="12"/>
        <v>89.9</v>
      </c>
      <c r="AQ12" s="16">
        <f t="shared" si="2"/>
        <v>0.504</v>
      </c>
      <c r="AR12" s="23">
        <f t="shared" si="13"/>
        <v>5.7000000000000002E-2</v>
      </c>
      <c r="AT12" s="18">
        <f t="shared" si="3"/>
        <v>45664</v>
      </c>
      <c r="AU12" s="19">
        <f t="shared" si="4"/>
        <v>7</v>
      </c>
      <c r="AV12" s="1">
        <f t="shared" si="14"/>
        <v>-4.7</v>
      </c>
      <c r="AW12" s="1">
        <f t="shared" si="15"/>
        <v>-1.2</v>
      </c>
      <c r="AX12" s="1">
        <f t="shared" si="16"/>
        <v>-8.6</v>
      </c>
      <c r="AY12" s="1">
        <f t="shared" si="8"/>
        <v>93</v>
      </c>
      <c r="AZ12" s="1">
        <f t="shared" si="9"/>
        <v>89.9</v>
      </c>
      <c r="BA12" s="1">
        <f t="shared" si="17"/>
        <v>0.79299999999999993</v>
      </c>
      <c r="BB12" s="5">
        <f t="shared" si="18"/>
        <v>-0.1</v>
      </c>
      <c r="BC12" s="1">
        <f>ROUND(AC12,1)</f>
        <v>-5.9</v>
      </c>
      <c r="BD12" s="1">
        <f>ROUND(AD12,1)</f>
        <v>-2.2999999999999998</v>
      </c>
      <c r="BE12" s="1">
        <f>ROUND(AE12,1)</f>
        <v>-9.4</v>
      </c>
      <c r="BF12" s="5">
        <f t="shared" si="19"/>
        <v>0.4</v>
      </c>
      <c r="BG12" s="5">
        <f t="shared" si="20"/>
        <v>0.9</v>
      </c>
      <c r="BH12" s="5">
        <f t="shared" si="21"/>
        <v>1.7</v>
      </c>
      <c r="BI12" s="5">
        <f t="shared" si="22"/>
        <v>0.112</v>
      </c>
      <c r="BJ12" s="9">
        <f t="shared" si="23"/>
        <v>0.504</v>
      </c>
      <c r="BK12" s="9">
        <f t="shared" si="23"/>
        <v>5.7000000000000002E-2</v>
      </c>
      <c r="BM12" s="1">
        <f t="shared" si="24"/>
        <v>-1.113</v>
      </c>
      <c r="BN12" s="1">
        <f t="shared" si="25"/>
        <v>-0.84999999999999964</v>
      </c>
    </row>
    <row r="13" spans="1:66" x14ac:dyDescent="0.2">
      <c r="A13" s="4">
        <f t="shared" si="26"/>
        <v>45665</v>
      </c>
      <c r="B13" s="1">
        <v>8</v>
      </c>
      <c r="C13" s="1">
        <v>12</v>
      </c>
      <c r="D13" s="5">
        <v>12.62</v>
      </c>
      <c r="E13" s="5">
        <v>-1.8640000000000001</v>
      </c>
      <c r="F13" s="5">
        <v>-6.7530000000000001</v>
      </c>
      <c r="G13" s="5">
        <v>-3.5059999999999998</v>
      </c>
      <c r="H13" s="5">
        <v>94.2</v>
      </c>
      <c r="I13" s="5">
        <v>7.3999999999999996E-2</v>
      </c>
      <c r="J13" s="5">
        <v>-0.53100000000000003</v>
      </c>
      <c r="K13" s="5">
        <v>0.39300000000000002</v>
      </c>
      <c r="L13" s="5">
        <v>0.94399999999999995</v>
      </c>
      <c r="M13" s="5">
        <v>1.7350000000000001</v>
      </c>
      <c r="N13" s="5">
        <v>-1.9059999999999999</v>
      </c>
      <c r="O13" s="5">
        <v>95.3</v>
      </c>
      <c r="P13" s="5">
        <v>0.17100000000000001</v>
      </c>
      <c r="Q13" s="5">
        <v>-0.44800000000000001</v>
      </c>
      <c r="R13" s="5">
        <v>0.47699999999999998</v>
      </c>
      <c r="S13" s="5">
        <v>1.0289999999999999</v>
      </c>
      <c r="T13" s="5">
        <v>1.8149999999999999</v>
      </c>
      <c r="U13" s="5">
        <v>-7.4390000000000001</v>
      </c>
      <c r="V13" s="5">
        <v>90.4</v>
      </c>
      <c r="W13" s="5">
        <v>-1.4999999999999999E-2</v>
      </c>
      <c r="X13" s="5">
        <v>-0.61199999999999999</v>
      </c>
      <c r="Y13" s="5">
        <v>0.307</v>
      </c>
      <c r="Z13" s="5">
        <v>0.85899999999999999</v>
      </c>
      <c r="AA13" s="5">
        <v>1.6539999999999999</v>
      </c>
      <c r="AB13" s="5">
        <v>1.48</v>
      </c>
      <c r="AC13" s="5">
        <v>-4.2149999999999999</v>
      </c>
      <c r="AD13" s="5">
        <v>-2.3090000000000002</v>
      </c>
      <c r="AE13" s="5">
        <v>-7.7320000000000002</v>
      </c>
      <c r="AF13" s="5">
        <v>-2.0870000000000002</v>
      </c>
      <c r="AG13" s="5">
        <v>-7.38</v>
      </c>
      <c r="AH13" s="5">
        <v>1.494</v>
      </c>
      <c r="AI13" s="5">
        <v>0.112</v>
      </c>
      <c r="AK13" s="5">
        <f t="shared" si="0"/>
        <v>0.79499999999999993</v>
      </c>
      <c r="AL13" s="22">
        <f t="shared" si="1"/>
        <v>-0.1</v>
      </c>
      <c r="AN13" s="1">
        <f t="shared" si="10"/>
        <v>95.3</v>
      </c>
      <c r="AO13" s="1">
        <f t="shared" si="11"/>
        <v>94.2</v>
      </c>
      <c r="AP13" s="1">
        <f t="shared" si="12"/>
        <v>90.4</v>
      </c>
      <c r="AQ13" s="16">
        <f t="shared" si="2"/>
        <v>0.48</v>
      </c>
      <c r="AR13" s="23">
        <f t="shared" si="13"/>
        <v>5.0999999999999997E-2</v>
      </c>
      <c r="AT13" s="18">
        <f t="shared" si="3"/>
        <v>45665</v>
      </c>
      <c r="AU13" s="19">
        <f t="shared" si="4"/>
        <v>8</v>
      </c>
      <c r="AV13" s="1">
        <f t="shared" si="14"/>
        <v>-3.5</v>
      </c>
      <c r="AW13" s="1">
        <f t="shared" si="15"/>
        <v>-1.9</v>
      </c>
      <c r="AX13" s="1">
        <f t="shared" si="16"/>
        <v>-7.4</v>
      </c>
      <c r="AY13" s="1">
        <f t="shared" si="8"/>
        <v>94.2</v>
      </c>
      <c r="AZ13" s="1">
        <f t="shared" si="9"/>
        <v>90.4</v>
      </c>
      <c r="BA13" s="1">
        <f t="shared" si="17"/>
        <v>0.79499999999999993</v>
      </c>
      <c r="BB13" s="5">
        <f t="shared" si="18"/>
        <v>-0.1</v>
      </c>
      <c r="BC13" s="1">
        <f>ROUND(AC13,1)</f>
        <v>-4.2</v>
      </c>
      <c r="BD13" s="1">
        <f>ROUND(AD13,1)</f>
        <v>-2.2999999999999998</v>
      </c>
      <c r="BE13" s="1">
        <f>ROUND(AE13,1)</f>
        <v>-7.7</v>
      </c>
      <c r="BF13" s="5">
        <f t="shared" si="19"/>
        <v>0.4</v>
      </c>
      <c r="BG13" s="5">
        <f t="shared" si="20"/>
        <v>0.9</v>
      </c>
      <c r="BH13" s="5">
        <f t="shared" si="21"/>
        <v>1.7</v>
      </c>
      <c r="BI13" s="5">
        <f t="shared" si="22"/>
        <v>0.112</v>
      </c>
      <c r="BJ13" s="9">
        <f t="shared" si="23"/>
        <v>0.48</v>
      </c>
      <c r="BK13" s="9">
        <f t="shared" si="23"/>
        <v>5.0999999999999997E-2</v>
      </c>
      <c r="BM13" s="1">
        <f t="shared" si="24"/>
        <v>-0.40300000000000025</v>
      </c>
      <c r="BN13" s="1">
        <f t="shared" si="25"/>
        <v>-0.29300000000000015</v>
      </c>
    </row>
    <row r="14" spans="1:66" x14ac:dyDescent="0.2">
      <c r="A14" s="4">
        <f t="shared" si="26"/>
        <v>45666</v>
      </c>
      <c r="B14" s="1">
        <v>9</v>
      </c>
      <c r="C14" s="1">
        <v>12</v>
      </c>
      <c r="D14" s="5">
        <v>12.69</v>
      </c>
      <c r="E14" s="5">
        <v>-1.2450000000000001</v>
      </c>
      <c r="F14" s="5">
        <v>-5.4610000000000003</v>
      </c>
      <c r="G14" s="5">
        <v>-4.0949999999999998</v>
      </c>
      <c r="H14" s="5">
        <v>93.4</v>
      </c>
      <c r="I14" s="5">
        <v>7.6999999999999999E-2</v>
      </c>
      <c r="J14" s="5">
        <v>-0.497</v>
      </c>
      <c r="K14" s="5">
        <v>0.38900000000000001</v>
      </c>
      <c r="L14" s="5">
        <v>0.93799999999999994</v>
      </c>
      <c r="M14" s="5">
        <v>1.722</v>
      </c>
      <c r="N14" s="5">
        <v>-1.365</v>
      </c>
      <c r="O14" s="5">
        <v>95.3</v>
      </c>
      <c r="P14" s="5">
        <v>0.16900000000000001</v>
      </c>
      <c r="Q14" s="5">
        <v>-0.40100000000000002</v>
      </c>
      <c r="R14" s="5">
        <v>0.48</v>
      </c>
      <c r="S14" s="5">
        <v>1.0329999999999999</v>
      </c>
      <c r="T14" s="5">
        <v>1.8129999999999999</v>
      </c>
      <c r="U14" s="5">
        <v>-7.101</v>
      </c>
      <c r="V14" s="5">
        <v>91</v>
      </c>
      <c r="W14" s="5">
        <v>-5.0000000000000001E-3</v>
      </c>
      <c r="X14" s="5">
        <v>-0.58899999999999997</v>
      </c>
      <c r="Y14" s="5">
        <v>0.30299999999999999</v>
      </c>
      <c r="Z14" s="5">
        <v>0.86</v>
      </c>
      <c r="AA14" s="5">
        <v>1.619</v>
      </c>
      <c r="AB14" s="5">
        <v>1.4910000000000001</v>
      </c>
      <c r="AC14" s="5">
        <v>-5.1820000000000004</v>
      </c>
      <c r="AD14" s="5">
        <v>-2.4950000000000001</v>
      </c>
      <c r="AE14" s="5">
        <v>-8.14</v>
      </c>
      <c r="AF14" s="5">
        <v>-0.75700000000000001</v>
      </c>
      <c r="AG14" s="5">
        <v>-7.3570000000000002</v>
      </c>
      <c r="AH14" s="5">
        <v>1.5109999999999999</v>
      </c>
      <c r="AI14" s="5">
        <v>0.112</v>
      </c>
      <c r="AK14" s="5">
        <f t="shared" si="0"/>
        <v>0.78399999999999981</v>
      </c>
      <c r="AL14" s="22">
        <f t="shared" si="1"/>
        <v>-0.1</v>
      </c>
      <c r="AN14" s="1">
        <f t="shared" si="10"/>
        <v>95.3</v>
      </c>
      <c r="AO14" s="1">
        <f t="shared" si="11"/>
        <v>93.4</v>
      </c>
      <c r="AP14" s="1">
        <f t="shared" si="12"/>
        <v>91</v>
      </c>
      <c r="AQ14" s="16">
        <f t="shared" si="2"/>
        <v>0.503</v>
      </c>
      <c r="AR14" s="23">
        <f t="shared" si="13"/>
        <v>0.05</v>
      </c>
      <c r="AT14" s="18">
        <f t="shared" si="3"/>
        <v>45666</v>
      </c>
      <c r="AU14" s="19">
        <f t="shared" si="4"/>
        <v>9</v>
      </c>
      <c r="AV14" s="1">
        <f t="shared" si="14"/>
        <v>-4.0999999999999996</v>
      </c>
      <c r="AW14" s="1">
        <f t="shared" si="15"/>
        <v>-1.4</v>
      </c>
      <c r="AX14" s="1">
        <f t="shared" si="16"/>
        <v>-7.1</v>
      </c>
      <c r="AY14" s="1">
        <f t="shared" si="8"/>
        <v>93.4</v>
      </c>
      <c r="AZ14" s="1">
        <f t="shared" si="9"/>
        <v>91</v>
      </c>
      <c r="BA14" s="1">
        <f t="shared" si="17"/>
        <v>0.78399999999999981</v>
      </c>
      <c r="BB14" s="5">
        <f t="shared" si="18"/>
        <v>-0.1</v>
      </c>
      <c r="BC14" s="1">
        <f>ROUND(AC14,1)</f>
        <v>-5.2</v>
      </c>
      <c r="BD14" s="1">
        <f>ROUND(AD14,1)</f>
        <v>-2.5</v>
      </c>
      <c r="BE14" s="1">
        <f>ROUND(AE14,1)</f>
        <v>-8.1</v>
      </c>
      <c r="BF14" s="5">
        <f t="shared" si="19"/>
        <v>0.4</v>
      </c>
      <c r="BG14" s="5">
        <f t="shared" si="20"/>
        <v>0.9</v>
      </c>
      <c r="BH14" s="5">
        <f t="shared" si="21"/>
        <v>1.7</v>
      </c>
      <c r="BI14" s="5">
        <f t="shared" si="22"/>
        <v>0.112</v>
      </c>
      <c r="BJ14" s="9">
        <f t="shared" si="23"/>
        <v>0.503</v>
      </c>
      <c r="BK14" s="9">
        <f t="shared" si="23"/>
        <v>0.05</v>
      </c>
      <c r="BM14" s="1">
        <f t="shared" si="24"/>
        <v>-1.1300000000000001</v>
      </c>
      <c r="BN14" s="1">
        <f t="shared" si="25"/>
        <v>-1.0390000000000006</v>
      </c>
    </row>
    <row r="15" spans="1:66" x14ac:dyDescent="0.2">
      <c r="A15" s="4">
        <f t="shared" si="26"/>
        <v>45667</v>
      </c>
      <c r="B15" s="1">
        <v>10</v>
      </c>
      <c r="C15" s="1">
        <v>12</v>
      </c>
      <c r="D15" s="5">
        <v>12.6</v>
      </c>
      <c r="E15" s="5">
        <v>-4.0510000000000002</v>
      </c>
      <c r="F15" s="5">
        <v>-7.282</v>
      </c>
      <c r="G15" s="5">
        <v>-5.4729999999999999</v>
      </c>
      <c r="H15" s="5">
        <v>92.7</v>
      </c>
      <c r="I15" s="5">
        <v>6.7000000000000004E-2</v>
      </c>
      <c r="J15" s="5">
        <v>-0.48199999999999998</v>
      </c>
      <c r="K15" s="5">
        <v>0.375</v>
      </c>
      <c r="L15" s="5">
        <v>0.92200000000000004</v>
      </c>
      <c r="M15" s="5">
        <v>1.7050000000000001</v>
      </c>
      <c r="N15" s="5">
        <v>-3.758</v>
      </c>
      <c r="O15" s="5">
        <v>94.3</v>
      </c>
      <c r="P15" s="5">
        <v>0.14000000000000001</v>
      </c>
      <c r="Q15" s="5">
        <v>-0.38900000000000001</v>
      </c>
      <c r="R15" s="5">
        <v>0.45</v>
      </c>
      <c r="S15" s="5">
        <v>1.008</v>
      </c>
      <c r="T15" s="5">
        <v>1.784</v>
      </c>
      <c r="U15" s="5">
        <v>-8.01</v>
      </c>
      <c r="V15" s="5">
        <v>90.4</v>
      </c>
      <c r="W15" s="5">
        <v>-1.2999999999999999E-2</v>
      </c>
      <c r="X15" s="5">
        <v>-0.56499999999999995</v>
      </c>
      <c r="Y15" s="5">
        <v>0.29699999999999999</v>
      </c>
      <c r="Z15" s="5">
        <v>0.84099999999999997</v>
      </c>
      <c r="AA15" s="5">
        <v>1.6240000000000001</v>
      </c>
      <c r="AB15" s="5">
        <v>1.3939999999999999</v>
      </c>
      <c r="AC15" s="5">
        <v>-5.7690000000000001</v>
      </c>
      <c r="AD15" s="5">
        <v>-4.1159999999999997</v>
      </c>
      <c r="AE15" s="5">
        <v>-8.4499999999999993</v>
      </c>
      <c r="AF15" s="5">
        <v>-3.9910000000000001</v>
      </c>
      <c r="AG15" s="5">
        <v>-8.24</v>
      </c>
      <c r="AH15" s="5">
        <v>1.407</v>
      </c>
      <c r="AI15" s="5">
        <v>0.112</v>
      </c>
      <c r="AK15" s="5">
        <f t="shared" si="0"/>
        <v>0.88100000000000001</v>
      </c>
      <c r="AL15" s="22">
        <f t="shared" si="1"/>
        <v>-0.1</v>
      </c>
      <c r="AN15" s="1">
        <f t="shared" si="10"/>
        <v>94.3</v>
      </c>
      <c r="AO15" s="1">
        <f t="shared" si="11"/>
        <v>92.7</v>
      </c>
      <c r="AP15" s="1">
        <f t="shared" si="12"/>
        <v>90.4</v>
      </c>
      <c r="AQ15" s="16">
        <f t="shared" si="2"/>
        <v>0.41799999999999998</v>
      </c>
      <c r="AR15" s="23">
        <f t="shared" si="13"/>
        <v>4.3999999999999997E-2</v>
      </c>
      <c r="AT15" s="18">
        <f t="shared" si="3"/>
        <v>45667</v>
      </c>
      <c r="AU15" s="19">
        <f t="shared" si="4"/>
        <v>10</v>
      </c>
      <c r="AV15" s="1">
        <f t="shared" si="14"/>
        <v>-5.5</v>
      </c>
      <c r="AW15" s="1">
        <f t="shared" si="15"/>
        <v>-3.8</v>
      </c>
      <c r="AX15" s="1">
        <f t="shared" si="16"/>
        <v>-8</v>
      </c>
      <c r="AY15" s="1">
        <f t="shared" si="8"/>
        <v>92.7</v>
      </c>
      <c r="AZ15" s="1">
        <f t="shared" si="9"/>
        <v>90.4</v>
      </c>
      <c r="BA15" s="1">
        <f t="shared" si="17"/>
        <v>0.88100000000000001</v>
      </c>
      <c r="BB15" s="5">
        <f t="shared" si="18"/>
        <v>-0.1</v>
      </c>
      <c r="BC15" s="1">
        <f>ROUND(AC15,1)</f>
        <v>-5.8</v>
      </c>
      <c r="BD15" s="1">
        <f>ROUND(AD15,1)</f>
        <v>-4.0999999999999996</v>
      </c>
      <c r="BE15" s="1">
        <f>ROUND(AE15,1)</f>
        <v>-8.5</v>
      </c>
      <c r="BF15" s="5">
        <f t="shared" si="19"/>
        <v>0.4</v>
      </c>
      <c r="BG15" s="5">
        <f t="shared" si="20"/>
        <v>0.9</v>
      </c>
      <c r="BH15" s="5">
        <f t="shared" si="21"/>
        <v>1.7</v>
      </c>
      <c r="BI15" s="5">
        <f t="shared" si="22"/>
        <v>0.112</v>
      </c>
      <c r="BJ15" s="9">
        <f t="shared" si="23"/>
        <v>0.41799999999999998</v>
      </c>
      <c r="BK15" s="9">
        <f t="shared" si="23"/>
        <v>4.3999999999999997E-2</v>
      </c>
      <c r="BM15" s="1">
        <f t="shared" si="24"/>
        <v>-0.35799999999999965</v>
      </c>
      <c r="BN15" s="1">
        <f t="shared" si="25"/>
        <v>-0.4399999999999995</v>
      </c>
    </row>
    <row r="16" spans="1:66" x14ac:dyDescent="0.2">
      <c r="A16" s="4">
        <f t="shared" si="26"/>
        <v>45668</v>
      </c>
      <c r="B16" s="1">
        <v>11</v>
      </c>
      <c r="C16" s="1">
        <v>12</v>
      </c>
      <c r="D16" s="5">
        <v>12.59</v>
      </c>
      <c r="E16" s="5">
        <v>-4.8959999999999999</v>
      </c>
      <c r="F16" s="5">
        <v>-6.9290000000000003</v>
      </c>
      <c r="G16" s="5">
        <v>-5.9189999999999996</v>
      </c>
      <c r="H16" s="5">
        <v>92.2</v>
      </c>
      <c r="I16" s="5">
        <v>6.4000000000000001E-2</v>
      </c>
      <c r="J16" s="5">
        <v>-0.48499999999999999</v>
      </c>
      <c r="K16" s="5">
        <v>0.37</v>
      </c>
      <c r="L16" s="5">
        <v>0.91600000000000004</v>
      </c>
      <c r="M16" s="5">
        <v>1.6930000000000001</v>
      </c>
      <c r="N16" s="5">
        <v>-5.0380000000000003</v>
      </c>
      <c r="O16" s="5">
        <v>93.1</v>
      </c>
      <c r="P16" s="5">
        <v>0.152</v>
      </c>
      <c r="Q16" s="5">
        <v>-0.41099999999999998</v>
      </c>
      <c r="R16" s="5">
        <v>0.45100000000000001</v>
      </c>
      <c r="S16" s="5">
        <v>0.99099999999999999</v>
      </c>
      <c r="T16" s="5">
        <v>1.774</v>
      </c>
      <c r="U16" s="5">
        <v>-7.3029999999999999</v>
      </c>
      <c r="V16" s="5">
        <v>91.1</v>
      </c>
      <c r="W16" s="5">
        <v>-1.4999999999999999E-2</v>
      </c>
      <c r="X16" s="5">
        <v>-0.55500000000000005</v>
      </c>
      <c r="Y16" s="5">
        <v>0.29199999999999998</v>
      </c>
      <c r="Z16" s="5">
        <v>0.83299999999999996</v>
      </c>
      <c r="AA16" s="5">
        <v>1.601</v>
      </c>
      <c r="AB16" s="5">
        <v>1.387</v>
      </c>
      <c r="AC16" s="5">
        <v>-6.2729999999999997</v>
      </c>
      <c r="AD16" s="5">
        <v>-5.4349999999999996</v>
      </c>
      <c r="AE16" s="5">
        <v>-7.6139999999999999</v>
      </c>
      <c r="AF16" s="5">
        <v>-5.3639999999999999</v>
      </c>
      <c r="AG16" s="5">
        <v>-7.47</v>
      </c>
      <c r="AH16" s="5">
        <v>1.4059999999999999</v>
      </c>
      <c r="AI16" s="5">
        <v>0.112</v>
      </c>
      <c r="AK16" s="5">
        <f t="shared" si="0"/>
        <v>0.8879999999999999</v>
      </c>
      <c r="AL16" s="22">
        <f t="shared" si="1"/>
        <v>-0.1</v>
      </c>
      <c r="AN16" s="1">
        <f t="shared" si="10"/>
        <v>93.1</v>
      </c>
      <c r="AO16" s="1">
        <f t="shared" si="11"/>
        <v>92.2</v>
      </c>
      <c r="AP16" s="1">
        <f t="shared" si="12"/>
        <v>91.1</v>
      </c>
      <c r="AQ16" s="16">
        <f t="shared" si="2"/>
        <v>0.38200000000000001</v>
      </c>
      <c r="AR16" s="23">
        <f t="shared" si="13"/>
        <v>3.6999999999999998E-2</v>
      </c>
      <c r="AT16" s="18">
        <f t="shared" si="3"/>
        <v>45668</v>
      </c>
      <c r="AU16" s="19">
        <f t="shared" si="4"/>
        <v>11</v>
      </c>
      <c r="AV16" s="1">
        <f t="shared" si="14"/>
        <v>-5.9</v>
      </c>
      <c r="AW16" s="1">
        <f t="shared" si="15"/>
        <v>-5</v>
      </c>
      <c r="AX16" s="1">
        <f t="shared" si="16"/>
        <v>-7.3</v>
      </c>
      <c r="AY16" s="1">
        <f t="shared" si="8"/>
        <v>92.2</v>
      </c>
      <c r="AZ16" s="1">
        <f t="shared" si="9"/>
        <v>91.1</v>
      </c>
      <c r="BA16" s="1">
        <f t="shared" si="17"/>
        <v>0.8879999999999999</v>
      </c>
      <c r="BB16" s="5">
        <f t="shared" si="18"/>
        <v>-0.1</v>
      </c>
      <c r="BC16" s="1">
        <f>ROUND(AC16,1)</f>
        <v>-6.3</v>
      </c>
      <c r="BD16" s="1">
        <f>ROUND(AD16,1)</f>
        <v>-5.4</v>
      </c>
      <c r="BE16" s="1">
        <f>ROUND(AE16,1)</f>
        <v>-7.6</v>
      </c>
      <c r="BF16" s="5">
        <f t="shared" si="19"/>
        <v>0.4</v>
      </c>
      <c r="BG16" s="5">
        <f t="shared" si="20"/>
        <v>0.9</v>
      </c>
      <c r="BH16" s="5">
        <f t="shared" si="21"/>
        <v>1.7</v>
      </c>
      <c r="BI16" s="5">
        <f t="shared" si="22"/>
        <v>0.112</v>
      </c>
      <c r="BJ16" s="9">
        <f t="shared" si="23"/>
        <v>0.38200000000000001</v>
      </c>
      <c r="BK16" s="9">
        <f t="shared" si="23"/>
        <v>3.6999999999999998E-2</v>
      </c>
      <c r="BM16" s="1">
        <f t="shared" si="24"/>
        <v>-0.39699999999999935</v>
      </c>
      <c r="BN16" s="1">
        <f t="shared" si="25"/>
        <v>-0.31099999999999994</v>
      </c>
    </row>
    <row r="17" spans="1:66" x14ac:dyDescent="0.2">
      <c r="A17" s="4">
        <f t="shared" si="26"/>
        <v>45669</v>
      </c>
      <c r="B17" s="1">
        <v>12</v>
      </c>
      <c r="C17" s="1">
        <v>12</v>
      </c>
      <c r="D17" s="5">
        <v>12.6</v>
      </c>
      <c r="E17" s="5">
        <v>-6.093</v>
      </c>
      <c r="F17" s="5">
        <v>-7.8380000000000001</v>
      </c>
      <c r="G17" s="5">
        <v>-7.0890000000000004</v>
      </c>
      <c r="H17" s="5">
        <v>91.2</v>
      </c>
      <c r="I17" s="5">
        <v>5.5E-2</v>
      </c>
      <c r="J17" s="5">
        <v>-0.47499999999999998</v>
      </c>
      <c r="K17" s="5">
        <v>0.35799999999999998</v>
      </c>
      <c r="L17" s="5">
        <v>0.9</v>
      </c>
      <c r="M17" s="5">
        <v>1.673</v>
      </c>
      <c r="N17" s="5">
        <v>-6.1539999999999999</v>
      </c>
      <c r="O17" s="5">
        <v>91.9</v>
      </c>
      <c r="P17" s="5">
        <v>0.125</v>
      </c>
      <c r="Q17" s="5">
        <v>-0.40400000000000003</v>
      </c>
      <c r="R17" s="5">
        <v>0.432</v>
      </c>
      <c r="S17" s="5">
        <v>0.97399999999999998</v>
      </c>
      <c r="T17" s="5">
        <v>1.7490000000000001</v>
      </c>
      <c r="U17" s="5">
        <v>-8.18</v>
      </c>
      <c r="V17" s="5">
        <v>90</v>
      </c>
      <c r="W17" s="5">
        <v>-0.04</v>
      </c>
      <c r="X17" s="5">
        <v>-0.54900000000000004</v>
      </c>
      <c r="Y17" s="5">
        <v>0.28199999999999997</v>
      </c>
      <c r="Z17" s="5">
        <v>0.81699999999999995</v>
      </c>
      <c r="AA17" s="5">
        <v>1.581</v>
      </c>
      <c r="AB17" s="5">
        <v>1.4019999999999999</v>
      </c>
      <c r="AC17" s="5">
        <v>-7.5270000000000001</v>
      </c>
      <c r="AD17" s="5">
        <v>-6.2960000000000003</v>
      </c>
      <c r="AE17" s="5">
        <v>-9.59</v>
      </c>
      <c r="AF17" s="5">
        <v>-6.3620000000000001</v>
      </c>
      <c r="AG17" s="5">
        <v>-8.4700000000000006</v>
      </c>
      <c r="AH17" s="5">
        <v>1.4219999999999999</v>
      </c>
      <c r="AI17" s="5">
        <v>0.112</v>
      </c>
      <c r="AK17" s="5">
        <f t="shared" si="0"/>
        <v>0.873</v>
      </c>
      <c r="AL17" s="22">
        <f t="shared" si="1"/>
        <v>-0.1</v>
      </c>
      <c r="AN17" s="1">
        <f t="shared" si="10"/>
        <v>91.9</v>
      </c>
      <c r="AO17" s="1">
        <f t="shared" si="11"/>
        <v>91.2</v>
      </c>
      <c r="AP17" s="1">
        <f t="shared" si="12"/>
        <v>90</v>
      </c>
      <c r="AQ17" s="16">
        <f t="shared" si="2"/>
        <v>0.34699999999999998</v>
      </c>
      <c r="AR17" s="23">
        <f t="shared" si="13"/>
        <v>3.9E-2</v>
      </c>
      <c r="AT17" s="18">
        <f t="shared" si="3"/>
        <v>45669</v>
      </c>
      <c r="AU17" s="19">
        <f t="shared" si="4"/>
        <v>12</v>
      </c>
      <c r="AV17" s="1">
        <f t="shared" si="14"/>
        <v>-7.1</v>
      </c>
      <c r="AW17" s="1">
        <f t="shared" si="15"/>
        <v>-6.2</v>
      </c>
      <c r="AX17" s="1">
        <f t="shared" si="16"/>
        <v>-8.1999999999999993</v>
      </c>
      <c r="AY17" s="1">
        <f t="shared" si="8"/>
        <v>91.2</v>
      </c>
      <c r="AZ17" s="1">
        <f t="shared" si="9"/>
        <v>90</v>
      </c>
      <c r="BA17" s="1">
        <f t="shared" si="17"/>
        <v>0.873</v>
      </c>
      <c r="BB17" s="5">
        <f t="shared" si="18"/>
        <v>-0.1</v>
      </c>
      <c r="BC17" s="1">
        <f>ROUND(AC17,1)</f>
        <v>-7.5</v>
      </c>
      <c r="BD17" s="1">
        <f>ROUND(AD17,1)</f>
        <v>-6.3</v>
      </c>
      <c r="BE17" s="1">
        <f>ROUND(AE17,1)</f>
        <v>-9.6</v>
      </c>
      <c r="BF17" s="5">
        <f t="shared" si="19"/>
        <v>0.4</v>
      </c>
      <c r="BG17" s="5">
        <f t="shared" si="20"/>
        <v>0.9</v>
      </c>
      <c r="BH17" s="5">
        <f t="shared" si="21"/>
        <v>1.7</v>
      </c>
      <c r="BI17" s="5">
        <f t="shared" si="22"/>
        <v>0.112</v>
      </c>
      <c r="BJ17" s="9">
        <f t="shared" si="23"/>
        <v>0.34699999999999998</v>
      </c>
      <c r="BK17" s="9">
        <f t="shared" si="23"/>
        <v>3.9E-2</v>
      </c>
      <c r="BM17" s="1">
        <f t="shared" si="24"/>
        <v>-0.14200000000000035</v>
      </c>
      <c r="BN17" s="1">
        <f t="shared" si="25"/>
        <v>-1.4100000000000001</v>
      </c>
    </row>
    <row r="18" spans="1:66" x14ac:dyDescent="0.2">
      <c r="A18" s="4">
        <f t="shared" si="26"/>
        <v>45670</v>
      </c>
      <c r="B18" s="1">
        <v>13</v>
      </c>
      <c r="C18" s="1">
        <v>12</v>
      </c>
      <c r="D18" s="5">
        <v>12.65</v>
      </c>
      <c r="E18" s="5">
        <v>-3.665</v>
      </c>
      <c r="F18" s="5">
        <v>-8.0399999999999991</v>
      </c>
      <c r="G18" s="5">
        <v>-5.7389999999999999</v>
      </c>
      <c r="H18" s="5">
        <v>91.6</v>
      </c>
      <c r="I18" s="5">
        <v>6.4000000000000001E-2</v>
      </c>
      <c r="J18" s="5">
        <v>-0.46800000000000003</v>
      </c>
      <c r="K18" s="5">
        <v>0.36499999999999999</v>
      </c>
      <c r="L18" s="5">
        <v>0.90300000000000002</v>
      </c>
      <c r="M18" s="5">
        <v>1.6719999999999999</v>
      </c>
      <c r="N18" s="5">
        <v>-3.0449999999999999</v>
      </c>
      <c r="O18" s="5">
        <v>94.8</v>
      </c>
      <c r="P18" s="5">
        <v>0.14699999999999999</v>
      </c>
      <c r="Q18" s="5">
        <v>-0.38500000000000001</v>
      </c>
      <c r="R18" s="5">
        <v>0.45</v>
      </c>
      <c r="S18" s="5">
        <v>1.002</v>
      </c>
      <c r="T18" s="5">
        <v>1.752</v>
      </c>
      <c r="U18" s="5">
        <v>-8.0399999999999991</v>
      </c>
      <c r="V18" s="5">
        <v>90.1</v>
      </c>
      <c r="W18" s="5">
        <v>-2.1000000000000001E-2</v>
      </c>
      <c r="X18" s="5">
        <v>-0.55100000000000005</v>
      </c>
      <c r="Y18" s="5">
        <v>0.28399999999999997</v>
      </c>
      <c r="Z18" s="5">
        <v>0.81799999999999995</v>
      </c>
      <c r="AA18" s="5">
        <v>1.5920000000000001</v>
      </c>
      <c r="AB18" s="5">
        <v>1.3939999999999999</v>
      </c>
      <c r="AC18" s="5">
        <v>-7.3570000000000002</v>
      </c>
      <c r="AD18" s="5">
        <v>-4.87</v>
      </c>
      <c r="AE18" s="5">
        <v>-9.9600000000000009</v>
      </c>
      <c r="AF18" s="5">
        <v>-3.7189999999999999</v>
      </c>
      <c r="AG18" s="5">
        <v>-8.3800000000000008</v>
      </c>
      <c r="AH18" s="5">
        <v>1.4019999999999999</v>
      </c>
      <c r="AI18" s="5">
        <v>0.112</v>
      </c>
      <c r="AK18" s="5">
        <f t="shared" si="0"/>
        <v>0.88100000000000001</v>
      </c>
      <c r="AL18" s="22">
        <f t="shared" si="1"/>
        <v>-0.1</v>
      </c>
      <c r="AN18" s="1">
        <f t="shared" si="10"/>
        <v>94.8</v>
      </c>
      <c r="AO18" s="1">
        <f t="shared" si="11"/>
        <v>91.6</v>
      </c>
      <c r="AP18" s="1">
        <f t="shared" si="12"/>
        <v>90.1</v>
      </c>
      <c r="AQ18" s="16">
        <f t="shared" si="2"/>
        <v>0.439</v>
      </c>
      <c r="AR18" s="23">
        <f t="shared" si="13"/>
        <v>4.8000000000000001E-2</v>
      </c>
      <c r="AT18" s="18">
        <f t="shared" si="3"/>
        <v>45670</v>
      </c>
      <c r="AU18" s="19">
        <f t="shared" si="4"/>
        <v>13</v>
      </c>
      <c r="AV18" s="1">
        <f t="shared" si="14"/>
        <v>-5.7</v>
      </c>
      <c r="AW18" s="1">
        <f t="shared" si="15"/>
        <v>-3</v>
      </c>
      <c r="AX18" s="1">
        <f t="shared" si="16"/>
        <v>-8</v>
      </c>
      <c r="AY18" s="1">
        <f t="shared" si="8"/>
        <v>91.6</v>
      </c>
      <c r="AZ18" s="1">
        <f t="shared" si="9"/>
        <v>90.1</v>
      </c>
      <c r="BA18" s="1">
        <f t="shared" si="17"/>
        <v>0.88100000000000001</v>
      </c>
      <c r="BB18" s="5">
        <f t="shared" si="18"/>
        <v>-0.1</v>
      </c>
      <c r="BC18" s="1">
        <f>ROUND(AC18,1)</f>
        <v>-7.4</v>
      </c>
      <c r="BD18" s="1">
        <f>ROUND(AD18,1)</f>
        <v>-4.9000000000000004</v>
      </c>
      <c r="BE18" s="1">
        <f>ROUND(AE18,1)</f>
        <v>-10</v>
      </c>
      <c r="BF18" s="5">
        <f t="shared" si="19"/>
        <v>0.4</v>
      </c>
      <c r="BG18" s="5">
        <f t="shared" si="20"/>
        <v>0.9</v>
      </c>
      <c r="BH18" s="5">
        <f t="shared" si="21"/>
        <v>1.7</v>
      </c>
      <c r="BI18" s="5">
        <f t="shared" si="22"/>
        <v>0.112</v>
      </c>
      <c r="BJ18" s="9">
        <f t="shared" si="23"/>
        <v>0.439</v>
      </c>
      <c r="BK18" s="9">
        <f t="shared" si="23"/>
        <v>4.8000000000000001E-2</v>
      </c>
      <c r="BM18" s="1">
        <f t="shared" si="24"/>
        <v>-1.8250000000000002</v>
      </c>
      <c r="BN18" s="1">
        <f t="shared" si="25"/>
        <v>-1.9200000000000017</v>
      </c>
    </row>
    <row r="19" spans="1:66" x14ac:dyDescent="0.2">
      <c r="A19" s="4">
        <f t="shared" si="26"/>
        <v>45671</v>
      </c>
      <c r="B19" s="1">
        <v>14</v>
      </c>
      <c r="C19" s="1">
        <v>12</v>
      </c>
      <c r="D19" s="5">
        <v>12.71</v>
      </c>
      <c r="E19" s="5">
        <v>1.202</v>
      </c>
      <c r="F19" s="5">
        <v>-4.6790000000000003</v>
      </c>
      <c r="G19" s="5">
        <v>-1.103</v>
      </c>
      <c r="H19" s="5">
        <v>92.4</v>
      </c>
      <c r="I19" s="5">
        <v>9.7000000000000003E-2</v>
      </c>
      <c r="J19" s="5">
        <v>-0.45500000000000002</v>
      </c>
      <c r="K19" s="5">
        <v>0.4</v>
      </c>
      <c r="L19" s="5">
        <v>0.93200000000000005</v>
      </c>
      <c r="M19" s="5">
        <v>1.6919999999999999</v>
      </c>
      <c r="N19" s="5">
        <v>0.69599999999999995</v>
      </c>
      <c r="O19" s="5">
        <v>95.9</v>
      </c>
      <c r="P19" s="5">
        <v>0.19900000000000001</v>
      </c>
      <c r="Q19" s="5">
        <v>-0.34599999999999997</v>
      </c>
      <c r="R19" s="5">
        <v>0.51800000000000002</v>
      </c>
      <c r="S19" s="5">
        <v>1.0349999999999999</v>
      </c>
      <c r="T19" s="5">
        <v>1.794</v>
      </c>
      <c r="U19" s="5">
        <v>-3.3879999999999999</v>
      </c>
      <c r="V19" s="5">
        <v>82.6</v>
      </c>
      <c r="W19" s="5">
        <v>0</v>
      </c>
      <c r="X19" s="5">
        <v>-0.54600000000000004</v>
      </c>
      <c r="Y19" s="5">
        <v>0.314</v>
      </c>
      <c r="Z19" s="5">
        <v>0.84299999999999997</v>
      </c>
      <c r="AA19" s="5">
        <v>1.6160000000000001</v>
      </c>
      <c r="AB19" s="5">
        <v>1.4410000000000001</v>
      </c>
      <c r="AC19" s="5">
        <v>-2.9350000000000001</v>
      </c>
      <c r="AD19" s="5">
        <v>-0.26400000000000001</v>
      </c>
      <c r="AE19" s="5">
        <v>-5.0999999999999996</v>
      </c>
      <c r="AF19" s="5">
        <v>1.4550000000000001</v>
      </c>
      <c r="AG19" s="5">
        <v>-3.72</v>
      </c>
      <c r="AH19" s="5">
        <v>1.4419999999999999</v>
      </c>
      <c r="AI19" s="5">
        <v>0.113</v>
      </c>
      <c r="AK19" s="5">
        <f t="shared" si="0"/>
        <v>0.83399999999999985</v>
      </c>
      <c r="AL19" s="22">
        <f t="shared" si="1"/>
        <v>0</v>
      </c>
      <c r="AN19" s="1">
        <f t="shared" si="10"/>
        <v>95.9</v>
      </c>
      <c r="AO19" s="1">
        <f t="shared" si="11"/>
        <v>92.4</v>
      </c>
      <c r="AP19" s="1">
        <f t="shared" si="12"/>
        <v>82.6</v>
      </c>
      <c r="AQ19" s="16">
        <f t="shared" si="2"/>
        <v>0.53</v>
      </c>
      <c r="AR19" s="23">
        <f t="shared" si="13"/>
        <v>0.112</v>
      </c>
      <c r="AT19" s="18">
        <f t="shared" si="3"/>
        <v>45671</v>
      </c>
      <c r="AU19" s="19">
        <f t="shared" si="4"/>
        <v>14</v>
      </c>
      <c r="AV19" s="1">
        <f t="shared" si="14"/>
        <v>-1.1000000000000001</v>
      </c>
      <c r="AW19" s="1">
        <f t="shared" si="15"/>
        <v>0.7</v>
      </c>
      <c r="AX19" s="1">
        <f t="shared" si="16"/>
        <v>-3.4</v>
      </c>
      <c r="AY19" s="1">
        <f t="shared" si="8"/>
        <v>92.4</v>
      </c>
      <c r="AZ19" s="1">
        <f t="shared" si="9"/>
        <v>82.6</v>
      </c>
      <c r="BA19" s="1">
        <f t="shared" si="17"/>
        <v>0.83399999999999985</v>
      </c>
      <c r="BB19" s="5">
        <f t="shared" si="18"/>
        <v>0</v>
      </c>
      <c r="BC19" s="1">
        <f>ROUND(AC19,1)</f>
        <v>-2.9</v>
      </c>
      <c r="BD19" s="1">
        <f>ROUND(AD19,1)</f>
        <v>-0.3</v>
      </c>
      <c r="BE19" s="1">
        <f>ROUND(AE19,1)</f>
        <v>-5.0999999999999996</v>
      </c>
      <c r="BF19" s="5">
        <f t="shared" si="19"/>
        <v>0.4</v>
      </c>
      <c r="BG19" s="5">
        <f t="shared" si="20"/>
        <v>0.9</v>
      </c>
      <c r="BH19" s="5">
        <f t="shared" si="21"/>
        <v>1.7</v>
      </c>
      <c r="BI19" s="5">
        <f t="shared" si="22"/>
        <v>0.113</v>
      </c>
      <c r="BJ19" s="9">
        <f t="shared" si="23"/>
        <v>0.53</v>
      </c>
      <c r="BK19" s="9">
        <f t="shared" si="23"/>
        <v>0.112</v>
      </c>
      <c r="BM19" s="1">
        <f t="shared" si="24"/>
        <v>-0.96</v>
      </c>
      <c r="BN19" s="1">
        <f t="shared" si="25"/>
        <v>-1.7119999999999997</v>
      </c>
    </row>
    <row r="20" spans="1:66" x14ac:dyDescent="0.2">
      <c r="A20" s="4">
        <f t="shared" si="26"/>
        <v>45672</v>
      </c>
      <c r="B20" s="1">
        <v>15</v>
      </c>
      <c r="C20" s="1">
        <v>12</v>
      </c>
      <c r="D20" s="5">
        <v>12.84</v>
      </c>
      <c r="E20" s="5">
        <v>3.1850000000000001</v>
      </c>
      <c r="F20" s="5">
        <v>-1.5660000000000001</v>
      </c>
      <c r="G20" s="5">
        <v>0.61399999999999999</v>
      </c>
      <c r="H20" s="5">
        <v>89.1</v>
      </c>
      <c r="I20" s="5">
        <v>0.115</v>
      </c>
      <c r="J20" s="5">
        <v>-0.40899999999999997</v>
      </c>
      <c r="K20" s="5">
        <v>0.40799999999999997</v>
      </c>
      <c r="L20" s="5">
        <v>0.93600000000000005</v>
      </c>
      <c r="M20" s="5">
        <v>1.6870000000000001</v>
      </c>
      <c r="N20" s="5">
        <v>4.37</v>
      </c>
      <c r="O20" s="5">
        <v>94.8</v>
      </c>
      <c r="P20" s="5">
        <v>0.22700000000000001</v>
      </c>
      <c r="Q20" s="5">
        <v>-0.27800000000000002</v>
      </c>
      <c r="R20" s="5">
        <v>0.50800000000000001</v>
      </c>
      <c r="S20" s="5">
        <v>1.0309999999999999</v>
      </c>
      <c r="T20" s="5">
        <v>1.778</v>
      </c>
      <c r="U20" s="5">
        <v>-2.4809999999999999</v>
      </c>
      <c r="V20" s="5">
        <v>74.900000000000006</v>
      </c>
      <c r="W20" s="5">
        <v>1.4999999999999999E-2</v>
      </c>
      <c r="X20" s="5">
        <v>-0.53600000000000003</v>
      </c>
      <c r="Y20" s="5">
        <v>0.32100000000000001</v>
      </c>
      <c r="Z20" s="5">
        <v>0.84</v>
      </c>
      <c r="AA20" s="5">
        <v>1.6060000000000001</v>
      </c>
      <c r="AB20" s="5">
        <v>1.448</v>
      </c>
      <c r="AC20" s="5">
        <v>-1.512</v>
      </c>
      <c r="AD20" s="5">
        <v>7.0000000000000007E-2</v>
      </c>
      <c r="AE20" s="5">
        <v>-3.4340000000000002</v>
      </c>
      <c r="AF20" s="5">
        <v>4.6219999999999999</v>
      </c>
      <c r="AG20" s="5">
        <v>-2.4990000000000001</v>
      </c>
      <c r="AH20" s="5">
        <v>1.45</v>
      </c>
      <c r="AI20" s="5">
        <v>0.113</v>
      </c>
      <c r="AK20" s="5">
        <f t="shared" si="0"/>
        <v>0.82699999999999996</v>
      </c>
      <c r="AL20" s="22">
        <f t="shared" si="1"/>
        <v>0</v>
      </c>
      <c r="AN20" s="1">
        <f t="shared" si="10"/>
        <v>94.8</v>
      </c>
      <c r="AO20" s="1">
        <f t="shared" si="11"/>
        <v>89.1</v>
      </c>
      <c r="AP20" s="1">
        <f t="shared" si="12"/>
        <v>74.900000000000006</v>
      </c>
      <c r="AQ20" s="16">
        <f t="shared" si="2"/>
        <v>0.625</v>
      </c>
      <c r="AR20" s="23">
        <f t="shared" si="13"/>
        <v>0.20899999999999999</v>
      </c>
      <c r="AT20" s="18">
        <f t="shared" si="3"/>
        <v>45672</v>
      </c>
      <c r="AU20" s="19">
        <f t="shared" si="4"/>
        <v>15</v>
      </c>
      <c r="AV20" s="1">
        <f t="shared" si="14"/>
        <v>0.6</v>
      </c>
      <c r="AW20" s="1">
        <f t="shared" si="15"/>
        <v>4.4000000000000004</v>
      </c>
      <c r="AX20" s="1">
        <f t="shared" si="16"/>
        <v>-2.5</v>
      </c>
      <c r="AY20" s="1">
        <f t="shared" si="8"/>
        <v>89.1</v>
      </c>
      <c r="AZ20" s="1">
        <f t="shared" si="9"/>
        <v>74.900000000000006</v>
      </c>
      <c r="BA20" s="1">
        <f t="shared" si="17"/>
        <v>0.82699999999999996</v>
      </c>
      <c r="BB20" s="5">
        <f t="shared" si="18"/>
        <v>0</v>
      </c>
      <c r="BC20" s="1">
        <f>ROUND(AC20,1)</f>
        <v>-1.5</v>
      </c>
      <c r="BD20" s="1">
        <f>ROUND(AD20,1)</f>
        <v>0.1</v>
      </c>
      <c r="BE20" s="1">
        <f>ROUND(AE20,1)</f>
        <v>-3.4</v>
      </c>
      <c r="BF20" s="5">
        <f t="shared" si="19"/>
        <v>0.4</v>
      </c>
      <c r="BG20" s="5">
        <f t="shared" si="20"/>
        <v>0.9</v>
      </c>
      <c r="BH20" s="5">
        <f t="shared" si="21"/>
        <v>1.7</v>
      </c>
      <c r="BI20" s="5">
        <f t="shared" si="22"/>
        <v>0.113</v>
      </c>
      <c r="BJ20" s="9">
        <f t="shared" si="23"/>
        <v>0.625</v>
      </c>
      <c r="BK20" s="9">
        <f t="shared" si="23"/>
        <v>0.20899999999999999</v>
      </c>
      <c r="BM20" s="1">
        <f t="shared" si="24"/>
        <v>-4.3</v>
      </c>
      <c r="BN20" s="1">
        <f t="shared" si="25"/>
        <v>-0.95300000000000029</v>
      </c>
    </row>
    <row r="21" spans="1:66" x14ac:dyDescent="0.2">
      <c r="A21" s="4">
        <f t="shared" si="26"/>
        <v>45673</v>
      </c>
      <c r="B21" s="1">
        <v>16</v>
      </c>
      <c r="C21" s="1">
        <v>12</v>
      </c>
      <c r="D21" s="5">
        <v>12.68</v>
      </c>
      <c r="E21" s="5">
        <v>-1.5660000000000001</v>
      </c>
      <c r="F21" s="5">
        <v>-9.89</v>
      </c>
      <c r="G21" s="5">
        <v>-6.0810000000000004</v>
      </c>
      <c r="H21" s="5">
        <v>85.2</v>
      </c>
      <c r="I21" s="5">
        <v>7.2999999999999995E-2</v>
      </c>
      <c r="J21" s="5">
        <v>-0.316</v>
      </c>
      <c r="K21" s="5">
        <v>0.35799999999999998</v>
      </c>
      <c r="L21" s="5">
        <v>0.88700000000000001</v>
      </c>
      <c r="M21" s="5">
        <v>1.6439999999999999</v>
      </c>
      <c r="N21" s="5">
        <v>-0.69</v>
      </c>
      <c r="O21" s="5">
        <v>93.2</v>
      </c>
      <c r="P21" s="5">
        <v>0.158</v>
      </c>
      <c r="Q21" s="5">
        <v>-0.20699999999999999</v>
      </c>
      <c r="R21" s="5">
        <v>0.443</v>
      </c>
      <c r="S21" s="5">
        <v>0.98199999999999998</v>
      </c>
      <c r="T21" s="5">
        <v>1.738</v>
      </c>
      <c r="U21" s="5">
        <v>-10.34</v>
      </c>
      <c r="V21" s="5">
        <v>70.66</v>
      </c>
      <c r="W21" s="5">
        <v>-3.1E-2</v>
      </c>
      <c r="X21" s="5">
        <v>-0.436</v>
      </c>
      <c r="Y21" s="5">
        <v>0.26800000000000002</v>
      </c>
      <c r="Z21" s="5">
        <v>0.79600000000000004</v>
      </c>
      <c r="AA21" s="5">
        <v>1.544</v>
      </c>
      <c r="AB21" s="5">
        <v>1.431</v>
      </c>
      <c r="AC21" s="5">
        <v>-7.3150000000000004</v>
      </c>
      <c r="AD21" s="5">
        <v>-3.3580000000000001</v>
      </c>
      <c r="AE21" s="5">
        <v>-12.3</v>
      </c>
      <c r="AF21" s="5">
        <v>-1.448</v>
      </c>
      <c r="AG21" s="5">
        <v>-10.5</v>
      </c>
      <c r="AH21" s="5">
        <v>1.4570000000000001</v>
      </c>
      <c r="AI21" s="5">
        <v>0.114</v>
      </c>
      <c r="AK21" s="5">
        <f t="shared" si="0"/>
        <v>0.84399999999999986</v>
      </c>
      <c r="AL21" s="22">
        <f t="shared" si="1"/>
        <v>0</v>
      </c>
      <c r="AN21" s="1">
        <f t="shared" si="10"/>
        <v>93.2</v>
      </c>
      <c r="AO21" s="1">
        <f t="shared" si="11"/>
        <v>85.2</v>
      </c>
      <c r="AP21" s="1">
        <f t="shared" si="12"/>
        <v>70.7</v>
      </c>
      <c r="AQ21" s="16">
        <f t="shared" si="2"/>
        <v>0.41</v>
      </c>
      <c r="AR21" s="23">
        <f t="shared" si="13"/>
        <v>0.17</v>
      </c>
      <c r="AT21" s="18">
        <f t="shared" si="3"/>
        <v>45673</v>
      </c>
      <c r="AU21" s="19">
        <f t="shared" si="4"/>
        <v>16</v>
      </c>
      <c r="AV21" s="1">
        <f t="shared" si="14"/>
        <v>-6.1</v>
      </c>
      <c r="AW21" s="1">
        <f t="shared" si="15"/>
        <v>-0.7</v>
      </c>
      <c r="AX21" s="1">
        <f t="shared" si="16"/>
        <v>-10.3</v>
      </c>
      <c r="AY21" s="1">
        <f t="shared" si="8"/>
        <v>85.2</v>
      </c>
      <c r="AZ21" s="1">
        <f t="shared" si="9"/>
        <v>70.7</v>
      </c>
      <c r="BA21" s="1">
        <f t="shared" si="17"/>
        <v>0.84399999999999986</v>
      </c>
      <c r="BB21" s="5">
        <f t="shared" si="18"/>
        <v>0</v>
      </c>
      <c r="BC21" s="1">
        <f>ROUND(AC21,1)</f>
        <v>-7.3</v>
      </c>
      <c r="BD21" s="1">
        <f>ROUND(AD21,1)</f>
        <v>-3.4</v>
      </c>
      <c r="BE21" s="1">
        <f>ROUND(AE21,1)</f>
        <v>-12.3</v>
      </c>
      <c r="BF21" s="5">
        <f t="shared" si="19"/>
        <v>0.4</v>
      </c>
      <c r="BG21" s="5">
        <f t="shared" si="20"/>
        <v>0.9</v>
      </c>
      <c r="BH21" s="5">
        <f t="shared" si="21"/>
        <v>1.6</v>
      </c>
      <c r="BI21" s="5">
        <f t="shared" si="22"/>
        <v>0.114</v>
      </c>
      <c r="BJ21" s="9">
        <f t="shared" si="23"/>
        <v>0.41</v>
      </c>
      <c r="BK21" s="9">
        <f t="shared" si="23"/>
        <v>0.17</v>
      </c>
      <c r="BM21" s="1">
        <f t="shared" si="24"/>
        <v>-2.6680000000000001</v>
      </c>
      <c r="BN21" s="1">
        <f t="shared" si="25"/>
        <v>-1.9600000000000009</v>
      </c>
    </row>
    <row r="22" spans="1:66" x14ac:dyDescent="0.2">
      <c r="A22" s="4">
        <f t="shared" si="26"/>
        <v>45674</v>
      </c>
      <c r="B22" s="1">
        <v>17</v>
      </c>
      <c r="C22" s="1">
        <v>12</v>
      </c>
      <c r="D22" s="5">
        <v>12.63</v>
      </c>
      <c r="E22" s="5">
        <v>-9.39</v>
      </c>
      <c r="F22" s="5">
        <v>-11.84</v>
      </c>
      <c r="G22" s="5">
        <v>-10.7</v>
      </c>
      <c r="H22" s="5">
        <v>88.3</v>
      </c>
      <c r="I22" s="5">
        <v>4.2000000000000003E-2</v>
      </c>
      <c r="J22" s="5">
        <v>-0.27500000000000002</v>
      </c>
      <c r="K22" s="5">
        <v>0.32900000000000001</v>
      </c>
      <c r="L22" s="5">
        <v>0.85499999999999998</v>
      </c>
      <c r="M22" s="5">
        <v>1.609</v>
      </c>
      <c r="N22" s="5">
        <v>-9.73</v>
      </c>
      <c r="O22" s="5">
        <v>89.5</v>
      </c>
      <c r="P22" s="5">
        <v>0.11899999999999999</v>
      </c>
      <c r="Q22" s="5">
        <v>-0.187</v>
      </c>
      <c r="R22" s="5">
        <v>0.40799999999999997</v>
      </c>
      <c r="S22" s="5">
        <v>0.94299999999999995</v>
      </c>
      <c r="T22" s="5">
        <v>1.6930000000000001</v>
      </c>
      <c r="U22" s="5">
        <v>-12.4</v>
      </c>
      <c r="V22" s="5">
        <v>86.3</v>
      </c>
      <c r="W22" s="5">
        <v>-4.1000000000000002E-2</v>
      </c>
      <c r="X22" s="5">
        <v>-0.41</v>
      </c>
      <c r="Y22" s="5">
        <v>0.245</v>
      </c>
      <c r="Z22" s="5">
        <v>0.77400000000000002</v>
      </c>
      <c r="AA22" s="5">
        <v>1.522</v>
      </c>
      <c r="AB22" s="5">
        <v>1.452</v>
      </c>
      <c r="AC22" s="5">
        <v>-10.79</v>
      </c>
      <c r="AD22" s="5">
        <v>-9.34</v>
      </c>
      <c r="AE22" s="5">
        <v>-14.05</v>
      </c>
      <c r="AF22" s="5">
        <v>-9.85</v>
      </c>
      <c r="AG22" s="5">
        <v>-12.62</v>
      </c>
      <c r="AH22" s="5">
        <v>1.4850000000000001</v>
      </c>
      <c r="AI22" s="5">
        <v>0.115</v>
      </c>
      <c r="AK22" s="5">
        <f t="shared" si="0"/>
        <v>0.82299999999999995</v>
      </c>
      <c r="AL22" s="22">
        <f t="shared" si="1"/>
        <v>0</v>
      </c>
      <c r="AN22" s="1">
        <f t="shared" si="10"/>
        <v>89.5</v>
      </c>
      <c r="AO22" s="1">
        <f t="shared" si="11"/>
        <v>88.3</v>
      </c>
      <c r="AP22" s="1">
        <f t="shared" si="12"/>
        <v>86.3</v>
      </c>
      <c r="AQ22" s="16">
        <f t="shared" si="2"/>
        <v>0.252</v>
      </c>
      <c r="AR22" s="23">
        <f t="shared" si="13"/>
        <v>0.04</v>
      </c>
      <c r="AT22" s="18">
        <f t="shared" si="3"/>
        <v>45674</v>
      </c>
      <c r="AU22" s="19">
        <f t="shared" si="4"/>
        <v>17</v>
      </c>
      <c r="AV22" s="1">
        <f t="shared" si="14"/>
        <v>-10.7</v>
      </c>
      <c r="AW22" s="1">
        <f t="shared" si="15"/>
        <v>-9.6999999999999993</v>
      </c>
      <c r="AX22" s="1">
        <f t="shared" si="16"/>
        <v>-12.4</v>
      </c>
      <c r="AY22" s="1">
        <f t="shared" si="8"/>
        <v>88.3</v>
      </c>
      <c r="AZ22" s="1">
        <f t="shared" si="9"/>
        <v>86.3</v>
      </c>
      <c r="BA22" s="1">
        <f t="shared" si="17"/>
        <v>0.82299999999999995</v>
      </c>
      <c r="BB22" s="5">
        <f t="shared" si="18"/>
        <v>0</v>
      </c>
      <c r="BC22" s="1">
        <f>ROUND(AC22,1)</f>
        <v>-10.8</v>
      </c>
      <c r="BD22" s="1">
        <f>ROUND(AD22,1)</f>
        <v>-9.3000000000000007</v>
      </c>
      <c r="BE22" s="1">
        <f>ROUND(AE22,1)</f>
        <v>-14.1</v>
      </c>
      <c r="BF22" s="5">
        <f t="shared" si="19"/>
        <v>0.3</v>
      </c>
      <c r="BG22" s="5">
        <f t="shared" si="20"/>
        <v>0.9</v>
      </c>
      <c r="BH22" s="5">
        <f t="shared" si="21"/>
        <v>1.6</v>
      </c>
      <c r="BI22" s="5">
        <f t="shared" si="22"/>
        <v>0.115</v>
      </c>
      <c r="BJ22" s="9">
        <f t="shared" si="23"/>
        <v>0.252</v>
      </c>
      <c r="BK22" s="9">
        <f t="shared" si="23"/>
        <v>0.04</v>
      </c>
      <c r="BM22" s="1">
        <f t="shared" si="24"/>
        <v>0.39000000000000057</v>
      </c>
      <c r="BN22" s="1">
        <f t="shared" si="25"/>
        <v>-1.6500000000000004</v>
      </c>
    </row>
    <row r="23" spans="1:66" x14ac:dyDescent="0.2">
      <c r="A23" s="4">
        <f t="shared" si="26"/>
        <v>45675</v>
      </c>
      <c r="B23" s="1">
        <v>18</v>
      </c>
      <c r="C23" s="1">
        <v>12</v>
      </c>
      <c r="D23" s="5">
        <v>12.8</v>
      </c>
      <c r="E23" s="5">
        <v>-9.5500000000000007</v>
      </c>
      <c r="F23" s="5">
        <v>-14.17</v>
      </c>
      <c r="G23" s="5">
        <v>-12.61</v>
      </c>
      <c r="H23" s="5">
        <v>83.8</v>
      </c>
      <c r="I23" s="5">
        <v>3.9E-2</v>
      </c>
      <c r="J23" s="5">
        <v>-0.43</v>
      </c>
      <c r="K23" s="5">
        <v>0.318</v>
      </c>
      <c r="L23" s="5">
        <v>0.84199999999999997</v>
      </c>
      <c r="M23" s="5">
        <v>1.5920000000000001</v>
      </c>
      <c r="N23" s="5">
        <v>-10.61</v>
      </c>
      <c r="O23" s="5">
        <v>87.7</v>
      </c>
      <c r="P23" s="5">
        <v>0.13300000000000001</v>
      </c>
      <c r="Q23" s="5">
        <v>-0.29499999999999998</v>
      </c>
      <c r="R23" s="5">
        <v>0.39900000000000002</v>
      </c>
      <c r="S23" s="5">
        <v>0.93300000000000005</v>
      </c>
      <c r="T23" s="5">
        <v>1.6739999999999999</v>
      </c>
      <c r="U23" s="5">
        <v>-15.1</v>
      </c>
      <c r="V23" s="5">
        <v>70.53</v>
      </c>
      <c r="W23" s="5">
        <v>-6.4000000000000001E-2</v>
      </c>
      <c r="X23" s="5">
        <v>-0.57399999999999995</v>
      </c>
      <c r="Y23" s="5">
        <v>0.23400000000000001</v>
      </c>
      <c r="Z23" s="5">
        <v>0.75600000000000001</v>
      </c>
      <c r="AA23" s="5">
        <v>1.51</v>
      </c>
      <c r="AB23" s="5">
        <v>1.458</v>
      </c>
      <c r="AC23" s="5">
        <v>-13.6</v>
      </c>
      <c r="AD23" s="5">
        <v>-11.26</v>
      </c>
      <c r="AE23" s="5">
        <v>-16.61</v>
      </c>
      <c r="AF23" s="5">
        <v>-9.93</v>
      </c>
      <c r="AG23" s="5">
        <v>-15.42</v>
      </c>
      <c r="AH23" s="5">
        <v>1.4930000000000001</v>
      </c>
      <c r="AI23" s="5">
        <v>0.115</v>
      </c>
      <c r="AK23" s="5">
        <f t="shared" si="0"/>
        <v>0.81699999999999995</v>
      </c>
      <c r="AL23" s="22">
        <f t="shared" si="1"/>
        <v>-0.1</v>
      </c>
      <c r="AN23" s="1">
        <f t="shared" si="10"/>
        <v>87.7</v>
      </c>
      <c r="AO23" s="1">
        <f t="shared" si="11"/>
        <v>83.8</v>
      </c>
      <c r="AP23" s="1">
        <f t="shared" si="12"/>
        <v>70.5</v>
      </c>
      <c r="AQ23" s="16">
        <f t="shared" si="2"/>
        <v>0.192</v>
      </c>
      <c r="AR23" s="23">
        <f t="shared" si="13"/>
        <v>0.08</v>
      </c>
      <c r="AT23" s="18">
        <f t="shared" si="3"/>
        <v>45675</v>
      </c>
      <c r="AU23" s="19">
        <f t="shared" si="4"/>
        <v>18</v>
      </c>
      <c r="AV23" s="1">
        <f t="shared" si="14"/>
        <v>-12.6</v>
      </c>
      <c r="AW23" s="1">
        <f t="shared" si="15"/>
        <v>-10.6</v>
      </c>
      <c r="AX23" s="1">
        <f t="shared" si="16"/>
        <v>-15.1</v>
      </c>
      <c r="AY23" s="1">
        <f t="shared" si="8"/>
        <v>83.8</v>
      </c>
      <c r="AZ23" s="1">
        <f t="shared" si="9"/>
        <v>70.5</v>
      </c>
      <c r="BA23" s="1">
        <f t="shared" si="17"/>
        <v>0.81699999999999995</v>
      </c>
      <c r="BB23" s="5">
        <f t="shared" si="18"/>
        <v>-0.1</v>
      </c>
      <c r="BC23" s="1">
        <f>ROUND(AC23,1)</f>
        <v>-13.6</v>
      </c>
      <c r="BD23" s="1">
        <f>ROUND(AD23,1)</f>
        <v>-11.3</v>
      </c>
      <c r="BE23" s="1">
        <f>ROUND(AE23,1)</f>
        <v>-16.600000000000001</v>
      </c>
      <c r="BF23" s="5">
        <f t="shared" si="19"/>
        <v>0.3</v>
      </c>
      <c r="BG23" s="5">
        <f t="shared" si="20"/>
        <v>0.8</v>
      </c>
      <c r="BH23" s="5">
        <f t="shared" si="21"/>
        <v>1.6</v>
      </c>
      <c r="BI23" s="5">
        <f t="shared" si="22"/>
        <v>0.115</v>
      </c>
      <c r="BJ23" s="9">
        <f t="shared" si="23"/>
        <v>0.192</v>
      </c>
      <c r="BK23" s="9">
        <f t="shared" si="23"/>
        <v>0.08</v>
      </c>
      <c r="BM23" s="1">
        <f t="shared" si="24"/>
        <v>-0.65000000000000036</v>
      </c>
      <c r="BN23" s="1">
        <f t="shared" si="25"/>
        <v>-1.5099999999999998</v>
      </c>
    </row>
    <row r="24" spans="1:66" x14ac:dyDescent="0.2">
      <c r="A24" s="4">
        <f t="shared" si="26"/>
        <v>45676</v>
      </c>
      <c r="B24" s="1">
        <v>19</v>
      </c>
      <c r="C24" s="1">
        <v>12</v>
      </c>
      <c r="D24" s="5">
        <v>12.86</v>
      </c>
      <c r="E24" s="5">
        <v>-10.4</v>
      </c>
      <c r="F24" s="5">
        <v>-15.8</v>
      </c>
      <c r="G24" s="5">
        <v>-13.14</v>
      </c>
      <c r="H24" s="5">
        <v>85.7</v>
      </c>
      <c r="I24" s="5">
        <v>3.7999999999999999E-2</v>
      </c>
      <c r="J24" s="5">
        <v>-0.63300000000000001</v>
      </c>
      <c r="K24" s="5">
        <v>0.316</v>
      </c>
      <c r="L24" s="5">
        <v>0.83499999999999996</v>
      </c>
      <c r="M24" s="5">
        <v>1.579</v>
      </c>
      <c r="N24" s="5">
        <v>-11.52</v>
      </c>
      <c r="O24" s="5">
        <v>88.2</v>
      </c>
      <c r="P24" s="5">
        <v>0.111</v>
      </c>
      <c r="Q24" s="5">
        <v>-0.47099999999999997</v>
      </c>
      <c r="R24" s="5">
        <v>0.39400000000000002</v>
      </c>
      <c r="S24" s="5">
        <v>0.91</v>
      </c>
      <c r="T24" s="5">
        <v>1.67</v>
      </c>
      <c r="U24" s="5">
        <v>-16.52</v>
      </c>
      <c r="V24" s="5">
        <v>78.819999999999993</v>
      </c>
      <c r="W24" s="5">
        <v>-5.0999999999999997E-2</v>
      </c>
      <c r="X24" s="5">
        <v>-0.81200000000000006</v>
      </c>
      <c r="Y24" s="5">
        <v>0.23200000000000001</v>
      </c>
      <c r="Z24" s="5">
        <v>0.74099999999999999</v>
      </c>
      <c r="AA24" s="5">
        <v>1.4850000000000001</v>
      </c>
      <c r="AB24" s="5">
        <v>1.4530000000000001</v>
      </c>
      <c r="AC24" s="5">
        <v>-13.67</v>
      </c>
      <c r="AD24" s="5">
        <v>-11.2</v>
      </c>
      <c r="AE24" s="5">
        <v>-18.12</v>
      </c>
      <c r="AF24" s="5">
        <v>-10.69</v>
      </c>
      <c r="AG24" s="5">
        <v>-16.78</v>
      </c>
      <c r="AH24" s="5">
        <v>1.496</v>
      </c>
      <c r="AI24" s="5">
        <v>0.115</v>
      </c>
      <c r="AK24" s="5">
        <f t="shared" si="0"/>
        <v>0.82199999999999984</v>
      </c>
      <c r="AL24" s="22">
        <f t="shared" si="1"/>
        <v>-0.2</v>
      </c>
      <c r="AN24" s="1">
        <f t="shared" si="10"/>
        <v>88.2</v>
      </c>
      <c r="AO24" s="1">
        <f t="shared" si="11"/>
        <v>85.7</v>
      </c>
      <c r="AP24" s="1">
        <f t="shared" si="12"/>
        <v>78.8</v>
      </c>
      <c r="AQ24" s="16">
        <f t="shared" si="2"/>
        <v>0.19900000000000001</v>
      </c>
      <c r="AR24" s="23">
        <f t="shared" si="13"/>
        <v>5.3999999999999999E-2</v>
      </c>
      <c r="AT24" s="18">
        <f t="shared" si="3"/>
        <v>45676</v>
      </c>
      <c r="AU24" s="19">
        <f t="shared" si="4"/>
        <v>19</v>
      </c>
      <c r="AV24" s="1">
        <f t="shared" si="14"/>
        <v>-13.1</v>
      </c>
      <c r="AW24" s="1">
        <f t="shared" si="15"/>
        <v>-11.5</v>
      </c>
      <c r="AX24" s="1">
        <f t="shared" si="16"/>
        <v>-16.5</v>
      </c>
      <c r="AY24" s="1">
        <f t="shared" si="8"/>
        <v>85.7</v>
      </c>
      <c r="AZ24" s="1">
        <f t="shared" si="9"/>
        <v>78.8</v>
      </c>
      <c r="BA24" s="1">
        <f t="shared" si="17"/>
        <v>0.82199999999999984</v>
      </c>
      <c r="BB24" s="5">
        <f t="shared" si="18"/>
        <v>-0.2</v>
      </c>
      <c r="BC24" s="1">
        <f>ROUND(AC24,1)</f>
        <v>-13.7</v>
      </c>
      <c r="BD24" s="1">
        <f>ROUND(AD24,1)</f>
        <v>-11.2</v>
      </c>
      <c r="BE24" s="1">
        <f>ROUND(AE24,1)</f>
        <v>-18.100000000000001</v>
      </c>
      <c r="BF24" s="5">
        <f t="shared" si="19"/>
        <v>0.3</v>
      </c>
      <c r="BG24" s="5">
        <f t="shared" si="20"/>
        <v>0.8</v>
      </c>
      <c r="BH24" s="5">
        <f t="shared" si="21"/>
        <v>1.6</v>
      </c>
      <c r="BI24" s="5">
        <f t="shared" si="22"/>
        <v>0.115</v>
      </c>
      <c r="BJ24" s="9">
        <f t="shared" si="23"/>
        <v>0.19900000000000001</v>
      </c>
      <c r="BK24" s="9">
        <f t="shared" si="23"/>
        <v>5.3999999999999999E-2</v>
      </c>
      <c r="BM24" s="1">
        <f t="shared" si="24"/>
        <v>0.32000000000000028</v>
      </c>
      <c r="BN24" s="1">
        <f t="shared" si="25"/>
        <v>-1.6000000000000014</v>
      </c>
    </row>
    <row r="25" spans="1:66" x14ac:dyDescent="0.2">
      <c r="A25" s="4">
        <f t="shared" si="26"/>
        <v>45677</v>
      </c>
      <c r="B25" s="1">
        <v>20</v>
      </c>
      <c r="C25" s="1">
        <v>12</v>
      </c>
      <c r="D25" s="5">
        <v>12.9</v>
      </c>
      <c r="E25" s="5">
        <v>-7.46</v>
      </c>
      <c r="F25" s="5">
        <v>-16</v>
      </c>
      <c r="G25" s="5">
        <v>-11.74</v>
      </c>
      <c r="H25" s="5">
        <v>71.45</v>
      </c>
      <c r="I25" s="5">
        <v>4.1000000000000002E-2</v>
      </c>
      <c r="J25" s="5">
        <v>-0.82399999999999995</v>
      </c>
      <c r="K25" s="5">
        <v>0.32100000000000001</v>
      </c>
      <c r="L25" s="5">
        <v>0.83699999999999997</v>
      </c>
      <c r="M25" s="5">
        <v>1.5780000000000001</v>
      </c>
      <c r="N25" s="5">
        <v>-7.4390000000000001</v>
      </c>
      <c r="O25" s="5">
        <v>84.9</v>
      </c>
      <c r="P25" s="5">
        <v>0.13800000000000001</v>
      </c>
      <c r="Q25" s="5">
        <v>-0.70899999999999996</v>
      </c>
      <c r="R25" s="5">
        <v>0.41</v>
      </c>
      <c r="S25" s="5">
        <v>0.93200000000000005</v>
      </c>
      <c r="T25" s="5">
        <v>1.6779999999999999</v>
      </c>
      <c r="U25" s="5">
        <v>-15.91</v>
      </c>
      <c r="V25" s="5">
        <v>39.56</v>
      </c>
      <c r="W25" s="5">
        <v>-4.8000000000000001E-2</v>
      </c>
      <c r="X25" s="5">
        <v>-0.96399999999999997</v>
      </c>
      <c r="Y25" s="5">
        <v>0.23599999999999999</v>
      </c>
      <c r="Z25" s="5">
        <v>0.73799999999999999</v>
      </c>
      <c r="AA25" s="5">
        <v>1.4990000000000001</v>
      </c>
      <c r="AB25" s="5">
        <v>1.4570000000000001</v>
      </c>
      <c r="AC25" s="5">
        <v>-13.56</v>
      </c>
      <c r="AD25" s="5">
        <v>-9.68</v>
      </c>
      <c r="AE25" s="5">
        <v>-17.72</v>
      </c>
      <c r="AF25" s="5">
        <v>-7.157</v>
      </c>
      <c r="AG25" s="5">
        <v>-16.23</v>
      </c>
      <c r="AH25" s="5">
        <v>1.486</v>
      </c>
      <c r="AI25" s="5">
        <v>0.115</v>
      </c>
      <c r="AK25" s="5">
        <f t="shared" si="0"/>
        <v>0.81799999999999984</v>
      </c>
      <c r="AL25" s="22">
        <f t="shared" si="1"/>
        <v>-0.3</v>
      </c>
      <c r="AN25" s="1">
        <f t="shared" si="10"/>
        <v>84.9</v>
      </c>
      <c r="AO25" s="1">
        <f t="shared" si="11"/>
        <v>71.5</v>
      </c>
      <c r="AP25" s="1">
        <f t="shared" si="12"/>
        <v>39.6</v>
      </c>
      <c r="AQ25" s="16">
        <f t="shared" si="2"/>
        <v>0.13800000000000001</v>
      </c>
      <c r="AR25" s="23">
        <f t="shared" si="13"/>
        <v>0.21</v>
      </c>
      <c r="AT25" s="18">
        <f t="shared" si="3"/>
        <v>45677</v>
      </c>
      <c r="AU25" s="19">
        <f t="shared" si="4"/>
        <v>20</v>
      </c>
      <c r="AV25" s="1">
        <f t="shared" si="14"/>
        <v>-11.7</v>
      </c>
      <c r="AW25" s="1">
        <f t="shared" si="15"/>
        <v>-7.4</v>
      </c>
      <c r="AX25" s="1">
        <f t="shared" si="16"/>
        <v>-15.9</v>
      </c>
      <c r="AY25" s="1">
        <f t="shared" si="8"/>
        <v>71.5</v>
      </c>
      <c r="AZ25" s="1">
        <f t="shared" si="9"/>
        <v>39.6</v>
      </c>
      <c r="BA25" s="1">
        <f t="shared" si="17"/>
        <v>0.81799999999999984</v>
      </c>
      <c r="BB25" s="5">
        <f t="shared" si="18"/>
        <v>-0.3</v>
      </c>
      <c r="BC25" s="1">
        <f>ROUND(AC25,1)</f>
        <v>-13.6</v>
      </c>
      <c r="BD25" s="1">
        <f>ROUND(AD25,1)</f>
        <v>-9.6999999999999993</v>
      </c>
      <c r="BE25" s="1">
        <f>ROUND(AE25,1)</f>
        <v>-17.7</v>
      </c>
      <c r="BF25" s="5">
        <f t="shared" si="19"/>
        <v>0.3</v>
      </c>
      <c r="BG25" s="5">
        <f t="shared" si="20"/>
        <v>0.8</v>
      </c>
      <c r="BH25" s="5">
        <f t="shared" si="21"/>
        <v>1.6</v>
      </c>
      <c r="BI25" s="5">
        <f t="shared" si="22"/>
        <v>0.115</v>
      </c>
      <c r="BJ25" s="9">
        <f t="shared" si="23"/>
        <v>0.13800000000000001</v>
      </c>
      <c r="BK25" s="9">
        <f t="shared" si="23"/>
        <v>0.21</v>
      </c>
      <c r="BM25" s="1">
        <f t="shared" si="24"/>
        <v>-2.2409999999999997</v>
      </c>
      <c r="BN25" s="1">
        <f t="shared" si="25"/>
        <v>-1.8099999999999987</v>
      </c>
    </row>
    <row r="26" spans="1:66" x14ac:dyDescent="0.2">
      <c r="A26" s="4">
        <f t="shared" si="26"/>
        <v>45678</v>
      </c>
      <c r="B26" s="1">
        <v>21</v>
      </c>
      <c r="C26" s="1">
        <v>12</v>
      </c>
      <c r="D26" s="5">
        <v>12.87</v>
      </c>
      <c r="E26" s="5">
        <v>-5.5469999999999997</v>
      </c>
      <c r="F26" s="5">
        <v>-11.25</v>
      </c>
      <c r="G26" s="5">
        <v>-9.0299999999999994</v>
      </c>
      <c r="H26" s="5">
        <v>76.900000000000006</v>
      </c>
      <c r="I26" s="5">
        <v>0.06</v>
      </c>
      <c r="J26" s="5">
        <v>-0.99399999999999999</v>
      </c>
      <c r="K26" s="5">
        <v>0.33300000000000002</v>
      </c>
      <c r="L26" s="5">
        <v>0.84899999999999998</v>
      </c>
      <c r="M26" s="5">
        <v>1.585</v>
      </c>
      <c r="N26" s="5">
        <v>-5.5449999999999999</v>
      </c>
      <c r="O26" s="5">
        <v>90.4</v>
      </c>
      <c r="P26" s="5">
        <v>0.159</v>
      </c>
      <c r="Q26" s="5">
        <v>-0.85499999999999998</v>
      </c>
      <c r="R26" s="5">
        <v>0.42399999999999999</v>
      </c>
      <c r="S26" s="5">
        <v>0.94</v>
      </c>
      <c r="T26" s="5">
        <v>1.675</v>
      </c>
      <c r="U26" s="5">
        <v>-11.79</v>
      </c>
      <c r="V26" s="5">
        <v>63.53</v>
      </c>
      <c r="W26" s="5">
        <v>-2.1000000000000001E-2</v>
      </c>
      <c r="X26" s="5">
        <v>-1.107</v>
      </c>
      <c r="Y26" s="5">
        <v>0.25900000000000001</v>
      </c>
      <c r="Z26" s="5">
        <v>0.77100000000000002</v>
      </c>
      <c r="AA26" s="5">
        <v>1.508</v>
      </c>
      <c r="AB26" s="5">
        <v>1.4570000000000001</v>
      </c>
      <c r="AC26" s="5">
        <v>-10.199999999999999</v>
      </c>
      <c r="AD26" s="5">
        <v>-6.8150000000000004</v>
      </c>
      <c r="AE26" s="5">
        <v>-13.29</v>
      </c>
      <c r="AF26" s="5">
        <v>-5.5519999999999996</v>
      </c>
      <c r="AG26" s="5">
        <v>-11.87</v>
      </c>
      <c r="AH26" s="5">
        <v>1.484</v>
      </c>
      <c r="AI26" s="5">
        <v>0.115</v>
      </c>
      <c r="AK26" s="5">
        <f t="shared" si="0"/>
        <v>0.81799999999999984</v>
      </c>
      <c r="AL26" s="22">
        <f t="shared" si="1"/>
        <v>-0.3</v>
      </c>
      <c r="AN26" s="1">
        <f t="shared" si="10"/>
        <v>90.4</v>
      </c>
      <c r="AO26" s="1">
        <f t="shared" si="11"/>
        <v>76.900000000000006</v>
      </c>
      <c r="AP26" s="1">
        <f t="shared" si="12"/>
        <v>63.5</v>
      </c>
      <c r="AQ26" s="16">
        <f t="shared" si="2"/>
        <v>0.25600000000000001</v>
      </c>
      <c r="AR26" s="23">
        <f t="shared" si="13"/>
        <v>0.14699999999999999</v>
      </c>
      <c r="AT26" s="18">
        <f t="shared" si="3"/>
        <v>45678</v>
      </c>
      <c r="AU26" s="19">
        <f t="shared" si="4"/>
        <v>21</v>
      </c>
      <c r="AV26" s="1">
        <f t="shared" si="14"/>
        <v>-9</v>
      </c>
      <c r="AW26" s="1">
        <f t="shared" si="15"/>
        <v>-5.5</v>
      </c>
      <c r="AX26" s="1">
        <f t="shared" si="16"/>
        <v>-11.8</v>
      </c>
      <c r="AY26" s="1">
        <f t="shared" si="8"/>
        <v>76.900000000000006</v>
      </c>
      <c r="AZ26" s="1">
        <f t="shared" si="9"/>
        <v>63.5</v>
      </c>
      <c r="BA26" s="1">
        <f t="shared" si="17"/>
        <v>0.81799999999999984</v>
      </c>
      <c r="BB26" s="5">
        <f t="shared" si="18"/>
        <v>-0.3</v>
      </c>
      <c r="BC26" s="1">
        <f>ROUND(AC26,1)</f>
        <v>-10.199999999999999</v>
      </c>
      <c r="BD26" s="1">
        <f>ROUND(AD26,1)</f>
        <v>-6.8</v>
      </c>
      <c r="BE26" s="1">
        <f>ROUND(AE26,1)</f>
        <v>-13.3</v>
      </c>
      <c r="BF26" s="5">
        <f t="shared" si="19"/>
        <v>0.3</v>
      </c>
      <c r="BG26" s="5">
        <f t="shared" si="20"/>
        <v>0.8</v>
      </c>
      <c r="BH26" s="5">
        <f t="shared" si="21"/>
        <v>1.6</v>
      </c>
      <c r="BI26" s="5">
        <f t="shared" si="22"/>
        <v>0.115</v>
      </c>
      <c r="BJ26" s="9">
        <f t="shared" si="23"/>
        <v>0.25600000000000001</v>
      </c>
      <c r="BK26" s="9">
        <f t="shared" si="23"/>
        <v>0.14699999999999999</v>
      </c>
      <c r="BM26" s="1">
        <f t="shared" si="24"/>
        <v>-1.2700000000000005</v>
      </c>
      <c r="BN26" s="1">
        <f t="shared" si="25"/>
        <v>-1.5</v>
      </c>
    </row>
    <row r="27" spans="1:66" x14ac:dyDescent="0.2">
      <c r="A27" s="4">
        <f t="shared" si="26"/>
        <v>45679</v>
      </c>
      <c r="B27" s="1">
        <v>22</v>
      </c>
      <c r="C27" s="1">
        <v>12</v>
      </c>
      <c r="D27" s="5">
        <v>12.92</v>
      </c>
      <c r="E27" s="5">
        <v>-4.0739999999999998</v>
      </c>
      <c r="F27" s="5">
        <v>-10.95</v>
      </c>
      <c r="G27" s="5">
        <v>-7.7850000000000001</v>
      </c>
      <c r="H27" s="5">
        <v>67.06</v>
      </c>
      <c r="I27" s="5">
        <v>0.06</v>
      </c>
      <c r="J27" s="5">
        <v>-1.081</v>
      </c>
      <c r="K27" s="5">
        <v>0.309</v>
      </c>
      <c r="L27" s="5">
        <v>0.83499999999999996</v>
      </c>
      <c r="M27" s="5">
        <v>1.577</v>
      </c>
      <c r="N27" s="5">
        <v>-3.6219999999999999</v>
      </c>
      <c r="O27" s="5">
        <v>89.1</v>
      </c>
      <c r="P27" s="5">
        <v>0.16700000000000001</v>
      </c>
      <c r="Q27" s="5">
        <v>-0.996</v>
      </c>
      <c r="R27" s="5">
        <v>0.42199999999999999</v>
      </c>
      <c r="S27" s="5">
        <v>0.92100000000000004</v>
      </c>
      <c r="T27" s="5">
        <v>1.665</v>
      </c>
      <c r="U27" s="5">
        <v>-10.98</v>
      </c>
      <c r="V27" s="5">
        <v>33.57</v>
      </c>
      <c r="W27" s="5">
        <v>-4.1000000000000002E-2</v>
      </c>
      <c r="X27" s="5">
        <v>-1.173</v>
      </c>
      <c r="Y27" s="5">
        <v>0.23899999999999999</v>
      </c>
      <c r="Z27" s="5">
        <v>0.748</v>
      </c>
      <c r="AA27" s="5">
        <v>1.498</v>
      </c>
      <c r="AB27" s="5">
        <v>1.464</v>
      </c>
      <c r="AC27" s="5">
        <v>-10.41</v>
      </c>
      <c r="AD27" s="5">
        <v>-6.3739999999999997</v>
      </c>
      <c r="AE27" s="5">
        <v>-13.87</v>
      </c>
      <c r="AF27" s="5">
        <v>-3.4449999999999998</v>
      </c>
      <c r="AG27" s="5">
        <v>-11.42</v>
      </c>
      <c r="AH27" s="5">
        <v>1.48</v>
      </c>
      <c r="AI27" s="5">
        <v>0.115</v>
      </c>
      <c r="AK27" s="5">
        <f t="shared" si="0"/>
        <v>0.81099999999999994</v>
      </c>
      <c r="AL27" s="22">
        <f t="shared" si="1"/>
        <v>-0.4</v>
      </c>
      <c r="AN27" s="1">
        <f t="shared" si="10"/>
        <v>89.1</v>
      </c>
      <c r="AO27" s="1">
        <f t="shared" si="11"/>
        <v>67.099999999999994</v>
      </c>
      <c r="AP27" s="1">
        <f t="shared" si="12"/>
        <v>33.6</v>
      </c>
      <c r="AQ27" s="16">
        <f t="shared" si="2"/>
        <v>0.157</v>
      </c>
      <c r="AR27" s="23">
        <f t="shared" si="13"/>
        <v>0.31</v>
      </c>
      <c r="AT27" s="18">
        <f t="shared" si="3"/>
        <v>45679</v>
      </c>
      <c r="AU27" s="19">
        <f t="shared" si="4"/>
        <v>22</v>
      </c>
      <c r="AV27" s="1">
        <f t="shared" si="14"/>
        <v>-7.8</v>
      </c>
      <c r="AW27" s="1">
        <f t="shared" si="15"/>
        <v>-3.6</v>
      </c>
      <c r="AX27" s="1">
        <f t="shared" si="16"/>
        <v>-11</v>
      </c>
      <c r="AY27" s="1">
        <f t="shared" si="8"/>
        <v>67.099999999999994</v>
      </c>
      <c r="AZ27" s="1">
        <f t="shared" si="9"/>
        <v>33.6</v>
      </c>
      <c r="BA27" s="1">
        <f t="shared" si="17"/>
        <v>0.81099999999999994</v>
      </c>
      <c r="BB27" s="5">
        <f t="shared" si="18"/>
        <v>-0.4</v>
      </c>
      <c r="BC27" s="1">
        <f>ROUND(AC27,1)</f>
        <v>-10.4</v>
      </c>
      <c r="BD27" s="1">
        <f>ROUND(AD27,1)</f>
        <v>-6.4</v>
      </c>
      <c r="BE27" s="1">
        <f>ROUND(AE27,1)</f>
        <v>-13.9</v>
      </c>
      <c r="BF27" s="5">
        <f t="shared" si="19"/>
        <v>0.3</v>
      </c>
      <c r="BG27" s="5">
        <f t="shared" si="20"/>
        <v>0.8</v>
      </c>
      <c r="BH27" s="5">
        <f t="shared" si="21"/>
        <v>1.6</v>
      </c>
      <c r="BI27" s="5">
        <f t="shared" si="22"/>
        <v>0.115</v>
      </c>
      <c r="BJ27" s="9">
        <f t="shared" si="23"/>
        <v>0.157</v>
      </c>
      <c r="BK27" s="9">
        <f t="shared" si="23"/>
        <v>0.31</v>
      </c>
      <c r="BM27" s="1">
        <f t="shared" si="24"/>
        <v>-2.7519999999999998</v>
      </c>
      <c r="BN27" s="1">
        <f t="shared" si="25"/>
        <v>-2.8899999999999988</v>
      </c>
    </row>
    <row r="28" spans="1:66" x14ac:dyDescent="0.2">
      <c r="A28" s="4">
        <f t="shared" si="26"/>
        <v>45680</v>
      </c>
      <c r="B28" s="1">
        <v>23</v>
      </c>
      <c r="C28" s="1">
        <v>12</v>
      </c>
      <c r="D28" s="5">
        <v>12.82</v>
      </c>
      <c r="E28" s="5">
        <v>-4.0960000000000001</v>
      </c>
      <c r="F28" s="5">
        <v>-8.64</v>
      </c>
      <c r="G28" s="5">
        <v>-6.4850000000000003</v>
      </c>
      <c r="H28" s="5">
        <v>74.569999999999993</v>
      </c>
      <c r="I28" s="5">
        <v>6.2E-2</v>
      </c>
      <c r="J28" s="5">
        <v>-1.1000000000000001</v>
      </c>
      <c r="K28" s="5">
        <v>0.28599999999999998</v>
      </c>
      <c r="L28" s="5">
        <v>0.81799999999999995</v>
      </c>
      <c r="M28" s="5">
        <v>1.5720000000000001</v>
      </c>
      <c r="N28" s="5">
        <v>-2.9769999999999999</v>
      </c>
      <c r="O28" s="5">
        <v>92.3</v>
      </c>
      <c r="P28" s="5">
        <v>0.13700000000000001</v>
      </c>
      <c r="Q28" s="5">
        <v>-1.018</v>
      </c>
      <c r="R28" s="5">
        <v>0.371</v>
      </c>
      <c r="S28" s="5">
        <v>0.90900000000000003</v>
      </c>
      <c r="T28" s="5">
        <v>1.6719999999999999</v>
      </c>
      <c r="U28" s="5">
        <v>-9.1199999999999992</v>
      </c>
      <c r="V28" s="5">
        <v>33.24</v>
      </c>
      <c r="W28" s="5">
        <v>-3.9E-2</v>
      </c>
      <c r="X28" s="5">
        <v>-1.179</v>
      </c>
      <c r="Y28" s="5">
        <v>0.19400000000000001</v>
      </c>
      <c r="Z28" s="5">
        <v>0.72599999999999998</v>
      </c>
      <c r="AA28" s="5">
        <v>1.49</v>
      </c>
      <c r="AB28" s="5">
        <v>1.4470000000000001</v>
      </c>
      <c r="AC28" s="5">
        <v>-7.66</v>
      </c>
      <c r="AD28" s="5">
        <v>-4.5990000000000002</v>
      </c>
      <c r="AE28" s="5">
        <v>-10.29</v>
      </c>
      <c r="AF28" s="5">
        <v>-3.181</v>
      </c>
      <c r="AG28" s="5">
        <v>-9.14</v>
      </c>
      <c r="AH28" s="5">
        <v>1.4710000000000001</v>
      </c>
      <c r="AI28" s="5">
        <v>0.114</v>
      </c>
      <c r="AK28" s="5">
        <f t="shared" si="0"/>
        <v>0.82799999999999985</v>
      </c>
      <c r="AL28" s="22">
        <f t="shared" si="1"/>
        <v>-0.4</v>
      </c>
      <c r="AN28" s="1">
        <f t="shared" si="10"/>
        <v>92.3</v>
      </c>
      <c r="AO28" s="1">
        <f t="shared" si="11"/>
        <v>74.599999999999994</v>
      </c>
      <c r="AP28" s="1">
        <f t="shared" si="12"/>
        <v>33.200000000000003</v>
      </c>
      <c r="AQ28" s="16">
        <f t="shared" si="2"/>
        <v>0.16300000000000001</v>
      </c>
      <c r="AR28" s="23">
        <f t="shared" si="13"/>
        <v>0.32800000000000001</v>
      </c>
      <c r="AT28" s="18">
        <f t="shared" si="3"/>
        <v>45680</v>
      </c>
      <c r="AU28" s="19">
        <f t="shared" si="4"/>
        <v>23</v>
      </c>
      <c r="AV28" s="1">
        <f t="shared" si="14"/>
        <v>-6.5</v>
      </c>
      <c r="AW28" s="1">
        <f t="shared" si="15"/>
        <v>-3</v>
      </c>
      <c r="AX28" s="1">
        <f t="shared" si="16"/>
        <v>-9.1</v>
      </c>
      <c r="AY28" s="1">
        <f t="shared" si="8"/>
        <v>74.599999999999994</v>
      </c>
      <c r="AZ28" s="1">
        <f t="shared" si="9"/>
        <v>33.200000000000003</v>
      </c>
      <c r="BA28" s="1">
        <f t="shared" si="17"/>
        <v>0.82799999999999985</v>
      </c>
      <c r="BB28" s="5">
        <f t="shared" si="18"/>
        <v>-0.4</v>
      </c>
      <c r="BC28" s="1">
        <f>ROUND(AC28,1)</f>
        <v>-7.7</v>
      </c>
      <c r="BD28" s="1">
        <f>ROUND(AD28,1)</f>
        <v>-4.5999999999999996</v>
      </c>
      <c r="BE28" s="1">
        <f>ROUND(AE28,1)</f>
        <v>-10.3</v>
      </c>
      <c r="BF28" s="5">
        <f t="shared" si="19"/>
        <v>0.3</v>
      </c>
      <c r="BG28" s="5">
        <f t="shared" si="20"/>
        <v>0.8</v>
      </c>
      <c r="BH28" s="5">
        <f t="shared" si="21"/>
        <v>1.6</v>
      </c>
      <c r="BI28" s="5">
        <f t="shared" si="22"/>
        <v>0.114</v>
      </c>
      <c r="BJ28" s="9">
        <f t="shared" si="23"/>
        <v>0.16300000000000001</v>
      </c>
      <c r="BK28" s="9">
        <f t="shared" si="23"/>
        <v>0.32800000000000001</v>
      </c>
      <c r="BM28" s="1">
        <f t="shared" si="24"/>
        <v>-1.6220000000000003</v>
      </c>
      <c r="BN28" s="1">
        <f t="shared" si="25"/>
        <v>-1.17</v>
      </c>
    </row>
    <row r="29" spans="1:66" x14ac:dyDescent="0.2">
      <c r="A29" s="4">
        <f t="shared" si="26"/>
        <v>45681</v>
      </c>
      <c r="B29" s="1">
        <v>24</v>
      </c>
      <c r="C29" s="1">
        <v>12</v>
      </c>
      <c r="D29" s="5">
        <v>12.86</v>
      </c>
      <c r="E29" s="5">
        <v>-8.24</v>
      </c>
      <c r="F29" s="5">
        <v>-11.68</v>
      </c>
      <c r="G29" s="5">
        <v>-10.45</v>
      </c>
      <c r="H29" s="5">
        <v>88.4</v>
      </c>
      <c r="I29" s="5">
        <v>0.04</v>
      </c>
      <c r="J29" s="5">
        <v>-1.06</v>
      </c>
      <c r="K29" s="5">
        <v>0.245</v>
      </c>
      <c r="L29" s="5">
        <v>0.78400000000000003</v>
      </c>
      <c r="M29" s="5">
        <v>1.5449999999999999</v>
      </c>
      <c r="N29" s="5">
        <v>-8.85</v>
      </c>
      <c r="O29" s="5">
        <v>89.9</v>
      </c>
      <c r="P29" s="5">
        <v>0.115</v>
      </c>
      <c r="Q29" s="5">
        <v>-0.96199999999999997</v>
      </c>
      <c r="R29" s="5">
        <v>0.32300000000000001</v>
      </c>
      <c r="S29" s="5">
        <v>0.872</v>
      </c>
      <c r="T29" s="5">
        <v>1.631</v>
      </c>
      <c r="U29" s="5">
        <v>-12.2</v>
      </c>
      <c r="V29" s="5">
        <v>86.5</v>
      </c>
      <c r="W29" s="5">
        <v>-4.2000000000000003E-2</v>
      </c>
      <c r="X29" s="5">
        <v>-1.1639999999999999</v>
      </c>
      <c r="Y29" s="5">
        <v>0.154</v>
      </c>
      <c r="Z29" s="5">
        <v>0.68899999999999995</v>
      </c>
      <c r="AA29" s="5">
        <v>1.452</v>
      </c>
      <c r="AB29" s="5">
        <v>1.4570000000000001</v>
      </c>
      <c r="AC29" s="5">
        <v>-10.55</v>
      </c>
      <c r="AD29" s="5">
        <v>-8.42</v>
      </c>
      <c r="AE29" s="5">
        <v>-13.98</v>
      </c>
      <c r="AF29" s="5">
        <v>-8.77</v>
      </c>
      <c r="AG29" s="5">
        <v>-12.49</v>
      </c>
      <c r="AH29" s="5">
        <v>1.49</v>
      </c>
      <c r="AI29" s="5">
        <v>0.114</v>
      </c>
      <c r="AK29" s="5">
        <f t="shared" si="0"/>
        <v>0.81799999999999984</v>
      </c>
      <c r="AL29" s="22">
        <f t="shared" si="1"/>
        <v>-0.4</v>
      </c>
      <c r="AN29" s="1">
        <f t="shared" si="10"/>
        <v>89.9</v>
      </c>
      <c r="AO29" s="1">
        <f t="shared" si="11"/>
        <v>88.4</v>
      </c>
      <c r="AP29" s="1">
        <f t="shared" si="12"/>
        <v>86.5</v>
      </c>
      <c r="AQ29" s="16">
        <f t="shared" si="2"/>
        <v>0.27</v>
      </c>
      <c r="AR29" s="23">
        <f t="shared" si="13"/>
        <v>4.2000000000000003E-2</v>
      </c>
      <c r="AT29" s="18">
        <f t="shared" si="3"/>
        <v>45681</v>
      </c>
      <c r="AU29" s="19">
        <f t="shared" si="4"/>
        <v>24</v>
      </c>
      <c r="AV29" s="1">
        <f t="shared" si="14"/>
        <v>-10.5</v>
      </c>
      <c r="AW29" s="1">
        <f t="shared" si="15"/>
        <v>-8.9</v>
      </c>
      <c r="AX29" s="1">
        <f t="shared" si="16"/>
        <v>-12.2</v>
      </c>
      <c r="AY29" s="1">
        <f t="shared" si="8"/>
        <v>88.4</v>
      </c>
      <c r="AZ29" s="1">
        <f t="shared" si="9"/>
        <v>86.5</v>
      </c>
      <c r="BA29" s="1">
        <f t="shared" si="17"/>
        <v>0.81799999999999984</v>
      </c>
      <c r="BB29" s="5">
        <f t="shared" si="18"/>
        <v>-0.4</v>
      </c>
      <c r="BC29" s="1">
        <f>ROUND(AC29,1)</f>
        <v>-10.6</v>
      </c>
      <c r="BD29" s="1">
        <f>ROUND(AD29,1)</f>
        <v>-8.4</v>
      </c>
      <c r="BE29" s="1">
        <f>ROUND(AE29,1)</f>
        <v>-14</v>
      </c>
      <c r="BF29" s="5">
        <f t="shared" si="19"/>
        <v>0.2</v>
      </c>
      <c r="BG29" s="5">
        <f t="shared" si="20"/>
        <v>0.8</v>
      </c>
      <c r="BH29" s="5">
        <f t="shared" si="21"/>
        <v>1.5</v>
      </c>
      <c r="BI29" s="5">
        <f t="shared" si="22"/>
        <v>0.114</v>
      </c>
      <c r="BJ29" s="9">
        <f t="shared" si="23"/>
        <v>0.27</v>
      </c>
      <c r="BK29" s="9">
        <f t="shared" si="23"/>
        <v>4.2000000000000003E-2</v>
      </c>
      <c r="BM29" s="1">
        <f t="shared" si="24"/>
        <v>0.42999999999999972</v>
      </c>
      <c r="BN29" s="1">
        <f t="shared" si="25"/>
        <v>-1.7800000000000011</v>
      </c>
    </row>
    <row r="30" spans="1:66" x14ac:dyDescent="0.2">
      <c r="A30" s="4">
        <f t="shared" si="26"/>
        <v>45682</v>
      </c>
      <c r="B30" s="1">
        <v>25</v>
      </c>
      <c r="C30" s="1">
        <v>12</v>
      </c>
      <c r="D30" s="5">
        <v>12.84</v>
      </c>
      <c r="E30" s="5">
        <v>-9.66</v>
      </c>
      <c r="F30" s="5">
        <v>-13.13</v>
      </c>
      <c r="G30" s="5">
        <v>-11.39</v>
      </c>
      <c r="H30" s="5">
        <v>87.4</v>
      </c>
      <c r="I30" s="5">
        <v>2.8000000000000001E-2</v>
      </c>
      <c r="J30" s="5">
        <v>-1.024</v>
      </c>
      <c r="K30" s="5">
        <v>0.222</v>
      </c>
      <c r="L30" s="5">
        <v>0.76400000000000001</v>
      </c>
      <c r="M30" s="5">
        <v>1.5269999999999999</v>
      </c>
      <c r="N30" s="5">
        <v>-8.7799999999999994</v>
      </c>
      <c r="O30" s="5">
        <v>89.6</v>
      </c>
      <c r="P30" s="5">
        <v>0.106</v>
      </c>
      <c r="Q30" s="5">
        <v>-0.93</v>
      </c>
      <c r="R30" s="5">
        <v>0.30199999999999999</v>
      </c>
      <c r="S30" s="5">
        <v>0.85</v>
      </c>
      <c r="T30" s="5">
        <v>1.609</v>
      </c>
      <c r="U30" s="5">
        <v>-13.65</v>
      </c>
      <c r="V30" s="5">
        <v>84.9</v>
      </c>
      <c r="W30" s="5">
        <v>-5.3999999999999999E-2</v>
      </c>
      <c r="X30" s="5">
        <v>-1.1000000000000001</v>
      </c>
      <c r="Y30" s="5">
        <v>0.14499999999999999</v>
      </c>
      <c r="Z30" s="5">
        <v>0.69199999999999995</v>
      </c>
      <c r="AA30" s="5">
        <v>1.4550000000000001</v>
      </c>
      <c r="AB30" s="5">
        <v>1.4530000000000001</v>
      </c>
      <c r="AC30" s="5">
        <v>-12.26</v>
      </c>
      <c r="AD30" s="5">
        <v>-10.08</v>
      </c>
      <c r="AE30" s="5">
        <v>-15.46</v>
      </c>
      <c r="AF30" s="5">
        <v>-9.2799999999999994</v>
      </c>
      <c r="AG30" s="5">
        <v>-13.96</v>
      </c>
      <c r="AH30" s="5">
        <v>1.4770000000000001</v>
      </c>
      <c r="AI30" s="5">
        <v>0.114</v>
      </c>
      <c r="AK30" s="5">
        <f t="shared" si="0"/>
        <v>0.82199999999999984</v>
      </c>
      <c r="AL30" s="22">
        <f t="shared" si="1"/>
        <v>-0.4</v>
      </c>
      <c r="AN30" s="1">
        <f t="shared" si="10"/>
        <v>89.6</v>
      </c>
      <c r="AO30" s="1">
        <f t="shared" si="11"/>
        <v>87.4</v>
      </c>
      <c r="AP30" s="1">
        <f t="shared" si="12"/>
        <v>84.9</v>
      </c>
      <c r="AQ30" s="16">
        <f t="shared" si="2"/>
        <v>0.26700000000000002</v>
      </c>
      <c r="AR30" s="23">
        <f t="shared" si="13"/>
        <v>4.7E-2</v>
      </c>
      <c r="AT30" s="18">
        <f t="shared" si="3"/>
        <v>45682</v>
      </c>
      <c r="AU30" s="19">
        <f t="shared" si="4"/>
        <v>25</v>
      </c>
      <c r="AV30" s="1">
        <f t="shared" si="14"/>
        <v>-11.4</v>
      </c>
      <c r="AW30" s="1">
        <f t="shared" si="15"/>
        <v>-8.8000000000000007</v>
      </c>
      <c r="AX30" s="1">
        <f t="shared" si="16"/>
        <v>-13.7</v>
      </c>
      <c r="AY30" s="1">
        <f t="shared" si="8"/>
        <v>87.4</v>
      </c>
      <c r="AZ30" s="1">
        <f t="shared" si="9"/>
        <v>84.9</v>
      </c>
      <c r="BA30" s="1">
        <f t="shared" si="17"/>
        <v>0.82199999999999984</v>
      </c>
      <c r="BB30" s="5">
        <f t="shared" si="18"/>
        <v>-0.4</v>
      </c>
      <c r="BC30" s="1">
        <f>ROUND(AC30,1)</f>
        <v>-12.3</v>
      </c>
      <c r="BD30" s="1">
        <f>ROUND(AD30,1)</f>
        <v>-10.1</v>
      </c>
      <c r="BE30" s="1">
        <f>ROUND(AE30,1)</f>
        <v>-15.5</v>
      </c>
      <c r="BF30" s="5">
        <f t="shared" si="19"/>
        <v>0.2</v>
      </c>
      <c r="BG30" s="5">
        <f t="shared" si="20"/>
        <v>0.8</v>
      </c>
      <c r="BH30" s="5">
        <f t="shared" si="21"/>
        <v>1.5</v>
      </c>
      <c r="BI30" s="5">
        <f t="shared" si="22"/>
        <v>0.114</v>
      </c>
      <c r="BJ30" s="9">
        <f t="shared" si="23"/>
        <v>0.26700000000000002</v>
      </c>
      <c r="BK30" s="9">
        <f t="shared" si="23"/>
        <v>4.7E-2</v>
      </c>
      <c r="BM30" s="1">
        <f t="shared" si="24"/>
        <v>-1.3000000000000007</v>
      </c>
      <c r="BN30" s="1">
        <f t="shared" si="25"/>
        <v>-1.8100000000000005</v>
      </c>
    </row>
    <row r="31" spans="1:66" x14ac:dyDescent="0.2">
      <c r="A31" s="4">
        <f t="shared" si="26"/>
        <v>45683</v>
      </c>
      <c r="B31" s="1">
        <v>26</v>
      </c>
      <c r="C31" s="1">
        <v>12</v>
      </c>
      <c r="D31" s="5">
        <v>12.96</v>
      </c>
      <c r="E31" s="5">
        <v>-1.629</v>
      </c>
      <c r="F31" s="5">
        <v>-10.07</v>
      </c>
      <c r="G31" s="5">
        <v>-5.702</v>
      </c>
      <c r="H31" s="5">
        <v>72.48</v>
      </c>
      <c r="I31" s="5">
        <v>5.1999999999999998E-2</v>
      </c>
      <c r="J31" s="5">
        <v>-1.0449999999999999</v>
      </c>
      <c r="K31" s="5">
        <v>0.23300000000000001</v>
      </c>
      <c r="L31" s="5">
        <v>0.77600000000000002</v>
      </c>
      <c r="M31" s="5">
        <v>1.536</v>
      </c>
      <c r="N31" s="5">
        <v>-2.5150000000000001</v>
      </c>
      <c r="O31" s="5">
        <v>90.3</v>
      </c>
      <c r="P31" s="5">
        <v>0.157</v>
      </c>
      <c r="Q31" s="5">
        <v>-0.94399999999999995</v>
      </c>
      <c r="R31" s="5">
        <v>0.33</v>
      </c>
      <c r="S31" s="5">
        <v>0.879</v>
      </c>
      <c r="T31" s="5">
        <v>1.623</v>
      </c>
      <c r="U31" s="5">
        <v>-9.2899999999999991</v>
      </c>
      <c r="V31" s="5">
        <v>51.75</v>
      </c>
      <c r="W31" s="5">
        <v>-5.8999999999999997E-2</v>
      </c>
      <c r="X31" s="5">
        <v>-1.151</v>
      </c>
      <c r="Y31" s="5">
        <v>0.14899999999999999</v>
      </c>
      <c r="Z31" s="5">
        <v>0.69099999999999995</v>
      </c>
      <c r="AA31" s="5">
        <v>1.446</v>
      </c>
      <c r="AB31" s="5">
        <v>1.4570000000000001</v>
      </c>
      <c r="AC31" s="5">
        <v>-8.23</v>
      </c>
      <c r="AD31" s="5">
        <v>-4.2640000000000002</v>
      </c>
      <c r="AE31" s="5">
        <v>-11.07</v>
      </c>
      <c r="AF31" s="5">
        <v>-1.173</v>
      </c>
      <c r="AG31" s="5">
        <v>-9.43</v>
      </c>
      <c r="AH31" s="5">
        <v>1.4670000000000001</v>
      </c>
      <c r="AI31" s="5">
        <v>0.113</v>
      </c>
      <c r="AK31" s="5">
        <f t="shared" si="0"/>
        <v>0.81799999999999984</v>
      </c>
      <c r="AL31" s="22">
        <f t="shared" si="1"/>
        <v>-0.4</v>
      </c>
      <c r="AN31" s="1">
        <f t="shared" si="10"/>
        <v>90.3</v>
      </c>
      <c r="AO31" s="1">
        <f t="shared" si="11"/>
        <v>72.5</v>
      </c>
      <c r="AP31" s="1">
        <f t="shared" si="12"/>
        <v>51.8</v>
      </c>
      <c r="AQ31" s="16">
        <f t="shared" si="2"/>
        <v>0.26300000000000001</v>
      </c>
      <c r="AR31" s="23">
        <f t="shared" si="13"/>
        <v>0.245</v>
      </c>
      <c r="AT31" s="18">
        <f t="shared" si="3"/>
        <v>45683</v>
      </c>
      <c r="AU31" s="19">
        <f t="shared" si="4"/>
        <v>26</v>
      </c>
      <c r="AV31" s="1">
        <f t="shared" si="14"/>
        <v>-5.7</v>
      </c>
      <c r="AW31" s="1">
        <f t="shared" si="15"/>
        <v>-2.5</v>
      </c>
      <c r="AX31" s="1">
        <f t="shared" si="16"/>
        <v>-9.3000000000000007</v>
      </c>
      <c r="AY31" s="1">
        <f t="shared" si="8"/>
        <v>72.5</v>
      </c>
      <c r="AZ31" s="1">
        <f t="shared" si="9"/>
        <v>51.8</v>
      </c>
      <c r="BA31" s="1">
        <f t="shared" si="17"/>
        <v>0.81799999999999984</v>
      </c>
      <c r="BB31" s="5">
        <f t="shared" si="18"/>
        <v>-0.4</v>
      </c>
      <c r="BC31" s="1">
        <f>ROUND(AC31,1)</f>
        <v>-8.1999999999999993</v>
      </c>
      <c r="BD31" s="1">
        <f>ROUND(AD31,1)</f>
        <v>-4.3</v>
      </c>
      <c r="BE31" s="1">
        <f>ROUND(AE31,1)</f>
        <v>-11.1</v>
      </c>
      <c r="BF31" s="5">
        <f t="shared" si="19"/>
        <v>0.2</v>
      </c>
      <c r="BG31" s="5">
        <f t="shared" si="20"/>
        <v>0.8</v>
      </c>
      <c r="BH31" s="5">
        <f t="shared" si="21"/>
        <v>1.5</v>
      </c>
      <c r="BI31" s="5">
        <f t="shared" si="22"/>
        <v>0.113</v>
      </c>
      <c r="BJ31" s="9">
        <f t="shared" si="23"/>
        <v>0.26300000000000001</v>
      </c>
      <c r="BK31" s="9">
        <f t="shared" si="23"/>
        <v>0.245</v>
      </c>
      <c r="BM31" s="1">
        <f t="shared" si="24"/>
        <v>-1.7490000000000001</v>
      </c>
      <c r="BN31" s="1">
        <f t="shared" si="25"/>
        <v>-1.7800000000000011</v>
      </c>
    </row>
    <row r="32" spans="1:66" x14ac:dyDescent="0.2">
      <c r="A32" s="4">
        <f t="shared" si="26"/>
        <v>45684</v>
      </c>
      <c r="B32" s="1">
        <v>27</v>
      </c>
      <c r="C32" s="1">
        <v>12</v>
      </c>
      <c r="D32" s="5">
        <v>12.99</v>
      </c>
      <c r="E32" s="5">
        <v>1.075</v>
      </c>
      <c r="F32" s="5">
        <v>-4.8310000000000004</v>
      </c>
      <c r="G32" s="5">
        <v>-1.5780000000000001</v>
      </c>
      <c r="H32" s="5">
        <v>50.42</v>
      </c>
      <c r="I32" s="5">
        <v>7.8E-2</v>
      </c>
      <c r="J32" s="5">
        <v>-1.0329999999999999</v>
      </c>
      <c r="K32" s="5">
        <v>0.24</v>
      </c>
      <c r="L32" s="5">
        <v>0.78600000000000003</v>
      </c>
      <c r="M32" s="5">
        <v>1.542</v>
      </c>
      <c r="N32" s="5">
        <v>0.89900000000000002</v>
      </c>
      <c r="O32" s="5">
        <v>62.82</v>
      </c>
      <c r="P32" s="5">
        <v>0.191</v>
      </c>
      <c r="Q32" s="5">
        <v>-0.92200000000000004</v>
      </c>
      <c r="R32" s="5">
        <v>0.33400000000000002</v>
      </c>
      <c r="S32" s="5">
        <v>0.88</v>
      </c>
      <c r="T32" s="5">
        <v>1.649</v>
      </c>
      <c r="U32" s="5">
        <v>-3.9940000000000002</v>
      </c>
      <c r="V32" s="5">
        <v>35.46</v>
      </c>
      <c r="W32" s="5">
        <v>-3.5000000000000003E-2</v>
      </c>
      <c r="X32" s="5">
        <v>-1.149</v>
      </c>
      <c r="Y32" s="5">
        <v>0.154</v>
      </c>
      <c r="Z32" s="5">
        <v>0.70099999999999996</v>
      </c>
      <c r="AA32" s="5">
        <v>1.448</v>
      </c>
      <c r="AB32" s="5">
        <v>1.4690000000000001</v>
      </c>
      <c r="AC32" s="5">
        <v>-5.7859999999999996</v>
      </c>
      <c r="AD32" s="5">
        <v>-2.1549999999999998</v>
      </c>
      <c r="AE32" s="5">
        <v>-7.57</v>
      </c>
      <c r="AF32" s="5">
        <v>1.617</v>
      </c>
      <c r="AG32" s="5">
        <v>-4.3559999999999999</v>
      </c>
      <c r="AH32" s="5">
        <v>1.4730000000000001</v>
      </c>
      <c r="AI32" s="5">
        <v>0.113</v>
      </c>
      <c r="AK32" s="5">
        <f t="shared" si="0"/>
        <v>0.80599999999999983</v>
      </c>
      <c r="AL32" s="22">
        <f t="shared" si="1"/>
        <v>-0.4</v>
      </c>
      <c r="AN32" s="1">
        <f t="shared" si="10"/>
        <v>62.8</v>
      </c>
      <c r="AO32" s="1">
        <f t="shared" si="11"/>
        <v>50.4</v>
      </c>
      <c r="AP32" s="1">
        <f t="shared" si="12"/>
        <v>35.5</v>
      </c>
      <c r="AQ32" s="16">
        <f t="shared" si="2"/>
        <v>0.23100000000000001</v>
      </c>
      <c r="AR32" s="23">
        <f t="shared" si="13"/>
        <v>0.42</v>
      </c>
      <c r="AT32" s="18">
        <f t="shared" si="3"/>
        <v>45684</v>
      </c>
      <c r="AU32" s="19">
        <f t="shared" si="4"/>
        <v>27</v>
      </c>
      <c r="AV32" s="1">
        <f t="shared" si="14"/>
        <v>-1.6</v>
      </c>
      <c r="AW32" s="1">
        <f t="shared" si="15"/>
        <v>0.9</v>
      </c>
      <c r="AX32" s="1">
        <f t="shared" si="16"/>
        <v>-4</v>
      </c>
      <c r="AY32" s="1">
        <f t="shared" si="8"/>
        <v>50.4</v>
      </c>
      <c r="AZ32" s="1">
        <f t="shared" si="9"/>
        <v>35.5</v>
      </c>
      <c r="BA32" s="1">
        <f t="shared" si="17"/>
        <v>0.80599999999999983</v>
      </c>
      <c r="BB32" s="5">
        <f t="shared" si="18"/>
        <v>-0.4</v>
      </c>
      <c r="BC32" s="1">
        <f>ROUND(AC32,1)</f>
        <v>-5.8</v>
      </c>
      <c r="BD32" s="1">
        <f>ROUND(AD32,1)</f>
        <v>-2.2000000000000002</v>
      </c>
      <c r="BE32" s="1">
        <f>ROUND(AE32,1)</f>
        <v>-7.6</v>
      </c>
      <c r="BF32" s="5">
        <f t="shared" si="19"/>
        <v>0.2</v>
      </c>
      <c r="BG32" s="5">
        <f t="shared" si="20"/>
        <v>0.8</v>
      </c>
      <c r="BH32" s="5">
        <f t="shared" si="21"/>
        <v>1.5</v>
      </c>
      <c r="BI32" s="5">
        <f t="shared" si="22"/>
        <v>0.113</v>
      </c>
      <c r="BJ32" s="9">
        <f t="shared" si="23"/>
        <v>0.23100000000000001</v>
      </c>
      <c r="BK32" s="9">
        <f t="shared" si="23"/>
        <v>0.42</v>
      </c>
      <c r="BM32" s="1">
        <f t="shared" si="24"/>
        <v>-3.0539999999999998</v>
      </c>
      <c r="BN32" s="1">
        <f t="shared" si="25"/>
        <v>-3.5760000000000001</v>
      </c>
    </row>
    <row r="33" spans="1:66" x14ac:dyDescent="0.2">
      <c r="A33" s="4">
        <f t="shared" si="26"/>
        <v>45685</v>
      </c>
      <c r="B33" s="1">
        <v>28</v>
      </c>
      <c r="C33" s="1">
        <v>12</v>
      </c>
      <c r="D33" s="5">
        <v>13</v>
      </c>
      <c r="E33" s="5">
        <v>4.3849999999999998</v>
      </c>
      <c r="F33" s="5">
        <v>-3.6419999999999999</v>
      </c>
      <c r="G33" s="5">
        <v>0.39700000000000002</v>
      </c>
      <c r="H33" s="5">
        <v>37.35</v>
      </c>
      <c r="I33" s="5">
        <v>0.09</v>
      </c>
      <c r="J33" s="5">
        <v>-0.92800000000000005</v>
      </c>
      <c r="K33" s="5">
        <v>0.23899999999999999</v>
      </c>
      <c r="L33" s="5">
        <v>0.78400000000000003</v>
      </c>
      <c r="M33" s="5">
        <v>1.5369999999999999</v>
      </c>
      <c r="N33" s="5">
        <v>5.6230000000000002</v>
      </c>
      <c r="O33" s="5">
        <v>48.44</v>
      </c>
      <c r="P33" s="5">
        <v>0.215</v>
      </c>
      <c r="Q33" s="5">
        <v>-0.78</v>
      </c>
      <c r="R33" s="5">
        <v>0.34100000000000003</v>
      </c>
      <c r="S33" s="5">
        <v>0.89300000000000002</v>
      </c>
      <c r="T33" s="5">
        <v>1.657</v>
      </c>
      <c r="U33" s="5">
        <v>-2.645</v>
      </c>
      <c r="V33" s="5">
        <v>21.7</v>
      </c>
      <c r="W33" s="5">
        <v>-1.6E-2</v>
      </c>
      <c r="X33" s="5">
        <v>-1.0580000000000001</v>
      </c>
      <c r="Y33" s="5">
        <v>0.156</v>
      </c>
      <c r="Z33" s="5">
        <v>0.68600000000000005</v>
      </c>
      <c r="AA33" s="5">
        <v>1.444</v>
      </c>
      <c r="AB33" s="5">
        <v>1.4730000000000001</v>
      </c>
      <c r="AC33" s="5">
        <v>-4.282</v>
      </c>
      <c r="AD33" s="5">
        <v>0.122</v>
      </c>
      <c r="AE33" s="5">
        <v>-6.5030000000000001</v>
      </c>
      <c r="AF33" s="5">
        <v>6.4390000000000001</v>
      </c>
      <c r="AG33" s="5">
        <v>-3.081</v>
      </c>
      <c r="AH33" s="5">
        <v>1.4790000000000001</v>
      </c>
      <c r="AI33" s="5">
        <v>0.113</v>
      </c>
      <c r="AK33" s="5">
        <f t="shared" si="0"/>
        <v>0.80199999999999982</v>
      </c>
      <c r="AL33" s="22">
        <f t="shared" si="1"/>
        <v>-0.3</v>
      </c>
      <c r="AN33" s="1">
        <f t="shared" si="10"/>
        <v>48.4</v>
      </c>
      <c r="AO33" s="1">
        <f t="shared" si="11"/>
        <v>37.4</v>
      </c>
      <c r="AP33" s="1">
        <f t="shared" si="12"/>
        <v>21.7</v>
      </c>
      <c r="AQ33" s="16">
        <f t="shared" si="2"/>
        <v>0.19800000000000001</v>
      </c>
      <c r="AR33" s="23">
        <f t="shared" si="13"/>
        <v>0.71399999999999997</v>
      </c>
      <c r="AT33" s="18">
        <f t="shared" si="3"/>
        <v>45685</v>
      </c>
      <c r="AU33" s="19">
        <f t="shared" si="4"/>
        <v>28</v>
      </c>
      <c r="AV33" s="1">
        <f t="shared" si="14"/>
        <v>0.4</v>
      </c>
      <c r="AW33" s="1">
        <f t="shared" si="15"/>
        <v>5.6</v>
      </c>
      <c r="AX33" s="1">
        <f t="shared" si="16"/>
        <v>-2.6</v>
      </c>
      <c r="AY33" s="1">
        <f t="shared" si="8"/>
        <v>37.4</v>
      </c>
      <c r="AZ33" s="1">
        <f t="shared" si="9"/>
        <v>21.7</v>
      </c>
      <c r="BA33" s="1">
        <f t="shared" si="17"/>
        <v>0.80199999999999982</v>
      </c>
      <c r="BB33" s="5">
        <f t="shared" si="18"/>
        <v>-0.3</v>
      </c>
      <c r="BC33" s="1">
        <f>ROUND(AC33,1)</f>
        <v>-4.3</v>
      </c>
      <c r="BD33" s="1">
        <f>ROUND(AD33,1)</f>
        <v>0.1</v>
      </c>
      <c r="BE33" s="1">
        <f>ROUND(AE33,1)</f>
        <v>-6.5</v>
      </c>
      <c r="BF33" s="5">
        <f t="shared" si="19"/>
        <v>0.2</v>
      </c>
      <c r="BG33" s="5">
        <f t="shared" si="20"/>
        <v>0.8</v>
      </c>
      <c r="BH33" s="5">
        <f t="shared" si="21"/>
        <v>1.5</v>
      </c>
      <c r="BI33" s="5">
        <f t="shared" si="22"/>
        <v>0.113</v>
      </c>
      <c r="BJ33" s="9">
        <f t="shared" si="23"/>
        <v>0.19800000000000001</v>
      </c>
      <c r="BK33" s="9">
        <f t="shared" si="23"/>
        <v>0.71399999999999997</v>
      </c>
      <c r="BM33" s="1">
        <f t="shared" si="24"/>
        <v>-5.5010000000000003</v>
      </c>
      <c r="BN33" s="1">
        <f t="shared" si="25"/>
        <v>-3.8580000000000001</v>
      </c>
    </row>
    <row r="34" spans="1:66" x14ac:dyDescent="0.2">
      <c r="A34" s="4">
        <f t="shared" si="26"/>
        <v>45686</v>
      </c>
      <c r="B34" s="1">
        <v>29</v>
      </c>
      <c r="C34" s="1">
        <v>12</v>
      </c>
      <c r="D34" s="5">
        <v>13.02</v>
      </c>
      <c r="E34" s="5">
        <v>2.9710000000000001</v>
      </c>
      <c r="F34" s="5">
        <v>-3.0409999999999999</v>
      </c>
      <c r="G34" s="5">
        <v>0.38700000000000001</v>
      </c>
      <c r="H34" s="5">
        <v>32.03</v>
      </c>
      <c r="I34" s="5">
        <v>0.10100000000000001</v>
      </c>
      <c r="J34" s="5">
        <v>-0.76800000000000002</v>
      </c>
      <c r="K34" s="5">
        <v>0.23599999999999999</v>
      </c>
      <c r="L34" s="5">
        <v>0.77200000000000002</v>
      </c>
      <c r="M34" s="5">
        <v>1.5169999999999999</v>
      </c>
      <c r="N34" s="5">
        <v>3.633</v>
      </c>
      <c r="O34" s="5">
        <v>43.64</v>
      </c>
      <c r="P34" s="5">
        <v>0.21199999999999999</v>
      </c>
      <c r="Q34" s="5">
        <v>-0.628</v>
      </c>
      <c r="R34" s="5">
        <v>0.33</v>
      </c>
      <c r="S34" s="5">
        <v>0.86699999999999999</v>
      </c>
      <c r="T34" s="5">
        <v>1.6240000000000001</v>
      </c>
      <c r="U34" s="5">
        <v>-2.5819999999999999</v>
      </c>
      <c r="V34" s="5">
        <v>24.51</v>
      </c>
      <c r="W34" s="5">
        <v>0</v>
      </c>
      <c r="X34" s="5">
        <v>-0.94599999999999995</v>
      </c>
      <c r="Y34" s="5">
        <v>0.13400000000000001</v>
      </c>
      <c r="Z34" s="5">
        <v>0.69199999999999995</v>
      </c>
      <c r="AA34" s="5">
        <v>1.431</v>
      </c>
      <c r="AB34" s="5">
        <v>1.48</v>
      </c>
      <c r="AC34" s="5">
        <v>-4.6449999999999996</v>
      </c>
      <c r="AD34" s="5">
        <v>-0.86599999999999999</v>
      </c>
      <c r="AE34" s="5">
        <v>-6.8339999999999996</v>
      </c>
      <c r="AF34" s="5">
        <v>3.9390000000000001</v>
      </c>
      <c r="AG34" s="5">
        <v>-3.0960000000000001</v>
      </c>
      <c r="AH34" s="5">
        <v>1.4850000000000001</v>
      </c>
      <c r="AI34" s="5">
        <v>0.112</v>
      </c>
      <c r="AK34" s="5">
        <f t="shared" si="0"/>
        <v>0.79499999999999993</v>
      </c>
      <c r="AL34" s="22">
        <f t="shared" si="1"/>
        <v>-0.3</v>
      </c>
      <c r="AN34" s="1">
        <f t="shared" si="10"/>
        <v>43.6</v>
      </c>
      <c r="AO34" s="1">
        <f t="shared" si="11"/>
        <v>32</v>
      </c>
      <c r="AP34" s="1">
        <f t="shared" si="12"/>
        <v>24.5</v>
      </c>
      <c r="AQ34" s="16">
        <f t="shared" si="2"/>
        <v>0.19400000000000001</v>
      </c>
      <c r="AR34" s="23">
        <f t="shared" si="13"/>
        <v>0.59799999999999998</v>
      </c>
      <c r="AT34" s="18">
        <f t="shared" si="3"/>
        <v>45686</v>
      </c>
      <c r="AU34" s="19">
        <f t="shared" si="4"/>
        <v>29</v>
      </c>
      <c r="AV34" s="1">
        <f t="shared" si="14"/>
        <v>0.4</v>
      </c>
      <c r="AW34" s="1">
        <f t="shared" si="15"/>
        <v>3.6</v>
      </c>
      <c r="AX34" s="1">
        <f t="shared" si="16"/>
        <v>-2.6</v>
      </c>
      <c r="AY34" s="1">
        <f t="shared" si="8"/>
        <v>32</v>
      </c>
      <c r="AZ34" s="1">
        <f t="shared" si="9"/>
        <v>24.5</v>
      </c>
      <c r="BA34" s="1">
        <f t="shared" si="17"/>
        <v>0.79499999999999993</v>
      </c>
      <c r="BB34" s="5">
        <f t="shared" si="18"/>
        <v>-0.3</v>
      </c>
      <c r="BC34" s="1">
        <f>ROUND(AC34,1)</f>
        <v>-4.5999999999999996</v>
      </c>
      <c r="BD34" s="1">
        <f>ROUND(AD34,1)</f>
        <v>-0.9</v>
      </c>
      <c r="BE34" s="1">
        <f>ROUND(AE34,1)</f>
        <v>-6.8</v>
      </c>
      <c r="BF34" s="5">
        <f t="shared" si="19"/>
        <v>0.2</v>
      </c>
      <c r="BG34" s="5">
        <f t="shared" si="20"/>
        <v>0.8</v>
      </c>
      <c r="BH34" s="5">
        <f t="shared" si="21"/>
        <v>1.5</v>
      </c>
      <c r="BI34" s="5">
        <f t="shared" si="22"/>
        <v>0.112</v>
      </c>
      <c r="BJ34" s="9">
        <f t="shared" si="23"/>
        <v>0.19400000000000001</v>
      </c>
      <c r="BK34" s="9">
        <f t="shared" si="23"/>
        <v>0.59799999999999998</v>
      </c>
      <c r="BM34" s="1">
        <f t="shared" si="24"/>
        <v>-4.4989999999999997</v>
      </c>
      <c r="BN34" s="1">
        <f t="shared" si="25"/>
        <v>-4.2519999999999998</v>
      </c>
    </row>
    <row r="35" spans="1:66" x14ac:dyDescent="0.2">
      <c r="A35" s="4">
        <f t="shared" si="26"/>
        <v>45687</v>
      </c>
      <c r="B35" s="1">
        <v>30</v>
      </c>
      <c r="C35" s="1">
        <v>12</v>
      </c>
      <c r="D35" s="5">
        <v>12.93</v>
      </c>
      <c r="E35" s="5">
        <v>-0.58499999999999996</v>
      </c>
      <c r="F35" s="5">
        <v>-4.4400000000000004</v>
      </c>
      <c r="G35" s="5">
        <v>-1.573</v>
      </c>
      <c r="H35" s="5">
        <v>41.46</v>
      </c>
      <c r="I35" s="5">
        <v>9.1999999999999998E-2</v>
      </c>
      <c r="J35" s="5">
        <v>-0.63600000000000001</v>
      </c>
      <c r="K35" s="5">
        <v>0.23499999999999999</v>
      </c>
      <c r="L35" s="5">
        <v>0.76100000000000001</v>
      </c>
      <c r="M35" s="5">
        <v>1.5</v>
      </c>
      <c r="N35" s="5">
        <v>0.49399999999999999</v>
      </c>
      <c r="O35" s="5">
        <v>73.900000000000006</v>
      </c>
      <c r="P35" s="5">
        <v>0.17599999999999999</v>
      </c>
      <c r="Q35" s="5">
        <v>-0.51400000000000001</v>
      </c>
      <c r="R35" s="5">
        <v>0.32500000000000001</v>
      </c>
      <c r="S35" s="5">
        <v>0.85299999999999998</v>
      </c>
      <c r="T35" s="5">
        <v>1.603</v>
      </c>
      <c r="U35" s="5">
        <v>-5.1459999999999999</v>
      </c>
      <c r="V35" s="5">
        <v>27.31</v>
      </c>
      <c r="W35" s="5">
        <v>8.0000000000000002E-3</v>
      </c>
      <c r="X35" s="5">
        <v>-0.76800000000000002</v>
      </c>
      <c r="Y35" s="5">
        <v>0.14599999999999999</v>
      </c>
      <c r="Z35" s="5">
        <v>0.68100000000000005</v>
      </c>
      <c r="AA35" s="5">
        <v>1.421</v>
      </c>
      <c r="AB35" s="5">
        <v>1.4890000000000001</v>
      </c>
      <c r="AC35" s="5">
        <v>-4.3550000000000004</v>
      </c>
      <c r="AD35" s="5">
        <v>-2.5680000000000001</v>
      </c>
      <c r="AE35" s="5">
        <v>-5.9260000000000002</v>
      </c>
      <c r="AF35" s="5">
        <v>0.30099999999999999</v>
      </c>
      <c r="AG35" s="5">
        <v>-5.0819999999999999</v>
      </c>
      <c r="AH35" s="5">
        <v>1.5</v>
      </c>
      <c r="AI35" s="5">
        <v>0.112</v>
      </c>
      <c r="AK35" s="5">
        <f t="shared" si="0"/>
        <v>0.78599999999999981</v>
      </c>
      <c r="AL35" s="22">
        <f t="shared" si="1"/>
        <v>-0.2</v>
      </c>
      <c r="AN35" s="1">
        <f t="shared" si="10"/>
        <v>73.900000000000006</v>
      </c>
      <c r="AO35" s="1">
        <f t="shared" si="11"/>
        <v>41.5</v>
      </c>
      <c r="AP35" s="1">
        <f t="shared" si="12"/>
        <v>27.3</v>
      </c>
      <c r="AQ35" s="16">
        <f t="shared" si="2"/>
        <v>0.17299999999999999</v>
      </c>
      <c r="AR35" s="23">
        <f t="shared" si="13"/>
        <v>0.46100000000000002</v>
      </c>
      <c r="AT35" s="18">
        <f t="shared" si="3"/>
        <v>45687</v>
      </c>
      <c r="AU35" s="19">
        <f t="shared" si="4"/>
        <v>30</v>
      </c>
      <c r="AV35" s="1">
        <f t="shared" si="14"/>
        <v>-1.6</v>
      </c>
      <c r="AW35" s="1">
        <f t="shared" si="15"/>
        <v>0.5</v>
      </c>
      <c r="AX35" s="1">
        <f t="shared" si="16"/>
        <v>-5.0999999999999996</v>
      </c>
      <c r="AY35" s="1">
        <f t="shared" si="8"/>
        <v>41.5</v>
      </c>
      <c r="AZ35" s="1">
        <f t="shared" si="9"/>
        <v>27.3</v>
      </c>
      <c r="BA35" s="1">
        <f t="shared" si="17"/>
        <v>0.78599999999999981</v>
      </c>
      <c r="BB35" s="5">
        <f t="shared" si="18"/>
        <v>-0.2</v>
      </c>
      <c r="BC35" s="1">
        <f>ROUND(AC35,1)</f>
        <v>-4.4000000000000004</v>
      </c>
      <c r="BD35" s="1">
        <f>ROUND(AD35,1)</f>
        <v>-2.6</v>
      </c>
      <c r="BE35" s="1">
        <f>ROUND(AE35,1)</f>
        <v>-5.9</v>
      </c>
      <c r="BF35" s="5">
        <f t="shared" si="19"/>
        <v>0.2</v>
      </c>
      <c r="BG35" s="5">
        <f t="shared" si="20"/>
        <v>0.8</v>
      </c>
      <c r="BH35" s="5">
        <f t="shared" si="21"/>
        <v>1.5</v>
      </c>
      <c r="BI35" s="5">
        <f t="shared" si="22"/>
        <v>0.112</v>
      </c>
      <c r="BJ35" s="9">
        <f t="shared" si="23"/>
        <v>0.17299999999999999</v>
      </c>
      <c r="BK35" s="9">
        <f t="shared" si="23"/>
        <v>0.46100000000000002</v>
      </c>
      <c r="BM35" s="1">
        <f t="shared" si="24"/>
        <v>-3.0620000000000003</v>
      </c>
      <c r="BN35" s="1">
        <f t="shared" si="25"/>
        <v>-0.78000000000000025</v>
      </c>
    </row>
    <row r="36" spans="1:66" x14ac:dyDescent="0.2">
      <c r="A36" s="4">
        <f t="shared" si="26"/>
        <v>45688</v>
      </c>
      <c r="B36" s="1">
        <v>31</v>
      </c>
      <c r="C36" s="1">
        <v>12</v>
      </c>
      <c r="D36" s="5">
        <v>12.88</v>
      </c>
      <c r="E36" s="5">
        <v>-3.3420000000000001</v>
      </c>
      <c r="F36" s="5">
        <v>-6.577</v>
      </c>
      <c r="G36" s="5">
        <v>-5.0350000000000001</v>
      </c>
      <c r="H36" s="5">
        <v>91.1</v>
      </c>
      <c r="I36" s="5">
        <v>6.4000000000000001E-2</v>
      </c>
      <c r="J36" s="5">
        <v>-0.59399999999999997</v>
      </c>
      <c r="K36" s="5">
        <v>0.22500000000000001</v>
      </c>
      <c r="L36" s="5">
        <v>0.748</v>
      </c>
      <c r="M36" s="5">
        <v>1.488</v>
      </c>
      <c r="N36" s="5">
        <v>-3.3180000000000001</v>
      </c>
      <c r="O36" s="5">
        <v>94.3</v>
      </c>
      <c r="P36" s="5">
        <v>0.14699999999999999</v>
      </c>
      <c r="Q36" s="5">
        <v>-0.497</v>
      </c>
      <c r="R36" s="5">
        <v>0.30499999999999999</v>
      </c>
      <c r="S36" s="5">
        <v>0.83799999999999997</v>
      </c>
      <c r="T36" s="5">
        <v>1.5780000000000001</v>
      </c>
      <c r="U36" s="5">
        <v>-7.4729999999999999</v>
      </c>
      <c r="V36" s="5">
        <v>64.98</v>
      </c>
      <c r="W36" s="5">
        <v>-2.3E-2</v>
      </c>
      <c r="X36" s="5">
        <v>-0.68</v>
      </c>
      <c r="Y36" s="5">
        <v>0.152</v>
      </c>
      <c r="Z36" s="5">
        <v>0.67600000000000005</v>
      </c>
      <c r="AA36" s="5">
        <v>1.417</v>
      </c>
      <c r="AB36" s="5">
        <v>1.4450000000000001</v>
      </c>
      <c r="AC36" s="5">
        <v>-5.2489999999999997</v>
      </c>
      <c r="AD36" s="5">
        <v>-3.4929999999999999</v>
      </c>
      <c r="AE36" s="5">
        <v>-7.6079999999999997</v>
      </c>
      <c r="AF36" s="5">
        <v>-3.1539999999999999</v>
      </c>
      <c r="AG36" s="5">
        <v>-7.4580000000000002</v>
      </c>
      <c r="AH36" s="5">
        <v>1.4570000000000001</v>
      </c>
      <c r="AI36" s="5">
        <v>0.112</v>
      </c>
      <c r="AK36" s="5">
        <f t="shared" si="0"/>
        <v>0.82999999999999985</v>
      </c>
      <c r="AL36" s="22">
        <f t="shared" si="1"/>
        <v>-0.2</v>
      </c>
      <c r="AN36" s="1">
        <f t="shared" si="10"/>
        <v>94.3</v>
      </c>
      <c r="AO36" s="1">
        <f t="shared" si="11"/>
        <v>91.1</v>
      </c>
      <c r="AP36" s="1">
        <f t="shared" si="12"/>
        <v>65</v>
      </c>
      <c r="AQ36" s="16">
        <f t="shared" si="2"/>
        <v>0.311</v>
      </c>
      <c r="AR36" s="23">
        <f t="shared" si="13"/>
        <v>0.16700000000000001</v>
      </c>
      <c r="AT36" s="18">
        <f t="shared" si="3"/>
        <v>45688</v>
      </c>
      <c r="AU36" s="19">
        <f t="shared" si="4"/>
        <v>31</v>
      </c>
      <c r="AV36" s="1">
        <f t="shared" si="14"/>
        <v>-5</v>
      </c>
      <c r="AW36" s="1">
        <f t="shared" si="15"/>
        <v>-3.3</v>
      </c>
      <c r="AX36" s="1">
        <f t="shared" si="16"/>
        <v>-7.5</v>
      </c>
      <c r="AY36" s="1">
        <f t="shared" si="8"/>
        <v>91.1</v>
      </c>
      <c r="AZ36" s="1">
        <f t="shared" si="9"/>
        <v>65</v>
      </c>
      <c r="BA36" s="1">
        <f t="shared" si="17"/>
        <v>0.82999999999999985</v>
      </c>
      <c r="BB36" s="5">
        <f t="shared" si="18"/>
        <v>-0.2</v>
      </c>
      <c r="BC36" s="1">
        <f>ROUND(AC36,1)</f>
        <v>-5.2</v>
      </c>
      <c r="BD36" s="1">
        <f>ROUND(AD36,1)</f>
        <v>-3.5</v>
      </c>
      <c r="BE36" s="1">
        <f>ROUND(AE36,1)</f>
        <v>-7.6</v>
      </c>
      <c r="BF36" s="5">
        <f t="shared" si="19"/>
        <v>0.2</v>
      </c>
      <c r="BG36" s="5">
        <f t="shared" si="20"/>
        <v>0.7</v>
      </c>
      <c r="BH36" s="5">
        <f t="shared" si="21"/>
        <v>1.5</v>
      </c>
      <c r="BI36" s="5">
        <f t="shared" si="22"/>
        <v>0.112</v>
      </c>
      <c r="BJ36" s="9">
        <f t="shared" si="23"/>
        <v>0.311</v>
      </c>
      <c r="BK36" s="9">
        <f t="shared" si="23"/>
        <v>0.16700000000000001</v>
      </c>
      <c r="BM36" s="1">
        <f t="shared" si="24"/>
        <v>-0.17499999999999982</v>
      </c>
      <c r="BN36" s="1">
        <f t="shared" si="25"/>
        <v>-0.13499999999999979</v>
      </c>
    </row>
    <row r="37" spans="1:66" x14ac:dyDescent="0.2">
      <c r="A37" s="4">
        <f t="shared" si="26"/>
        <v>45689</v>
      </c>
      <c r="B37" s="1">
        <v>32</v>
      </c>
      <c r="C37" s="1">
        <v>12</v>
      </c>
      <c r="D37" s="5">
        <v>12.88</v>
      </c>
      <c r="E37" s="5">
        <v>-4.2679999999999998</v>
      </c>
      <c r="F37" s="5">
        <v>-11.79</v>
      </c>
      <c r="G37" s="5">
        <v>-10.16</v>
      </c>
      <c r="H37" s="5">
        <v>85.4</v>
      </c>
      <c r="I37" s="5">
        <v>4.8000000000000001E-2</v>
      </c>
      <c r="J37" s="5">
        <v>-0.58599999999999997</v>
      </c>
      <c r="K37" s="5">
        <v>0.20899999999999999</v>
      </c>
      <c r="L37" s="5">
        <v>0.72599999999999998</v>
      </c>
      <c r="M37" s="5">
        <v>1.4590000000000001</v>
      </c>
      <c r="N37" s="5">
        <v>-4.5019999999999998</v>
      </c>
      <c r="O37" s="5">
        <v>93.9</v>
      </c>
      <c r="P37" s="5">
        <v>0.13200000000000001</v>
      </c>
      <c r="Q37" s="5">
        <v>-0.50700000000000001</v>
      </c>
      <c r="R37" s="5">
        <v>0.28799999999999998</v>
      </c>
      <c r="S37" s="5">
        <v>0.81299999999999994</v>
      </c>
      <c r="T37" s="5">
        <v>1.538</v>
      </c>
      <c r="U37" s="5">
        <v>-12.6</v>
      </c>
      <c r="V37" s="5">
        <v>73.8</v>
      </c>
      <c r="W37" s="5">
        <v>-4.2000000000000003E-2</v>
      </c>
      <c r="X37" s="5">
        <v>-0.67400000000000004</v>
      </c>
      <c r="Y37" s="5">
        <v>0.123</v>
      </c>
      <c r="Z37" s="5">
        <v>0.63700000000000001</v>
      </c>
      <c r="AA37" s="5">
        <v>1.3720000000000001</v>
      </c>
      <c r="AB37" s="5">
        <v>1.411</v>
      </c>
      <c r="AC37" s="5">
        <v>-10.85</v>
      </c>
      <c r="AD37" s="5">
        <v>-4.8680000000000003</v>
      </c>
      <c r="AE37" s="5">
        <v>-14.18</v>
      </c>
      <c r="AF37" s="5">
        <v>-4.74</v>
      </c>
      <c r="AG37" s="5">
        <v>-12.67</v>
      </c>
      <c r="AH37" s="5">
        <v>1.444</v>
      </c>
      <c r="AI37" s="5">
        <v>0.112</v>
      </c>
      <c r="AK37" s="5">
        <f t="shared" si="0"/>
        <v>0.86399999999999988</v>
      </c>
      <c r="AL37" s="22">
        <f t="shared" si="1"/>
        <v>-0.2</v>
      </c>
      <c r="AN37" s="1">
        <f t="shared" si="10"/>
        <v>93.9</v>
      </c>
      <c r="AO37" s="1">
        <f t="shared" si="11"/>
        <v>85.4</v>
      </c>
      <c r="AP37" s="1">
        <f t="shared" si="12"/>
        <v>73.8</v>
      </c>
      <c r="AQ37" s="16">
        <f t="shared" si="2"/>
        <v>0.32300000000000001</v>
      </c>
      <c r="AR37" s="23">
        <f t="shared" si="13"/>
        <v>0.115</v>
      </c>
      <c r="AT37" s="18">
        <f t="shared" si="3"/>
        <v>45689</v>
      </c>
      <c r="AU37" s="19">
        <f t="shared" si="4"/>
        <v>32</v>
      </c>
      <c r="AV37" s="1">
        <f t="shared" si="14"/>
        <v>-10.199999999999999</v>
      </c>
      <c r="AW37" s="1">
        <f t="shared" si="15"/>
        <v>-4.5</v>
      </c>
      <c r="AX37" s="1">
        <f t="shared" si="16"/>
        <v>-12.6</v>
      </c>
      <c r="AY37" s="1">
        <f t="shared" si="8"/>
        <v>85.4</v>
      </c>
      <c r="AZ37" s="1">
        <f t="shared" si="9"/>
        <v>73.8</v>
      </c>
      <c r="BA37" s="1">
        <f t="shared" si="17"/>
        <v>0.86399999999999988</v>
      </c>
      <c r="BB37" s="5">
        <f t="shared" si="18"/>
        <v>-0.2</v>
      </c>
      <c r="BC37" s="1">
        <f>ROUND(AC37,1)</f>
        <v>-10.9</v>
      </c>
      <c r="BD37" s="1">
        <f>ROUND(AD37,1)</f>
        <v>-4.9000000000000004</v>
      </c>
      <c r="BE37" s="1">
        <f>ROUND(AE37,1)</f>
        <v>-14.2</v>
      </c>
      <c r="BF37" s="5">
        <f t="shared" si="19"/>
        <v>0.2</v>
      </c>
      <c r="BG37" s="5">
        <f t="shared" si="20"/>
        <v>0.7</v>
      </c>
      <c r="BH37" s="5">
        <f t="shared" si="21"/>
        <v>1.5</v>
      </c>
      <c r="BI37" s="5">
        <f t="shared" si="22"/>
        <v>0.112</v>
      </c>
      <c r="BJ37" s="9">
        <f t="shared" si="23"/>
        <v>0.32300000000000001</v>
      </c>
      <c r="BK37" s="9">
        <f t="shared" si="23"/>
        <v>0.115</v>
      </c>
      <c r="BM37" s="1">
        <f t="shared" si="24"/>
        <v>-0.36600000000000055</v>
      </c>
      <c r="BN37" s="1">
        <f t="shared" si="25"/>
        <v>-1.58</v>
      </c>
    </row>
    <row r="38" spans="1:66" x14ac:dyDescent="0.2">
      <c r="A38" s="4">
        <f t="shared" si="26"/>
        <v>45690</v>
      </c>
      <c r="B38" s="1">
        <v>33</v>
      </c>
      <c r="C38" s="1">
        <v>12</v>
      </c>
      <c r="D38" s="5">
        <v>12.85</v>
      </c>
      <c r="E38" s="5">
        <v>-9.91</v>
      </c>
      <c r="F38" s="5">
        <v>-14.22</v>
      </c>
      <c r="G38" s="5">
        <v>-12.35</v>
      </c>
      <c r="H38" s="5">
        <v>85.2</v>
      </c>
      <c r="I38" s="5">
        <v>3.1E-2</v>
      </c>
      <c r="J38" s="5">
        <v>-0.65200000000000002</v>
      </c>
      <c r="K38" s="5">
        <v>0.19800000000000001</v>
      </c>
      <c r="L38" s="5">
        <v>0.71199999999999997</v>
      </c>
      <c r="M38" s="5">
        <v>1.4370000000000001</v>
      </c>
      <c r="N38" s="5">
        <v>-10.27</v>
      </c>
      <c r="O38" s="5">
        <v>87.7</v>
      </c>
      <c r="P38" s="5">
        <v>0.108</v>
      </c>
      <c r="Q38" s="5">
        <v>-0.54700000000000004</v>
      </c>
      <c r="R38" s="5">
        <v>0.28499999999999998</v>
      </c>
      <c r="S38" s="5">
        <v>0.8</v>
      </c>
      <c r="T38" s="5">
        <v>1.532</v>
      </c>
      <c r="U38" s="5">
        <v>-15.41</v>
      </c>
      <c r="V38" s="5">
        <v>82.4</v>
      </c>
      <c r="W38" s="5">
        <v>-5.3999999999999999E-2</v>
      </c>
      <c r="X38" s="5">
        <v>-0.77</v>
      </c>
      <c r="Y38" s="5">
        <v>0.11600000000000001</v>
      </c>
      <c r="Z38" s="5">
        <v>0.62</v>
      </c>
      <c r="AA38" s="5">
        <v>1.36</v>
      </c>
      <c r="AB38" s="5">
        <v>1.4279999999999999</v>
      </c>
      <c r="AC38" s="5">
        <v>-13.31</v>
      </c>
      <c r="AD38" s="5">
        <v>-10.3</v>
      </c>
      <c r="AE38" s="5">
        <v>-17.07</v>
      </c>
      <c r="AF38" s="5">
        <v>-9.74</v>
      </c>
      <c r="AG38" s="5">
        <v>-15.46</v>
      </c>
      <c r="AH38" s="5">
        <v>1.4610000000000001</v>
      </c>
      <c r="AI38" s="5">
        <v>0.112</v>
      </c>
      <c r="AK38" s="5">
        <f t="shared" si="0"/>
        <v>0.84699999999999998</v>
      </c>
      <c r="AL38" s="22">
        <f t="shared" si="1"/>
        <v>-0.2</v>
      </c>
      <c r="AN38" s="1">
        <f t="shared" si="10"/>
        <v>87.7</v>
      </c>
      <c r="AO38" s="1">
        <f t="shared" si="11"/>
        <v>85.2</v>
      </c>
      <c r="AP38" s="1">
        <f t="shared" si="12"/>
        <v>82.4</v>
      </c>
      <c r="AQ38" s="16">
        <f t="shared" si="2"/>
        <v>0.23</v>
      </c>
      <c r="AR38" s="23">
        <f t="shared" si="13"/>
        <v>4.9000000000000002E-2</v>
      </c>
      <c r="AT38" s="18">
        <f t="shared" si="3"/>
        <v>45690</v>
      </c>
      <c r="AU38" s="19">
        <f t="shared" si="4"/>
        <v>33</v>
      </c>
      <c r="AV38" s="1">
        <f t="shared" si="14"/>
        <v>-12.4</v>
      </c>
      <c r="AW38" s="1">
        <f t="shared" si="15"/>
        <v>-10.3</v>
      </c>
      <c r="AX38" s="1">
        <f t="shared" si="16"/>
        <v>-15.4</v>
      </c>
      <c r="AY38" s="1">
        <f t="shared" si="8"/>
        <v>85.2</v>
      </c>
      <c r="AZ38" s="1">
        <f t="shared" si="9"/>
        <v>82.4</v>
      </c>
      <c r="BA38" s="1">
        <f t="shared" si="17"/>
        <v>0.84699999999999998</v>
      </c>
      <c r="BB38" s="5">
        <f t="shared" si="18"/>
        <v>-0.2</v>
      </c>
      <c r="BC38" s="1">
        <f>ROUND(AC38,1)</f>
        <v>-13.3</v>
      </c>
      <c r="BD38" s="1">
        <f>ROUND(AD38,1)</f>
        <v>-10.3</v>
      </c>
      <c r="BE38" s="1">
        <f>ROUND(AE38,1)</f>
        <v>-17.100000000000001</v>
      </c>
      <c r="BF38" s="5">
        <f t="shared" si="19"/>
        <v>0.2</v>
      </c>
      <c r="BG38" s="5">
        <f t="shared" si="20"/>
        <v>0.7</v>
      </c>
      <c r="BH38" s="5">
        <f t="shared" si="21"/>
        <v>1.4</v>
      </c>
      <c r="BI38" s="5">
        <f t="shared" si="22"/>
        <v>0.112</v>
      </c>
      <c r="BJ38" s="9">
        <f t="shared" si="23"/>
        <v>0.23</v>
      </c>
      <c r="BK38" s="9">
        <f t="shared" si="23"/>
        <v>4.9000000000000002E-2</v>
      </c>
      <c r="BM38" s="1">
        <f t="shared" si="24"/>
        <v>-3.0000000000001137E-2</v>
      </c>
      <c r="BN38" s="1">
        <f t="shared" si="25"/>
        <v>-1.6600000000000001</v>
      </c>
    </row>
    <row r="39" spans="1:66" x14ac:dyDescent="0.2">
      <c r="A39" s="4">
        <f t="shared" si="26"/>
        <v>45691</v>
      </c>
      <c r="B39" s="1">
        <v>34</v>
      </c>
      <c r="C39" s="1">
        <v>12</v>
      </c>
      <c r="D39" s="5">
        <v>12.85</v>
      </c>
      <c r="E39" s="5">
        <v>-10.44</v>
      </c>
      <c r="F39" s="5">
        <v>-13.1</v>
      </c>
      <c r="G39" s="5">
        <v>-12.32</v>
      </c>
      <c r="H39" s="5">
        <v>86</v>
      </c>
      <c r="I39" s="5">
        <v>3.5000000000000003E-2</v>
      </c>
      <c r="J39" s="5">
        <v>-0.77700000000000002</v>
      </c>
      <c r="K39" s="5">
        <v>0.2</v>
      </c>
      <c r="L39" s="5">
        <v>0.71399999999999997</v>
      </c>
      <c r="M39" s="5">
        <v>1.4339999999999999</v>
      </c>
      <c r="N39" s="5">
        <v>-11.15</v>
      </c>
      <c r="O39" s="5">
        <v>87.4</v>
      </c>
      <c r="P39" s="5">
        <v>0.104</v>
      </c>
      <c r="Q39" s="5">
        <v>-0.66400000000000003</v>
      </c>
      <c r="R39" s="5">
        <v>0.28699999999999998</v>
      </c>
      <c r="S39" s="5">
        <v>0.79</v>
      </c>
      <c r="T39" s="5">
        <v>1.512</v>
      </c>
      <c r="U39" s="5">
        <v>-13.58</v>
      </c>
      <c r="V39" s="5">
        <v>84.9</v>
      </c>
      <c r="W39" s="5">
        <v>-3.2000000000000001E-2</v>
      </c>
      <c r="X39" s="5">
        <v>-0.91600000000000004</v>
      </c>
      <c r="Y39" s="5">
        <v>0.125</v>
      </c>
      <c r="Z39" s="5">
        <v>0.63500000000000001</v>
      </c>
      <c r="AA39" s="5">
        <v>1.3480000000000001</v>
      </c>
      <c r="AB39" s="5">
        <v>1.405</v>
      </c>
      <c r="AC39" s="5">
        <v>-12.56</v>
      </c>
      <c r="AD39" s="5">
        <v>-11.02</v>
      </c>
      <c r="AE39" s="5">
        <v>-14.67</v>
      </c>
      <c r="AF39" s="5">
        <v>-10.72</v>
      </c>
      <c r="AG39" s="5">
        <v>-13.69</v>
      </c>
      <c r="AH39" s="5">
        <v>1.4370000000000001</v>
      </c>
      <c r="AI39" s="5">
        <v>0.112</v>
      </c>
      <c r="AK39" s="5">
        <f t="shared" si="0"/>
        <v>0.86999999999999988</v>
      </c>
      <c r="AL39" s="22">
        <f t="shared" si="1"/>
        <v>-0.3</v>
      </c>
      <c r="AN39" s="1">
        <f t="shared" si="10"/>
        <v>87.4</v>
      </c>
      <c r="AO39" s="1">
        <f t="shared" si="11"/>
        <v>86</v>
      </c>
      <c r="AP39" s="1">
        <f t="shared" si="12"/>
        <v>84.9</v>
      </c>
      <c r="AQ39" s="16">
        <f t="shared" si="2"/>
        <v>0.221</v>
      </c>
      <c r="AR39" s="23">
        <f t="shared" si="13"/>
        <v>3.9E-2</v>
      </c>
      <c r="AT39" s="18">
        <f t="shared" si="3"/>
        <v>45691</v>
      </c>
      <c r="AU39" s="19">
        <f t="shared" si="4"/>
        <v>34</v>
      </c>
      <c r="AV39" s="1">
        <f t="shared" si="14"/>
        <v>-12.3</v>
      </c>
      <c r="AW39" s="1">
        <f t="shared" si="15"/>
        <v>-11.2</v>
      </c>
      <c r="AX39" s="1">
        <f t="shared" si="16"/>
        <v>-13.6</v>
      </c>
      <c r="AY39" s="1">
        <f t="shared" si="8"/>
        <v>86</v>
      </c>
      <c r="AZ39" s="1">
        <f t="shared" si="9"/>
        <v>84.9</v>
      </c>
      <c r="BA39" s="1">
        <f t="shared" si="17"/>
        <v>0.86999999999999988</v>
      </c>
      <c r="BB39" s="5">
        <f t="shared" si="18"/>
        <v>-0.3</v>
      </c>
      <c r="BC39" s="1">
        <f>ROUND(AC39,1)</f>
        <v>-12.6</v>
      </c>
      <c r="BD39" s="1">
        <f>ROUND(AD39,1)</f>
        <v>-11</v>
      </c>
      <c r="BE39" s="1">
        <f>ROUND(AE39,1)</f>
        <v>-14.7</v>
      </c>
      <c r="BF39" s="5">
        <f t="shared" si="19"/>
        <v>0.2</v>
      </c>
      <c r="BG39" s="5">
        <f t="shared" si="20"/>
        <v>0.7</v>
      </c>
      <c r="BH39" s="5">
        <f t="shared" si="21"/>
        <v>1.4</v>
      </c>
      <c r="BI39" s="5">
        <f t="shared" si="22"/>
        <v>0.112</v>
      </c>
      <c r="BJ39" s="9">
        <f t="shared" si="23"/>
        <v>0.221</v>
      </c>
      <c r="BK39" s="9">
        <f t="shared" si="23"/>
        <v>3.9E-2</v>
      </c>
      <c r="BM39" s="1">
        <f t="shared" si="24"/>
        <v>0.13000000000000078</v>
      </c>
      <c r="BN39" s="1">
        <f t="shared" si="25"/>
        <v>-1.0899999999999999</v>
      </c>
    </row>
    <row r="40" spans="1:66" x14ac:dyDescent="0.2">
      <c r="A40" s="4">
        <f t="shared" si="26"/>
        <v>45692</v>
      </c>
      <c r="B40" s="1">
        <v>35</v>
      </c>
      <c r="C40" s="1">
        <v>12</v>
      </c>
      <c r="D40" s="5">
        <v>12.97</v>
      </c>
      <c r="E40" s="5">
        <v>-8.31</v>
      </c>
      <c r="F40" s="5">
        <v>-16.57</v>
      </c>
      <c r="G40" s="5">
        <v>-13.13</v>
      </c>
      <c r="H40" s="5">
        <v>84.1</v>
      </c>
      <c r="I40" s="5">
        <v>0.03</v>
      </c>
      <c r="J40" s="5">
        <v>-0.89100000000000001</v>
      </c>
      <c r="K40" s="5">
        <v>0.182</v>
      </c>
      <c r="L40" s="5">
        <v>0.70199999999999996</v>
      </c>
      <c r="M40" s="5">
        <v>1.421</v>
      </c>
      <c r="N40" s="5">
        <v>-9.69</v>
      </c>
      <c r="O40" s="5">
        <v>87.1</v>
      </c>
      <c r="P40" s="5">
        <v>0.115</v>
      </c>
      <c r="Q40" s="5">
        <v>-0.78900000000000003</v>
      </c>
      <c r="R40" s="5">
        <v>0.26400000000000001</v>
      </c>
      <c r="S40" s="5">
        <v>0.79400000000000004</v>
      </c>
      <c r="T40" s="5">
        <v>1.5129999999999999</v>
      </c>
      <c r="U40" s="5">
        <v>-20.68</v>
      </c>
      <c r="V40" s="5">
        <v>73.56</v>
      </c>
      <c r="W40" s="5">
        <v>-8.4000000000000005E-2</v>
      </c>
      <c r="X40" s="5">
        <v>-1.0049999999999999</v>
      </c>
      <c r="Y40" s="5">
        <v>9.1999999999999998E-2</v>
      </c>
      <c r="Z40" s="5">
        <v>0.61299999999999999</v>
      </c>
      <c r="AA40" s="5">
        <v>1.331</v>
      </c>
      <c r="AB40" s="5">
        <v>1.4219999999999999</v>
      </c>
      <c r="AC40" s="5">
        <v>-14.18</v>
      </c>
      <c r="AD40" s="5">
        <v>-9.8699999999999992</v>
      </c>
      <c r="AE40" s="5">
        <v>-21.28</v>
      </c>
      <c r="AF40" s="5">
        <v>-8.2899999999999991</v>
      </c>
      <c r="AG40" s="5">
        <v>-20.51</v>
      </c>
      <c r="AH40" s="5">
        <v>1.478</v>
      </c>
      <c r="AI40" s="5">
        <v>0.112</v>
      </c>
      <c r="AK40" s="5">
        <f t="shared" si="0"/>
        <v>0.85299999999999998</v>
      </c>
      <c r="AL40" s="22">
        <f t="shared" si="1"/>
        <v>-0.4</v>
      </c>
      <c r="AN40" s="1">
        <f t="shared" si="10"/>
        <v>87.1</v>
      </c>
      <c r="AO40" s="1">
        <f t="shared" si="11"/>
        <v>84.1</v>
      </c>
      <c r="AP40" s="1">
        <f t="shared" si="12"/>
        <v>73.599999999999994</v>
      </c>
      <c r="AQ40" s="16">
        <f t="shared" si="2"/>
        <v>0.215</v>
      </c>
      <c r="AR40" s="23">
        <f t="shared" si="13"/>
        <v>7.6999999999999999E-2</v>
      </c>
      <c r="AT40" s="18">
        <f t="shared" ref="AT40" si="27">A40</f>
        <v>45692</v>
      </c>
      <c r="AU40" s="19">
        <f t="shared" ref="AU40" si="28">B40</f>
        <v>35</v>
      </c>
      <c r="AV40" s="1">
        <f t="shared" ref="AV40" si="29">ROUND(G40,1)</f>
        <v>-13.1</v>
      </c>
      <c r="AW40" s="1">
        <f t="shared" ref="AW40" si="30">ROUND(N40,1)</f>
        <v>-9.6999999999999993</v>
      </c>
      <c r="AX40" s="1">
        <f t="shared" ref="AX40" si="31">ROUND(U40,1)</f>
        <v>-20.7</v>
      </c>
      <c r="AY40" s="1">
        <f t="shared" si="8"/>
        <v>84.1</v>
      </c>
      <c r="AZ40" s="1">
        <f t="shared" si="9"/>
        <v>73.599999999999994</v>
      </c>
      <c r="BA40" s="1">
        <f t="shared" si="17"/>
        <v>0.85299999999999998</v>
      </c>
      <c r="BB40" s="5">
        <f t="shared" si="18"/>
        <v>-0.4</v>
      </c>
      <c r="BC40" s="1">
        <f>ROUND(AC40,1)</f>
        <v>-14.2</v>
      </c>
      <c r="BD40" s="1">
        <f>ROUND(AD40,1)</f>
        <v>-9.9</v>
      </c>
      <c r="BE40" s="1">
        <f>ROUND(AE40,1)</f>
        <v>-21.3</v>
      </c>
      <c r="BF40" s="5">
        <f t="shared" ref="BF40" si="32">ROUND(K40,1)</f>
        <v>0.2</v>
      </c>
      <c r="BG40" s="5">
        <f t="shared" ref="BG40" si="33">ROUND(L40,1)</f>
        <v>0.7</v>
      </c>
      <c r="BH40" s="5">
        <f t="shared" ref="BH40" si="34">ROUND(M40,1)</f>
        <v>1.4</v>
      </c>
      <c r="BI40" s="5">
        <f t="shared" si="22"/>
        <v>0.112</v>
      </c>
      <c r="BJ40" s="9">
        <f t="shared" si="23"/>
        <v>0.215</v>
      </c>
      <c r="BK40" s="9">
        <f t="shared" si="23"/>
        <v>7.6999999999999999E-2</v>
      </c>
      <c r="BM40" s="1">
        <f t="shared" ref="BM40" si="35">AD40-N40</f>
        <v>-0.17999999999999972</v>
      </c>
      <c r="BN40" s="1">
        <f t="shared" ref="BN40" si="36">AE40-U40</f>
        <v>-0.60000000000000142</v>
      </c>
    </row>
    <row r="41" spans="1:66" x14ac:dyDescent="0.2">
      <c r="A41" s="4">
        <f t="shared" si="26"/>
        <v>45693</v>
      </c>
      <c r="B41" s="1">
        <v>36</v>
      </c>
      <c r="C41" s="1">
        <v>12</v>
      </c>
      <c r="D41" s="5">
        <v>12.92</v>
      </c>
      <c r="E41" s="5">
        <v>-13.61</v>
      </c>
      <c r="F41" s="5">
        <v>-22.25</v>
      </c>
      <c r="G41" s="5">
        <v>-17.649999999999999</v>
      </c>
      <c r="H41" s="5">
        <v>80.599999999999994</v>
      </c>
      <c r="I41" s="5">
        <v>-1E-3</v>
      </c>
      <c r="J41" s="5">
        <v>-0.998</v>
      </c>
      <c r="K41" s="5">
        <v>0.14000000000000001</v>
      </c>
      <c r="L41" s="5">
        <v>0.66800000000000004</v>
      </c>
      <c r="M41" s="5">
        <v>1.393</v>
      </c>
      <c r="N41" s="5">
        <v>-13.24</v>
      </c>
      <c r="O41" s="5">
        <v>84.4</v>
      </c>
      <c r="P41" s="5">
        <v>9.0999999999999998E-2</v>
      </c>
      <c r="Q41" s="5">
        <v>-0.89100000000000001</v>
      </c>
      <c r="R41" s="5">
        <v>0.218</v>
      </c>
      <c r="S41" s="5">
        <v>0.752</v>
      </c>
      <c r="T41" s="5">
        <v>1.482</v>
      </c>
      <c r="U41" s="5">
        <v>-23.34</v>
      </c>
      <c r="V41" s="5">
        <v>76.98</v>
      </c>
      <c r="W41" s="5">
        <v>-0.108</v>
      </c>
      <c r="X41" s="5">
        <v>-1.087</v>
      </c>
      <c r="Y41" s="5">
        <v>4.8000000000000001E-2</v>
      </c>
      <c r="Z41" s="5">
        <v>0.57899999999999996</v>
      </c>
      <c r="AA41" s="5">
        <v>1.3009999999999999</v>
      </c>
      <c r="AB41" s="5">
        <v>1.42</v>
      </c>
      <c r="AC41" s="5">
        <v>-18.239999999999998</v>
      </c>
      <c r="AD41" s="5">
        <v>-13.75</v>
      </c>
      <c r="AE41" s="5">
        <v>-23.94</v>
      </c>
      <c r="AF41" s="5">
        <v>-13.19</v>
      </c>
      <c r="AG41" s="5">
        <v>-23.38</v>
      </c>
      <c r="AH41" s="5">
        <v>1.458</v>
      </c>
      <c r="AI41" s="5">
        <v>0.112</v>
      </c>
      <c r="AK41" s="5">
        <f t="shared" si="0"/>
        <v>0.85499999999999998</v>
      </c>
      <c r="AL41" s="22">
        <f t="shared" si="1"/>
        <v>-0.4</v>
      </c>
      <c r="AN41" s="1">
        <f t="shared" si="10"/>
        <v>84.4</v>
      </c>
      <c r="AO41" s="1">
        <f t="shared" si="11"/>
        <v>80.599999999999994</v>
      </c>
      <c r="AP41" s="1">
        <f t="shared" si="12"/>
        <v>77</v>
      </c>
      <c r="AQ41" s="16">
        <f t="shared" si="2"/>
        <v>0.16900000000000001</v>
      </c>
      <c r="AR41" s="23">
        <f t="shared" si="13"/>
        <v>0.05</v>
      </c>
      <c r="AT41" s="18">
        <f t="shared" si="3"/>
        <v>45693</v>
      </c>
      <c r="AU41" s="19">
        <f t="shared" si="4"/>
        <v>36</v>
      </c>
      <c r="AV41" s="1">
        <f t="shared" si="14"/>
        <v>-17.7</v>
      </c>
      <c r="AW41" s="1">
        <f t="shared" si="15"/>
        <v>-13.2</v>
      </c>
      <c r="AX41" s="1">
        <f t="shared" si="16"/>
        <v>-23.3</v>
      </c>
      <c r="AY41" s="1">
        <f t="shared" si="8"/>
        <v>80.599999999999994</v>
      </c>
      <c r="AZ41" s="1">
        <f t="shared" si="9"/>
        <v>77</v>
      </c>
      <c r="BA41" s="1">
        <f t="shared" si="17"/>
        <v>0.85499999999999998</v>
      </c>
      <c r="BB41" s="5">
        <f t="shared" si="18"/>
        <v>-0.4</v>
      </c>
      <c r="BC41" s="1">
        <f>ROUND(AC41,1)</f>
        <v>-18.2</v>
      </c>
      <c r="BD41" s="1">
        <f>ROUND(AD41,1)</f>
        <v>-13.8</v>
      </c>
      <c r="BE41" s="1">
        <f>ROUND(AE41,1)</f>
        <v>-23.9</v>
      </c>
      <c r="BF41" s="5">
        <f t="shared" si="19"/>
        <v>0.1</v>
      </c>
      <c r="BG41" s="5">
        <f t="shared" si="20"/>
        <v>0.7</v>
      </c>
      <c r="BH41" s="5">
        <f t="shared" si="21"/>
        <v>1.4</v>
      </c>
      <c r="BI41" s="5">
        <f t="shared" si="22"/>
        <v>0.112</v>
      </c>
      <c r="BJ41" s="9">
        <f t="shared" si="23"/>
        <v>0.16900000000000001</v>
      </c>
      <c r="BK41" s="9">
        <f t="shared" si="23"/>
        <v>0.05</v>
      </c>
      <c r="BM41" s="1">
        <f t="shared" si="24"/>
        <v>-0.50999999999999979</v>
      </c>
      <c r="BN41" s="1">
        <f t="shared" si="25"/>
        <v>-0.60000000000000142</v>
      </c>
    </row>
    <row r="42" spans="1:66" x14ac:dyDescent="0.2">
      <c r="A42" s="4">
        <f t="shared" si="26"/>
        <v>45694</v>
      </c>
      <c r="B42" s="1">
        <v>37</v>
      </c>
      <c r="C42" s="1">
        <v>12</v>
      </c>
      <c r="D42" s="5">
        <v>12.9</v>
      </c>
      <c r="E42" s="5">
        <v>-9.57</v>
      </c>
      <c r="F42" s="5">
        <v>-14.62</v>
      </c>
      <c r="G42" s="5">
        <v>-13.19</v>
      </c>
      <c r="H42" s="5">
        <v>84.1</v>
      </c>
      <c r="I42" s="5">
        <v>1.9E-2</v>
      </c>
      <c r="J42" s="5">
        <v>-1.099</v>
      </c>
      <c r="K42" s="5">
        <v>0.14899999999999999</v>
      </c>
      <c r="L42" s="5">
        <v>0.68100000000000005</v>
      </c>
      <c r="M42" s="5">
        <v>1.4059999999999999</v>
      </c>
      <c r="N42" s="5">
        <v>-10.47</v>
      </c>
      <c r="O42" s="5">
        <v>86.4</v>
      </c>
      <c r="P42" s="5">
        <v>0.10199999999999999</v>
      </c>
      <c r="Q42" s="5">
        <v>-0.96099999999999997</v>
      </c>
      <c r="R42" s="5">
        <v>0.24299999999999999</v>
      </c>
      <c r="S42" s="5">
        <v>0.77</v>
      </c>
      <c r="T42" s="5">
        <v>1.4950000000000001</v>
      </c>
      <c r="U42" s="5">
        <v>-15.81</v>
      </c>
      <c r="V42" s="5">
        <v>81.400000000000006</v>
      </c>
      <c r="W42" s="5">
        <v>-7.4999999999999997E-2</v>
      </c>
      <c r="X42" s="5">
        <v>-1.2430000000000001</v>
      </c>
      <c r="Y42" s="5">
        <v>6.6000000000000003E-2</v>
      </c>
      <c r="Z42" s="5">
        <v>0.59599999999999997</v>
      </c>
      <c r="AA42" s="5">
        <v>1.321</v>
      </c>
      <c r="AB42" s="5">
        <v>1.425</v>
      </c>
      <c r="AC42" s="5">
        <v>-13.8</v>
      </c>
      <c r="AD42" s="5">
        <v>-10.11</v>
      </c>
      <c r="AE42" s="5">
        <v>-16.96</v>
      </c>
      <c r="AF42" s="5">
        <v>-9.48</v>
      </c>
      <c r="AG42" s="5">
        <v>-15.54</v>
      </c>
      <c r="AH42" s="5">
        <v>1.4650000000000001</v>
      </c>
      <c r="AI42" s="5">
        <v>0.111</v>
      </c>
      <c r="AK42" s="5">
        <f t="shared" si="0"/>
        <v>0.84999999999999987</v>
      </c>
      <c r="AL42" s="22">
        <f t="shared" si="1"/>
        <v>-0.5</v>
      </c>
      <c r="AN42" s="1">
        <f t="shared" si="10"/>
        <v>86.4</v>
      </c>
      <c r="AO42" s="1">
        <f t="shared" si="11"/>
        <v>84.1</v>
      </c>
      <c r="AP42" s="1">
        <f t="shared" si="12"/>
        <v>81.400000000000006</v>
      </c>
      <c r="AQ42" s="16">
        <f t="shared" si="2"/>
        <v>0.224</v>
      </c>
      <c r="AR42" s="23">
        <f t="shared" si="13"/>
        <v>5.0999999999999997E-2</v>
      </c>
      <c r="AT42" s="18">
        <f t="shared" si="3"/>
        <v>45694</v>
      </c>
      <c r="AU42" s="19">
        <f t="shared" si="4"/>
        <v>37</v>
      </c>
      <c r="AV42" s="1">
        <f t="shared" si="14"/>
        <v>-13.2</v>
      </c>
      <c r="AW42" s="1">
        <f t="shared" si="15"/>
        <v>-10.5</v>
      </c>
      <c r="AX42" s="1">
        <f t="shared" si="16"/>
        <v>-15.8</v>
      </c>
      <c r="AY42" s="1">
        <f t="shared" si="8"/>
        <v>84.1</v>
      </c>
      <c r="AZ42" s="1">
        <f t="shared" si="9"/>
        <v>81.400000000000006</v>
      </c>
      <c r="BA42" s="1">
        <f t="shared" si="17"/>
        <v>0.84999999999999987</v>
      </c>
      <c r="BB42" s="5">
        <f t="shared" si="18"/>
        <v>-0.5</v>
      </c>
      <c r="BC42" s="1">
        <f>ROUND(AC42,1)</f>
        <v>-13.8</v>
      </c>
      <c r="BD42" s="1">
        <f>ROUND(AD42,1)</f>
        <v>-10.1</v>
      </c>
      <c r="BE42" s="1">
        <f>ROUND(AE42,1)</f>
        <v>-17</v>
      </c>
      <c r="BF42" s="5">
        <f t="shared" si="19"/>
        <v>0.1</v>
      </c>
      <c r="BG42" s="5">
        <f t="shared" si="20"/>
        <v>0.7</v>
      </c>
      <c r="BH42" s="5">
        <f t="shared" si="21"/>
        <v>1.4</v>
      </c>
      <c r="BI42" s="5">
        <f t="shared" si="22"/>
        <v>0.111</v>
      </c>
      <c r="BJ42" s="9">
        <f t="shared" si="23"/>
        <v>0.224</v>
      </c>
      <c r="BK42" s="9">
        <f t="shared" si="23"/>
        <v>5.0999999999999997E-2</v>
      </c>
      <c r="BM42" s="1">
        <f t="shared" si="24"/>
        <v>0.36000000000000121</v>
      </c>
      <c r="BN42" s="1">
        <f t="shared" si="25"/>
        <v>-1.1500000000000004</v>
      </c>
    </row>
    <row r="43" spans="1:66" x14ac:dyDescent="0.2">
      <c r="A43" s="4">
        <f t="shared" si="26"/>
        <v>45695</v>
      </c>
      <c r="B43" s="1">
        <v>38</v>
      </c>
      <c r="C43" s="1">
        <v>12</v>
      </c>
      <c r="D43" s="5">
        <v>12.99</v>
      </c>
      <c r="E43" s="5">
        <v>-6.665</v>
      </c>
      <c r="F43" s="5">
        <v>-15.44</v>
      </c>
      <c r="G43" s="5">
        <v>-12.96</v>
      </c>
      <c r="H43" s="5">
        <v>75.680000000000007</v>
      </c>
      <c r="I43" s="5">
        <v>-0.01</v>
      </c>
      <c r="J43" s="5">
        <v>-1.2250000000000001</v>
      </c>
      <c r="K43" s="5">
        <v>0.127</v>
      </c>
      <c r="L43" s="5">
        <v>0.66400000000000003</v>
      </c>
      <c r="M43" s="5">
        <v>1.395</v>
      </c>
      <c r="N43" s="5">
        <v>-8</v>
      </c>
      <c r="O43" s="5">
        <v>83.6</v>
      </c>
      <c r="P43" s="5">
        <v>8.8999999999999996E-2</v>
      </c>
      <c r="Q43" s="5">
        <v>-1.1180000000000001</v>
      </c>
      <c r="R43" s="5">
        <v>0.222</v>
      </c>
      <c r="S43" s="5">
        <v>0.76800000000000002</v>
      </c>
      <c r="T43" s="5">
        <v>1.488</v>
      </c>
      <c r="U43" s="5">
        <v>-15.3</v>
      </c>
      <c r="V43" s="5">
        <v>57.41</v>
      </c>
      <c r="W43" s="5">
        <v>-0.13600000000000001</v>
      </c>
      <c r="X43" s="5">
        <v>-1.327</v>
      </c>
      <c r="Y43" s="5">
        <v>0.04</v>
      </c>
      <c r="Z43" s="5">
        <v>0.57899999999999996</v>
      </c>
      <c r="AA43" s="5">
        <v>1.3069999999999999</v>
      </c>
      <c r="AB43" s="5">
        <v>1.4330000000000001</v>
      </c>
      <c r="AC43" s="5">
        <v>-14.84</v>
      </c>
      <c r="AD43" s="5">
        <v>-7.9569999999999999</v>
      </c>
      <c r="AE43" s="5">
        <v>-17.12</v>
      </c>
      <c r="AF43" s="5">
        <v>-6.8789999999999996</v>
      </c>
      <c r="AG43" s="5">
        <v>-15.6</v>
      </c>
      <c r="AH43" s="5">
        <v>1.47</v>
      </c>
      <c r="AI43" s="5">
        <v>0.111</v>
      </c>
      <c r="AK43" s="5">
        <f t="shared" si="0"/>
        <v>0.84199999999999986</v>
      </c>
      <c r="AL43" s="22">
        <f t="shared" si="1"/>
        <v>-0.5</v>
      </c>
      <c r="AN43" s="1">
        <f t="shared" si="10"/>
        <v>83.6</v>
      </c>
      <c r="AO43" s="1">
        <f t="shared" si="11"/>
        <v>75.7</v>
      </c>
      <c r="AP43" s="1">
        <f t="shared" si="12"/>
        <v>57.4</v>
      </c>
      <c r="AQ43" s="16">
        <f t="shared" si="2"/>
        <v>0.192</v>
      </c>
      <c r="AR43" s="23">
        <f t="shared" si="13"/>
        <v>0.14199999999999999</v>
      </c>
      <c r="AT43" s="18">
        <f t="shared" si="3"/>
        <v>45695</v>
      </c>
      <c r="AU43" s="19">
        <f t="shared" si="4"/>
        <v>38</v>
      </c>
      <c r="AV43" s="1">
        <f t="shared" si="14"/>
        <v>-13</v>
      </c>
      <c r="AW43" s="1">
        <f t="shared" si="15"/>
        <v>-8</v>
      </c>
      <c r="AX43" s="1">
        <f t="shared" si="16"/>
        <v>-15.3</v>
      </c>
      <c r="AY43" s="1">
        <f t="shared" si="8"/>
        <v>75.7</v>
      </c>
      <c r="AZ43" s="1">
        <f t="shared" si="9"/>
        <v>57.4</v>
      </c>
      <c r="BA43" s="1">
        <f t="shared" si="17"/>
        <v>0.84199999999999986</v>
      </c>
      <c r="BB43" s="5">
        <f t="shared" si="18"/>
        <v>-0.5</v>
      </c>
      <c r="BC43" s="1">
        <f>ROUND(AC43,1)</f>
        <v>-14.8</v>
      </c>
      <c r="BD43" s="1">
        <f>ROUND(AD43,1)</f>
        <v>-8</v>
      </c>
      <c r="BE43" s="1">
        <f>ROUND(AE43,1)</f>
        <v>-17.100000000000001</v>
      </c>
      <c r="BF43" s="5">
        <f t="shared" si="19"/>
        <v>0.1</v>
      </c>
      <c r="BG43" s="5">
        <f t="shared" si="20"/>
        <v>0.7</v>
      </c>
      <c r="BH43" s="5">
        <f t="shared" si="21"/>
        <v>1.4</v>
      </c>
      <c r="BI43" s="5">
        <f t="shared" si="22"/>
        <v>0.111</v>
      </c>
      <c r="BJ43" s="9">
        <f t="shared" si="23"/>
        <v>0.192</v>
      </c>
      <c r="BK43" s="9">
        <f t="shared" si="23"/>
        <v>0.14199999999999999</v>
      </c>
      <c r="BM43" s="1">
        <f t="shared" si="24"/>
        <v>4.3000000000000149E-2</v>
      </c>
      <c r="BN43" s="1">
        <f t="shared" si="25"/>
        <v>-1.8200000000000003</v>
      </c>
    </row>
    <row r="44" spans="1:66" x14ac:dyDescent="0.2">
      <c r="A44" s="4">
        <f t="shared" si="26"/>
        <v>45696</v>
      </c>
      <c r="B44" s="1">
        <v>39</v>
      </c>
      <c r="C44" s="1">
        <v>12</v>
      </c>
      <c r="D44" s="5">
        <v>12.93</v>
      </c>
      <c r="E44" s="5">
        <v>-11</v>
      </c>
      <c r="F44" s="5">
        <v>-16.8</v>
      </c>
      <c r="G44" s="5">
        <v>-14.29</v>
      </c>
      <c r="H44" s="5">
        <v>84</v>
      </c>
      <c r="I44" s="5">
        <v>-5.7000000000000002E-2</v>
      </c>
      <c r="J44" s="5">
        <v>-1.3080000000000001</v>
      </c>
      <c r="K44" s="5">
        <v>0.10199999999999999</v>
      </c>
      <c r="L44" s="5">
        <v>0.64400000000000002</v>
      </c>
      <c r="M44" s="5">
        <v>1.379</v>
      </c>
      <c r="N44" s="5">
        <v>-11.86</v>
      </c>
      <c r="O44" s="5">
        <v>86.3</v>
      </c>
      <c r="P44" s="5">
        <v>0.03</v>
      </c>
      <c r="Q44" s="5">
        <v>-1.214</v>
      </c>
      <c r="R44" s="5">
        <v>0.185</v>
      </c>
      <c r="S44" s="5">
        <v>0.72799999999999998</v>
      </c>
      <c r="T44" s="5">
        <v>1.4630000000000001</v>
      </c>
      <c r="U44" s="5">
        <v>-17.190000000000001</v>
      </c>
      <c r="V44" s="5">
        <v>81.2</v>
      </c>
      <c r="W44" s="5">
        <v>-0.14399999999999999</v>
      </c>
      <c r="X44" s="5">
        <v>-1.411</v>
      </c>
      <c r="Y44" s="5">
        <v>0.01</v>
      </c>
      <c r="Z44" s="5">
        <v>0.54700000000000004</v>
      </c>
      <c r="AA44" s="5">
        <v>1.294</v>
      </c>
      <c r="AB44" s="5">
        <v>1.4179999999999999</v>
      </c>
      <c r="AC44" s="5">
        <v>-15.04</v>
      </c>
      <c r="AD44" s="5">
        <v>-11.31</v>
      </c>
      <c r="AE44" s="5">
        <v>-19.27</v>
      </c>
      <c r="AF44" s="5">
        <v>-11.26</v>
      </c>
      <c r="AG44" s="5">
        <v>-17.489999999999998</v>
      </c>
      <c r="AH44" s="5">
        <v>1.464</v>
      </c>
      <c r="AI44" s="5">
        <v>0.111</v>
      </c>
      <c r="AK44" s="5">
        <f t="shared" si="0"/>
        <v>0.85699999999999998</v>
      </c>
      <c r="AL44" s="22">
        <f t="shared" si="1"/>
        <v>-0.6</v>
      </c>
      <c r="AN44" s="1">
        <f t="shared" si="10"/>
        <v>86.3</v>
      </c>
      <c r="AO44" s="1">
        <f t="shared" si="11"/>
        <v>84</v>
      </c>
      <c r="AP44" s="1">
        <f t="shared" si="12"/>
        <v>81.2</v>
      </c>
      <c r="AQ44" s="16">
        <f t="shared" si="2"/>
        <v>0.2</v>
      </c>
      <c r="AR44" s="23">
        <f t="shared" si="13"/>
        <v>4.5999999999999999E-2</v>
      </c>
      <c r="AT44" s="18">
        <f t="shared" si="3"/>
        <v>45696</v>
      </c>
      <c r="AU44" s="19">
        <f t="shared" si="4"/>
        <v>39</v>
      </c>
      <c r="AV44" s="1">
        <f t="shared" si="14"/>
        <v>-14.3</v>
      </c>
      <c r="AW44" s="1">
        <f t="shared" si="15"/>
        <v>-11.9</v>
      </c>
      <c r="AX44" s="1">
        <f t="shared" si="16"/>
        <v>-17.2</v>
      </c>
      <c r="AY44" s="1">
        <f t="shared" si="8"/>
        <v>84</v>
      </c>
      <c r="AZ44" s="1">
        <f t="shared" si="9"/>
        <v>81.2</v>
      </c>
      <c r="BA44" s="1">
        <f t="shared" si="17"/>
        <v>0.85699999999999998</v>
      </c>
      <c r="BB44" s="5">
        <f t="shared" si="18"/>
        <v>-0.6</v>
      </c>
      <c r="BC44" s="1">
        <f>ROUND(AC44,1)</f>
        <v>-15</v>
      </c>
      <c r="BD44" s="1">
        <f>ROUND(AD44,1)</f>
        <v>-11.3</v>
      </c>
      <c r="BE44" s="1">
        <f>ROUND(AE44,1)</f>
        <v>-19.3</v>
      </c>
      <c r="BF44" s="5">
        <f t="shared" si="19"/>
        <v>0.1</v>
      </c>
      <c r="BG44" s="5">
        <f t="shared" si="20"/>
        <v>0.6</v>
      </c>
      <c r="BH44" s="5">
        <f t="shared" si="21"/>
        <v>1.4</v>
      </c>
      <c r="BI44" s="5">
        <f t="shared" si="22"/>
        <v>0.111</v>
      </c>
      <c r="BJ44" s="9">
        <f t="shared" si="23"/>
        <v>0.2</v>
      </c>
      <c r="BK44" s="9">
        <f t="shared" si="23"/>
        <v>4.5999999999999999E-2</v>
      </c>
      <c r="BM44" s="1">
        <f t="shared" si="24"/>
        <v>0.54999999999999893</v>
      </c>
      <c r="BN44" s="1">
        <f t="shared" si="25"/>
        <v>-2.0799999999999983</v>
      </c>
    </row>
    <row r="45" spans="1:66" x14ac:dyDescent="0.2">
      <c r="A45" s="4">
        <f t="shared" si="26"/>
        <v>45697</v>
      </c>
      <c r="B45" s="1">
        <v>40</v>
      </c>
      <c r="C45" s="1">
        <v>12</v>
      </c>
      <c r="D45" s="5">
        <v>13.01</v>
      </c>
      <c r="E45" s="5">
        <v>-12.24</v>
      </c>
      <c r="F45" s="5">
        <v>-18.5</v>
      </c>
      <c r="G45" s="5">
        <v>-16.52</v>
      </c>
      <c r="H45" s="5">
        <v>81.400000000000006</v>
      </c>
      <c r="I45" s="5">
        <v>-0.10100000000000001</v>
      </c>
      <c r="J45" s="5">
        <v>-1.3740000000000001</v>
      </c>
      <c r="K45" s="5">
        <v>6.7000000000000004E-2</v>
      </c>
      <c r="L45" s="5">
        <v>0.61899999999999999</v>
      </c>
      <c r="M45" s="5">
        <v>1.357</v>
      </c>
      <c r="N45" s="5">
        <v>-13.65</v>
      </c>
      <c r="O45" s="5">
        <v>83.3</v>
      </c>
      <c r="P45" s="5">
        <v>-2.7E-2</v>
      </c>
      <c r="Q45" s="5">
        <v>-1.296</v>
      </c>
      <c r="R45" s="5">
        <v>0.157</v>
      </c>
      <c r="S45" s="5">
        <v>0.69599999999999995</v>
      </c>
      <c r="T45" s="5">
        <v>1.4379999999999999</v>
      </c>
      <c r="U45" s="5">
        <v>-18.98</v>
      </c>
      <c r="V45" s="5">
        <v>78.13</v>
      </c>
      <c r="W45" s="5">
        <v>-0.219</v>
      </c>
      <c r="X45" s="5">
        <v>-1.488</v>
      </c>
      <c r="Y45" s="5">
        <v>-1.7000000000000001E-2</v>
      </c>
      <c r="Z45" s="5">
        <v>0.53300000000000003</v>
      </c>
      <c r="AA45" s="5">
        <v>1.27</v>
      </c>
      <c r="AB45" s="5">
        <v>1.41</v>
      </c>
      <c r="AC45" s="5">
        <v>-17.62</v>
      </c>
      <c r="AD45" s="5">
        <v>-12.82</v>
      </c>
      <c r="AE45" s="5">
        <v>-20.64</v>
      </c>
      <c r="AF45" s="5">
        <v>-12.71</v>
      </c>
      <c r="AG45" s="5">
        <v>-19.3</v>
      </c>
      <c r="AH45" s="5">
        <v>1.4610000000000001</v>
      </c>
      <c r="AI45" s="5">
        <v>0.111</v>
      </c>
      <c r="AK45" s="5">
        <f t="shared" si="0"/>
        <v>0.86499999999999999</v>
      </c>
      <c r="AL45" s="22">
        <f t="shared" si="1"/>
        <v>-0.7</v>
      </c>
      <c r="AN45" s="1">
        <f t="shared" si="10"/>
        <v>83.3</v>
      </c>
      <c r="AO45" s="1">
        <f t="shared" si="11"/>
        <v>81.400000000000006</v>
      </c>
      <c r="AP45" s="1">
        <f t="shared" si="12"/>
        <v>78.099999999999994</v>
      </c>
      <c r="AQ45" s="16">
        <f t="shared" si="2"/>
        <v>0.16600000000000001</v>
      </c>
      <c r="AR45" s="23">
        <f t="shared" si="13"/>
        <v>4.7E-2</v>
      </c>
      <c r="AT45" s="18">
        <f t="shared" si="3"/>
        <v>45697</v>
      </c>
      <c r="AU45" s="19">
        <f t="shared" si="4"/>
        <v>40</v>
      </c>
      <c r="AV45" s="1">
        <f t="shared" si="14"/>
        <v>-16.5</v>
      </c>
      <c r="AW45" s="1">
        <f t="shared" si="15"/>
        <v>-13.7</v>
      </c>
      <c r="AX45" s="1">
        <f t="shared" si="16"/>
        <v>-19</v>
      </c>
      <c r="AY45" s="1">
        <f t="shared" si="8"/>
        <v>81.400000000000006</v>
      </c>
      <c r="AZ45" s="1">
        <f t="shared" si="9"/>
        <v>78.099999999999994</v>
      </c>
      <c r="BA45" s="1">
        <f t="shared" si="17"/>
        <v>0.86499999999999999</v>
      </c>
      <c r="BB45" s="5">
        <f t="shared" si="18"/>
        <v>-0.7</v>
      </c>
      <c r="BC45" s="1">
        <f>ROUND(AC45,1)</f>
        <v>-17.600000000000001</v>
      </c>
      <c r="BD45" s="1">
        <f>ROUND(AD45,1)</f>
        <v>-12.8</v>
      </c>
      <c r="BE45" s="1">
        <f>ROUND(AE45,1)</f>
        <v>-20.6</v>
      </c>
      <c r="BF45" s="5">
        <f t="shared" si="19"/>
        <v>0.1</v>
      </c>
      <c r="BG45" s="5">
        <f t="shared" si="20"/>
        <v>0.6</v>
      </c>
      <c r="BH45" s="5">
        <f t="shared" si="21"/>
        <v>1.4</v>
      </c>
      <c r="BI45" s="5">
        <f t="shared" si="22"/>
        <v>0.111</v>
      </c>
      <c r="BJ45" s="9">
        <f t="shared" si="23"/>
        <v>0.16600000000000001</v>
      </c>
      <c r="BK45" s="9">
        <f t="shared" si="23"/>
        <v>4.7E-2</v>
      </c>
      <c r="BM45" s="1">
        <f t="shared" si="24"/>
        <v>0.83000000000000007</v>
      </c>
      <c r="BN45" s="1">
        <f t="shared" si="25"/>
        <v>-1.6600000000000001</v>
      </c>
    </row>
    <row r="46" spans="1:66" x14ac:dyDescent="0.2">
      <c r="A46" s="4">
        <f t="shared" si="26"/>
        <v>45698</v>
      </c>
      <c r="B46" s="1">
        <v>41</v>
      </c>
      <c r="C46" s="1">
        <v>12</v>
      </c>
      <c r="D46" s="5">
        <v>13.03</v>
      </c>
      <c r="E46" s="5">
        <v>-13.86</v>
      </c>
      <c r="F46" s="5">
        <v>-19.97</v>
      </c>
      <c r="G46" s="5">
        <v>-18.96</v>
      </c>
      <c r="H46" s="5">
        <v>79.14</v>
      </c>
      <c r="I46" s="5">
        <v>-0.14399999999999999</v>
      </c>
      <c r="J46" s="5">
        <v>-1.44</v>
      </c>
      <c r="K46" s="5">
        <v>2.8000000000000001E-2</v>
      </c>
      <c r="L46" s="5">
        <v>0.58799999999999997</v>
      </c>
      <c r="M46" s="5">
        <v>1.33</v>
      </c>
      <c r="N46" s="5">
        <v>-15.87</v>
      </c>
      <c r="O46" s="5">
        <v>81.599999999999994</v>
      </c>
      <c r="P46" s="5">
        <v>-5.1999999999999998E-2</v>
      </c>
      <c r="Q46" s="5">
        <v>-1.3460000000000001</v>
      </c>
      <c r="R46" s="5">
        <v>0.11</v>
      </c>
      <c r="S46" s="5">
        <v>0.67100000000000004</v>
      </c>
      <c r="T46" s="5">
        <v>1.4119999999999999</v>
      </c>
      <c r="U46" s="5">
        <v>-20.3</v>
      </c>
      <c r="V46" s="5">
        <v>77.38</v>
      </c>
      <c r="W46" s="5">
        <v>-0.27700000000000002</v>
      </c>
      <c r="X46" s="5">
        <v>-1.5549999999999999</v>
      </c>
      <c r="Y46" s="5">
        <v>-5.7000000000000002E-2</v>
      </c>
      <c r="Z46" s="5">
        <v>0.503</v>
      </c>
      <c r="AA46" s="5">
        <v>1.2430000000000001</v>
      </c>
      <c r="AB46" s="5">
        <v>1.4179999999999999</v>
      </c>
      <c r="AC46" s="5">
        <v>-19.57</v>
      </c>
      <c r="AD46" s="5">
        <v>-14.7</v>
      </c>
      <c r="AE46" s="5">
        <v>-21.9</v>
      </c>
      <c r="AF46" s="5">
        <v>-14.44</v>
      </c>
      <c r="AG46" s="5">
        <v>-20.47</v>
      </c>
      <c r="AH46" s="5">
        <v>1.4730000000000001</v>
      </c>
      <c r="AI46" s="5">
        <v>0.11</v>
      </c>
      <c r="AK46" s="5">
        <f t="shared" si="0"/>
        <v>0.85699999999999998</v>
      </c>
      <c r="AL46" s="22">
        <f t="shared" si="1"/>
        <v>-0.7</v>
      </c>
      <c r="AN46" s="1">
        <f t="shared" si="10"/>
        <v>81.599999999999994</v>
      </c>
      <c r="AO46" s="1">
        <f t="shared" si="11"/>
        <v>79.099999999999994</v>
      </c>
      <c r="AP46" s="1">
        <f t="shared" si="12"/>
        <v>77.400000000000006</v>
      </c>
      <c r="AQ46" s="16">
        <f t="shared" si="2"/>
        <v>0.13700000000000001</v>
      </c>
      <c r="AR46" s="23">
        <f t="shared" si="13"/>
        <v>0.04</v>
      </c>
      <c r="AT46" s="18">
        <f t="shared" si="3"/>
        <v>45698</v>
      </c>
      <c r="AU46" s="19">
        <f t="shared" si="4"/>
        <v>41</v>
      </c>
      <c r="AV46" s="1">
        <f t="shared" si="14"/>
        <v>-19</v>
      </c>
      <c r="AW46" s="1">
        <f t="shared" si="15"/>
        <v>-15.9</v>
      </c>
      <c r="AX46" s="1">
        <f t="shared" si="16"/>
        <v>-20.3</v>
      </c>
      <c r="AY46" s="1">
        <f t="shared" si="8"/>
        <v>79.099999999999994</v>
      </c>
      <c r="AZ46" s="1">
        <f t="shared" si="9"/>
        <v>77.400000000000006</v>
      </c>
      <c r="BA46" s="1">
        <f t="shared" si="17"/>
        <v>0.85699999999999998</v>
      </c>
      <c r="BB46" s="5">
        <f t="shared" si="18"/>
        <v>-0.7</v>
      </c>
      <c r="BC46" s="1">
        <f>ROUND(AC46,1)</f>
        <v>-19.600000000000001</v>
      </c>
      <c r="BD46" s="1">
        <f>ROUND(AD46,1)</f>
        <v>-14.7</v>
      </c>
      <c r="BE46" s="1">
        <f>ROUND(AE46,1)</f>
        <v>-21.9</v>
      </c>
      <c r="BF46" s="5">
        <f t="shared" si="19"/>
        <v>0</v>
      </c>
      <c r="BG46" s="5">
        <f t="shared" si="20"/>
        <v>0.6</v>
      </c>
      <c r="BH46" s="5">
        <f t="shared" si="21"/>
        <v>1.3</v>
      </c>
      <c r="BI46" s="5">
        <f t="shared" si="22"/>
        <v>0.11</v>
      </c>
      <c r="BJ46" s="9">
        <f t="shared" si="23"/>
        <v>0.13700000000000001</v>
      </c>
      <c r="BK46" s="9">
        <f t="shared" si="23"/>
        <v>0.04</v>
      </c>
      <c r="BM46" s="1">
        <f t="shared" si="24"/>
        <v>1.17</v>
      </c>
      <c r="BN46" s="1">
        <f t="shared" si="25"/>
        <v>-1.5999999999999979</v>
      </c>
    </row>
    <row r="47" spans="1:66" x14ac:dyDescent="0.2">
      <c r="A47" s="4">
        <f t="shared" si="26"/>
        <v>45699</v>
      </c>
      <c r="B47" s="1">
        <v>42</v>
      </c>
      <c r="C47" s="1">
        <v>12</v>
      </c>
      <c r="D47" s="5">
        <v>13.04</v>
      </c>
      <c r="E47" s="5">
        <v>-13.71</v>
      </c>
      <c r="F47" s="5">
        <v>-21.21</v>
      </c>
      <c r="G47" s="5">
        <v>-18.97</v>
      </c>
      <c r="H47" s="5">
        <v>77.7</v>
      </c>
      <c r="I47" s="5">
        <v>-0.17499999999999999</v>
      </c>
      <c r="J47" s="5">
        <v>-1.5249999999999999</v>
      </c>
      <c r="K47" s="5">
        <v>5.0000000000000001E-3</v>
      </c>
      <c r="L47" s="5">
        <v>0.57399999999999995</v>
      </c>
      <c r="M47" s="5">
        <v>1.3169999999999999</v>
      </c>
      <c r="N47" s="5">
        <v>-15.19</v>
      </c>
      <c r="O47" s="5">
        <v>80.5</v>
      </c>
      <c r="P47" s="5">
        <v>-9.4E-2</v>
      </c>
      <c r="Q47" s="5">
        <v>-1.4319999999999999</v>
      </c>
      <c r="R47" s="5">
        <v>8.1000000000000003E-2</v>
      </c>
      <c r="S47" s="5">
        <v>0.65500000000000003</v>
      </c>
      <c r="T47" s="5">
        <v>1.393</v>
      </c>
      <c r="U47" s="5">
        <v>-21.42</v>
      </c>
      <c r="V47" s="5">
        <v>73.37</v>
      </c>
      <c r="W47" s="5">
        <v>-0.314</v>
      </c>
      <c r="X47" s="5">
        <v>-1.651</v>
      </c>
      <c r="Y47" s="5">
        <v>-7.6999999999999999E-2</v>
      </c>
      <c r="Z47" s="5">
        <v>0.49199999999999999</v>
      </c>
      <c r="AA47" s="5">
        <v>1.232</v>
      </c>
      <c r="AB47" s="5">
        <v>1.4239999999999999</v>
      </c>
      <c r="AC47" s="5">
        <v>-20.43</v>
      </c>
      <c r="AD47" s="5">
        <v>-13.74</v>
      </c>
      <c r="AE47" s="5">
        <v>-22.86</v>
      </c>
      <c r="AF47" s="5">
        <v>-14.38</v>
      </c>
      <c r="AG47" s="5">
        <v>-21.68</v>
      </c>
      <c r="AH47" s="5">
        <v>1.476</v>
      </c>
      <c r="AI47" s="5">
        <v>0.11</v>
      </c>
      <c r="AK47" s="5">
        <f t="shared" si="0"/>
        <v>0.85099999999999998</v>
      </c>
      <c r="AL47" s="22">
        <f t="shared" si="1"/>
        <v>-0.8</v>
      </c>
      <c r="AN47" s="1">
        <f t="shared" si="10"/>
        <v>80.5</v>
      </c>
      <c r="AO47" s="1">
        <f t="shared" si="11"/>
        <v>77.7</v>
      </c>
      <c r="AP47" s="1">
        <f t="shared" si="12"/>
        <v>73.400000000000006</v>
      </c>
      <c r="AQ47" s="16">
        <f t="shared" si="2"/>
        <v>0.13800000000000001</v>
      </c>
      <c r="AR47" s="23">
        <f t="shared" si="13"/>
        <v>0.05</v>
      </c>
      <c r="AT47" s="18">
        <f t="shared" si="3"/>
        <v>45699</v>
      </c>
      <c r="AU47" s="19">
        <f t="shared" si="4"/>
        <v>42</v>
      </c>
      <c r="AV47" s="1">
        <f t="shared" si="14"/>
        <v>-19</v>
      </c>
      <c r="AW47" s="1">
        <f t="shared" si="15"/>
        <v>-15.2</v>
      </c>
      <c r="AX47" s="1">
        <f t="shared" si="16"/>
        <v>-21.4</v>
      </c>
      <c r="AY47" s="1">
        <f t="shared" si="8"/>
        <v>77.7</v>
      </c>
      <c r="AZ47" s="1">
        <f t="shared" si="9"/>
        <v>73.400000000000006</v>
      </c>
      <c r="BA47" s="1">
        <f t="shared" si="17"/>
        <v>0.85099999999999998</v>
      </c>
      <c r="BB47" s="5">
        <f t="shared" si="18"/>
        <v>-0.8</v>
      </c>
      <c r="BC47" s="1">
        <f>ROUND(AC47,1)</f>
        <v>-20.399999999999999</v>
      </c>
      <c r="BD47" s="1">
        <f>ROUND(AD47,1)</f>
        <v>-13.7</v>
      </c>
      <c r="BE47" s="1">
        <f>ROUND(AE47,1)</f>
        <v>-22.9</v>
      </c>
      <c r="BF47" s="5">
        <f t="shared" si="19"/>
        <v>0</v>
      </c>
      <c r="BG47" s="5">
        <f t="shared" si="20"/>
        <v>0.6</v>
      </c>
      <c r="BH47" s="5">
        <f t="shared" si="21"/>
        <v>1.3</v>
      </c>
      <c r="BI47" s="5">
        <f t="shared" si="22"/>
        <v>0.11</v>
      </c>
      <c r="BJ47" s="9">
        <f t="shared" si="23"/>
        <v>0.13800000000000001</v>
      </c>
      <c r="BK47" s="9">
        <f t="shared" si="23"/>
        <v>0.05</v>
      </c>
      <c r="BM47" s="1">
        <f t="shared" si="24"/>
        <v>1.4499999999999993</v>
      </c>
      <c r="BN47" s="1">
        <f t="shared" si="25"/>
        <v>-1.4399999999999977</v>
      </c>
    </row>
    <row r="48" spans="1:66" x14ac:dyDescent="0.2">
      <c r="A48" s="4">
        <f t="shared" si="26"/>
        <v>45700</v>
      </c>
      <c r="B48" s="1">
        <v>43</v>
      </c>
      <c r="C48" s="1">
        <v>12</v>
      </c>
      <c r="D48" s="5">
        <v>13.04</v>
      </c>
      <c r="E48" s="5">
        <v>-8.85</v>
      </c>
      <c r="F48" s="5">
        <v>-19.89</v>
      </c>
      <c r="G48" s="5">
        <v>-16.29</v>
      </c>
      <c r="H48" s="5">
        <v>77.349999999999994</v>
      </c>
      <c r="I48" s="5">
        <v>-0.2</v>
      </c>
      <c r="J48" s="5">
        <v>-1.651</v>
      </c>
      <c r="K48" s="5">
        <v>-8.0000000000000002E-3</v>
      </c>
      <c r="L48" s="5">
        <v>0.56999999999999995</v>
      </c>
      <c r="M48" s="5">
        <v>1.3129999999999999</v>
      </c>
      <c r="N48" s="5">
        <v>-10.44</v>
      </c>
      <c r="O48" s="5">
        <v>81.900000000000006</v>
      </c>
      <c r="P48" s="5">
        <v>-0.10100000000000001</v>
      </c>
      <c r="Q48" s="5">
        <v>-1.5309999999999999</v>
      </c>
      <c r="R48" s="5">
        <v>8.7999999999999995E-2</v>
      </c>
      <c r="S48" s="5">
        <v>0.67400000000000004</v>
      </c>
      <c r="T48" s="5">
        <v>1.413</v>
      </c>
      <c r="U48" s="5">
        <v>-20.100000000000001</v>
      </c>
      <c r="V48" s="5">
        <v>59.87</v>
      </c>
      <c r="W48" s="5">
        <v>-0.34</v>
      </c>
      <c r="X48" s="5">
        <v>-1.7869999999999999</v>
      </c>
      <c r="Y48" s="5">
        <v>-0.104</v>
      </c>
      <c r="Z48" s="5">
        <v>0.48599999999999999</v>
      </c>
      <c r="AA48" s="5">
        <v>1.222</v>
      </c>
      <c r="AB48" s="5">
        <v>1.425</v>
      </c>
      <c r="AC48" s="5">
        <v>-17.940000000000001</v>
      </c>
      <c r="AD48" s="5">
        <v>-9.18</v>
      </c>
      <c r="AE48" s="5">
        <v>-21.64</v>
      </c>
      <c r="AF48" s="5">
        <v>-9.23</v>
      </c>
      <c r="AG48" s="5">
        <v>-20.36</v>
      </c>
      <c r="AH48" s="5">
        <v>1.474</v>
      </c>
      <c r="AI48" s="5">
        <v>0.109</v>
      </c>
      <c r="AK48" s="5">
        <f t="shared" si="0"/>
        <v>0.84999999999999987</v>
      </c>
      <c r="AL48" s="22">
        <f t="shared" si="1"/>
        <v>-0.8</v>
      </c>
      <c r="AN48" s="1">
        <f t="shared" si="10"/>
        <v>81.900000000000006</v>
      </c>
      <c r="AO48" s="1">
        <f t="shared" si="11"/>
        <v>77.400000000000006</v>
      </c>
      <c r="AP48" s="1">
        <f t="shared" si="12"/>
        <v>59.9</v>
      </c>
      <c r="AQ48" s="16">
        <f t="shared" si="2"/>
        <v>0.16500000000000001</v>
      </c>
      <c r="AR48" s="23">
        <f t="shared" si="13"/>
        <v>0.11</v>
      </c>
      <c r="AT48" s="18">
        <f t="shared" si="3"/>
        <v>45700</v>
      </c>
      <c r="AU48" s="19">
        <f t="shared" si="4"/>
        <v>43</v>
      </c>
      <c r="AV48" s="1">
        <f t="shared" si="14"/>
        <v>-16.3</v>
      </c>
      <c r="AW48" s="1">
        <f t="shared" si="15"/>
        <v>-10.4</v>
      </c>
      <c r="AX48" s="1">
        <f t="shared" si="16"/>
        <v>-20.100000000000001</v>
      </c>
      <c r="AY48" s="1">
        <f t="shared" si="8"/>
        <v>77.400000000000006</v>
      </c>
      <c r="AZ48" s="1">
        <f t="shared" si="9"/>
        <v>59.9</v>
      </c>
      <c r="BA48" s="1">
        <f t="shared" si="17"/>
        <v>0.84999999999999987</v>
      </c>
      <c r="BB48" s="5">
        <f t="shared" si="18"/>
        <v>-0.8</v>
      </c>
      <c r="BC48" s="1">
        <f>ROUND(AC48,1)</f>
        <v>-17.899999999999999</v>
      </c>
      <c r="BD48" s="1">
        <f>ROUND(AD48,1)</f>
        <v>-9.1999999999999993</v>
      </c>
      <c r="BE48" s="1">
        <f>ROUND(AE48,1)</f>
        <v>-21.6</v>
      </c>
      <c r="BF48" s="5">
        <f t="shared" si="19"/>
        <v>0</v>
      </c>
      <c r="BG48" s="5">
        <f t="shared" si="20"/>
        <v>0.6</v>
      </c>
      <c r="BH48" s="5">
        <f t="shared" si="21"/>
        <v>1.3</v>
      </c>
      <c r="BI48" s="5">
        <f t="shared" si="22"/>
        <v>0.109</v>
      </c>
      <c r="BJ48" s="9">
        <f t="shared" si="23"/>
        <v>0.16500000000000001</v>
      </c>
      <c r="BK48" s="9">
        <f t="shared" si="23"/>
        <v>0.11</v>
      </c>
      <c r="BM48" s="1">
        <f t="shared" si="24"/>
        <v>1.2599999999999998</v>
      </c>
      <c r="BN48" s="1">
        <f t="shared" si="25"/>
        <v>-1.5399999999999991</v>
      </c>
    </row>
    <row r="49" spans="1:66" x14ac:dyDescent="0.2">
      <c r="A49" s="4">
        <f t="shared" si="26"/>
        <v>45701</v>
      </c>
      <c r="B49" s="1">
        <v>44</v>
      </c>
      <c r="C49" s="1">
        <v>12</v>
      </c>
      <c r="D49" s="5">
        <v>13.05</v>
      </c>
      <c r="E49" s="5">
        <v>-9.0500000000000007</v>
      </c>
      <c r="F49" s="5">
        <v>-18.53</v>
      </c>
      <c r="G49" s="5">
        <v>-14.7</v>
      </c>
      <c r="H49" s="5">
        <v>69.39</v>
      </c>
      <c r="I49" s="5">
        <v>-0.217</v>
      </c>
      <c r="J49" s="5">
        <v>-1.7849999999999999</v>
      </c>
      <c r="K49" s="5">
        <v>-0.02</v>
      </c>
      <c r="L49" s="5">
        <v>0.56699999999999995</v>
      </c>
      <c r="M49" s="5">
        <v>1.3080000000000001</v>
      </c>
      <c r="N49" s="5">
        <v>-10.199999999999999</v>
      </c>
      <c r="O49" s="5">
        <v>86.4</v>
      </c>
      <c r="P49" s="5">
        <v>-0.124</v>
      </c>
      <c r="Q49" s="5">
        <v>-1.679</v>
      </c>
      <c r="R49" s="5">
        <v>5.8000000000000003E-2</v>
      </c>
      <c r="S49" s="5">
        <v>0.64400000000000002</v>
      </c>
      <c r="T49" s="5">
        <v>1.399</v>
      </c>
      <c r="U49" s="5">
        <v>-18.920000000000002</v>
      </c>
      <c r="V49" s="5">
        <v>44.38</v>
      </c>
      <c r="W49" s="5">
        <v>-0.35199999999999998</v>
      </c>
      <c r="X49" s="5">
        <v>-1.907</v>
      </c>
      <c r="Y49" s="5">
        <v>-9.9000000000000005E-2</v>
      </c>
      <c r="Z49" s="5">
        <v>0.48599999999999999</v>
      </c>
      <c r="AA49" s="5">
        <v>1.22</v>
      </c>
      <c r="AB49" s="5">
        <v>1.4139999999999999</v>
      </c>
      <c r="AC49" s="5">
        <v>-16.100000000000001</v>
      </c>
      <c r="AD49" s="5">
        <v>-9.99</v>
      </c>
      <c r="AE49" s="5">
        <v>-20.149999999999999</v>
      </c>
      <c r="AF49" s="5">
        <v>-9.48</v>
      </c>
      <c r="AG49" s="5">
        <v>-19.059999999999999</v>
      </c>
      <c r="AH49" s="5">
        <v>1.448</v>
      </c>
      <c r="AI49" s="5">
        <v>0.108</v>
      </c>
      <c r="AK49" s="5">
        <f t="shared" si="0"/>
        <v>0.86099999999999999</v>
      </c>
      <c r="AL49" s="22">
        <f t="shared" si="1"/>
        <v>-0.9</v>
      </c>
      <c r="AN49" s="1">
        <f t="shared" si="10"/>
        <v>86.4</v>
      </c>
      <c r="AO49" s="1">
        <f t="shared" si="11"/>
        <v>69.400000000000006</v>
      </c>
      <c r="AP49" s="1">
        <f t="shared" si="12"/>
        <v>44.4</v>
      </c>
      <c r="AQ49" s="16">
        <f t="shared" si="2"/>
        <v>0.125</v>
      </c>
      <c r="AR49" s="23">
        <f t="shared" si="13"/>
        <v>0.157</v>
      </c>
      <c r="AT49" s="18">
        <f t="shared" si="3"/>
        <v>45701</v>
      </c>
      <c r="AU49" s="19">
        <f t="shared" si="4"/>
        <v>44</v>
      </c>
      <c r="AV49" s="1">
        <f t="shared" si="14"/>
        <v>-14.7</v>
      </c>
      <c r="AW49" s="1">
        <f t="shared" si="15"/>
        <v>-10.199999999999999</v>
      </c>
      <c r="AX49" s="1">
        <f t="shared" si="16"/>
        <v>-18.899999999999999</v>
      </c>
      <c r="AY49" s="1">
        <f t="shared" si="8"/>
        <v>69.400000000000006</v>
      </c>
      <c r="AZ49" s="1">
        <f t="shared" si="9"/>
        <v>44.4</v>
      </c>
      <c r="BA49" s="1">
        <f t="shared" si="17"/>
        <v>0.86099999999999999</v>
      </c>
      <c r="BB49" s="5">
        <f t="shared" si="18"/>
        <v>-0.9</v>
      </c>
      <c r="BC49" s="1">
        <f>ROUND(AC49,1)</f>
        <v>-16.100000000000001</v>
      </c>
      <c r="BD49" s="1">
        <f>ROUND(AD49,1)</f>
        <v>-10</v>
      </c>
      <c r="BE49" s="1">
        <f>ROUND(AE49,1)</f>
        <v>-20.2</v>
      </c>
      <c r="BF49" s="5">
        <f t="shared" si="19"/>
        <v>0</v>
      </c>
      <c r="BG49" s="5">
        <f t="shared" si="20"/>
        <v>0.6</v>
      </c>
      <c r="BH49" s="5">
        <f t="shared" si="21"/>
        <v>1.3</v>
      </c>
      <c r="BI49" s="5">
        <f t="shared" si="22"/>
        <v>0.108</v>
      </c>
      <c r="BJ49" s="9">
        <f t="shared" si="23"/>
        <v>0.125</v>
      </c>
      <c r="BK49" s="9">
        <f t="shared" si="23"/>
        <v>0.157</v>
      </c>
      <c r="BM49" s="1">
        <f t="shared" si="24"/>
        <v>0.20999999999999908</v>
      </c>
      <c r="BN49" s="1">
        <f t="shared" si="25"/>
        <v>-1.2299999999999969</v>
      </c>
    </row>
    <row r="50" spans="1:66" x14ac:dyDescent="0.2">
      <c r="A50" s="4">
        <f t="shared" si="26"/>
        <v>45702</v>
      </c>
      <c r="B50" s="1">
        <v>45</v>
      </c>
      <c r="C50" s="1">
        <v>12</v>
      </c>
      <c r="D50" s="5">
        <v>13.04</v>
      </c>
      <c r="E50" s="5">
        <v>-7.2610000000000001</v>
      </c>
      <c r="F50" s="5">
        <v>-12.55</v>
      </c>
      <c r="G50" s="5">
        <v>-10.97</v>
      </c>
      <c r="H50" s="5">
        <v>86.9</v>
      </c>
      <c r="I50" s="5">
        <v>-0.214</v>
      </c>
      <c r="J50" s="5">
        <v>-1.847</v>
      </c>
      <c r="K50" s="5">
        <v>-1.2999999999999999E-2</v>
      </c>
      <c r="L50" s="5">
        <v>0.57399999999999995</v>
      </c>
      <c r="M50" s="5">
        <v>1.3120000000000001</v>
      </c>
      <c r="N50" s="5">
        <v>-8.5399999999999991</v>
      </c>
      <c r="O50" s="5">
        <v>89.5</v>
      </c>
      <c r="P50" s="5">
        <v>-0.127</v>
      </c>
      <c r="Q50" s="5">
        <v>-1.7609999999999999</v>
      </c>
      <c r="R50" s="5">
        <v>7.0000000000000007E-2</v>
      </c>
      <c r="S50" s="5">
        <v>0.65700000000000003</v>
      </c>
      <c r="T50" s="5">
        <v>1.4039999999999999</v>
      </c>
      <c r="U50" s="5">
        <v>-12.7</v>
      </c>
      <c r="V50" s="5">
        <v>84.4</v>
      </c>
      <c r="W50" s="5">
        <v>-0.317</v>
      </c>
      <c r="X50" s="5">
        <v>-1.962</v>
      </c>
      <c r="Y50" s="5">
        <v>-0.10199999999999999</v>
      </c>
      <c r="Z50" s="5">
        <v>0.47599999999999998</v>
      </c>
      <c r="AA50" s="5">
        <v>1.218</v>
      </c>
      <c r="AB50" s="5">
        <v>1.4</v>
      </c>
      <c r="AC50" s="5">
        <v>-11.48</v>
      </c>
      <c r="AD50" s="5">
        <v>-7.75</v>
      </c>
      <c r="AE50" s="5">
        <v>-13.82</v>
      </c>
      <c r="AF50" s="5">
        <v>-8.0500000000000007</v>
      </c>
      <c r="AG50" s="5">
        <v>-12.87</v>
      </c>
      <c r="AH50" s="5">
        <v>1.4279999999999999</v>
      </c>
      <c r="AI50" s="5">
        <v>0.108</v>
      </c>
      <c r="AK50" s="5">
        <f t="shared" si="0"/>
        <v>0.875</v>
      </c>
      <c r="AL50" s="22">
        <f t="shared" si="1"/>
        <v>-0.9</v>
      </c>
      <c r="AN50" s="1">
        <f t="shared" si="10"/>
        <v>89.5</v>
      </c>
      <c r="AO50" s="1">
        <f t="shared" si="11"/>
        <v>86.9</v>
      </c>
      <c r="AP50" s="1">
        <f t="shared" si="12"/>
        <v>84.4</v>
      </c>
      <c r="AQ50" s="16">
        <f t="shared" si="2"/>
        <v>0.27</v>
      </c>
      <c r="AR50" s="23">
        <f t="shared" si="13"/>
        <v>0.05</v>
      </c>
      <c r="AT50" s="18">
        <f t="shared" si="3"/>
        <v>45702</v>
      </c>
      <c r="AU50" s="19">
        <f t="shared" si="4"/>
        <v>45</v>
      </c>
      <c r="AV50" s="1">
        <f t="shared" si="14"/>
        <v>-11</v>
      </c>
      <c r="AW50" s="1">
        <f t="shared" si="15"/>
        <v>-8.5</v>
      </c>
      <c r="AX50" s="1">
        <f t="shared" si="16"/>
        <v>-12.7</v>
      </c>
      <c r="AY50" s="1">
        <f t="shared" si="8"/>
        <v>86.9</v>
      </c>
      <c r="AZ50" s="1">
        <f t="shared" si="9"/>
        <v>84.4</v>
      </c>
      <c r="BA50" s="1">
        <f t="shared" si="17"/>
        <v>0.875</v>
      </c>
      <c r="BB50" s="5">
        <f t="shared" si="18"/>
        <v>-0.9</v>
      </c>
      <c r="BC50" s="1">
        <f>ROUND(AC50,1)</f>
        <v>-11.5</v>
      </c>
      <c r="BD50" s="1">
        <f>ROUND(AD50,1)</f>
        <v>-7.8</v>
      </c>
      <c r="BE50" s="1">
        <f>ROUND(AE50,1)</f>
        <v>-13.8</v>
      </c>
      <c r="BF50" s="5">
        <f t="shared" si="19"/>
        <v>0</v>
      </c>
      <c r="BG50" s="5">
        <f t="shared" si="20"/>
        <v>0.6</v>
      </c>
      <c r="BH50" s="5">
        <f t="shared" si="21"/>
        <v>1.3</v>
      </c>
      <c r="BI50" s="5">
        <f t="shared" si="22"/>
        <v>0.108</v>
      </c>
      <c r="BJ50" s="9">
        <f t="shared" si="23"/>
        <v>0.27</v>
      </c>
      <c r="BK50" s="9">
        <f t="shared" si="23"/>
        <v>0.05</v>
      </c>
      <c r="BM50" s="1">
        <f t="shared" si="24"/>
        <v>0.78999999999999915</v>
      </c>
      <c r="BN50" s="1">
        <f t="shared" si="25"/>
        <v>-1.120000000000001</v>
      </c>
    </row>
    <row r="51" spans="1:66" x14ac:dyDescent="0.2">
      <c r="A51" s="4">
        <f t="shared" si="26"/>
        <v>45703</v>
      </c>
      <c r="B51" s="1">
        <v>46</v>
      </c>
      <c r="C51" s="1">
        <v>12</v>
      </c>
      <c r="D51" s="5">
        <v>13.01</v>
      </c>
      <c r="E51" s="5">
        <v>-4.9619999999999997</v>
      </c>
      <c r="F51" s="5">
        <v>-10.6</v>
      </c>
      <c r="G51" s="5">
        <v>-9.34</v>
      </c>
      <c r="H51" s="5">
        <v>88.1</v>
      </c>
      <c r="I51" s="5">
        <v>-0.20100000000000001</v>
      </c>
      <c r="J51" s="5">
        <v>-1.762</v>
      </c>
      <c r="K51" s="5">
        <v>-1.2999999999999999E-2</v>
      </c>
      <c r="L51" s="5">
        <v>0.57099999999999995</v>
      </c>
      <c r="M51" s="5">
        <v>1.3080000000000001</v>
      </c>
      <c r="N51" s="5">
        <v>-5.85</v>
      </c>
      <c r="O51" s="5">
        <v>90.3</v>
      </c>
      <c r="P51" s="5">
        <v>-0.11799999999999999</v>
      </c>
      <c r="Q51" s="5">
        <v>-1.6</v>
      </c>
      <c r="R51" s="5">
        <v>6.7000000000000004E-2</v>
      </c>
      <c r="S51" s="5">
        <v>0.65</v>
      </c>
      <c r="T51" s="5">
        <v>1.383</v>
      </c>
      <c r="U51" s="5">
        <v>-10.74</v>
      </c>
      <c r="V51" s="5">
        <v>78.680000000000007</v>
      </c>
      <c r="W51" s="5">
        <v>-0.317</v>
      </c>
      <c r="X51" s="5">
        <v>-1.903</v>
      </c>
      <c r="Y51" s="5">
        <v>-9.9000000000000005E-2</v>
      </c>
      <c r="Z51" s="5">
        <v>0.48499999999999999</v>
      </c>
      <c r="AA51" s="5">
        <v>1.2090000000000001</v>
      </c>
      <c r="AB51" s="5">
        <v>1.3440000000000001</v>
      </c>
      <c r="AC51" s="5">
        <v>-9.5299999999999994</v>
      </c>
      <c r="AD51" s="5">
        <v>-4.7089999999999996</v>
      </c>
      <c r="AE51" s="5">
        <v>-11.35</v>
      </c>
      <c r="AF51" s="5">
        <v>-5.0659999999999998</v>
      </c>
      <c r="AG51" s="5">
        <v>-10.84</v>
      </c>
      <c r="AH51" s="5">
        <v>1.369</v>
      </c>
      <c r="AI51" s="5">
        <v>0.107</v>
      </c>
      <c r="AK51" s="5">
        <f t="shared" si="0"/>
        <v>0.93099999999999983</v>
      </c>
      <c r="AL51" s="22">
        <f t="shared" si="1"/>
        <v>-0.9</v>
      </c>
      <c r="AN51" s="1">
        <f t="shared" si="10"/>
        <v>90.3</v>
      </c>
      <c r="AO51" s="1">
        <f t="shared" si="11"/>
        <v>88.1</v>
      </c>
      <c r="AP51" s="1">
        <f t="shared" si="12"/>
        <v>78.7</v>
      </c>
      <c r="AQ51" s="16">
        <f t="shared" si="2"/>
        <v>0.31</v>
      </c>
      <c r="AR51" s="23">
        <f t="shared" si="13"/>
        <v>8.4000000000000005E-2</v>
      </c>
      <c r="AT51" s="18">
        <f t="shared" si="3"/>
        <v>45703</v>
      </c>
      <c r="AU51" s="19">
        <f t="shared" si="4"/>
        <v>46</v>
      </c>
      <c r="AV51" s="1">
        <f t="shared" si="14"/>
        <v>-9.3000000000000007</v>
      </c>
      <c r="AW51" s="1">
        <f t="shared" si="15"/>
        <v>-5.9</v>
      </c>
      <c r="AX51" s="1">
        <f t="shared" si="16"/>
        <v>-10.7</v>
      </c>
      <c r="AY51" s="1">
        <f t="shared" si="8"/>
        <v>88.1</v>
      </c>
      <c r="AZ51" s="1">
        <f t="shared" si="9"/>
        <v>78.7</v>
      </c>
      <c r="BA51" s="1">
        <f t="shared" si="17"/>
        <v>0.93099999999999983</v>
      </c>
      <c r="BB51" s="5">
        <f t="shared" si="18"/>
        <v>-0.9</v>
      </c>
      <c r="BC51" s="1">
        <f>ROUND(AC51,1)</f>
        <v>-9.5</v>
      </c>
      <c r="BD51" s="1">
        <f>ROUND(AD51,1)</f>
        <v>-4.7</v>
      </c>
      <c r="BE51" s="1">
        <f>ROUND(AE51,1)</f>
        <v>-11.4</v>
      </c>
      <c r="BF51" s="5">
        <f t="shared" si="19"/>
        <v>0</v>
      </c>
      <c r="BG51" s="5">
        <f t="shared" si="20"/>
        <v>0.6</v>
      </c>
      <c r="BH51" s="5">
        <f t="shared" si="21"/>
        <v>1.3</v>
      </c>
      <c r="BI51" s="5">
        <f t="shared" si="22"/>
        <v>0.107</v>
      </c>
      <c r="BJ51" s="9">
        <f t="shared" si="23"/>
        <v>0.31</v>
      </c>
      <c r="BK51" s="9">
        <f t="shared" si="23"/>
        <v>8.4000000000000005E-2</v>
      </c>
      <c r="BM51" s="1">
        <f t="shared" si="24"/>
        <v>1.141</v>
      </c>
      <c r="BN51" s="1">
        <f t="shared" si="25"/>
        <v>-0.60999999999999943</v>
      </c>
    </row>
    <row r="52" spans="1:66" x14ac:dyDescent="0.2">
      <c r="A52" s="4">
        <f t="shared" si="26"/>
        <v>45704</v>
      </c>
      <c r="B52" s="1">
        <v>47</v>
      </c>
      <c r="C52" s="1">
        <v>12</v>
      </c>
      <c r="D52" s="5">
        <v>12.97</v>
      </c>
      <c r="E52" s="5">
        <v>-5.2869999999999999</v>
      </c>
      <c r="F52" s="5">
        <v>-10.19</v>
      </c>
      <c r="G52" s="5">
        <v>-8.2200000000000006</v>
      </c>
      <c r="H52" s="5">
        <v>89.9</v>
      </c>
      <c r="I52" s="5">
        <v>-0.17499999999999999</v>
      </c>
      <c r="J52" s="5">
        <v>-1.5780000000000001</v>
      </c>
      <c r="K52" s="5">
        <v>-8.9999999999999993E-3</v>
      </c>
      <c r="L52" s="5">
        <v>0.56699999999999995</v>
      </c>
      <c r="M52" s="5">
        <v>1.3</v>
      </c>
      <c r="N52" s="5">
        <v>-6.0860000000000003</v>
      </c>
      <c r="O52" s="5">
        <v>91.6</v>
      </c>
      <c r="P52" s="5">
        <v>-9.1999999999999998E-2</v>
      </c>
      <c r="Q52" s="5">
        <v>-1.427</v>
      </c>
      <c r="R52" s="5">
        <v>8.2000000000000003E-2</v>
      </c>
      <c r="S52" s="5">
        <v>0.65800000000000003</v>
      </c>
      <c r="T52" s="5">
        <v>1.3859999999999999</v>
      </c>
      <c r="U52" s="5">
        <v>-10.47</v>
      </c>
      <c r="V52" s="5">
        <v>88.2</v>
      </c>
      <c r="W52" s="5">
        <v>-0.26600000000000001</v>
      </c>
      <c r="X52" s="5">
        <v>-1.724</v>
      </c>
      <c r="Y52" s="5">
        <v>-9.4E-2</v>
      </c>
      <c r="Z52" s="5">
        <v>0.48599999999999999</v>
      </c>
      <c r="AA52" s="5">
        <v>1.2110000000000001</v>
      </c>
      <c r="AB52" s="5">
        <v>1.3009999999999999</v>
      </c>
      <c r="AC52" s="5">
        <v>-8.4600000000000009</v>
      </c>
      <c r="AD52" s="5">
        <v>-6.1980000000000004</v>
      </c>
      <c r="AE52" s="5">
        <v>-10.66</v>
      </c>
      <c r="AF52" s="5">
        <v>-5.7619999999999996</v>
      </c>
      <c r="AG52" s="5">
        <v>-10.63</v>
      </c>
      <c r="AH52" s="5">
        <v>1.32</v>
      </c>
      <c r="AI52" s="5">
        <v>0.106</v>
      </c>
      <c r="AK52" s="5">
        <f t="shared" si="0"/>
        <v>0.97399999999999998</v>
      </c>
      <c r="AL52" s="22">
        <f t="shared" si="1"/>
        <v>-0.8</v>
      </c>
      <c r="AN52" s="1">
        <f t="shared" si="10"/>
        <v>91.6</v>
      </c>
      <c r="AO52" s="1">
        <f t="shared" si="11"/>
        <v>89.9</v>
      </c>
      <c r="AP52" s="1">
        <f t="shared" si="12"/>
        <v>88.2</v>
      </c>
      <c r="AQ52" s="16">
        <f t="shared" si="2"/>
        <v>0.34200000000000003</v>
      </c>
      <c r="AR52" s="23">
        <f t="shared" si="13"/>
        <v>4.5999999999999999E-2</v>
      </c>
      <c r="AT52" s="18">
        <f t="shared" si="3"/>
        <v>45704</v>
      </c>
      <c r="AU52" s="19">
        <f t="shared" si="4"/>
        <v>47</v>
      </c>
      <c r="AV52" s="1">
        <f t="shared" si="14"/>
        <v>-8.1999999999999993</v>
      </c>
      <c r="AW52" s="1">
        <f t="shared" si="15"/>
        <v>-6.1</v>
      </c>
      <c r="AX52" s="1">
        <f t="shared" si="16"/>
        <v>-10.5</v>
      </c>
      <c r="AY52" s="1">
        <f t="shared" si="8"/>
        <v>89.9</v>
      </c>
      <c r="AZ52" s="1">
        <f t="shared" si="9"/>
        <v>88.2</v>
      </c>
      <c r="BA52" s="1">
        <f t="shared" si="17"/>
        <v>0.97399999999999998</v>
      </c>
      <c r="BB52" s="5">
        <f t="shared" si="18"/>
        <v>-0.8</v>
      </c>
      <c r="BC52" s="1">
        <f>ROUND(AC52,1)</f>
        <v>-8.5</v>
      </c>
      <c r="BD52" s="1">
        <f>ROUND(AD52,1)</f>
        <v>-6.2</v>
      </c>
      <c r="BE52" s="1">
        <f>ROUND(AE52,1)</f>
        <v>-10.7</v>
      </c>
      <c r="BF52" s="5">
        <f t="shared" si="19"/>
        <v>0</v>
      </c>
      <c r="BG52" s="5">
        <f t="shared" si="20"/>
        <v>0.6</v>
      </c>
      <c r="BH52" s="5">
        <f t="shared" si="21"/>
        <v>1.3</v>
      </c>
      <c r="BI52" s="5">
        <f t="shared" si="22"/>
        <v>0.106</v>
      </c>
      <c r="BJ52" s="9">
        <f t="shared" si="23"/>
        <v>0.34200000000000003</v>
      </c>
      <c r="BK52" s="9">
        <f t="shared" si="23"/>
        <v>4.5999999999999999E-2</v>
      </c>
      <c r="BM52" s="1">
        <f t="shared" si="24"/>
        <v>-0.1120000000000001</v>
      </c>
      <c r="BN52" s="1">
        <f t="shared" si="25"/>
        <v>-0.1899999999999995</v>
      </c>
    </row>
    <row r="53" spans="1:66" x14ac:dyDescent="0.2">
      <c r="A53" s="4">
        <f t="shared" si="26"/>
        <v>45705</v>
      </c>
      <c r="B53" s="1">
        <v>48</v>
      </c>
      <c r="C53" s="1">
        <v>12</v>
      </c>
      <c r="D53" s="5">
        <v>12.98</v>
      </c>
      <c r="E53" s="5">
        <v>-4.7880000000000003</v>
      </c>
      <c r="F53" s="5">
        <v>-7.9729999999999999</v>
      </c>
      <c r="G53" s="5">
        <v>-7.351</v>
      </c>
      <c r="H53" s="5">
        <v>91</v>
      </c>
      <c r="I53" s="5">
        <v>-0.15</v>
      </c>
      <c r="J53" s="5">
        <v>-1.383</v>
      </c>
      <c r="K53" s="5">
        <v>-5.0000000000000001E-3</v>
      </c>
      <c r="L53" s="5">
        <v>0.56000000000000005</v>
      </c>
      <c r="M53" s="5">
        <v>1.29</v>
      </c>
      <c r="N53" s="5">
        <v>-6.1539999999999999</v>
      </c>
      <c r="O53" s="5">
        <v>92.1</v>
      </c>
      <c r="P53" s="5">
        <v>-0.06</v>
      </c>
      <c r="Q53" s="5">
        <v>-1.246</v>
      </c>
      <c r="R53" s="5">
        <v>7.2999999999999995E-2</v>
      </c>
      <c r="S53" s="5">
        <v>0.63500000000000001</v>
      </c>
      <c r="T53" s="5">
        <v>1.369</v>
      </c>
      <c r="U53" s="5">
        <v>-8.4499999999999993</v>
      </c>
      <c r="V53" s="5">
        <v>90.1</v>
      </c>
      <c r="W53" s="5">
        <v>-0.22800000000000001</v>
      </c>
      <c r="X53" s="5">
        <v>-1.5249999999999999</v>
      </c>
      <c r="Y53" s="5">
        <v>-8.7999999999999995E-2</v>
      </c>
      <c r="Z53" s="5">
        <v>0.48499999999999999</v>
      </c>
      <c r="AA53" s="5">
        <v>1.1990000000000001</v>
      </c>
      <c r="AB53" s="5">
        <v>1.304</v>
      </c>
      <c r="AC53" s="5">
        <v>-7.6950000000000003</v>
      </c>
      <c r="AD53" s="5">
        <v>-6.0339999999999998</v>
      </c>
      <c r="AE53" s="5">
        <v>-9.5500000000000007</v>
      </c>
      <c r="AF53" s="5">
        <v>-5.1660000000000004</v>
      </c>
      <c r="AG53" s="5">
        <v>-8.48</v>
      </c>
      <c r="AH53" s="5">
        <v>1.3240000000000001</v>
      </c>
      <c r="AI53" s="5">
        <v>0.105</v>
      </c>
      <c r="AK53" s="5">
        <f t="shared" si="0"/>
        <v>0.97099999999999986</v>
      </c>
      <c r="AL53" s="22">
        <f t="shared" si="1"/>
        <v>-0.7</v>
      </c>
      <c r="AN53" s="1">
        <f t="shared" si="10"/>
        <v>92.1</v>
      </c>
      <c r="AO53" s="1">
        <f t="shared" si="11"/>
        <v>91</v>
      </c>
      <c r="AP53" s="1">
        <f t="shared" si="12"/>
        <v>90.1</v>
      </c>
      <c r="AQ53" s="16">
        <f t="shared" si="2"/>
        <v>0.34699999999999998</v>
      </c>
      <c r="AR53" s="23">
        <f t="shared" si="13"/>
        <v>3.7999999999999999E-2</v>
      </c>
      <c r="AT53" s="18">
        <f t="shared" si="3"/>
        <v>45705</v>
      </c>
      <c r="AU53" s="19">
        <f t="shared" si="4"/>
        <v>48</v>
      </c>
      <c r="AV53" s="1">
        <f t="shared" si="14"/>
        <v>-7.4</v>
      </c>
      <c r="AW53" s="1">
        <f t="shared" si="15"/>
        <v>-6.2</v>
      </c>
      <c r="AX53" s="1">
        <f t="shared" si="16"/>
        <v>-8.5</v>
      </c>
      <c r="AY53" s="1">
        <f t="shared" si="8"/>
        <v>91</v>
      </c>
      <c r="AZ53" s="1">
        <f t="shared" si="9"/>
        <v>90.1</v>
      </c>
      <c r="BA53" s="1">
        <f t="shared" si="17"/>
        <v>0.97099999999999986</v>
      </c>
      <c r="BB53" s="5">
        <f t="shared" si="18"/>
        <v>-0.7</v>
      </c>
      <c r="BC53" s="1">
        <f>ROUND(AC53,1)</f>
        <v>-7.7</v>
      </c>
      <c r="BD53" s="1">
        <f>ROUND(AD53,1)</f>
        <v>-6</v>
      </c>
      <c r="BE53" s="1">
        <f>ROUND(AE53,1)</f>
        <v>-9.6</v>
      </c>
      <c r="BF53" s="5">
        <f t="shared" si="19"/>
        <v>0</v>
      </c>
      <c r="BG53" s="5">
        <f t="shared" si="20"/>
        <v>0.6</v>
      </c>
      <c r="BH53" s="5">
        <f t="shared" si="21"/>
        <v>1.3</v>
      </c>
      <c r="BI53" s="5">
        <f t="shared" si="22"/>
        <v>0.105</v>
      </c>
      <c r="BJ53" s="9">
        <f t="shared" si="23"/>
        <v>0.34699999999999998</v>
      </c>
      <c r="BK53" s="9">
        <f t="shared" si="23"/>
        <v>3.7999999999999999E-2</v>
      </c>
      <c r="BM53" s="1">
        <f t="shared" si="24"/>
        <v>0.12000000000000011</v>
      </c>
      <c r="BN53" s="1">
        <f t="shared" si="25"/>
        <v>-1.1000000000000014</v>
      </c>
    </row>
    <row r="54" spans="1:66" x14ac:dyDescent="0.2">
      <c r="A54" s="4">
        <f t="shared" si="26"/>
        <v>45706</v>
      </c>
      <c r="B54" s="1">
        <v>49</v>
      </c>
      <c r="C54" s="1">
        <v>12</v>
      </c>
      <c r="D54" s="5">
        <v>12.91</v>
      </c>
      <c r="E54" s="5">
        <v>-4.8730000000000002</v>
      </c>
      <c r="F54" s="5">
        <v>-8.33</v>
      </c>
      <c r="G54" s="5">
        <v>-7.181</v>
      </c>
      <c r="H54" s="5">
        <v>91.1</v>
      </c>
      <c r="I54" s="5">
        <v>-0.127</v>
      </c>
      <c r="J54" s="5">
        <v>-1.204</v>
      </c>
      <c r="K54" s="5">
        <v>0</v>
      </c>
      <c r="L54" s="5">
        <v>0.55200000000000005</v>
      </c>
      <c r="M54" s="5">
        <v>1.276</v>
      </c>
      <c r="N54" s="5">
        <v>-5.48</v>
      </c>
      <c r="O54" s="5">
        <v>92.4</v>
      </c>
      <c r="P54" s="5">
        <v>-4.3999999999999997E-2</v>
      </c>
      <c r="Q54" s="5">
        <v>-1.0720000000000001</v>
      </c>
      <c r="R54" s="5">
        <v>9.0999999999999998E-2</v>
      </c>
      <c r="S54" s="5">
        <v>0.63900000000000001</v>
      </c>
      <c r="T54" s="5">
        <v>1.37</v>
      </c>
      <c r="U54" s="5">
        <v>-8.7200000000000006</v>
      </c>
      <c r="V54" s="5">
        <v>90</v>
      </c>
      <c r="W54" s="5">
        <v>-0.21299999999999999</v>
      </c>
      <c r="X54" s="5">
        <v>-1.35</v>
      </c>
      <c r="Y54" s="5">
        <v>-7.4999999999999997E-2</v>
      </c>
      <c r="Z54" s="5">
        <v>0.47599999999999998</v>
      </c>
      <c r="AA54" s="5">
        <v>1.1919999999999999</v>
      </c>
      <c r="AB54" s="5">
        <v>1.32</v>
      </c>
      <c r="AC54" s="5">
        <v>-7.3540000000000001</v>
      </c>
      <c r="AD54" s="5">
        <v>-5.266</v>
      </c>
      <c r="AE54" s="5">
        <v>-8.82</v>
      </c>
      <c r="AF54" s="5">
        <v>-5.0659999999999998</v>
      </c>
      <c r="AG54" s="5">
        <v>-8.6999999999999993</v>
      </c>
      <c r="AH54" s="5">
        <v>1.3380000000000001</v>
      </c>
      <c r="AI54" s="5">
        <v>0.105</v>
      </c>
      <c r="AK54" s="5">
        <f t="shared" si="0"/>
        <v>0.95499999999999985</v>
      </c>
      <c r="AL54" s="22">
        <f t="shared" si="1"/>
        <v>-0.6</v>
      </c>
      <c r="AN54" s="1">
        <f t="shared" si="10"/>
        <v>92.4</v>
      </c>
      <c r="AO54" s="1">
        <f t="shared" si="11"/>
        <v>91.1</v>
      </c>
      <c r="AP54" s="1">
        <f t="shared" si="12"/>
        <v>90</v>
      </c>
      <c r="AQ54" s="16">
        <f t="shared" si="2"/>
        <v>0.36499999999999999</v>
      </c>
      <c r="AR54" s="23">
        <f t="shared" si="13"/>
        <v>4.1000000000000002E-2</v>
      </c>
      <c r="AT54" s="18">
        <f t="shared" si="3"/>
        <v>45706</v>
      </c>
      <c r="AU54" s="19">
        <f t="shared" si="4"/>
        <v>49</v>
      </c>
      <c r="AV54" s="1">
        <f t="shared" si="14"/>
        <v>-7.2</v>
      </c>
      <c r="AW54" s="1">
        <f t="shared" si="15"/>
        <v>-5.5</v>
      </c>
      <c r="AX54" s="1">
        <f t="shared" si="16"/>
        <v>-8.6999999999999993</v>
      </c>
      <c r="AY54" s="1">
        <f t="shared" si="8"/>
        <v>91.1</v>
      </c>
      <c r="AZ54" s="1">
        <f t="shared" si="9"/>
        <v>90</v>
      </c>
      <c r="BA54" s="1">
        <f t="shared" si="17"/>
        <v>0.95499999999999985</v>
      </c>
      <c r="BB54" s="5">
        <f t="shared" si="18"/>
        <v>-0.6</v>
      </c>
      <c r="BC54" s="1">
        <f>ROUND(AC54,1)</f>
        <v>-7.4</v>
      </c>
      <c r="BD54" s="1">
        <f>ROUND(AD54,1)</f>
        <v>-5.3</v>
      </c>
      <c r="BE54" s="1">
        <f>ROUND(AE54,1)</f>
        <v>-8.8000000000000007</v>
      </c>
      <c r="BF54" s="5">
        <f t="shared" si="19"/>
        <v>0</v>
      </c>
      <c r="BG54" s="5">
        <f t="shared" si="20"/>
        <v>0.6</v>
      </c>
      <c r="BH54" s="5">
        <f t="shared" si="21"/>
        <v>1.3</v>
      </c>
      <c r="BI54" s="5">
        <f t="shared" si="22"/>
        <v>0.105</v>
      </c>
      <c r="BJ54" s="9">
        <f t="shared" si="23"/>
        <v>0.36499999999999999</v>
      </c>
      <c r="BK54" s="9">
        <f t="shared" si="23"/>
        <v>4.1000000000000002E-2</v>
      </c>
      <c r="BM54" s="1">
        <f t="shared" si="24"/>
        <v>0.21400000000000041</v>
      </c>
      <c r="BN54" s="1">
        <f t="shared" si="25"/>
        <v>-9.9999999999999645E-2</v>
      </c>
    </row>
    <row r="55" spans="1:66" x14ac:dyDescent="0.2">
      <c r="A55" s="4">
        <f t="shared" si="26"/>
        <v>45707</v>
      </c>
      <c r="B55" s="1">
        <v>50</v>
      </c>
      <c r="C55" s="1">
        <v>12</v>
      </c>
      <c r="D55" s="5">
        <v>12.88</v>
      </c>
      <c r="E55" s="5">
        <v>-4.8529999999999998</v>
      </c>
      <c r="F55" s="5">
        <v>-7.548</v>
      </c>
      <c r="G55" s="5">
        <v>-6.3840000000000003</v>
      </c>
      <c r="H55" s="5">
        <v>91.8</v>
      </c>
      <c r="I55" s="5">
        <v>-9.2999999999999999E-2</v>
      </c>
      <c r="J55" s="5">
        <v>-1.05</v>
      </c>
      <c r="K55" s="5">
        <v>1.4999999999999999E-2</v>
      </c>
      <c r="L55" s="5">
        <v>0.55500000000000005</v>
      </c>
      <c r="M55" s="5">
        <v>1.2769999999999999</v>
      </c>
      <c r="N55" s="5">
        <v>-4.1589999999999998</v>
      </c>
      <c r="O55" s="5">
        <v>93.7</v>
      </c>
      <c r="P55" s="5">
        <v>-1.2999999999999999E-2</v>
      </c>
      <c r="Q55" s="5">
        <v>-0.93400000000000005</v>
      </c>
      <c r="R55" s="5">
        <v>9.5000000000000001E-2</v>
      </c>
      <c r="S55" s="5">
        <v>0.63100000000000001</v>
      </c>
      <c r="T55" s="5">
        <v>1.353</v>
      </c>
      <c r="U55" s="5">
        <v>-7.9119999999999999</v>
      </c>
      <c r="V55" s="5">
        <v>90.5</v>
      </c>
      <c r="W55" s="5">
        <v>-0.17399999999999999</v>
      </c>
      <c r="X55" s="5">
        <v>-1.169</v>
      </c>
      <c r="Y55" s="5">
        <v>-5.8999999999999997E-2</v>
      </c>
      <c r="Z55" s="5">
        <v>0.48</v>
      </c>
      <c r="AA55" s="5">
        <v>1.1990000000000001</v>
      </c>
      <c r="AB55" s="5">
        <v>1.2889999999999999</v>
      </c>
      <c r="AC55" s="5">
        <v>-6.7119999999999997</v>
      </c>
      <c r="AD55" s="5">
        <v>-4.71</v>
      </c>
      <c r="AE55" s="5">
        <v>-8.09</v>
      </c>
      <c r="AF55" s="5">
        <v>-4.649</v>
      </c>
      <c r="AG55" s="5">
        <v>-8.01</v>
      </c>
      <c r="AH55" s="5">
        <v>1.3</v>
      </c>
      <c r="AI55" s="5">
        <v>0.104</v>
      </c>
      <c r="AK55" s="5">
        <f t="shared" si="0"/>
        <v>0.98599999999999999</v>
      </c>
      <c r="AL55" s="22">
        <f t="shared" si="1"/>
        <v>-0.5</v>
      </c>
      <c r="AN55" s="1">
        <f t="shared" si="10"/>
        <v>93.7</v>
      </c>
      <c r="AO55" s="1">
        <f t="shared" si="11"/>
        <v>91.8</v>
      </c>
      <c r="AP55" s="1">
        <f t="shared" si="12"/>
        <v>90.5</v>
      </c>
      <c r="AQ55" s="16">
        <f t="shared" si="2"/>
        <v>0.40600000000000003</v>
      </c>
      <c r="AR55" s="23">
        <f t="shared" si="13"/>
        <v>4.2999999999999997E-2</v>
      </c>
      <c r="AT55" s="18">
        <f t="shared" si="3"/>
        <v>45707</v>
      </c>
      <c r="AU55" s="19">
        <f t="shared" si="4"/>
        <v>50</v>
      </c>
      <c r="AV55" s="1">
        <f t="shared" si="14"/>
        <v>-6.4</v>
      </c>
      <c r="AW55" s="1">
        <f t="shared" si="15"/>
        <v>-4.2</v>
      </c>
      <c r="AX55" s="1">
        <f t="shared" si="16"/>
        <v>-7.9</v>
      </c>
      <c r="AY55" s="1">
        <f t="shared" si="8"/>
        <v>91.8</v>
      </c>
      <c r="AZ55" s="1">
        <f t="shared" si="9"/>
        <v>90.5</v>
      </c>
      <c r="BA55" s="1">
        <f t="shared" si="17"/>
        <v>0.98599999999999999</v>
      </c>
      <c r="BB55" s="5">
        <f t="shared" si="18"/>
        <v>-0.5</v>
      </c>
      <c r="BC55" s="1">
        <f>ROUND(AC55,1)</f>
        <v>-6.7</v>
      </c>
      <c r="BD55" s="1">
        <f>ROUND(AD55,1)</f>
        <v>-4.7</v>
      </c>
      <c r="BE55" s="1">
        <f>ROUND(AE55,1)</f>
        <v>-8.1</v>
      </c>
      <c r="BF55" s="5">
        <f t="shared" si="19"/>
        <v>0</v>
      </c>
      <c r="BG55" s="5">
        <f t="shared" si="20"/>
        <v>0.6</v>
      </c>
      <c r="BH55" s="5">
        <f t="shared" si="21"/>
        <v>1.3</v>
      </c>
      <c r="BI55" s="5">
        <f t="shared" si="22"/>
        <v>0.104</v>
      </c>
      <c r="BJ55" s="9">
        <f t="shared" si="23"/>
        <v>0.40600000000000003</v>
      </c>
      <c r="BK55" s="9">
        <f t="shared" si="23"/>
        <v>4.2999999999999997E-2</v>
      </c>
      <c r="BM55" s="1">
        <f t="shared" si="24"/>
        <v>-0.55100000000000016</v>
      </c>
      <c r="BN55" s="1">
        <f t="shared" si="25"/>
        <v>-0.17799999999999994</v>
      </c>
    </row>
    <row r="56" spans="1:66" x14ac:dyDescent="0.2">
      <c r="A56" s="4">
        <f t="shared" si="26"/>
        <v>45708</v>
      </c>
      <c r="B56" s="1">
        <v>51</v>
      </c>
      <c r="C56" s="1">
        <v>12</v>
      </c>
      <c r="D56" s="5">
        <v>12.98</v>
      </c>
      <c r="E56" s="5">
        <v>-1.3939999999999999</v>
      </c>
      <c r="F56" s="5">
        <v>-4.9820000000000002</v>
      </c>
      <c r="G56" s="5">
        <v>-4.1980000000000004</v>
      </c>
      <c r="H56" s="5">
        <v>93.7</v>
      </c>
      <c r="I56" s="5">
        <v>-7.4999999999999997E-2</v>
      </c>
      <c r="J56" s="5">
        <v>-0.93400000000000005</v>
      </c>
      <c r="K56" s="5">
        <v>2.3E-2</v>
      </c>
      <c r="L56" s="5">
        <v>0.55300000000000005</v>
      </c>
      <c r="M56" s="5">
        <v>1.268</v>
      </c>
      <c r="N56" s="5">
        <v>-2.5150000000000001</v>
      </c>
      <c r="O56" s="5">
        <v>94.6</v>
      </c>
      <c r="P56" s="5">
        <v>2.5000000000000001E-2</v>
      </c>
      <c r="Q56" s="5">
        <v>-0.82499999999999996</v>
      </c>
      <c r="R56" s="5">
        <v>0.115</v>
      </c>
      <c r="S56" s="5">
        <v>0.63700000000000001</v>
      </c>
      <c r="T56" s="5">
        <v>1.349</v>
      </c>
      <c r="U56" s="5">
        <v>-5.3460000000000001</v>
      </c>
      <c r="V56" s="5">
        <v>92.6</v>
      </c>
      <c r="W56" s="5">
        <v>-0.16200000000000001</v>
      </c>
      <c r="X56" s="5">
        <v>-1.048</v>
      </c>
      <c r="Y56" s="5">
        <v>-5.8999999999999997E-2</v>
      </c>
      <c r="Z56" s="5">
        <v>0.48099999999999998</v>
      </c>
      <c r="AA56" s="5">
        <v>1.1910000000000001</v>
      </c>
      <c r="AB56" s="5">
        <v>1.2989999999999999</v>
      </c>
      <c r="AC56" s="5">
        <v>-4.6929999999999996</v>
      </c>
      <c r="AD56" s="5">
        <v>-2.6629999999999998</v>
      </c>
      <c r="AE56" s="5">
        <v>-6.7750000000000004</v>
      </c>
      <c r="AF56" s="5">
        <v>-1.762</v>
      </c>
      <c r="AG56" s="5">
        <v>-5.61</v>
      </c>
      <c r="AH56" s="5">
        <v>1.3089999999999999</v>
      </c>
      <c r="AI56" s="5">
        <v>0.104</v>
      </c>
      <c r="AK56" s="5">
        <f t="shared" si="0"/>
        <v>0.97599999999999998</v>
      </c>
      <c r="AL56" s="22">
        <f t="shared" si="1"/>
        <v>-0.5</v>
      </c>
      <c r="AN56" s="1">
        <f t="shared" si="10"/>
        <v>94.6</v>
      </c>
      <c r="AO56" s="1">
        <f t="shared" si="11"/>
        <v>93.7</v>
      </c>
      <c r="AP56" s="1">
        <f t="shared" si="12"/>
        <v>92.6</v>
      </c>
      <c r="AQ56" s="16">
        <f t="shared" si="2"/>
        <v>0.47</v>
      </c>
      <c r="AR56" s="23">
        <f t="shared" si="13"/>
        <v>3.7999999999999999E-2</v>
      </c>
      <c r="AT56" s="18">
        <f t="shared" si="3"/>
        <v>45708</v>
      </c>
      <c r="AU56" s="19">
        <f t="shared" si="4"/>
        <v>51</v>
      </c>
      <c r="AV56" s="1">
        <f t="shared" si="14"/>
        <v>-4.2</v>
      </c>
      <c r="AW56" s="1">
        <f t="shared" si="15"/>
        <v>-2.5</v>
      </c>
      <c r="AX56" s="1">
        <f t="shared" si="16"/>
        <v>-5.3</v>
      </c>
      <c r="AY56" s="1">
        <f t="shared" si="8"/>
        <v>93.7</v>
      </c>
      <c r="AZ56" s="1">
        <f t="shared" si="9"/>
        <v>92.6</v>
      </c>
      <c r="BA56" s="1">
        <f t="shared" si="17"/>
        <v>0.97599999999999998</v>
      </c>
      <c r="BB56" s="5">
        <f t="shared" si="18"/>
        <v>-0.5</v>
      </c>
      <c r="BC56" s="1">
        <f>ROUND(AC56,1)</f>
        <v>-4.7</v>
      </c>
      <c r="BD56" s="1">
        <f>ROUND(AD56,1)</f>
        <v>-2.7</v>
      </c>
      <c r="BE56" s="1">
        <f>ROUND(AE56,1)</f>
        <v>-6.8</v>
      </c>
      <c r="BF56" s="5">
        <f t="shared" si="19"/>
        <v>0</v>
      </c>
      <c r="BG56" s="5">
        <f t="shared" si="20"/>
        <v>0.6</v>
      </c>
      <c r="BH56" s="5">
        <f t="shared" si="21"/>
        <v>1.3</v>
      </c>
      <c r="BI56" s="5">
        <f t="shared" si="22"/>
        <v>0.104</v>
      </c>
      <c r="BJ56" s="9">
        <f t="shared" si="23"/>
        <v>0.47</v>
      </c>
      <c r="BK56" s="9">
        <f t="shared" si="23"/>
        <v>3.7999999999999999E-2</v>
      </c>
      <c r="BM56" s="1">
        <f t="shared" si="24"/>
        <v>-0.14799999999999969</v>
      </c>
      <c r="BN56" s="1">
        <f t="shared" si="25"/>
        <v>-1.4290000000000003</v>
      </c>
    </row>
    <row r="57" spans="1:66" x14ac:dyDescent="0.2">
      <c r="A57" s="4">
        <f t="shared" si="26"/>
        <v>45709</v>
      </c>
      <c r="B57" s="1">
        <v>52</v>
      </c>
      <c r="C57" s="1">
        <v>12</v>
      </c>
      <c r="D57" s="5">
        <v>12.87</v>
      </c>
      <c r="E57" s="5">
        <v>-1.8440000000000001</v>
      </c>
      <c r="F57" s="5">
        <v>-4.6989999999999998</v>
      </c>
      <c r="G57" s="5">
        <v>-3.883</v>
      </c>
      <c r="H57" s="5">
        <v>93.8</v>
      </c>
      <c r="I57" s="5">
        <v>-5.6000000000000001E-2</v>
      </c>
      <c r="J57" s="5">
        <v>-0.82199999999999995</v>
      </c>
      <c r="K57" s="5">
        <v>3.3000000000000002E-2</v>
      </c>
      <c r="L57" s="5">
        <v>0.55300000000000005</v>
      </c>
      <c r="M57" s="5">
        <v>1.2629999999999999</v>
      </c>
      <c r="N57" s="5">
        <v>-2.3460000000000001</v>
      </c>
      <c r="O57" s="5">
        <v>94.8</v>
      </c>
      <c r="P57" s="5">
        <v>2.5999999999999999E-2</v>
      </c>
      <c r="Q57" s="5">
        <v>-0.72499999999999998</v>
      </c>
      <c r="R57" s="5">
        <v>0.112</v>
      </c>
      <c r="S57" s="5">
        <v>0.63300000000000001</v>
      </c>
      <c r="T57" s="5">
        <v>1.345</v>
      </c>
      <c r="U57" s="5">
        <v>-5.1100000000000003</v>
      </c>
      <c r="V57" s="5">
        <v>92.9</v>
      </c>
      <c r="W57" s="5">
        <v>-0.14499999999999999</v>
      </c>
      <c r="X57" s="5">
        <v>-0.95</v>
      </c>
      <c r="Y57" s="5">
        <v>-4.3999999999999997E-2</v>
      </c>
      <c r="Z57" s="5">
        <v>0.47699999999999998</v>
      </c>
      <c r="AA57" s="5">
        <v>1.1859999999999999</v>
      </c>
      <c r="AB57" s="5">
        <v>1.256</v>
      </c>
      <c r="AC57" s="5">
        <v>-4.3710000000000004</v>
      </c>
      <c r="AD57" s="5">
        <v>-2.7330000000000001</v>
      </c>
      <c r="AE57" s="5">
        <v>-5.3920000000000003</v>
      </c>
      <c r="AF57" s="5">
        <v>-2.0550000000000002</v>
      </c>
      <c r="AG57" s="5">
        <v>-5.2910000000000004</v>
      </c>
      <c r="AH57" s="5">
        <v>1.268</v>
      </c>
      <c r="AI57" s="5">
        <v>0.104</v>
      </c>
      <c r="AK57" s="5">
        <f t="shared" si="0"/>
        <v>1.0189999999999999</v>
      </c>
      <c r="AL57" s="22">
        <f t="shared" si="1"/>
        <v>-0.4</v>
      </c>
      <c r="AN57" s="1">
        <f t="shared" si="10"/>
        <v>94.8</v>
      </c>
      <c r="AO57" s="1">
        <f t="shared" si="11"/>
        <v>93.8</v>
      </c>
      <c r="AP57" s="1">
        <f t="shared" si="12"/>
        <v>92.9</v>
      </c>
      <c r="AQ57" s="16">
        <f t="shared" si="2"/>
        <v>0.47699999999999998</v>
      </c>
      <c r="AR57" s="23">
        <f t="shared" si="13"/>
        <v>3.5999999999999997E-2</v>
      </c>
      <c r="AT57" s="18">
        <f t="shared" si="3"/>
        <v>45709</v>
      </c>
      <c r="AU57" s="19">
        <f t="shared" si="4"/>
        <v>52</v>
      </c>
      <c r="AV57" s="1">
        <f t="shared" si="14"/>
        <v>-3.9</v>
      </c>
      <c r="AW57" s="1">
        <f t="shared" si="15"/>
        <v>-2.2999999999999998</v>
      </c>
      <c r="AX57" s="1">
        <f t="shared" si="16"/>
        <v>-5.0999999999999996</v>
      </c>
      <c r="AY57" s="1">
        <f t="shared" si="8"/>
        <v>93.8</v>
      </c>
      <c r="AZ57" s="1">
        <f t="shared" si="9"/>
        <v>92.9</v>
      </c>
      <c r="BA57" s="1">
        <f t="shared" si="17"/>
        <v>1.0189999999999999</v>
      </c>
      <c r="BB57" s="5">
        <f t="shared" si="18"/>
        <v>-0.4</v>
      </c>
      <c r="BC57" s="1">
        <f>ROUND(AC57,1)</f>
        <v>-4.4000000000000004</v>
      </c>
      <c r="BD57" s="1">
        <f>ROUND(AD57,1)</f>
        <v>-2.7</v>
      </c>
      <c r="BE57" s="1">
        <f>ROUND(AE57,1)</f>
        <v>-5.4</v>
      </c>
      <c r="BF57" s="5">
        <f t="shared" si="19"/>
        <v>0</v>
      </c>
      <c r="BG57" s="5">
        <f t="shared" si="20"/>
        <v>0.6</v>
      </c>
      <c r="BH57" s="5">
        <f t="shared" si="21"/>
        <v>1.3</v>
      </c>
      <c r="BI57" s="5">
        <f t="shared" si="22"/>
        <v>0.104</v>
      </c>
      <c r="BJ57" s="9">
        <f t="shared" si="23"/>
        <v>0.47699999999999998</v>
      </c>
      <c r="BK57" s="9">
        <f t="shared" si="23"/>
        <v>3.5999999999999997E-2</v>
      </c>
      <c r="BM57" s="1">
        <f t="shared" si="24"/>
        <v>-0.38700000000000001</v>
      </c>
      <c r="BN57" s="1">
        <f t="shared" si="25"/>
        <v>-0.28200000000000003</v>
      </c>
    </row>
    <row r="58" spans="1:66" x14ac:dyDescent="0.2">
      <c r="A58" s="4">
        <f t="shared" si="26"/>
        <v>45710</v>
      </c>
      <c r="B58" s="1">
        <v>53</v>
      </c>
      <c r="C58" s="1">
        <v>12</v>
      </c>
      <c r="D58" s="5">
        <v>12.86</v>
      </c>
      <c r="E58" s="5">
        <v>-1.4370000000000001</v>
      </c>
      <c r="F58" s="5">
        <v>-4.9619999999999997</v>
      </c>
      <c r="G58" s="5">
        <v>-3.093</v>
      </c>
      <c r="H58" s="5">
        <v>94.7</v>
      </c>
      <c r="I58" s="5">
        <v>-4.2999999999999997E-2</v>
      </c>
      <c r="J58" s="5">
        <v>-0.71499999999999997</v>
      </c>
      <c r="K58" s="5">
        <v>4.1000000000000002E-2</v>
      </c>
      <c r="L58" s="5">
        <v>0.55300000000000005</v>
      </c>
      <c r="M58" s="5">
        <v>1.258</v>
      </c>
      <c r="N58" s="5">
        <v>-0.45300000000000001</v>
      </c>
      <c r="O58" s="5">
        <v>96.7</v>
      </c>
      <c r="P58" s="5">
        <v>4.7E-2</v>
      </c>
      <c r="Q58" s="5">
        <v>-0.58499999999999996</v>
      </c>
      <c r="R58" s="5">
        <v>0.11899999999999999</v>
      </c>
      <c r="S58" s="5">
        <v>0.64100000000000001</v>
      </c>
      <c r="T58" s="5">
        <v>1.341</v>
      </c>
      <c r="U58" s="5">
        <v>-5.1769999999999996</v>
      </c>
      <c r="V58" s="5">
        <v>92.8</v>
      </c>
      <c r="W58" s="5">
        <v>-0.13600000000000001</v>
      </c>
      <c r="X58" s="5">
        <v>-0.83</v>
      </c>
      <c r="Y58" s="5">
        <v>-4.3999999999999997E-2</v>
      </c>
      <c r="Z58" s="5">
        <v>0.48</v>
      </c>
      <c r="AA58" s="5">
        <v>1.177</v>
      </c>
      <c r="AB58" s="5">
        <v>1.2390000000000001</v>
      </c>
      <c r="AC58" s="5">
        <v>-3.51</v>
      </c>
      <c r="AD58" s="5">
        <v>-0.81299999999999994</v>
      </c>
      <c r="AE58" s="5">
        <v>-5.8819999999999997</v>
      </c>
      <c r="AF58" s="5">
        <v>-1.3560000000000001</v>
      </c>
      <c r="AG58" s="5">
        <v>-5.3780000000000001</v>
      </c>
      <c r="AH58" s="5">
        <v>1.242</v>
      </c>
      <c r="AI58" s="5">
        <v>0.104</v>
      </c>
      <c r="AK58" s="5">
        <f t="shared" si="0"/>
        <v>1.0359999999999998</v>
      </c>
      <c r="AL58" s="22">
        <f t="shared" si="1"/>
        <v>-0.3</v>
      </c>
      <c r="AN58" s="1">
        <f t="shared" si="10"/>
        <v>96.7</v>
      </c>
      <c r="AO58" s="1">
        <f t="shared" si="11"/>
        <v>94.7</v>
      </c>
      <c r="AP58" s="1">
        <f t="shared" si="12"/>
        <v>92.8</v>
      </c>
      <c r="AQ58" s="16">
        <f t="shared" si="2"/>
        <v>0.54800000000000004</v>
      </c>
      <c r="AR58" s="23">
        <f t="shared" si="13"/>
        <v>4.2999999999999997E-2</v>
      </c>
      <c r="AT58" s="18">
        <f t="shared" si="3"/>
        <v>45710</v>
      </c>
      <c r="AU58" s="19">
        <f t="shared" si="4"/>
        <v>53</v>
      </c>
      <c r="AV58" s="1">
        <f t="shared" si="14"/>
        <v>-3.1</v>
      </c>
      <c r="AW58" s="1">
        <f t="shared" si="15"/>
        <v>-0.5</v>
      </c>
      <c r="AX58" s="1">
        <f t="shared" si="16"/>
        <v>-5.2</v>
      </c>
      <c r="AY58" s="1">
        <f t="shared" si="8"/>
        <v>94.7</v>
      </c>
      <c r="AZ58" s="1">
        <f t="shared" si="9"/>
        <v>92.8</v>
      </c>
      <c r="BA58" s="1">
        <f t="shared" si="17"/>
        <v>1.0359999999999998</v>
      </c>
      <c r="BB58" s="5">
        <f t="shared" si="18"/>
        <v>-0.3</v>
      </c>
      <c r="BC58" s="1">
        <f>ROUND(AC58,1)</f>
        <v>-3.5</v>
      </c>
      <c r="BD58" s="1">
        <f>ROUND(AD58,1)</f>
        <v>-0.8</v>
      </c>
      <c r="BE58" s="1">
        <f>ROUND(AE58,1)</f>
        <v>-5.9</v>
      </c>
      <c r="BF58" s="5">
        <f t="shared" si="19"/>
        <v>0</v>
      </c>
      <c r="BG58" s="5">
        <f t="shared" si="20"/>
        <v>0.6</v>
      </c>
      <c r="BH58" s="5">
        <f t="shared" si="21"/>
        <v>1.3</v>
      </c>
      <c r="BI58" s="5">
        <f t="shared" si="22"/>
        <v>0.104</v>
      </c>
      <c r="BJ58" s="9">
        <f t="shared" si="23"/>
        <v>0.54800000000000004</v>
      </c>
      <c r="BK58" s="9">
        <f t="shared" si="23"/>
        <v>4.2999999999999997E-2</v>
      </c>
      <c r="BM58" s="1">
        <f t="shared" si="24"/>
        <v>-0.35999999999999993</v>
      </c>
      <c r="BN58" s="1">
        <f t="shared" si="25"/>
        <v>-0.70500000000000007</v>
      </c>
    </row>
    <row r="59" spans="1:66" x14ac:dyDescent="0.2">
      <c r="A59" s="4">
        <f t="shared" si="26"/>
        <v>45711</v>
      </c>
      <c r="B59" s="1">
        <v>54</v>
      </c>
      <c r="C59" s="1">
        <v>12</v>
      </c>
      <c r="D59" s="5">
        <v>12.96</v>
      </c>
      <c r="E59" s="5">
        <v>0.436</v>
      </c>
      <c r="F59" s="5">
        <v>-3.1269999999999998</v>
      </c>
      <c r="G59" s="5">
        <v>-2.0910000000000002</v>
      </c>
      <c r="H59" s="5">
        <v>95</v>
      </c>
      <c r="I59" s="5">
        <v>-2.1000000000000001E-2</v>
      </c>
      <c r="J59" s="5">
        <v>-0.60799999999999998</v>
      </c>
      <c r="K59" s="5">
        <v>5.7000000000000002E-2</v>
      </c>
      <c r="L59" s="5">
        <v>0.56000000000000005</v>
      </c>
      <c r="M59" s="5">
        <v>1.2569999999999999</v>
      </c>
      <c r="N59" s="5">
        <v>-0.28399999999999997</v>
      </c>
      <c r="O59" s="5">
        <v>96.7</v>
      </c>
      <c r="P59" s="5">
        <v>7.3999999999999996E-2</v>
      </c>
      <c r="Q59" s="5">
        <v>-0.501</v>
      </c>
      <c r="R59" s="5">
        <v>0.13700000000000001</v>
      </c>
      <c r="S59" s="5">
        <v>0.65400000000000003</v>
      </c>
      <c r="T59" s="5">
        <v>1.3540000000000001</v>
      </c>
      <c r="U59" s="5">
        <v>-4.4080000000000004</v>
      </c>
      <c r="V59" s="5">
        <v>89.8</v>
      </c>
      <c r="W59" s="5">
        <v>-0.115</v>
      </c>
      <c r="X59" s="5">
        <v>-0.71299999999999997</v>
      </c>
      <c r="Y59" s="5">
        <v>-2.9000000000000001E-2</v>
      </c>
      <c r="Z59" s="5">
        <v>0.47599999999999998</v>
      </c>
      <c r="AA59" s="5">
        <v>1.1719999999999999</v>
      </c>
      <c r="AB59" s="5">
        <v>1.1679999999999999</v>
      </c>
      <c r="AC59" s="5">
        <v>-2.7690000000000001</v>
      </c>
      <c r="AD59" s="5">
        <v>-1.5660000000000001</v>
      </c>
      <c r="AE59" s="5">
        <v>-5.2549999999999999</v>
      </c>
      <c r="AF59" s="5">
        <v>0.26800000000000002</v>
      </c>
      <c r="AG59" s="5">
        <v>-4.5490000000000004</v>
      </c>
      <c r="AH59" s="5">
        <v>1.177</v>
      </c>
      <c r="AI59" s="5">
        <v>0.104</v>
      </c>
      <c r="AK59" s="5">
        <f t="shared" si="0"/>
        <v>1.107</v>
      </c>
      <c r="AL59" s="22">
        <f t="shared" si="1"/>
        <v>-0.3</v>
      </c>
      <c r="AN59" s="1">
        <f t="shared" si="10"/>
        <v>96.7</v>
      </c>
      <c r="AO59" s="1">
        <f t="shared" si="11"/>
        <v>95</v>
      </c>
      <c r="AP59" s="1">
        <f t="shared" si="12"/>
        <v>89.8</v>
      </c>
      <c r="AQ59" s="16">
        <f t="shared" si="2"/>
        <v>0.53700000000000003</v>
      </c>
      <c r="AR59" s="23">
        <f t="shared" si="13"/>
        <v>6.0999999999999999E-2</v>
      </c>
      <c r="AT59" s="18">
        <f t="shared" si="3"/>
        <v>45711</v>
      </c>
      <c r="AU59" s="19">
        <f t="shared" si="4"/>
        <v>54</v>
      </c>
      <c r="AV59" s="1">
        <f t="shared" si="14"/>
        <v>-2.1</v>
      </c>
      <c r="AW59" s="1">
        <f t="shared" si="15"/>
        <v>-0.3</v>
      </c>
      <c r="AX59" s="1">
        <f t="shared" si="16"/>
        <v>-4.4000000000000004</v>
      </c>
      <c r="AY59" s="1">
        <f t="shared" si="8"/>
        <v>95</v>
      </c>
      <c r="AZ59" s="1">
        <f t="shared" si="9"/>
        <v>89.8</v>
      </c>
      <c r="BA59" s="1">
        <f t="shared" si="17"/>
        <v>1.107</v>
      </c>
      <c r="BB59" s="5">
        <f t="shared" si="18"/>
        <v>-0.3</v>
      </c>
      <c r="BC59" s="1">
        <f>ROUND(AC59,1)</f>
        <v>-2.8</v>
      </c>
      <c r="BD59" s="1">
        <f>ROUND(AD59,1)</f>
        <v>-1.6</v>
      </c>
      <c r="BE59" s="1">
        <f>ROUND(AE59,1)</f>
        <v>-5.3</v>
      </c>
      <c r="BF59" s="5">
        <f t="shared" si="19"/>
        <v>0.1</v>
      </c>
      <c r="BG59" s="5">
        <f t="shared" si="20"/>
        <v>0.6</v>
      </c>
      <c r="BH59" s="5">
        <f t="shared" si="21"/>
        <v>1.3</v>
      </c>
      <c r="BI59" s="5">
        <f t="shared" si="22"/>
        <v>0.104</v>
      </c>
      <c r="BJ59" s="9">
        <f t="shared" si="23"/>
        <v>0.53700000000000003</v>
      </c>
      <c r="BK59" s="9">
        <f t="shared" si="23"/>
        <v>6.0999999999999999E-2</v>
      </c>
      <c r="BM59" s="1">
        <f t="shared" si="24"/>
        <v>-1.282</v>
      </c>
      <c r="BN59" s="1">
        <f t="shared" si="25"/>
        <v>-0.84699999999999953</v>
      </c>
    </row>
    <row r="60" spans="1:66" x14ac:dyDescent="0.2">
      <c r="A60" s="4">
        <f t="shared" si="26"/>
        <v>45712</v>
      </c>
      <c r="B60" s="1">
        <v>55</v>
      </c>
      <c r="C60" s="1">
        <v>12</v>
      </c>
      <c r="D60" s="5">
        <v>12.87</v>
      </c>
      <c r="E60" s="5">
        <v>-3.15</v>
      </c>
      <c r="F60" s="5">
        <v>-5.33</v>
      </c>
      <c r="G60" s="5">
        <v>-4.4669999999999996</v>
      </c>
      <c r="H60" s="5">
        <v>93.2</v>
      </c>
      <c r="I60" s="5">
        <v>-2.4E-2</v>
      </c>
      <c r="J60" s="5">
        <v>-0.53500000000000003</v>
      </c>
      <c r="K60" s="5">
        <v>4.4999999999999998E-2</v>
      </c>
      <c r="L60" s="5">
        <v>0.54400000000000004</v>
      </c>
      <c r="M60" s="5">
        <v>1.2390000000000001</v>
      </c>
      <c r="N60" s="5">
        <v>-3.6629999999999998</v>
      </c>
      <c r="O60" s="5">
        <v>94.2</v>
      </c>
      <c r="P60" s="5">
        <v>5.3999999999999999E-2</v>
      </c>
      <c r="Q60" s="5">
        <v>-0.44400000000000001</v>
      </c>
      <c r="R60" s="5">
        <v>0.122</v>
      </c>
      <c r="S60" s="5">
        <v>0.627</v>
      </c>
      <c r="T60" s="5">
        <v>1.321</v>
      </c>
      <c r="U60" s="5">
        <v>-5.85</v>
      </c>
      <c r="V60" s="5">
        <v>90.2</v>
      </c>
      <c r="W60" s="5">
        <v>-0.105</v>
      </c>
      <c r="X60" s="5">
        <v>-0.63500000000000001</v>
      </c>
      <c r="Y60" s="5">
        <v>-3.4000000000000002E-2</v>
      </c>
      <c r="Z60" s="5">
        <v>0.46300000000000002</v>
      </c>
      <c r="AA60" s="5">
        <v>1.161</v>
      </c>
      <c r="AB60" s="5">
        <v>1.202</v>
      </c>
      <c r="AC60" s="5">
        <v>-5.133</v>
      </c>
      <c r="AD60" s="5">
        <v>-3.86</v>
      </c>
      <c r="AE60" s="5">
        <v>-7.2990000000000004</v>
      </c>
      <c r="AF60" s="5">
        <v>-3.65</v>
      </c>
      <c r="AG60" s="5">
        <v>-5.9850000000000003</v>
      </c>
      <c r="AH60" s="5">
        <v>1.212</v>
      </c>
      <c r="AI60" s="5">
        <v>0.104</v>
      </c>
      <c r="AK60" s="5">
        <f t="shared" si="0"/>
        <v>1.073</v>
      </c>
      <c r="AL60" s="22">
        <f t="shared" si="1"/>
        <v>-0.2</v>
      </c>
      <c r="AN60" s="1">
        <f t="shared" si="10"/>
        <v>94.2</v>
      </c>
      <c r="AO60" s="1">
        <f t="shared" si="11"/>
        <v>93.2</v>
      </c>
      <c r="AP60" s="1">
        <f t="shared" si="12"/>
        <v>90.2</v>
      </c>
      <c r="AQ60" s="16">
        <f t="shared" si="2"/>
        <v>0.42</v>
      </c>
      <c r="AR60" s="23">
        <f t="shared" si="13"/>
        <v>4.5999999999999999E-2</v>
      </c>
      <c r="AT60" s="18">
        <f t="shared" si="3"/>
        <v>45712</v>
      </c>
      <c r="AU60" s="19">
        <f t="shared" si="4"/>
        <v>55</v>
      </c>
      <c r="AV60" s="1">
        <f t="shared" si="14"/>
        <v>-4.5</v>
      </c>
      <c r="AW60" s="1">
        <f t="shared" si="15"/>
        <v>-3.7</v>
      </c>
      <c r="AX60" s="1">
        <f t="shared" si="16"/>
        <v>-5.9</v>
      </c>
      <c r="AY60" s="1">
        <f t="shared" si="8"/>
        <v>93.2</v>
      </c>
      <c r="AZ60" s="1">
        <f t="shared" si="9"/>
        <v>90.2</v>
      </c>
      <c r="BA60" s="1">
        <f t="shared" si="17"/>
        <v>1.073</v>
      </c>
      <c r="BB60" s="5">
        <f t="shared" si="18"/>
        <v>-0.2</v>
      </c>
      <c r="BC60" s="1">
        <f>ROUND(AC60,1)</f>
        <v>-5.0999999999999996</v>
      </c>
      <c r="BD60" s="1">
        <f>ROUND(AD60,1)</f>
        <v>-3.9</v>
      </c>
      <c r="BE60" s="1">
        <f>ROUND(AE60,1)</f>
        <v>-7.3</v>
      </c>
      <c r="BF60" s="5">
        <f t="shared" si="19"/>
        <v>0</v>
      </c>
      <c r="BG60" s="5">
        <f t="shared" si="20"/>
        <v>0.5</v>
      </c>
      <c r="BH60" s="5">
        <f t="shared" si="21"/>
        <v>1.2</v>
      </c>
      <c r="BI60" s="5">
        <f t="shared" si="22"/>
        <v>0.104</v>
      </c>
      <c r="BJ60" s="9">
        <f t="shared" si="23"/>
        <v>0.42</v>
      </c>
      <c r="BK60" s="9">
        <f t="shared" si="23"/>
        <v>4.5999999999999999E-2</v>
      </c>
      <c r="BM60" s="1">
        <f t="shared" si="24"/>
        <v>-0.19700000000000006</v>
      </c>
      <c r="BN60" s="1">
        <f t="shared" si="25"/>
        <v>-1.4490000000000007</v>
      </c>
    </row>
    <row r="61" spans="1:66" x14ac:dyDescent="0.2">
      <c r="A61" s="4">
        <f t="shared" si="26"/>
        <v>45713</v>
      </c>
      <c r="B61" s="1">
        <v>56</v>
      </c>
      <c r="C61" s="1">
        <v>12</v>
      </c>
      <c r="D61" s="5">
        <v>12.97</v>
      </c>
      <c r="E61" s="5">
        <v>-1.0329999999999999</v>
      </c>
      <c r="F61" s="5">
        <v>-4.593</v>
      </c>
      <c r="G61" s="5">
        <v>-3.6680000000000001</v>
      </c>
      <c r="H61" s="5">
        <v>94.2</v>
      </c>
      <c r="I61" s="5">
        <v>-1.2E-2</v>
      </c>
      <c r="J61" s="5">
        <v>-0.46200000000000002</v>
      </c>
      <c r="K61" s="5">
        <v>5.2999999999999999E-2</v>
      </c>
      <c r="L61" s="5">
        <v>0.54500000000000004</v>
      </c>
      <c r="M61" s="5">
        <v>1.2350000000000001</v>
      </c>
      <c r="N61" s="5">
        <v>-1.4670000000000001</v>
      </c>
      <c r="O61" s="5">
        <v>95.6</v>
      </c>
      <c r="P61" s="5">
        <v>6.9000000000000006E-2</v>
      </c>
      <c r="Q61" s="5">
        <v>-0.36599999999999999</v>
      </c>
      <c r="R61" s="5">
        <v>0.13400000000000001</v>
      </c>
      <c r="S61" s="5">
        <v>0.625</v>
      </c>
      <c r="T61" s="5">
        <v>1.3109999999999999</v>
      </c>
      <c r="U61" s="5">
        <v>-4.8410000000000002</v>
      </c>
      <c r="V61" s="5">
        <v>93.2</v>
      </c>
      <c r="W61" s="5">
        <v>-0.108</v>
      </c>
      <c r="X61" s="5">
        <v>-0.56399999999999995</v>
      </c>
      <c r="Y61" s="5">
        <v>-3.5000000000000003E-2</v>
      </c>
      <c r="Z61" s="5">
        <v>0.45900000000000002</v>
      </c>
      <c r="AA61" s="5">
        <v>1.1599999999999999</v>
      </c>
      <c r="AB61" s="5">
        <v>1.1220000000000001</v>
      </c>
      <c r="AC61" s="5">
        <v>-4.0910000000000002</v>
      </c>
      <c r="AD61" s="5">
        <v>-1.3109999999999999</v>
      </c>
      <c r="AE61" s="5">
        <v>-5.6980000000000004</v>
      </c>
      <c r="AF61" s="5">
        <v>-0.379</v>
      </c>
      <c r="AG61" s="5">
        <v>-5.0819999999999999</v>
      </c>
      <c r="AH61" s="5">
        <v>1.1299999999999999</v>
      </c>
      <c r="AI61" s="5">
        <v>0.104</v>
      </c>
      <c r="AK61" s="5">
        <f t="shared" si="0"/>
        <v>1.1529999999999998</v>
      </c>
      <c r="AL61" s="22">
        <f t="shared" si="1"/>
        <v>-0.2</v>
      </c>
      <c r="AN61" s="1">
        <f t="shared" si="10"/>
        <v>95.6</v>
      </c>
      <c r="AO61" s="1">
        <f t="shared" si="11"/>
        <v>94.2</v>
      </c>
      <c r="AP61" s="1">
        <f t="shared" si="12"/>
        <v>93.2</v>
      </c>
      <c r="AQ61" s="16">
        <f t="shared" si="2"/>
        <v>0.51100000000000001</v>
      </c>
      <c r="AR61" s="23">
        <f t="shared" si="13"/>
        <v>3.6999999999999998E-2</v>
      </c>
      <c r="AT61" s="18">
        <f t="shared" si="3"/>
        <v>45713</v>
      </c>
      <c r="AU61" s="19">
        <f t="shared" si="4"/>
        <v>56</v>
      </c>
      <c r="AV61" s="1">
        <f t="shared" si="14"/>
        <v>-3.7</v>
      </c>
      <c r="AW61" s="1">
        <f t="shared" si="15"/>
        <v>-1.5</v>
      </c>
      <c r="AX61" s="1">
        <f t="shared" si="16"/>
        <v>-4.8</v>
      </c>
      <c r="AY61" s="1">
        <f t="shared" si="8"/>
        <v>94.2</v>
      </c>
      <c r="AZ61" s="1">
        <f t="shared" si="9"/>
        <v>93.2</v>
      </c>
      <c r="BA61" s="1">
        <f t="shared" si="17"/>
        <v>1.1529999999999998</v>
      </c>
      <c r="BB61" s="5">
        <f t="shared" si="18"/>
        <v>-0.2</v>
      </c>
      <c r="BC61" s="1">
        <f>ROUND(AC61,1)</f>
        <v>-4.0999999999999996</v>
      </c>
      <c r="BD61" s="1">
        <f>ROUND(AD61,1)</f>
        <v>-1.3</v>
      </c>
      <c r="BE61" s="1">
        <f>ROUND(AE61,1)</f>
        <v>-5.7</v>
      </c>
      <c r="BF61" s="5">
        <f t="shared" si="19"/>
        <v>0.1</v>
      </c>
      <c r="BG61" s="5">
        <f t="shared" si="20"/>
        <v>0.5</v>
      </c>
      <c r="BH61" s="5">
        <f t="shared" si="21"/>
        <v>1.2</v>
      </c>
      <c r="BI61" s="5">
        <f t="shared" si="22"/>
        <v>0.104</v>
      </c>
      <c r="BJ61" s="9">
        <f t="shared" si="23"/>
        <v>0.51100000000000001</v>
      </c>
      <c r="BK61" s="9">
        <f t="shared" si="23"/>
        <v>3.6999999999999998E-2</v>
      </c>
      <c r="BM61" s="1">
        <f t="shared" si="24"/>
        <v>0.15600000000000014</v>
      </c>
      <c r="BN61" s="1">
        <f t="shared" si="25"/>
        <v>-0.85700000000000021</v>
      </c>
    </row>
    <row r="62" spans="1:66" x14ac:dyDescent="0.2">
      <c r="A62" s="4">
        <f t="shared" si="26"/>
        <v>45714</v>
      </c>
      <c r="B62" s="1">
        <v>57</v>
      </c>
      <c r="C62" s="1">
        <v>12</v>
      </c>
      <c r="D62" s="5">
        <v>13.01</v>
      </c>
      <c r="E62" s="5">
        <v>1.032</v>
      </c>
      <c r="F62" s="5">
        <v>-4.9160000000000004</v>
      </c>
      <c r="G62" s="5">
        <v>-2.984</v>
      </c>
      <c r="H62" s="5">
        <v>94.4</v>
      </c>
      <c r="I62" s="5">
        <v>0.01</v>
      </c>
      <c r="J62" s="5">
        <v>-0.41199999999999998</v>
      </c>
      <c r="K62" s="5">
        <v>6.7000000000000004E-2</v>
      </c>
      <c r="L62" s="5">
        <v>0.55400000000000005</v>
      </c>
      <c r="M62" s="5">
        <v>1.236</v>
      </c>
      <c r="N62" s="5">
        <v>0.39200000000000002</v>
      </c>
      <c r="O62" s="5">
        <v>96.2</v>
      </c>
      <c r="P62" s="5">
        <v>0.107</v>
      </c>
      <c r="Q62" s="5">
        <v>-0.312</v>
      </c>
      <c r="R62" s="5">
        <v>0.161</v>
      </c>
      <c r="S62" s="5">
        <v>0.64400000000000002</v>
      </c>
      <c r="T62" s="5">
        <v>1.3240000000000001</v>
      </c>
      <c r="U62" s="5">
        <v>-5.5830000000000002</v>
      </c>
      <c r="V62" s="5">
        <v>92.5</v>
      </c>
      <c r="W62" s="5">
        <v>-7.8E-2</v>
      </c>
      <c r="X62" s="5">
        <v>-0.50800000000000001</v>
      </c>
      <c r="Y62" s="5">
        <v>-1.6E-2</v>
      </c>
      <c r="Z62" s="5">
        <v>0.47</v>
      </c>
      <c r="AA62" s="5">
        <v>1.155</v>
      </c>
      <c r="AB62" s="5">
        <v>1.155</v>
      </c>
      <c r="AC62" s="5">
        <v>-3.7890000000000001</v>
      </c>
      <c r="AD62" s="5">
        <v>-4.7E-2</v>
      </c>
      <c r="AE62" s="5">
        <v>-6.8520000000000003</v>
      </c>
      <c r="AF62" s="5">
        <v>0.89400000000000002</v>
      </c>
      <c r="AG62" s="5">
        <v>-5.8109999999999999</v>
      </c>
      <c r="AH62" s="5">
        <v>1.165</v>
      </c>
      <c r="AI62" s="5">
        <v>0.104</v>
      </c>
      <c r="AK62" s="5">
        <f t="shared" si="0"/>
        <v>1.1199999999999999</v>
      </c>
      <c r="AL62" s="22">
        <f t="shared" si="1"/>
        <v>-0.2</v>
      </c>
      <c r="AN62" s="1">
        <f t="shared" ref="AN62" si="37">ROUND(O62*AO$1,1)</f>
        <v>96.2</v>
      </c>
      <c r="AO62" s="1">
        <f t="shared" ref="AO62" si="38">ROUND(H62*AO$1,1)</f>
        <v>94.4</v>
      </c>
      <c r="AP62" s="1">
        <f t="shared" ref="AP62" si="39">ROUND(V62*AO$1,1)</f>
        <v>92.5</v>
      </c>
      <c r="AQ62" s="16">
        <f t="shared" ref="AQ62" si="40">ROUND((0.6105*(EXP((17.273*N62)/(N62+237.3))))*AP62/100,3)</f>
        <v>0.58099999999999996</v>
      </c>
      <c r="AR62" s="23">
        <f t="shared" si="13"/>
        <v>4.7E-2</v>
      </c>
      <c r="AT62" s="18">
        <f t="shared" ref="AT62" si="41">A62</f>
        <v>45714</v>
      </c>
      <c r="AU62" s="19">
        <f t="shared" ref="AU62" si="42">B62</f>
        <v>57</v>
      </c>
      <c r="AV62" s="1">
        <f t="shared" ref="AV62" si="43">ROUND(G62,1)</f>
        <v>-3</v>
      </c>
      <c r="AW62" s="1">
        <f t="shared" ref="AW62" si="44">ROUND(N62,1)</f>
        <v>0.4</v>
      </c>
      <c r="AX62" s="1">
        <f t="shared" ref="AX62" si="45">ROUND(U62,1)</f>
        <v>-5.6</v>
      </c>
      <c r="AY62" s="1">
        <f t="shared" ref="AY62" si="46">AO62</f>
        <v>94.4</v>
      </c>
      <c r="AZ62" s="1">
        <f t="shared" ref="AZ62" si="47">AP62</f>
        <v>92.5</v>
      </c>
      <c r="BA62" s="1">
        <f t="shared" si="17"/>
        <v>1.1199999999999999</v>
      </c>
      <c r="BB62" s="5">
        <f t="shared" si="18"/>
        <v>-0.2</v>
      </c>
      <c r="BC62" s="1">
        <f>ROUND(AC62,1)</f>
        <v>-3.8</v>
      </c>
      <c r="BD62" s="1">
        <f>ROUND(AD62,1)</f>
        <v>0</v>
      </c>
      <c r="BE62" s="1">
        <f>ROUND(AE62,1)</f>
        <v>-6.9</v>
      </c>
      <c r="BF62" s="5">
        <f t="shared" ref="BF62" si="48">ROUND(K62,1)</f>
        <v>0.1</v>
      </c>
      <c r="BG62" s="5">
        <f t="shared" ref="BG62" si="49">ROUND(L62,1)</f>
        <v>0.6</v>
      </c>
      <c r="BH62" s="5">
        <f t="shared" ref="BH62" si="50">ROUND(M62,1)</f>
        <v>1.2</v>
      </c>
      <c r="BI62" s="5">
        <f t="shared" si="22"/>
        <v>0.104</v>
      </c>
      <c r="BJ62" s="9">
        <f t="shared" si="23"/>
        <v>0.58099999999999996</v>
      </c>
      <c r="BK62" s="9">
        <f t="shared" si="23"/>
        <v>4.7E-2</v>
      </c>
      <c r="BM62" s="1">
        <f t="shared" ref="BM62" si="51">AD62-N62</f>
        <v>-0.439</v>
      </c>
      <c r="BN62" s="1">
        <f t="shared" ref="BN62" si="52">AE62-U62</f>
        <v>-1.2690000000000001</v>
      </c>
    </row>
    <row r="63" spans="1:66" x14ac:dyDescent="0.2">
      <c r="A63" s="4">
        <f t="shared" si="26"/>
        <v>45715</v>
      </c>
      <c r="B63" s="1">
        <v>58</v>
      </c>
      <c r="C63" s="1">
        <v>12</v>
      </c>
      <c r="D63" s="5">
        <v>12.97</v>
      </c>
      <c r="E63" s="5">
        <v>1.629</v>
      </c>
      <c r="F63" s="5">
        <v>-4.8730000000000002</v>
      </c>
      <c r="G63" s="5">
        <v>-1.41</v>
      </c>
      <c r="H63" s="5">
        <v>92.1</v>
      </c>
      <c r="I63" s="5">
        <v>3.5000000000000003E-2</v>
      </c>
      <c r="J63" s="5">
        <v>-0.371</v>
      </c>
      <c r="K63" s="5">
        <v>8.6999999999999994E-2</v>
      </c>
      <c r="L63" s="5">
        <v>0.56699999999999995</v>
      </c>
      <c r="M63" s="5">
        <v>1.246</v>
      </c>
      <c r="N63" s="5">
        <v>1.1020000000000001</v>
      </c>
      <c r="O63" s="5">
        <v>95.6</v>
      </c>
      <c r="P63" s="5">
        <v>0.151</v>
      </c>
      <c r="Q63" s="5">
        <v>-0.254</v>
      </c>
      <c r="R63" s="5">
        <v>0.19400000000000001</v>
      </c>
      <c r="S63" s="5">
        <v>0.66200000000000003</v>
      </c>
      <c r="T63" s="5">
        <v>1.339</v>
      </c>
      <c r="U63" s="5">
        <v>-5.077</v>
      </c>
      <c r="V63" s="5">
        <v>86.8</v>
      </c>
      <c r="W63" s="5">
        <v>-7.0999999999999994E-2</v>
      </c>
      <c r="X63" s="5">
        <v>-0.47599999999999998</v>
      </c>
      <c r="Y63" s="5">
        <v>-2.3E-2</v>
      </c>
      <c r="Z63" s="5">
        <v>0.46400000000000002</v>
      </c>
      <c r="AA63" s="5">
        <v>1.1559999999999999</v>
      </c>
      <c r="AB63" s="5">
        <v>1.159</v>
      </c>
      <c r="AC63" s="5">
        <v>-2.8069999999999999</v>
      </c>
      <c r="AD63" s="5">
        <v>-1.0999999999999999E-2</v>
      </c>
      <c r="AE63" s="5">
        <v>-6.9269999999999996</v>
      </c>
      <c r="AF63" s="5">
        <v>2.2109999999999999</v>
      </c>
      <c r="AG63" s="5">
        <v>-5.4240000000000004</v>
      </c>
      <c r="AH63" s="5">
        <v>1.159</v>
      </c>
      <c r="AI63" s="5">
        <v>0.104</v>
      </c>
      <c r="AK63" s="5">
        <f t="shared" si="0"/>
        <v>1.1159999999999999</v>
      </c>
      <c r="AL63" s="22">
        <f t="shared" si="1"/>
        <v>-0.1</v>
      </c>
      <c r="AN63" s="1">
        <f t="shared" si="10"/>
        <v>95.6</v>
      </c>
      <c r="AO63" s="1">
        <f t="shared" si="11"/>
        <v>92.1</v>
      </c>
      <c r="AP63" s="1">
        <f t="shared" si="12"/>
        <v>86.8</v>
      </c>
      <c r="AQ63" s="16">
        <f t="shared" si="2"/>
        <v>0.57399999999999995</v>
      </c>
      <c r="AR63" s="23">
        <f t="shared" si="13"/>
        <v>8.6999999999999994E-2</v>
      </c>
      <c r="AT63" s="18">
        <f t="shared" si="3"/>
        <v>45715</v>
      </c>
      <c r="AU63" s="19">
        <f t="shared" si="4"/>
        <v>58</v>
      </c>
      <c r="AV63" s="1">
        <f t="shared" si="14"/>
        <v>-1.4</v>
      </c>
      <c r="AW63" s="1">
        <f t="shared" si="15"/>
        <v>1.1000000000000001</v>
      </c>
      <c r="AX63" s="1">
        <f t="shared" si="16"/>
        <v>-5.0999999999999996</v>
      </c>
      <c r="AY63" s="1">
        <f t="shared" si="8"/>
        <v>92.1</v>
      </c>
      <c r="AZ63" s="1">
        <f t="shared" si="9"/>
        <v>86.8</v>
      </c>
      <c r="BA63" s="1">
        <f t="shared" si="17"/>
        <v>1.1159999999999999</v>
      </c>
      <c r="BB63" s="5">
        <f t="shared" si="18"/>
        <v>-0.1</v>
      </c>
      <c r="BC63" s="1">
        <f>ROUND(AC63,1)</f>
        <v>-2.8</v>
      </c>
      <c r="BD63" s="1">
        <f>ROUND(AD63,1)</f>
        <v>0</v>
      </c>
      <c r="BE63" s="1">
        <f>ROUND(AE63,1)</f>
        <v>-6.9</v>
      </c>
      <c r="BF63" s="5">
        <f t="shared" si="19"/>
        <v>0.1</v>
      </c>
      <c r="BG63" s="5">
        <f t="shared" si="20"/>
        <v>0.6</v>
      </c>
      <c r="BH63" s="5">
        <f t="shared" si="21"/>
        <v>1.2</v>
      </c>
      <c r="BI63" s="5">
        <f t="shared" si="22"/>
        <v>0.104</v>
      </c>
      <c r="BJ63" s="9">
        <f t="shared" si="23"/>
        <v>0.57399999999999995</v>
      </c>
      <c r="BK63" s="9">
        <f t="shared" si="23"/>
        <v>8.6999999999999994E-2</v>
      </c>
      <c r="BM63" s="1">
        <f t="shared" si="24"/>
        <v>-1.113</v>
      </c>
      <c r="BN63" s="1">
        <f t="shared" si="25"/>
        <v>-1.8499999999999996</v>
      </c>
    </row>
    <row r="64" spans="1:66" x14ac:dyDescent="0.2">
      <c r="A64" s="4">
        <f t="shared" si="26"/>
        <v>45716</v>
      </c>
      <c r="B64" s="1">
        <v>59</v>
      </c>
      <c r="C64" s="1">
        <v>12</v>
      </c>
      <c r="D64" s="5">
        <v>13.04</v>
      </c>
      <c r="E64" s="5">
        <v>4.5999999999999996</v>
      </c>
      <c r="F64" s="5">
        <v>-1.331</v>
      </c>
      <c r="G64" s="5">
        <v>0.27800000000000002</v>
      </c>
      <c r="H64" s="5">
        <v>90.8</v>
      </c>
      <c r="I64" s="5">
        <v>6.4000000000000001E-2</v>
      </c>
      <c r="J64" s="5">
        <v>-0.316</v>
      </c>
      <c r="K64" s="5">
        <v>0.10199999999999999</v>
      </c>
      <c r="L64" s="5">
        <v>0.57499999999999996</v>
      </c>
      <c r="M64" s="5">
        <v>1.242</v>
      </c>
      <c r="N64" s="5">
        <v>3.5209999999999999</v>
      </c>
      <c r="O64" s="5">
        <v>95.1</v>
      </c>
      <c r="P64" s="5">
        <v>0.16200000000000001</v>
      </c>
      <c r="Q64" s="5">
        <v>-0.20899999999999999</v>
      </c>
      <c r="R64" s="5">
        <v>0.19600000000000001</v>
      </c>
      <c r="S64" s="5">
        <v>0.66700000000000004</v>
      </c>
      <c r="T64" s="5">
        <v>1.345</v>
      </c>
      <c r="U64" s="5">
        <v>-1.6359999999999999</v>
      </c>
      <c r="V64" s="5">
        <v>72.31</v>
      </c>
      <c r="W64" s="5">
        <v>-2.4E-2</v>
      </c>
      <c r="X64" s="5">
        <v>-0.41299999999999998</v>
      </c>
      <c r="Y64" s="5">
        <v>1.7000000000000001E-2</v>
      </c>
      <c r="Z64" s="5">
        <v>0.49399999999999999</v>
      </c>
      <c r="AA64" s="5">
        <v>1.145</v>
      </c>
      <c r="AB64" s="5">
        <v>1.1990000000000001</v>
      </c>
      <c r="AC64" s="5">
        <v>-1.323</v>
      </c>
      <c r="AD64" s="5">
        <v>0.35099999999999998</v>
      </c>
      <c r="AE64" s="5">
        <v>-3.181</v>
      </c>
      <c r="AF64" s="5">
        <v>6.6970000000000001</v>
      </c>
      <c r="AG64" s="5">
        <v>-1.8320000000000001</v>
      </c>
      <c r="AH64" s="5">
        <v>1.2010000000000001</v>
      </c>
      <c r="AI64" s="5">
        <v>0.105</v>
      </c>
      <c r="AK64" s="5">
        <f t="shared" si="0"/>
        <v>1.0759999999999998</v>
      </c>
      <c r="AL64" s="22">
        <f t="shared" si="1"/>
        <v>-0.1</v>
      </c>
      <c r="AN64" s="1">
        <f t="shared" si="10"/>
        <v>95.1</v>
      </c>
      <c r="AO64" s="1">
        <f t="shared" si="11"/>
        <v>90.8</v>
      </c>
      <c r="AP64" s="1">
        <f t="shared" si="12"/>
        <v>72.3</v>
      </c>
      <c r="AQ64" s="16">
        <f t="shared" si="2"/>
        <v>0.56799999999999995</v>
      </c>
      <c r="AR64" s="23">
        <f t="shared" si="13"/>
        <v>0.218</v>
      </c>
      <c r="AT64" s="18">
        <f t="shared" si="3"/>
        <v>45716</v>
      </c>
      <c r="AU64" s="19">
        <f t="shared" si="4"/>
        <v>59</v>
      </c>
      <c r="AV64" s="1">
        <f t="shared" si="14"/>
        <v>0.3</v>
      </c>
      <c r="AW64" s="1">
        <f t="shared" si="15"/>
        <v>3.5</v>
      </c>
      <c r="AX64" s="1">
        <f t="shared" si="16"/>
        <v>-1.6</v>
      </c>
      <c r="AY64" s="1">
        <f t="shared" si="8"/>
        <v>90.8</v>
      </c>
      <c r="AZ64" s="1">
        <f t="shared" si="9"/>
        <v>72.3</v>
      </c>
      <c r="BA64" s="1">
        <f t="shared" si="17"/>
        <v>1.0759999999999998</v>
      </c>
      <c r="BB64" s="5">
        <f t="shared" si="18"/>
        <v>-0.1</v>
      </c>
      <c r="BC64" s="1">
        <f>ROUND(AC64,1)</f>
        <v>-1.3</v>
      </c>
      <c r="BD64" s="1">
        <f>ROUND(AD64,1)</f>
        <v>0.4</v>
      </c>
      <c r="BE64" s="1">
        <f>ROUND(AE64,1)</f>
        <v>-3.2</v>
      </c>
      <c r="BF64" s="5">
        <f t="shared" si="19"/>
        <v>0.1</v>
      </c>
      <c r="BG64" s="5">
        <f t="shared" si="20"/>
        <v>0.6</v>
      </c>
      <c r="BH64" s="5">
        <f t="shared" si="21"/>
        <v>1.2</v>
      </c>
      <c r="BI64" s="5">
        <f t="shared" si="22"/>
        <v>0.105</v>
      </c>
      <c r="BJ64" s="9">
        <f t="shared" si="23"/>
        <v>0.56799999999999995</v>
      </c>
      <c r="BK64" s="9">
        <f t="shared" si="23"/>
        <v>0.218</v>
      </c>
      <c r="BM64" s="1">
        <f t="shared" si="24"/>
        <v>-3.17</v>
      </c>
      <c r="BN64" s="1">
        <f t="shared" si="25"/>
        <v>-1.5450000000000002</v>
      </c>
    </row>
    <row r="65" spans="1:66" x14ac:dyDescent="0.2">
      <c r="A65" s="4">
        <f t="shared" si="26"/>
        <v>45717</v>
      </c>
      <c r="B65" s="1">
        <v>60</v>
      </c>
      <c r="C65" s="1">
        <v>12</v>
      </c>
      <c r="D65" s="5">
        <v>13.02</v>
      </c>
      <c r="E65" s="5">
        <v>5.2679999999999998</v>
      </c>
      <c r="F65" s="5">
        <v>-1.97</v>
      </c>
      <c r="G65" s="5">
        <v>0.71799999999999997</v>
      </c>
      <c r="H65" s="5">
        <v>81.5</v>
      </c>
      <c r="I65" s="5">
        <v>6.8000000000000005E-2</v>
      </c>
      <c r="J65" s="5">
        <v>-0.221</v>
      </c>
      <c r="K65" s="5">
        <v>0.10299999999999999</v>
      </c>
      <c r="L65" s="5">
        <v>0.56899999999999995</v>
      </c>
      <c r="M65" s="5">
        <v>1.234</v>
      </c>
      <c r="N65" s="5">
        <v>5.319</v>
      </c>
      <c r="O65" s="5">
        <v>94</v>
      </c>
      <c r="P65" s="5">
        <v>0.19</v>
      </c>
      <c r="Q65" s="5">
        <v>-8.5000000000000006E-2</v>
      </c>
      <c r="R65" s="5">
        <v>0.188</v>
      </c>
      <c r="S65" s="5">
        <v>0.66500000000000004</v>
      </c>
      <c r="T65" s="5">
        <v>1.333</v>
      </c>
      <c r="U65" s="5">
        <v>-2.5489999999999999</v>
      </c>
      <c r="V65" s="5">
        <v>62.09</v>
      </c>
      <c r="W65" s="5">
        <v>-0.03</v>
      </c>
      <c r="X65" s="5">
        <v>-0.35599999999999998</v>
      </c>
      <c r="Y65" s="5">
        <v>0.02</v>
      </c>
      <c r="Z65" s="5">
        <v>0.47699999999999998</v>
      </c>
      <c r="AA65" s="5">
        <v>1.1319999999999999</v>
      </c>
      <c r="AB65" s="5">
        <v>1.2310000000000001</v>
      </c>
      <c r="AC65" s="5">
        <v>-1.7370000000000001</v>
      </c>
      <c r="AD65" s="5">
        <v>0.39700000000000002</v>
      </c>
      <c r="AE65" s="5">
        <v>-4.2460000000000004</v>
      </c>
      <c r="AF65" s="5">
        <v>7.7240000000000002</v>
      </c>
      <c r="AG65" s="5">
        <v>-2.83</v>
      </c>
      <c r="AH65" s="5">
        <v>1.23</v>
      </c>
      <c r="AI65" s="5">
        <v>0.105</v>
      </c>
      <c r="AK65" s="5">
        <f t="shared" si="0"/>
        <v>1.0439999999999998</v>
      </c>
      <c r="AL65" s="22">
        <f t="shared" si="1"/>
        <v>-0.1</v>
      </c>
      <c r="AN65" s="1">
        <f t="shared" si="10"/>
        <v>94</v>
      </c>
      <c r="AO65" s="1">
        <f t="shared" si="11"/>
        <v>81.5</v>
      </c>
      <c r="AP65" s="1">
        <f t="shared" si="12"/>
        <v>62.1</v>
      </c>
      <c r="AQ65" s="16">
        <f t="shared" si="2"/>
        <v>0.55400000000000005</v>
      </c>
      <c r="AR65" s="23">
        <f t="shared" si="13"/>
        <v>0.33800000000000002</v>
      </c>
      <c r="AT65" s="18">
        <f t="shared" si="3"/>
        <v>45717</v>
      </c>
      <c r="AU65" s="19">
        <f t="shared" si="4"/>
        <v>60</v>
      </c>
      <c r="AV65" s="1">
        <f t="shared" si="14"/>
        <v>0.7</v>
      </c>
      <c r="AW65" s="1">
        <f t="shared" si="15"/>
        <v>5.3</v>
      </c>
      <c r="AX65" s="1">
        <f t="shared" si="16"/>
        <v>-2.5</v>
      </c>
      <c r="AY65" s="1">
        <f t="shared" si="8"/>
        <v>81.5</v>
      </c>
      <c r="AZ65" s="1">
        <f t="shared" si="9"/>
        <v>62.1</v>
      </c>
      <c r="BA65" s="1">
        <f t="shared" si="17"/>
        <v>1.0439999999999998</v>
      </c>
      <c r="BB65" s="5">
        <f t="shared" si="18"/>
        <v>-0.1</v>
      </c>
      <c r="BC65" s="1">
        <f>ROUND(AC65,1)</f>
        <v>-1.7</v>
      </c>
      <c r="BD65" s="1">
        <f>ROUND(AD65,1)</f>
        <v>0.4</v>
      </c>
      <c r="BE65" s="1">
        <f>ROUND(AE65,1)</f>
        <v>-4.2</v>
      </c>
      <c r="BF65" s="5">
        <f t="shared" si="19"/>
        <v>0.1</v>
      </c>
      <c r="BG65" s="5">
        <f t="shared" si="20"/>
        <v>0.6</v>
      </c>
      <c r="BH65" s="5">
        <f t="shared" si="21"/>
        <v>1.2</v>
      </c>
      <c r="BI65" s="5">
        <f t="shared" si="22"/>
        <v>0.105</v>
      </c>
      <c r="BJ65" s="9">
        <f t="shared" si="23"/>
        <v>0.55400000000000005</v>
      </c>
      <c r="BK65" s="9">
        <f t="shared" si="23"/>
        <v>0.33800000000000002</v>
      </c>
      <c r="BM65" s="1">
        <f t="shared" si="24"/>
        <v>-4.9219999999999997</v>
      </c>
      <c r="BN65" s="1">
        <f t="shared" si="25"/>
        <v>-1.6970000000000005</v>
      </c>
    </row>
    <row r="66" spans="1:66" x14ac:dyDescent="0.2">
      <c r="A66" s="4">
        <f t="shared" si="26"/>
        <v>45718</v>
      </c>
      <c r="B66" s="1">
        <v>61</v>
      </c>
      <c r="C66" s="1">
        <v>12</v>
      </c>
      <c r="D66" s="5">
        <v>13.02</v>
      </c>
      <c r="E66" s="5">
        <v>4.4930000000000003</v>
      </c>
      <c r="F66" s="5">
        <v>-2.0790000000000002</v>
      </c>
      <c r="G66" s="5">
        <v>0.44500000000000001</v>
      </c>
      <c r="H66" s="5">
        <v>72.81</v>
      </c>
      <c r="I66" s="5">
        <v>7.0999999999999994E-2</v>
      </c>
      <c r="J66" s="5">
        <v>-7.5999999999999998E-2</v>
      </c>
      <c r="K66" s="5">
        <v>0.112</v>
      </c>
      <c r="L66" s="5">
        <v>0.57199999999999995</v>
      </c>
      <c r="M66" s="5">
        <v>1.2350000000000001</v>
      </c>
      <c r="N66" s="5">
        <v>3.7570000000000001</v>
      </c>
      <c r="O66" s="5">
        <v>96</v>
      </c>
      <c r="P66" s="5">
        <v>0.16300000000000001</v>
      </c>
      <c r="Q66" s="5">
        <v>3.7999999999999999E-2</v>
      </c>
      <c r="R66" s="5">
        <v>0.19900000000000001</v>
      </c>
      <c r="S66" s="5">
        <v>0.65700000000000003</v>
      </c>
      <c r="T66" s="5">
        <v>1.3220000000000001</v>
      </c>
      <c r="U66" s="5">
        <v>-2.887</v>
      </c>
      <c r="V66" s="5">
        <v>51.97</v>
      </c>
      <c r="W66" s="5">
        <v>-1.9E-2</v>
      </c>
      <c r="X66" s="5">
        <v>-0.19600000000000001</v>
      </c>
      <c r="Y66" s="5">
        <v>2.8000000000000001E-2</v>
      </c>
      <c r="Z66" s="5">
        <v>0.47599999999999998</v>
      </c>
      <c r="AA66" s="5">
        <v>1.137</v>
      </c>
      <c r="AB66" s="5">
        <v>1.236</v>
      </c>
      <c r="AC66" s="5">
        <v>-1.8819999999999999</v>
      </c>
      <c r="AD66" s="5">
        <v>0.22700000000000001</v>
      </c>
      <c r="AE66" s="5">
        <v>-3.94</v>
      </c>
      <c r="AF66" s="5">
        <v>5.2729999999999997</v>
      </c>
      <c r="AG66" s="5">
        <v>-2.8359999999999999</v>
      </c>
      <c r="AH66" s="5">
        <v>1.2430000000000001</v>
      </c>
      <c r="AI66" s="5">
        <v>0.105</v>
      </c>
      <c r="AK66" s="5">
        <f t="shared" si="0"/>
        <v>1.0389999999999999</v>
      </c>
      <c r="AL66" s="22">
        <f t="shared" si="1"/>
        <v>0</v>
      </c>
      <c r="AN66" s="1">
        <f t="shared" si="10"/>
        <v>96</v>
      </c>
      <c r="AO66" s="1">
        <f t="shared" si="11"/>
        <v>72.8</v>
      </c>
      <c r="AP66" s="1">
        <f t="shared" si="12"/>
        <v>52</v>
      </c>
      <c r="AQ66" s="16">
        <f t="shared" si="2"/>
        <v>0.41599999999999998</v>
      </c>
      <c r="AR66" s="23">
        <f t="shared" si="13"/>
        <v>0.38400000000000001</v>
      </c>
      <c r="AT66" s="18">
        <f t="shared" si="3"/>
        <v>45718</v>
      </c>
      <c r="AU66" s="19">
        <f t="shared" si="4"/>
        <v>61</v>
      </c>
      <c r="AV66" s="1">
        <f t="shared" si="14"/>
        <v>0.4</v>
      </c>
      <c r="AW66" s="1">
        <f t="shared" si="15"/>
        <v>3.8</v>
      </c>
      <c r="AX66" s="1">
        <f t="shared" si="16"/>
        <v>-2.9</v>
      </c>
      <c r="AY66" s="1">
        <f t="shared" si="8"/>
        <v>72.8</v>
      </c>
      <c r="AZ66" s="1">
        <f t="shared" si="9"/>
        <v>52</v>
      </c>
      <c r="BA66" s="1">
        <f t="shared" si="17"/>
        <v>1.0389999999999999</v>
      </c>
      <c r="BB66" s="5">
        <f t="shared" si="18"/>
        <v>0</v>
      </c>
      <c r="BC66" s="1">
        <f>ROUND(AC66,1)</f>
        <v>-1.9</v>
      </c>
      <c r="BD66" s="1">
        <f>ROUND(AD66,1)</f>
        <v>0.2</v>
      </c>
      <c r="BE66" s="1">
        <f>ROUND(AE66,1)</f>
        <v>-3.9</v>
      </c>
      <c r="BF66" s="5">
        <f t="shared" si="19"/>
        <v>0.1</v>
      </c>
      <c r="BG66" s="5">
        <f t="shared" si="20"/>
        <v>0.6</v>
      </c>
      <c r="BH66" s="5">
        <f t="shared" si="21"/>
        <v>1.2</v>
      </c>
      <c r="BI66" s="5">
        <f t="shared" si="22"/>
        <v>0.105</v>
      </c>
      <c r="BJ66" s="9">
        <f t="shared" si="23"/>
        <v>0.41599999999999998</v>
      </c>
      <c r="BK66" s="9">
        <f t="shared" si="23"/>
        <v>0.38400000000000001</v>
      </c>
      <c r="BM66" s="1">
        <f t="shared" si="24"/>
        <v>-3.5300000000000002</v>
      </c>
      <c r="BN66" s="1">
        <f t="shared" si="25"/>
        <v>-1.0529999999999999</v>
      </c>
    </row>
    <row r="67" spans="1:66" x14ac:dyDescent="0.2">
      <c r="A67" s="4">
        <f t="shared" si="26"/>
        <v>45719</v>
      </c>
      <c r="B67" s="1">
        <v>62</v>
      </c>
      <c r="C67" s="1">
        <v>12</v>
      </c>
      <c r="D67" s="5">
        <v>13.02</v>
      </c>
      <c r="E67" s="5">
        <v>2.3740000000000001</v>
      </c>
      <c r="F67" s="5">
        <v>-5.4379999999999997</v>
      </c>
      <c r="G67" s="5">
        <v>-3.41</v>
      </c>
      <c r="H67" s="5">
        <v>80.2</v>
      </c>
      <c r="I67" s="5">
        <v>4.3999999999999997E-2</v>
      </c>
      <c r="J67" s="5">
        <v>-5.2999999999999999E-2</v>
      </c>
      <c r="K67" s="5">
        <v>8.6999999999999994E-2</v>
      </c>
      <c r="L67" s="5">
        <v>0.54200000000000004</v>
      </c>
      <c r="M67" s="5">
        <v>1.2050000000000001</v>
      </c>
      <c r="N67" s="5">
        <v>0.115</v>
      </c>
      <c r="O67" s="5">
        <v>96.4</v>
      </c>
      <c r="P67" s="5">
        <v>0.14699999999999999</v>
      </c>
      <c r="Q67" s="5">
        <v>4.9000000000000002E-2</v>
      </c>
      <c r="R67" s="5">
        <v>0.17100000000000001</v>
      </c>
      <c r="S67" s="5">
        <v>0.64900000000000002</v>
      </c>
      <c r="T67" s="5">
        <v>1.2849999999999999</v>
      </c>
      <c r="U67" s="5">
        <v>-5.6180000000000003</v>
      </c>
      <c r="V67" s="5">
        <v>59.68</v>
      </c>
      <c r="W67" s="5">
        <v>-8.2000000000000003E-2</v>
      </c>
      <c r="X67" s="5">
        <v>-0.17100000000000001</v>
      </c>
      <c r="Y67" s="5">
        <v>6.0000000000000001E-3</v>
      </c>
      <c r="Z67" s="5">
        <v>0.45500000000000002</v>
      </c>
      <c r="AA67" s="5">
        <v>1.121</v>
      </c>
      <c r="AB67" s="5">
        <v>1.2470000000000001</v>
      </c>
      <c r="AC67" s="5">
        <v>-4.1840000000000002</v>
      </c>
      <c r="AD67" s="5">
        <v>0.29599999999999999</v>
      </c>
      <c r="AE67" s="5">
        <v>-7.5389999999999997</v>
      </c>
      <c r="AF67" s="5">
        <v>2.6120000000000001</v>
      </c>
      <c r="AG67" s="5">
        <v>-5.6740000000000004</v>
      </c>
      <c r="AH67" s="5">
        <v>1.2589999999999999</v>
      </c>
      <c r="AI67" s="5">
        <v>0.106</v>
      </c>
      <c r="AK67" s="5">
        <f t="shared" si="0"/>
        <v>1.0279999999999998</v>
      </c>
      <c r="AL67" s="22">
        <f t="shared" si="1"/>
        <v>0</v>
      </c>
      <c r="AN67" s="1">
        <f t="shared" si="10"/>
        <v>96.4</v>
      </c>
      <c r="AO67" s="1">
        <f t="shared" si="11"/>
        <v>80.2</v>
      </c>
      <c r="AP67" s="1">
        <f t="shared" si="12"/>
        <v>59.7</v>
      </c>
      <c r="AQ67" s="16">
        <f t="shared" si="2"/>
        <v>0.36799999999999999</v>
      </c>
      <c r="AR67" s="23">
        <f t="shared" si="13"/>
        <v>0.248</v>
      </c>
      <c r="AT67" s="18">
        <f t="shared" si="3"/>
        <v>45719</v>
      </c>
      <c r="AU67" s="19">
        <f t="shared" si="4"/>
        <v>62</v>
      </c>
      <c r="AV67" s="1">
        <f t="shared" si="14"/>
        <v>-3.4</v>
      </c>
      <c r="AW67" s="1">
        <f t="shared" si="15"/>
        <v>0.1</v>
      </c>
      <c r="AX67" s="1">
        <f t="shared" si="16"/>
        <v>-5.6</v>
      </c>
      <c r="AY67" s="1">
        <f t="shared" si="8"/>
        <v>80.2</v>
      </c>
      <c r="AZ67" s="1">
        <f t="shared" si="9"/>
        <v>59.7</v>
      </c>
      <c r="BA67" s="1">
        <f t="shared" si="17"/>
        <v>1.0279999999999998</v>
      </c>
      <c r="BB67" s="5">
        <f t="shared" si="18"/>
        <v>0</v>
      </c>
      <c r="BC67" s="1">
        <f>ROUND(AC67,1)</f>
        <v>-4.2</v>
      </c>
      <c r="BD67" s="1">
        <f>ROUND(AD67,1)</f>
        <v>0.3</v>
      </c>
      <c r="BE67" s="1">
        <f>ROUND(AE67,1)</f>
        <v>-7.5</v>
      </c>
      <c r="BF67" s="5">
        <f t="shared" si="19"/>
        <v>0.1</v>
      </c>
      <c r="BG67" s="5">
        <f t="shared" si="20"/>
        <v>0.5</v>
      </c>
      <c r="BH67" s="5">
        <f t="shared" si="21"/>
        <v>1.2</v>
      </c>
      <c r="BI67" s="5">
        <f t="shared" si="22"/>
        <v>0.106</v>
      </c>
      <c r="BJ67" s="9">
        <f t="shared" si="23"/>
        <v>0.36799999999999999</v>
      </c>
      <c r="BK67" s="9">
        <f t="shared" si="23"/>
        <v>0.248</v>
      </c>
      <c r="BM67" s="1">
        <f t="shared" si="24"/>
        <v>0.18099999999999999</v>
      </c>
      <c r="BN67" s="1">
        <f t="shared" si="25"/>
        <v>-1.9209999999999994</v>
      </c>
    </row>
    <row r="68" spans="1:66" x14ac:dyDescent="0.2">
      <c r="A68" s="4">
        <f t="shared" si="26"/>
        <v>45720</v>
      </c>
      <c r="B68" s="1">
        <v>63</v>
      </c>
      <c r="C68" s="1">
        <v>12</v>
      </c>
      <c r="D68" s="5">
        <v>12.94</v>
      </c>
      <c r="E68" s="5">
        <v>1.649</v>
      </c>
      <c r="F68" s="5">
        <v>-7.04</v>
      </c>
      <c r="G68" s="5">
        <v>-3.9180000000000001</v>
      </c>
      <c r="H68" s="5">
        <v>80.8</v>
      </c>
      <c r="I68" s="5">
        <v>4.8000000000000001E-2</v>
      </c>
      <c r="J68" s="5">
        <v>-4.2999999999999997E-2</v>
      </c>
      <c r="K68" s="5">
        <v>9.6000000000000002E-2</v>
      </c>
      <c r="L68" s="5">
        <v>0.54400000000000004</v>
      </c>
      <c r="M68" s="5">
        <v>1.202</v>
      </c>
      <c r="N68" s="5">
        <v>1.508</v>
      </c>
      <c r="O68" s="5">
        <v>95</v>
      </c>
      <c r="P68" s="5">
        <v>0.14099999999999999</v>
      </c>
      <c r="Q68" s="5">
        <v>6.5000000000000002E-2</v>
      </c>
      <c r="R68" s="5">
        <v>0.17899999999999999</v>
      </c>
      <c r="S68" s="5">
        <v>0.63600000000000001</v>
      </c>
      <c r="T68" s="5">
        <v>1.2809999999999999</v>
      </c>
      <c r="U68" s="5">
        <v>-6.7960000000000003</v>
      </c>
      <c r="V68" s="5">
        <v>53.24</v>
      </c>
      <c r="W68" s="5">
        <v>-5.5E-2</v>
      </c>
      <c r="X68" s="5">
        <v>-0.13</v>
      </c>
      <c r="Y68" s="5">
        <v>1.4999999999999999E-2</v>
      </c>
      <c r="Z68" s="5">
        <v>0.46600000000000003</v>
      </c>
      <c r="AA68" s="5">
        <v>1.119</v>
      </c>
      <c r="AB68" s="5">
        <v>1.216</v>
      </c>
      <c r="AC68" s="5">
        <v>-5.2309999999999999</v>
      </c>
      <c r="AD68" s="5">
        <v>-0.24399999999999999</v>
      </c>
      <c r="AE68" s="5">
        <v>-8.6999999999999993</v>
      </c>
      <c r="AF68" s="5">
        <v>2.4060000000000001</v>
      </c>
      <c r="AG68" s="5">
        <v>-7.1440000000000001</v>
      </c>
      <c r="AH68" s="5">
        <v>1.23</v>
      </c>
      <c r="AI68" s="5">
        <v>0.106</v>
      </c>
      <c r="AK68" s="5">
        <f t="shared" si="0"/>
        <v>1.0589999999999999</v>
      </c>
      <c r="AL68" s="22">
        <f t="shared" si="1"/>
        <v>0</v>
      </c>
      <c r="AN68" s="1">
        <f t="shared" si="10"/>
        <v>95</v>
      </c>
      <c r="AO68" s="1">
        <f t="shared" si="11"/>
        <v>80.8</v>
      </c>
      <c r="AP68" s="1">
        <f t="shared" si="12"/>
        <v>53.2</v>
      </c>
      <c r="AQ68" s="16">
        <f t="shared" si="2"/>
        <v>0.36199999999999999</v>
      </c>
      <c r="AR68" s="23">
        <f t="shared" si="13"/>
        <v>0.318</v>
      </c>
      <c r="AT68" s="18">
        <f t="shared" si="3"/>
        <v>45720</v>
      </c>
      <c r="AU68" s="19">
        <f t="shared" si="4"/>
        <v>63</v>
      </c>
      <c r="AV68" s="1">
        <f t="shared" si="14"/>
        <v>-3.9</v>
      </c>
      <c r="AW68" s="1">
        <f t="shared" si="15"/>
        <v>1.5</v>
      </c>
      <c r="AX68" s="1">
        <f t="shared" si="16"/>
        <v>-6.8</v>
      </c>
      <c r="AY68" s="1">
        <f t="shared" si="8"/>
        <v>80.8</v>
      </c>
      <c r="AZ68" s="1">
        <f t="shared" si="9"/>
        <v>53.2</v>
      </c>
      <c r="BA68" s="1">
        <f t="shared" si="17"/>
        <v>1.0589999999999999</v>
      </c>
      <c r="BB68" s="5">
        <f t="shared" si="18"/>
        <v>0</v>
      </c>
      <c r="BC68" s="1">
        <f>ROUND(AC68,1)</f>
        <v>-5.2</v>
      </c>
      <c r="BD68" s="1">
        <f>ROUND(AD68,1)</f>
        <v>-0.2</v>
      </c>
      <c r="BE68" s="1">
        <f>ROUND(AE68,1)</f>
        <v>-8.6999999999999993</v>
      </c>
      <c r="BF68" s="5">
        <f t="shared" si="19"/>
        <v>0.1</v>
      </c>
      <c r="BG68" s="5">
        <f t="shared" si="20"/>
        <v>0.5</v>
      </c>
      <c r="BH68" s="5">
        <f t="shared" si="21"/>
        <v>1.2</v>
      </c>
      <c r="BI68" s="5">
        <f t="shared" si="22"/>
        <v>0.106</v>
      </c>
      <c r="BJ68" s="9">
        <f t="shared" si="23"/>
        <v>0.36199999999999999</v>
      </c>
      <c r="BK68" s="9">
        <f t="shared" si="23"/>
        <v>0.318</v>
      </c>
      <c r="BM68" s="1">
        <f t="shared" si="24"/>
        <v>-1.752</v>
      </c>
      <c r="BN68" s="1">
        <f t="shared" si="25"/>
        <v>-1.903999999999999</v>
      </c>
    </row>
    <row r="69" spans="1:66" x14ac:dyDescent="0.2">
      <c r="A69" s="4">
        <f t="shared" si="26"/>
        <v>45721</v>
      </c>
      <c r="B69" s="1">
        <v>64</v>
      </c>
      <c r="C69" s="1">
        <v>12</v>
      </c>
      <c r="D69" s="5">
        <v>12.98</v>
      </c>
      <c r="E69" s="5">
        <v>-0.628</v>
      </c>
      <c r="F69" s="5">
        <v>-7.0170000000000003</v>
      </c>
      <c r="G69" s="5">
        <v>-5.3380000000000001</v>
      </c>
      <c r="H69" s="5">
        <v>84.3</v>
      </c>
      <c r="I69" s="5">
        <v>4.5999999999999999E-2</v>
      </c>
      <c r="J69" s="5">
        <v>-9.5000000000000001E-2</v>
      </c>
      <c r="K69" s="5">
        <v>9.6000000000000002E-2</v>
      </c>
      <c r="L69" s="5">
        <v>0.54</v>
      </c>
      <c r="M69" s="5">
        <v>1.196</v>
      </c>
      <c r="N69" s="5">
        <v>-0.52</v>
      </c>
      <c r="O69" s="5">
        <v>94</v>
      </c>
      <c r="P69" s="5">
        <v>0.124</v>
      </c>
      <c r="Q69" s="5">
        <v>0.01</v>
      </c>
      <c r="R69" s="5">
        <v>0.17599999999999999</v>
      </c>
      <c r="S69" s="5">
        <v>0.62</v>
      </c>
      <c r="T69" s="5">
        <v>1.284</v>
      </c>
      <c r="U69" s="5">
        <v>-7.5060000000000002</v>
      </c>
      <c r="V69" s="5">
        <v>51.17</v>
      </c>
      <c r="W69" s="5">
        <v>-8.5000000000000006E-2</v>
      </c>
      <c r="X69" s="5">
        <v>-0.224</v>
      </c>
      <c r="Y69" s="5">
        <v>2.3E-2</v>
      </c>
      <c r="Z69" s="5">
        <v>0.46300000000000002</v>
      </c>
      <c r="AA69" s="5">
        <v>1.1160000000000001</v>
      </c>
      <c r="AB69" s="5">
        <v>1.2170000000000001</v>
      </c>
      <c r="AC69" s="5">
        <v>-6.3179999999999996</v>
      </c>
      <c r="AD69" s="5">
        <v>-1.1930000000000001</v>
      </c>
      <c r="AE69" s="5">
        <v>-9.07</v>
      </c>
      <c r="AF69" s="5">
        <v>0.16600000000000001</v>
      </c>
      <c r="AG69" s="5">
        <v>-7.6219999999999999</v>
      </c>
      <c r="AH69" s="5">
        <v>1.23</v>
      </c>
      <c r="AI69" s="5">
        <v>0.106</v>
      </c>
      <c r="AK69" s="5">
        <f t="shared" si="0"/>
        <v>1.0579999999999998</v>
      </c>
      <c r="AL69" s="22">
        <f t="shared" si="1"/>
        <v>0</v>
      </c>
      <c r="AN69" s="1">
        <f t="shared" si="10"/>
        <v>94</v>
      </c>
      <c r="AO69" s="1">
        <f t="shared" si="11"/>
        <v>84.3</v>
      </c>
      <c r="AP69" s="1">
        <f t="shared" si="12"/>
        <v>51.2</v>
      </c>
      <c r="AQ69" s="16">
        <f t="shared" ref="AQ69:AQ117" si="53">ROUND((0.6105*(EXP((17.273*N69)/(N69+237.3))))*AP69/100,3)</f>
        <v>0.30099999999999999</v>
      </c>
      <c r="AR69" s="23">
        <f t="shared" si="13"/>
        <v>0.28699999999999998</v>
      </c>
      <c r="AT69" s="18">
        <f t="shared" si="3"/>
        <v>45721</v>
      </c>
      <c r="AU69" s="19">
        <f t="shared" si="4"/>
        <v>64</v>
      </c>
      <c r="AV69" s="1">
        <f t="shared" si="14"/>
        <v>-5.3</v>
      </c>
      <c r="AW69" s="1">
        <f t="shared" si="15"/>
        <v>-0.5</v>
      </c>
      <c r="AX69" s="1">
        <f t="shared" si="16"/>
        <v>-7.5</v>
      </c>
      <c r="AY69" s="1">
        <f t="shared" ref="AY69:AY132" si="54">AO69</f>
        <v>84.3</v>
      </c>
      <c r="AZ69" s="1">
        <f t="shared" ref="AZ69:AZ132" si="55">AP69</f>
        <v>51.2</v>
      </c>
      <c r="BA69" s="1">
        <f t="shared" si="17"/>
        <v>1.0579999999999998</v>
      </c>
      <c r="BB69" s="5">
        <f t="shared" si="18"/>
        <v>0</v>
      </c>
      <c r="BC69" s="1">
        <f>ROUND(AC69,1)</f>
        <v>-6.3</v>
      </c>
      <c r="BD69" s="1">
        <f>ROUND(AD69,1)</f>
        <v>-1.2</v>
      </c>
      <c r="BE69" s="1">
        <f>ROUND(AE69,1)</f>
        <v>-9.1</v>
      </c>
      <c r="BF69" s="5">
        <f t="shared" si="19"/>
        <v>0.1</v>
      </c>
      <c r="BG69" s="5">
        <f t="shared" si="20"/>
        <v>0.5</v>
      </c>
      <c r="BH69" s="5">
        <f t="shared" si="21"/>
        <v>1.2</v>
      </c>
      <c r="BI69" s="5">
        <f t="shared" si="22"/>
        <v>0.106</v>
      </c>
      <c r="BJ69" s="9">
        <f t="shared" si="23"/>
        <v>0.30099999999999999</v>
      </c>
      <c r="BK69" s="9">
        <f t="shared" si="23"/>
        <v>0.28699999999999998</v>
      </c>
      <c r="BM69" s="1">
        <f t="shared" si="24"/>
        <v>-0.67300000000000004</v>
      </c>
      <c r="BN69" s="1">
        <f t="shared" si="25"/>
        <v>-1.5640000000000001</v>
      </c>
    </row>
    <row r="70" spans="1:66" x14ac:dyDescent="0.2">
      <c r="A70" s="4">
        <f t="shared" si="26"/>
        <v>45722</v>
      </c>
      <c r="B70" s="1">
        <v>65</v>
      </c>
      <c r="C70" s="1">
        <v>12</v>
      </c>
      <c r="D70" s="5">
        <v>13.02</v>
      </c>
      <c r="E70" s="5">
        <v>1.224</v>
      </c>
      <c r="F70" s="5">
        <v>-6.0049999999999999</v>
      </c>
      <c r="G70" s="5">
        <v>-4.9530000000000003</v>
      </c>
      <c r="H70" s="5">
        <v>84.6</v>
      </c>
      <c r="I70" s="5">
        <v>5.7000000000000002E-2</v>
      </c>
      <c r="J70" s="5">
        <v>-0.16300000000000001</v>
      </c>
      <c r="K70" s="5">
        <v>0.107</v>
      </c>
      <c r="L70" s="5">
        <v>0.54500000000000004</v>
      </c>
      <c r="M70" s="5">
        <v>1.1950000000000001</v>
      </c>
      <c r="N70" s="5">
        <v>-1.4670000000000001</v>
      </c>
      <c r="O70" s="5">
        <v>93.4</v>
      </c>
      <c r="P70" s="5">
        <v>0.14199999999999999</v>
      </c>
      <c r="Q70" s="5">
        <v>-6.6000000000000003E-2</v>
      </c>
      <c r="R70" s="5">
        <v>0.191</v>
      </c>
      <c r="S70" s="5">
        <v>0.63500000000000001</v>
      </c>
      <c r="T70" s="5">
        <v>1.276</v>
      </c>
      <c r="U70" s="5">
        <v>-6.5259999999999998</v>
      </c>
      <c r="V70" s="5">
        <v>64.56</v>
      </c>
      <c r="W70" s="5">
        <v>-6.9000000000000006E-2</v>
      </c>
      <c r="X70" s="5">
        <v>-0.27900000000000003</v>
      </c>
      <c r="Y70" s="5">
        <v>1.2E-2</v>
      </c>
      <c r="Z70" s="5">
        <v>0.45100000000000001</v>
      </c>
      <c r="AA70" s="5">
        <v>1.1140000000000001</v>
      </c>
      <c r="AB70" s="5">
        <v>1.2270000000000001</v>
      </c>
      <c r="AC70" s="5">
        <v>-5.8209999999999997</v>
      </c>
      <c r="AD70" s="5">
        <v>-0.192</v>
      </c>
      <c r="AE70" s="5">
        <v>-8.48</v>
      </c>
      <c r="AF70" s="5">
        <v>1.9410000000000001</v>
      </c>
      <c r="AG70" s="5">
        <v>-6.5289999999999999</v>
      </c>
      <c r="AH70" s="5">
        <v>1.2390000000000001</v>
      </c>
      <c r="AI70" s="5">
        <v>0.107</v>
      </c>
      <c r="AK70" s="5">
        <f t="shared" ref="AK70:AK133" si="56">AK$1-AB70</f>
        <v>1.0479999999999998</v>
      </c>
      <c r="AL70" s="22">
        <f t="shared" ref="AL70:AL133" si="57">ROUND(AVERAGE(J70:K70),1)</f>
        <v>0</v>
      </c>
      <c r="AN70" s="1">
        <f t="shared" si="10"/>
        <v>93.4</v>
      </c>
      <c r="AO70" s="1">
        <f t="shared" si="11"/>
        <v>84.6</v>
      </c>
      <c r="AP70" s="1">
        <f t="shared" si="12"/>
        <v>64.599999999999994</v>
      </c>
      <c r="AQ70" s="16">
        <f t="shared" si="53"/>
        <v>0.35399999999999998</v>
      </c>
      <c r="AR70" s="23">
        <f t="shared" si="13"/>
        <v>0.19400000000000001</v>
      </c>
      <c r="AT70" s="18">
        <f t="shared" ref="AT70:AT133" si="58">A70</f>
        <v>45722</v>
      </c>
      <c r="AU70" s="19">
        <f t="shared" ref="AU70:AU133" si="59">B70</f>
        <v>65</v>
      </c>
      <c r="AV70" s="1">
        <f t="shared" si="14"/>
        <v>-5</v>
      </c>
      <c r="AW70" s="1">
        <f t="shared" si="15"/>
        <v>-1.5</v>
      </c>
      <c r="AX70" s="1">
        <f t="shared" si="16"/>
        <v>-6.5</v>
      </c>
      <c r="AY70" s="1">
        <f t="shared" si="54"/>
        <v>84.6</v>
      </c>
      <c r="AZ70" s="1">
        <f t="shared" si="55"/>
        <v>64.599999999999994</v>
      </c>
      <c r="BA70" s="1">
        <f t="shared" si="17"/>
        <v>1.0479999999999998</v>
      </c>
      <c r="BB70" s="5">
        <f t="shared" si="18"/>
        <v>0</v>
      </c>
      <c r="BC70" s="1">
        <f>ROUND(AC70,1)</f>
        <v>-5.8</v>
      </c>
      <c r="BD70" s="1">
        <f>ROUND(AD70,1)</f>
        <v>-0.2</v>
      </c>
      <c r="BE70" s="1">
        <f>ROUND(AE70,1)</f>
        <v>-8.5</v>
      </c>
      <c r="BF70" s="5">
        <f t="shared" si="19"/>
        <v>0.1</v>
      </c>
      <c r="BG70" s="5">
        <f t="shared" si="20"/>
        <v>0.5</v>
      </c>
      <c r="BH70" s="5">
        <f t="shared" si="21"/>
        <v>1.2</v>
      </c>
      <c r="BI70" s="5">
        <f t="shared" si="22"/>
        <v>0.107</v>
      </c>
      <c r="BJ70" s="9">
        <f t="shared" si="23"/>
        <v>0.35399999999999998</v>
      </c>
      <c r="BK70" s="9">
        <f t="shared" si="23"/>
        <v>0.19400000000000001</v>
      </c>
      <c r="BM70" s="1">
        <f t="shared" si="24"/>
        <v>1.2750000000000001</v>
      </c>
      <c r="BN70" s="1">
        <f t="shared" si="25"/>
        <v>-1.9540000000000006</v>
      </c>
    </row>
    <row r="71" spans="1:66" x14ac:dyDescent="0.2">
      <c r="A71" s="4">
        <f t="shared" si="26"/>
        <v>45723</v>
      </c>
      <c r="B71" s="1">
        <v>66</v>
      </c>
      <c r="C71" s="1">
        <v>12</v>
      </c>
      <c r="D71" s="5">
        <v>13.01</v>
      </c>
      <c r="E71" s="5">
        <v>1.3939999999999999</v>
      </c>
      <c r="F71" s="5">
        <v>-6.819</v>
      </c>
      <c r="G71" s="5">
        <v>-3.081</v>
      </c>
      <c r="H71" s="5">
        <v>60.92</v>
      </c>
      <c r="I71" s="5">
        <v>6.9000000000000006E-2</v>
      </c>
      <c r="J71" s="5">
        <v>-0.218</v>
      </c>
      <c r="K71" s="5">
        <v>0.12</v>
      </c>
      <c r="L71" s="5">
        <v>0.55300000000000005</v>
      </c>
      <c r="M71" s="5">
        <v>1.196</v>
      </c>
      <c r="N71" s="5">
        <v>1.2030000000000001</v>
      </c>
      <c r="O71" s="5">
        <v>84.9</v>
      </c>
      <c r="P71" s="5">
        <v>0.17</v>
      </c>
      <c r="Q71" s="5">
        <v>-0.128</v>
      </c>
      <c r="R71" s="5">
        <v>0.21099999999999999</v>
      </c>
      <c r="S71" s="5">
        <v>0.63600000000000001</v>
      </c>
      <c r="T71" s="5">
        <v>1.28</v>
      </c>
      <c r="U71" s="5">
        <v>-7.3369999999999997</v>
      </c>
      <c r="V71" s="5">
        <v>39.549999999999997</v>
      </c>
      <c r="W71" s="5">
        <v>-5.1999999999999998E-2</v>
      </c>
      <c r="X71" s="5">
        <v>-0.32200000000000001</v>
      </c>
      <c r="Y71" s="5">
        <v>3.6999999999999998E-2</v>
      </c>
      <c r="Z71" s="5">
        <v>0.46800000000000003</v>
      </c>
      <c r="AA71" s="5">
        <v>1.111</v>
      </c>
      <c r="AB71" s="5">
        <v>1.2370000000000001</v>
      </c>
      <c r="AC71" s="5">
        <v>-5.35</v>
      </c>
      <c r="AD71" s="5">
        <v>-0.97799999999999998</v>
      </c>
      <c r="AE71" s="5">
        <v>-9.43</v>
      </c>
      <c r="AF71" s="5">
        <v>1.4770000000000001</v>
      </c>
      <c r="AG71" s="5">
        <v>-7.2560000000000002</v>
      </c>
      <c r="AH71" s="5">
        <v>1.244</v>
      </c>
      <c r="AI71" s="5">
        <v>0.108</v>
      </c>
      <c r="AK71" s="5">
        <f t="shared" si="56"/>
        <v>1.0379999999999998</v>
      </c>
      <c r="AL71" s="22">
        <f t="shared" si="57"/>
        <v>0</v>
      </c>
      <c r="AN71" s="1">
        <f t="shared" ref="AN71:AN134" si="60">ROUND(O71*AO$1,1)</f>
        <v>84.9</v>
      </c>
      <c r="AO71" s="1">
        <f t="shared" ref="AO71:AO134" si="61">ROUND(H71*AO$1,1)</f>
        <v>60.9</v>
      </c>
      <c r="AP71" s="1">
        <f t="shared" ref="AP71:AP134" si="62">ROUND(V71*AO$1,1)</f>
        <v>39.6</v>
      </c>
      <c r="AQ71" s="16">
        <f t="shared" si="53"/>
        <v>0.26400000000000001</v>
      </c>
      <c r="AR71" s="23">
        <f t="shared" ref="AR71:AR134" si="63">ROUND(AQ71/AP71*(100-AP71),3)</f>
        <v>0.40300000000000002</v>
      </c>
      <c r="AT71" s="18">
        <f t="shared" si="58"/>
        <v>45723</v>
      </c>
      <c r="AU71" s="19">
        <f t="shared" si="59"/>
        <v>66</v>
      </c>
      <c r="AV71" s="1">
        <f t="shared" ref="AV71:AV134" si="64">ROUND(G71,1)</f>
        <v>-3.1</v>
      </c>
      <c r="AW71" s="1">
        <f t="shared" ref="AW71:AW134" si="65">ROUND(N71,1)</f>
        <v>1.2</v>
      </c>
      <c r="AX71" s="1">
        <f t="shared" ref="AX71:AX134" si="66">ROUND(U71,1)</f>
        <v>-7.3</v>
      </c>
      <c r="AY71" s="1">
        <f t="shared" si="54"/>
        <v>60.9</v>
      </c>
      <c r="AZ71" s="1">
        <f t="shared" si="55"/>
        <v>39.6</v>
      </c>
      <c r="BA71" s="1">
        <f t="shared" ref="BA71:BA134" si="67">AK71</f>
        <v>1.0379999999999998</v>
      </c>
      <c r="BB71" s="5">
        <f t="shared" ref="BB71:BB134" si="68">IF(AL71="","NAN",AL71)</f>
        <v>0</v>
      </c>
      <c r="BC71" s="1">
        <f>ROUND(AC71,1)</f>
        <v>-5.4</v>
      </c>
      <c r="BD71" s="1">
        <f>ROUND(AD71,1)</f>
        <v>-1</v>
      </c>
      <c r="BE71" s="1">
        <f>ROUND(AE71,1)</f>
        <v>-9.4</v>
      </c>
      <c r="BF71" s="5">
        <f t="shared" ref="BF71:BF134" si="69">ROUND(K71,1)</f>
        <v>0.1</v>
      </c>
      <c r="BG71" s="5">
        <f t="shared" ref="BG71:BG134" si="70">ROUND(L71,1)</f>
        <v>0.6</v>
      </c>
      <c r="BH71" s="5">
        <f t="shared" ref="BH71:BH134" si="71">ROUND(M71,1)</f>
        <v>1.2</v>
      </c>
      <c r="BI71" s="5">
        <f t="shared" ref="BI71:BI134" si="72">IF(AI71="NAN",-999,ROUND(AI71,3))</f>
        <v>0.108</v>
      </c>
      <c r="BJ71" s="9">
        <f t="shared" ref="BJ71:BK134" si="73">AQ71</f>
        <v>0.26400000000000001</v>
      </c>
      <c r="BK71" s="9">
        <f t="shared" si="73"/>
        <v>0.40300000000000002</v>
      </c>
      <c r="BM71" s="1">
        <f t="shared" ref="BM71:BM134" si="74">AD71-N71</f>
        <v>-2.181</v>
      </c>
      <c r="BN71" s="1">
        <f t="shared" ref="BN71:BN134" si="75">AE71-U71</f>
        <v>-2.093</v>
      </c>
    </row>
    <row r="72" spans="1:66" x14ac:dyDescent="0.2">
      <c r="A72" s="4">
        <f t="shared" ref="A72:A135" si="76">A71+1</f>
        <v>45724</v>
      </c>
      <c r="B72" s="1">
        <v>67</v>
      </c>
      <c r="C72" s="1">
        <v>12</v>
      </c>
      <c r="D72" s="5">
        <v>12.85</v>
      </c>
      <c r="E72" s="5">
        <v>0.501</v>
      </c>
      <c r="F72" s="5">
        <v>-3.7280000000000002</v>
      </c>
      <c r="G72" s="5">
        <v>-1.766</v>
      </c>
      <c r="H72" s="5">
        <v>72.28</v>
      </c>
      <c r="I72" s="5">
        <v>9.4E-2</v>
      </c>
      <c r="J72" s="5">
        <v>-0.248</v>
      </c>
      <c r="K72" s="5">
        <v>0.14299999999999999</v>
      </c>
      <c r="L72" s="5">
        <v>0.57299999999999995</v>
      </c>
      <c r="M72" s="5">
        <v>1.21</v>
      </c>
      <c r="N72" s="5">
        <v>1.778</v>
      </c>
      <c r="O72" s="5">
        <v>84.7</v>
      </c>
      <c r="P72" s="5">
        <v>0.188</v>
      </c>
      <c r="Q72" s="5">
        <v>-0.17299999999999999</v>
      </c>
      <c r="R72" s="5">
        <v>0.23100000000000001</v>
      </c>
      <c r="S72" s="5">
        <v>0.65500000000000003</v>
      </c>
      <c r="T72" s="5">
        <v>1.288</v>
      </c>
      <c r="U72" s="5">
        <v>-3.8969999999999998</v>
      </c>
      <c r="V72" s="5">
        <v>57.29</v>
      </c>
      <c r="W72" s="5">
        <v>5.0000000000000001E-3</v>
      </c>
      <c r="X72" s="5">
        <v>-0.35</v>
      </c>
      <c r="Y72" s="5">
        <v>6.5000000000000002E-2</v>
      </c>
      <c r="Z72" s="5">
        <v>0.497</v>
      </c>
      <c r="AA72" s="5">
        <v>1.121</v>
      </c>
      <c r="AB72" s="5">
        <v>1.2569999999999999</v>
      </c>
      <c r="AC72" s="5">
        <v>-3.4009999999999998</v>
      </c>
      <c r="AD72" s="5">
        <v>-0.47499999999999998</v>
      </c>
      <c r="AE72" s="5">
        <v>-5.8890000000000002</v>
      </c>
      <c r="AF72" s="5">
        <v>1.9950000000000001</v>
      </c>
      <c r="AG72" s="5">
        <v>-3.9809999999999999</v>
      </c>
      <c r="AH72" s="5">
        <v>1.262</v>
      </c>
      <c r="AI72" s="5">
        <v>0.109</v>
      </c>
      <c r="AK72" s="5">
        <f t="shared" si="56"/>
        <v>1.018</v>
      </c>
      <c r="AL72" s="22">
        <f t="shared" si="57"/>
        <v>-0.1</v>
      </c>
      <c r="AN72" s="1">
        <f t="shared" si="60"/>
        <v>84.7</v>
      </c>
      <c r="AO72" s="1">
        <f t="shared" si="61"/>
        <v>72.3</v>
      </c>
      <c r="AP72" s="1">
        <f t="shared" si="62"/>
        <v>57.3</v>
      </c>
      <c r="AQ72" s="16">
        <f t="shared" si="53"/>
        <v>0.39800000000000002</v>
      </c>
      <c r="AR72" s="23">
        <f t="shared" si="63"/>
        <v>0.29699999999999999</v>
      </c>
      <c r="AT72" s="18">
        <f t="shared" si="58"/>
        <v>45724</v>
      </c>
      <c r="AU72" s="19">
        <f t="shared" si="59"/>
        <v>67</v>
      </c>
      <c r="AV72" s="1">
        <f t="shared" si="64"/>
        <v>-1.8</v>
      </c>
      <c r="AW72" s="1">
        <f t="shared" si="65"/>
        <v>1.8</v>
      </c>
      <c r="AX72" s="1">
        <f t="shared" si="66"/>
        <v>-3.9</v>
      </c>
      <c r="AY72" s="1">
        <f t="shared" si="54"/>
        <v>72.3</v>
      </c>
      <c r="AZ72" s="1">
        <f t="shared" si="55"/>
        <v>57.3</v>
      </c>
      <c r="BA72" s="1">
        <f t="shared" si="67"/>
        <v>1.018</v>
      </c>
      <c r="BB72" s="5">
        <f t="shared" si="68"/>
        <v>-0.1</v>
      </c>
      <c r="BC72" s="1">
        <f>ROUND(AC72,1)</f>
        <v>-3.4</v>
      </c>
      <c r="BD72" s="1">
        <f>ROUND(AD72,1)</f>
        <v>-0.5</v>
      </c>
      <c r="BE72" s="1">
        <f>ROUND(AE72,1)</f>
        <v>-5.9</v>
      </c>
      <c r="BF72" s="5">
        <f t="shared" si="69"/>
        <v>0.1</v>
      </c>
      <c r="BG72" s="5">
        <f t="shared" si="70"/>
        <v>0.6</v>
      </c>
      <c r="BH72" s="5">
        <f t="shared" si="71"/>
        <v>1.2</v>
      </c>
      <c r="BI72" s="5">
        <f t="shared" si="72"/>
        <v>0.109</v>
      </c>
      <c r="BJ72" s="9">
        <f t="shared" si="73"/>
        <v>0.39800000000000002</v>
      </c>
      <c r="BK72" s="9">
        <f t="shared" si="73"/>
        <v>0.29699999999999999</v>
      </c>
      <c r="BM72" s="1">
        <f t="shared" si="74"/>
        <v>-2.2530000000000001</v>
      </c>
      <c r="BN72" s="1">
        <f t="shared" si="75"/>
        <v>-1.9920000000000004</v>
      </c>
    </row>
    <row r="73" spans="1:66" x14ac:dyDescent="0.2">
      <c r="A73" s="4">
        <f t="shared" si="76"/>
        <v>45725</v>
      </c>
      <c r="B73" s="1">
        <v>68</v>
      </c>
      <c r="C73" s="1">
        <v>12</v>
      </c>
      <c r="D73" s="5">
        <v>12.94</v>
      </c>
      <c r="E73" s="5">
        <v>2.63</v>
      </c>
      <c r="F73" s="5">
        <v>-4.9390000000000001</v>
      </c>
      <c r="G73" s="5">
        <v>-1.44</v>
      </c>
      <c r="H73" s="5">
        <v>71.69</v>
      </c>
      <c r="I73" s="5">
        <v>9.2999999999999999E-2</v>
      </c>
      <c r="J73" s="5">
        <v>-0.27700000000000002</v>
      </c>
      <c r="K73" s="5">
        <v>0.14399999999999999</v>
      </c>
      <c r="L73" s="5">
        <v>0.57199999999999995</v>
      </c>
      <c r="M73" s="5">
        <v>1.204</v>
      </c>
      <c r="N73" s="5">
        <v>3.468</v>
      </c>
      <c r="O73" s="5">
        <v>94.7</v>
      </c>
      <c r="P73" s="5">
        <v>0.20799999999999999</v>
      </c>
      <c r="Q73" s="5">
        <v>-0.17699999999999999</v>
      </c>
      <c r="R73" s="5">
        <v>0.23699999999999999</v>
      </c>
      <c r="S73" s="5">
        <v>0.65900000000000003</v>
      </c>
      <c r="T73" s="5">
        <v>1.2809999999999999</v>
      </c>
      <c r="U73" s="5">
        <v>-6.6310000000000002</v>
      </c>
      <c r="V73" s="5">
        <v>46.47</v>
      </c>
      <c r="W73" s="5">
        <v>-6.0000000000000001E-3</v>
      </c>
      <c r="X73" s="5">
        <v>-0.36599999999999999</v>
      </c>
      <c r="Y73" s="5">
        <v>6.5000000000000002E-2</v>
      </c>
      <c r="Z73" s="5">
        <v>0.48499999999999999</v>
      </c>
      <c r="AA73" s="5">
        <v>1.1299999999999999</v>
      </c>
      <c r="AB73" s="5">
        <v>1.2450000000000001</v>
      </c>
      <c r="AC73" s="5">
        <v>-3.5230000000000001</v>
      </c>
      <c r="AD73" s="5">
        <v>0.17199999999999999</v>
      </c>
      <c r="AE73" s="5">
        <v>-7.9980000000000002</v>
      </c>
      <c r="AF73" s="5">
        <v>3.6819999999999999</v>
      </c>
      <c r="AG73" s="5">
        <v>-6.6550000000000002</v>
      </c>
      <c r="AH73" s="5">
        <v>1.26</v>
      </c>
      <c r="AI73" s="5">
        <v>0.111</v>
      </c>
      <c r="AK73" s="5">
        <f t="shared" si="56"/>
        <v>1.0299999999999998</v>
      </c>
      <c r="AL73" s="22">
        <f t="shared" si="57"/>
        <v>-0.1</v>
      </c>
      <c r="AN73" s="1">
        <f t="shared" si="60"/>
        <v>94.7</v>
      </c>
      <c r="AO73" s="1">
        <f t="shared" si="61"/>
        <v>71.7</v>
      </c>
      <c r="AP73" s="1">
        <f t="shared" si="62"/>
        <v>46.5</v>
      </c>
      <c r="AQ73" s="16">
        <f t="shared" si="53"/>
        <v>0.36399999999999999</v>
      </c>
      <c r="AR73" s="23">
        <f t="shared" si="63"/>
        <v>0.41899999999999998</v>
      </c>
      <c r="AT73" s="18">
        <f t="shared" si="58"/>
        <v>45725</v>
      </c>
      <c r="AU73" s="19">
        <f t="shared" si="59"/>
        <v>68</v>
      </c>
      <c r="AV73" s="1">
        <f t="shared" si="64"/>
        <v>-1.4</v>
      </c>
      <c r="AW73" s="1">
        <f t="shared" si="65"/>
        <v>3.5</v>
      </c>
      <c r="AX73" s="1">
        <f t="shared" si="66"/>
        <v>-6.6</v>
      </c>
      <c r="AY73" s="1">
        <f t="shared" si="54"/>
        <v>71.7</v>
      </c>
      <c r="AZ73" s="1">
        <f t="shared" si="55"/>
        <v>46.5</v>
      </c>
      <c r="BA73" s="1">
        <f t="shared" si="67"/>
        <v>1.0299999999999998</v>
      </c>
      <c r="BB73" s="5">
        <f t="shared" si="68"/>
        <v>-0.1</v>
      </c>
      <c r="BC73" s="1">
        <f>ROUND(AC73,1)</f>
        <v>-3.5</v>
      </c>
      <c r="BD73" s="1">
        <f>ROUND(AD73,1)</f>
        <v>0.2</v>
      </c>
      <c r="BE73" s="1">
        <f>ROUND(AE73,1)</f>
        <v>-8</v>
      </c>
      <c r="BF73" s="5">
        <f t="shared" si="69"/>
        <v>0.1</v>
      </c>
      <c r="BG73" s="5">
        <f t="shared" si="70"/>
        <v>0.6</v>
      </c>
      <c r="BH73" s="5">
        <f t="shared" si="71"/>
        <v>1.2</v>
      </c>
      <c r="BI73" s="5">
        <f t="shared" si="72"/>
        <v>0.111</v>
      </c>
      <c r="BJ73" s="9">
        <f t="shared" si="73"/>
        <v>0.36399999999999999</v>
      </c>
      <c r="BK73" s="9">
        <f t="shared" si="73"/>
        <v>0.41899999999999998</v>
      </c>
      <c r="BM73" s="1">
        <f t="shared" si="74"/>
        <v>-3.2959999999999998</v>
      </c>
      <c r="BN73" s="1">
        <f t="shared" si="75"/>
        <v>-1.367</v>
      </c>
    </row>
    <row r="74" spans="1:66" x14ac:dyDescent="0.2">
      <c r="A74" s="4">
        <f t="shared" si="76"/>
        <v>45726</v>
      </c>
      <c r="B74" s="1">
        <v>69</v>
      </c>
      <c r="C74" s="1">
        <v>12</v>
      </c>
      <c r="D74" s="5">
        <v>12.96</v>
      </c>
      <c r="E74" s="5">
        <v>-1.907</v>
      </c>
      <c r="F74" s="5">
        <v>-8.67</v>
      </c>
      <c r="G74" s="5">
        <v>-6.6360000000000001</v>
      </c>
      <c r="H74" s="5">
        <v>77.27</v>
      </c>
      <c r="I74" s="5">
        <v>5.8999999999999997E-2</v>
      </c>
      <c r="J74" s="5">
        <v>-0.30199999999999999</v>
      </c>
      <c r="K74" s="5">
        <v>0.11799999999999999</v>
      </c>
      <c r="L74" s="5">
        <v>0.54600000000000004</v>
      </c>
      <c r="M74" s="5">
        <v>1.177</v>
      </c>
      <c r="N74" s="5">
        <v>-2.7109999999999999</v>
      </c>
      <c r="O74" s="5">
        <v>91.5</v>
      </c>
      <c r="P74" s="5">
        <v>0.14299999999999999</v>
      </c>
      <c r="Q74" s="5">
        <v>-0.221</v>
      </c>
      <c r="R74" s="5">
        <v>0.191</v>
      </c>
      <c r="S74" s="5">
        <v>0.628</v>
      </c>
      <c r="T74" s="5">
        <v>1.2569999999999999</v>
      </c>
      <c r="U74" s="5">
        <v>-9.19</v>
      </c>
      <c r="V74" s="5">
        <v>47.83</v>
      </c>
      <c r="W74" s="5">
        <v>-5.0999999999999997E-2</v>
      </c>
      <c r="X74" s="5">
        <v>-0.39500000000000002</v>
      </c>
      <c r="Y74" s="5">
        <v>3.9E-2</v>
      </c>
      <c r="Z74" s="5">
        <v>0.47199999999999998</v>
      </c>
      <c r="AA74" s="5">
        <v>1.097</v>
      </c>
      <c r="AB74" s="5">
        <v>1.2310000000000001</v>
      </c>
      <c r="AC74" s="5">
        <v>-7.5339999999999998</v>
      </c>
      <c r="AD74" s="5">
        <v>-3.278</v>
      </c>
      <c r="AE74" s="5">
        <v>-10.48</v>
      </c>
      <c r="AF74" s="5">
        <v>-1.7929999999999999</v>
      </c>
      <c r="AG74" s="5">
        <v>-9.24</v>
      </c>
      <c r="AH74" s="5">
        <v>1.2509999999999999</v>
      </c>
      <c r="AI74" s="5">
        <v>0.112</v>
      </c>
      <c r="AK74" s="5">
        <f t="shared" si="56"/>
        <v>1.0439999999999998</v>
      </c>
      <c r="AL74" s="22">
        <f t="shared" si="57"/>
        <v>-0.1</v>
      </c>
      <c r="AN74" s="1">
        <f t="shared" si="60"/>
        <v>91.5</v>
      </c>
      <c r="AO74" s="1">
        <f t="shared" si="61"/>
        <v>77.3</v>
      </c>
      <c r="AP74" s="1">
        <f t="shared" si="62"/>
        <v>47.8</v>
      </c>
      <c r="AQ74" s="16">
        <f t="shared" si="53"/>
        <v>0.23899999999999999</v>
      </c>
      <c r="AR74" s="23">
        <f t="shared" si="63"/>
        <v>0.26100000000000001</v>
      </c>
      <c r="AT74" s="18">
        <f t="shared" si="58"/>
        <v>45726</v>
      </c>
      <c r="AU74" s="19">
        <f t="shared" si="59"/>
        <v>69</v>
      </c>
      <c r="AV74" s="1">
        <f t="shared" si="64"/>
        <v>-6.6</v>
      </c>
      <c r="AW74" s="1">
        <f t="shared" si="65"/>
        <v>-2.7</v>
      </c>
      <c r="AX74" s="1">
        <f t="shared" si="66"/>
        <v>-9.1999999999999993</v>
      </c>
      <c r="AY74" s="1">
        <f t="shared" si="54"/>
        <v>77.3</v>
      </c>
      <c r="AZ74" s="1">
        <f t="shared" si="55"/>
        <v>47.8</v>
      </c>
      <c r="BA74" s="1">
        <f t="shared" si="67"/>
        <v>1.0439999999999998</v>
      </c>
      <c r="BB74" s="5">
        <f t="shared" si="68"/>
        <v>-0.1</v>
      </c>
      <c r="BC74" s="1">
        <f>ROUND(AC74,1)</f>
        <v>-7.5</v>
      </c>
      <c r="BD74" s="1">
        <f>ROUND(AD74,1)</f>
        <v>-3.3</v>
      </c>
      <c r="BE74" s="1">
        <f>ROUND(AE74,1)</f>
        <v>-10.5</v>
      </c>
      <c r="BF74" s="5">
        <f t="shared" si="69"/>
        <v>0.1</v>
      </c>
      <c r="BG74" s="5">
        <f t="shared" si="70"/>
        <v>0.5</v>
      </c>
      <c r="BH74" s="5">
        <f t="shared" si="71"/>
        <v>1.2</v>
      </c>
      <c r="BI74" s="5">
        <f t="shared" si="72"/>
        <v>0.112</v>
      </c>
      <c r="BJ74" s="9">
        <f t="shared" si="73"/>
        <v>0.23899999999999999</v>
      </c>
      <c r="BK74" s="9">
        <f t="shared" si="73"/>
        <v>0.26100000000000001</v>
      </c>
      <c r="BM74" s="1">
        <f t="shared" si="74"/>
        <v>-0.56700000000000017</v>
      </c>
      <c r="BN74" s="1">
        <f t="shared" si="75"/>
        <v>-1.2900000000000009</v>
      </c>
    </row>
    <row r="75" spans="1:66" x14ac:dyDescent="0.2">
      <c r="A75" s="4">
        <f t="shared" si="76"/>
        <v>45727</v>
      </c>
      <c r="B75" s="1">
        <v>70</v>
      </c>
      <c r="C75" s="1">
        <v>12</v>
      </c>
      <c r="D75" s="5">
        <v>12.92</v>
      </c>
      <c r="E75" s="5">
        <v>-3.407</v>
      </c>
      <c r="F75" s="5">
        <v>-9.66</v>
      </c>
      <c r="G75" s="5">
        <v>-6.9420000000000002</v>
      </c>
      <c r="H75" s="5">
        <v>87.1</v>
      </c>
      <c r="I75" s="5">
        <v>6.5000000000000002E-2</v>
      </c>
      <c r="J75" s="5">
        <v>-0.309</v>
      </c>
      <c r="K75" s="5">
        <v>0.13</v>
      </c>
      <c r="L75" s="5">
        <v>0.55300000000000005</v>
      </c>
      <c r="M75" s="5">
        <v>1.177</v>
      </c>
      <c r="N75" s="5">
        <v>-4.1929999999999996</v>
      </c>
      <c r="O75" s="5">
        <v>92.8</v>
      </c>
      <c r="P75" s="5">
        <v>0.14299999999999999</v>
      </c>
      <c r="Q75" s="5">
        <v>-0.23699999999999999</v>
      </c>
      <c r="R75" s="5">
        <v>0.22</v>
      </c>
      <c r="S75" s="5">
        <v>0.63900000000000001</v>
      </c>
      <c r="T75" s="5">
        <v>1.2609999999999999</v>
      </c>
      <c r="U75" s="5">
        <v>-10.4</v>
      </c>
      <c r="V75" s="5">
        <v>77.36</v>
      </c>
      <c r="W75" s="5">
        <v>-1.7000000000000001E-2</v>
      </c>
      <c r="X75" s="5">
        <v>-0.38500000000000001</v>
      </c>
      <c r="Y75" s="5">
        <v>4.1000000000000002E-2</v>
      </c>
      <c r="Z75" s="5">
        <v>0.46800000000000003</v>
      </c>
      <c r="AA75" s="5">
        <v>1.099</v>
      </c>
      <c r="AB75" s="5">
        <v>1.1990000000000001</v>
      </c>
      <c r="AC75" s="5">
        <v>-7.52</v>
      </c>
      <c r="AD75" s="5">
        <v>-4.6929999999999996</v>
      </c>
      <c r="AE75" s="5">
        <v>-11.78</v>
      </c>
      <c r="AF75" s="5">
        <v>-3.7229999999999999</v>
      </c>
      <c r="AG75" s="5">
        <v>-10.56</v>
      </c>
      <c r="AH75" s="5">
        <v>1.2130000000000001</v>
      </c>
      <c r="AI75" s="5">
        <v>0.113</v>
      </c>
      <c r="AK75" s="5">
        <f t="shared" si="56"/>
        <v>1.0759999999999998</v>
      </c>
      <c r="AL75" s="22">
        <f t="shared" si="57"/>
        <v>-0.1</v>
      </c>
      <c r="AN75" s="1">
        <f t="shared" si="60"/>
        <v>92.8</v>
      </c>
      <c r="AO75" s="1">
        <f t="shared" si="61"/>
        <v>87.1</v>
      </c>
      <c r="AP75" s="1">
        <f t="shared" si="62"/>
        <v>77.400000000000006</v>
      </c>
      <c r="AQ75" s="16">
        <f t="shared" si="53"/>
        <v>0.34599999999999997</v>
      </c>
      <c r="AR75" s="23">
        <f t="shared" si="63"/>
        <v>0.10100000000000001</v>
      </c>
      <c r="AT75" s="18">
        <f t="shared" si="58"/>
        <v>45727</v>
      </c>
      <c r="AU75" s="19">
        <f t="shared" si="59"/>
        <v>70</v>
      </c>
      <c r="AV75" s="1">
        <f t="shared" si="64"/>
        <v>-6.9</v>
      </c>
      <c r="AW75" s="1">
        <f t="shared" si="65"/>
        <v>-4.2</v>
      </c>
      <c r="AX75" s="1">
        <f t="shared" si="66"/>
        <v>-10.4</v>
      </c>
      <c r="AY75" s="1">
        <f t="shared" si="54"/>
        <v>87.1</v>
      </c>
      <c r="AZ75" s="1">
        <f t="shared" si="55"/>
        <v>77.400000000000006</v>
      </c>
      <c r="BA75" s="1">
        <f t="shared" si="67"/>
        <v>1.0759999999999998</v>
      </c>
      <c r="BB75" s="5">
        <f t="shared" si="68"/>
        <v>-0.1</v>
      </c>
      <c r="BC75" s="1">
        <f>ROUND(AC75,1)</f>
        <v>-7.5</v>
      </c>
      <c r="BD75" s="1">
        <f>ROUND(AD75,1)</f>
        <v>-4.7</v>
      </c>
      <c r="BE75" s="1">
        <f>ROUND(AE75,1)</f>
        <v>-11.8</v>
      </c>
      <c r="BF75" s="5">
        <f t="shared" si="69"/>
        <v>0.1</v>
      </c>
      <c r="BG75" s="5">
        <f t="shared" si="70"/>
        <v>0.6</v>
      </c>
      <c r="BH75" s="5">
        <f t="shared" si="71"/>
        <v>1.2</v>
      </c>
      <c r="BI75" s="5">
        <f t="shared" si="72"/>
        <v>0.113</v>
      </c>
      <c r="BJ75" s="9">
        <f t="shared" si="73"/>
        <v>0.34599999999999997</v>
      </c>
      <c r="BK75" s="9">
        <f t="shared" si="73"/>
        <v>0.10100000000000001</v>
      </c>
      <c r="BM75" s="1">
        <f t="shared" si="74"/>
        <v>-0.5</v>
      </c>
      <c r="BN75" s="1">
        <f t="shared" si="75"/>
        <v>-1.379999999999999</v>
      </c>
    </row>
    <row r="76" spans="1:66" x14ac:dyDescent="0.2">
      <c r="A76" s="4">
        <f t="shared" si="76"/>
        <v>45728</v>
      </c>
      <c r="B76" s="1">
        <v>71</v>
      </c>
      <c r="C76" s="1">
        <v>12</v>
      </c>
      <c r="D76" s="5">
        <v>12.78</v>
      </c>
      <c r="E76" s="5">
        <v>-2.4830000000000001</v>
      </c>
      <c r="F76" s="5">
        <v>-6.1820000000000004</v>
      </c>
      <c r="G76" s="5">
        <v>-4.2699999999999996</v>
      </c>
      <c r="H76" s="5">
        <v>93.8</v>
      </c>
      <c r="I76" s="5">
        <v>8.1000000000000003E-2</v>
      </c>
      <c r="J76" s="5">
        <v>-0.35199999999999998</v>
      </c>
      <c r="K76" s="5">
        <v>0.151</v>
      </c>
      <c r="L76" s="5">
        <v>0.56999999999999995</v>
      </c>
      <c r="M76" s="5">
        <v>1.19</v>
      </c>
      <c r="N76" s="5">
        <v>-2.5150000000000001</v>
      </c>
      <c r="O76" s="5">
        <v>95.3</v>
      </c>
      <c r="P76" s="5">
        <v>0.154</v>
      </c>
      <c r="Q76" s="5">
        <v>-0.26</v>
      </c>
      <c r="R76" s="5">
        <v>0.223</v>
      </c>
      <c r="S76" s="5">
        <v>0.65200000000000002</v>
      </c>
      <c r="T76" s="5">
        <v>1.2829999999999999</v>
      </c>
      <c r="U76" s="5">
        <v>-6.4580000000000002</v>
      </c>
      <c r="V76" s="5">
        <v>91.9</v>
      </c>
      <c r="W76" s="5">
        <v>-1.4E-2</v>
      </c>
      <c r="X76" s="5">
        <v>-0.44</v>
      </c>
      <c r="Y76" s="5">
        <v>6.7000000000000004E-2</v>
      </c>
      <c r="Z76" s="5">
        <v>0.48499999999999999</v>
      </c>
      <c r="AA76" s="5">
        <v>1.1120000000000001</v>
      </c>
      <c r="AB76" s="5">
        <v>1.175</v>
      </c>
      <c r="AC76" s="5">
        <v>-4.5599999999999996</v>
      </c>
      <c r="AD76" s="5">
        <v>-2.9929999999999999</v>
      </c>
      <c r="AE76" s="5">
        <v>-6.8170000000000002</v>
      </c>
      <c r="AF76" s="5">
        <v>-2.7050000000000001</v>
      </c>
      <c r="AG76" s="5">
        <v>-6.54</v>
      </c>
      <c r="AH76" s="5">
        <v>1.1819999999999999</v>
      </c>
      <c r="AI76" s="5">
        <v>0.114</v>
      </c>
      <c r="AK76" s="5">
        <f t="shared" si="56"/>
        <v>1.0999999999999999</v>
      </c>
      <c r="AL76" s="22">
        <f t="shared" si="57"/>
        <v>-0.1</v>
      </c>
      <c r="AN76" s="1">
        <f t="shared" si="60"/>
        <v>95.3</v>
      </c>
      <c r="AO76" s="1">
        <f t="shared" si="61"/>
        <v>93.8</v>
      </c>
      <c r="AP76" s="1">
        <f t="shared" si="62"/>
        <v>91.9</v>
      </c>
      <c r="AQ76" s="16">
        <f t="shared" si="53"/>
        <v>0.46600000000000003</v>
      </c>
      <c r="AR76" s="23">
        <f t="shared" si="63"/>
        <v>4.1000000000000002E-2</v>
      </c>
      <c r="AT76" s="18">
        <f t="shared" si="58"/>
        <v>45728</v>
      </c>
      <c r="AU76" s="19">
        <f t="shared" si="59"/>
        <v>71</v>
      </c>
      <c r="AV76" s="1">
        <f t="shared" si="64"/>
        <v>-4.3</v>
      </c>
      <c r="AW76" s="1">
        <f t="shared" si="65"/>
        <v>-2.5</v>
      </c>
      <c r="AX76" s="1">
        <f t="shared" si="66"/>
        <v>-6.5</v>
      </c>
      <c r="AY76" s="1">
        <f t="shared" si="54"/>
        <v>93.8</v>
      </c>
      <c r="AZ76" s="1">
        <f t="shared" si="55"/>
        <v>91.9</v>
      </c>
      <c r="BA76" s="1">
        <f t="shared" si="67"/>
        <v>1.0999999999999999</v>
      </c>
      <c r="BB76" s="5">
        <f t="shared" si="68"/>
        <v>-0.1</v>
      </c>
      <c r="BC76" s="1">
        <f>ROUND(AC76,1)</f>
        <v>-4.5999999999999996</v>
      </c>
      <c r="BD76" s="1">
        <f>ROUND(AD76,1)</f>
        <v>-3</v>
      </c>
      <c r="BE76" s="1">
        <f>ROUND(AE76,1)</f>
        <v>-6.8</v>
      </c>
      <c r="BF76" s="5">
        <f t="shared" si="69"/>
        <v>0.2</v>
      </c>
      <c r="BG76" s="5">
        <f t="shared" si="70"/>
        <v>0.6</v>
      </c>
      <c r="BH76" s="5">
        <f t="shared" si="71"/>
        <v>1.2</v>
      </c>
      <c r="BI76" s="5">
        <f t="shared" si="72"/>
        <v>0.114</v>
      </c>
      <c r="BJ76" s="9">
        <f t="shared" si="73"/>
        <v>0.46600000000000003</v>
      </c>
      <c r="BK76" s="9">
        <f t="shared" si="73"/>
        <v>4.1000000000000002E-2</v>
      </c>
      <c r="BM76" s="1">
        <f t="shared" si="74"/>
        <v>-0.47799999999999976</v>
      </c>
      <c r="BN76" s="1">
        <f t="shared" si="75"/>
        <v>-0.35899999999999999</v>
      </c>
    </row>
    <row r="77" spans="1:66" x14ac:dyDescent="0.2">
      <c r="A77" s="4">
        <f t="shared" si="76"/>
        <v>45729</v>
      </c>
      <c r="B77" s="1">
        <v>72</v>
      </c>
      <c r="C77" s="1">
        <v>12</v>
      </c>
      <c r="D77" s="5">
        <v>13</v>
      </c>
      <c r="E77" s="5">
        <v>-3.1070000000000002</v>
      </c>
      <c r="F77" s="5">
        <v>-9.23</v>
      </c>
      <c r="G77" s="5">
        <v>-6.1109999999999998</v>
      </c>
      <c r="H77" s="5">
        <v>91.9</v>
      </c>
      <c r="I77" s="5">
        <v>6.6000000000000003E-2</v>
      </c>
      <c r="J77" s="5">
        <v>-0.41</v>
      </c>
      <c r="K77" s="5">
        <v>0.14000000000000001</v>
      </c>
      <c r="L77" s="5">
        <v>0.55700000000000005</v>
      </c>
      <c r="M77" s="5">
        <v>1.1739999999999999</v>
      </c>
      <c r="N77" s="5">
        <v>-3.0539999999999998</v>
      </c>
      <c r="O77" s="5">
        <v>94.8</v>
      </c>
      <c r="P77" s="5">
        <v>0.16900000000000001</v>
      </c>
      <c r="Q77" s="5">
        <v>-0.31900000000000001</v>
      </c>
      <c r="R77" s="5">
        <v>0.222</v>
      </c>
      <c r="S77" s="5">
        <v>0.64700000000000002</v>
      </c>
      <c r="T77" s="5">
        <v>1.26</v>
      </c>
      <c r="U77" s="5">
        <v>-10.47</v>
      </c>
      <c r="V77" s="5">
        <v>87.3</v>
      </c>
      <c r="W77" s="5">
        <v>-3.9E-2</v>
      </c>
      <c r="X77" s="5">
        <v>-0.52300000000000002</v>
      </c>
      <c r="Y77" s="5">
        <v>5.1999999999999998E-2</v>
      </c>
      <c r="Z77" s="5">
        <v>0.46300000000000002</v>
      </c>
      <c r="AA77" s="5">
        <v>1.08</v>
      </c>
      <c r="AB77" s="5">
        <v>1.006</v>
      </c>
      <c r="AC77" s="5">
        <v>-6.74</v>
      </c>
      <c r="AD77" s="5">
        <v>-3.5089999999999999</v>
      </c>
      <c r="AE77" s="5">
        <v>-12.22</v>
      </c>
      <c r="AF77" s="5">
        <v>-3.411</v>
      </c>
      <c r="AG77" s="5">
        <v>-10.5</v>
      </c>
      <c r="AH77" s="5">
        <v>1.026</v>
      </c>
      <c r="AI77" s="5">
        <v>0.114</v>
      </c>
      <c r="AK77" s="5">
        <f t="shared" si="56"/>
        <v>1.2689999999999999</v>
      </c>
      <c r="AL77" s="22">
        <f t="shared" si="57"/>
        <v>-0.1</v>
      </c>
      <c r="AN77" s="1">
        <f t="shared" si="60"/>
        <v>94.8</v>
      </c>
      <c r="AO77" s="1">
        <f t="shared" si="61"/>
        <v>91.9</v>
      </c>
      <c r="AP77" s="1">
        <f t="shared" si="62"/>
        <v>87.3</v>
      </c>
      <c r="AQ77" s="16">
        <f t="shared" si="53"/>
        <v>0.42499999999999999</v>
      </c>
      <c r="AR77" s="23">
        <f t="shared" si="63"/>
        <v>6.2E-2</v>
      </c>
      <c r="AT77" s="18">
        <f t="shared" si="58"/>
        <v>45729</v>
      </c>
      <c r="AU77" s="19">
        <f t="shared" si="59"/>
        <v>72</v>
      </c>
      <c r="AV77" s="1">
        <f t="shared" si="64"/>
        <v>-6.1</v>
      </c>
      <c r="AW77" s="1">
        <f t="shared" si="65"/>
        <v>-3.1</v>
      </c>
      <c r="AX77" s="1">
        <f t="shared" si="66"/>
        <v>-10.5</v>
      </c>
      <c r="AY77" s="1">
        <f t="shared" si="54"/>
        <v>91.9</v>
      </c>
      <c r="AZ77" s="1">
        <f t="shared" si="55"/>
        <v>87.3</v>
      </c>
      <c r="BA77" s="1">
        <f t="shared" si="67"/>
        <v>1.2689999999999999</v>
      </c>
      <c r="BB77" s="5">
        <f t="shared" si="68"/>
        <v>-0.1</v>
      </c>
      <c r="BC77" s="1">
        <f>ROUND(AC77,1)</f>
        <v>-6.7</v>
      </c>
      <c r="BD77" s="1">
        <f>ROUND(AD77,1)</f>
        <v>-3.5</v>
      </c>
      <c r="BE77" s="1">
        <f>ROUND(AE77,1)</f>
        <v>-12.2</v>
      </c>
      <c r="BF77" s="5">
        <f t="shared" si="69"/>
        <v>0.1</v>
      </c>
      <c r="BG77" s="5">
        <f t="shared" si="70"/>
        <v>0.6</v>
      </c>
      <c r="BH77" s="5">
        <f t="shared" si="71"/>
        <v>1.2</v>
      </c>
      <c r="BI77" s="5">
        <f t="shared" si="72"/>
        <v>0.114</v>
      </c>
      <c r="BJ77" s="9">
        <f t="shared" si="73"/>
        <v>0.42499999999999999</v>
      </c>
      <c r="BK77" s="9">
        <f t="shared" si="73"/>
        <v>6.2E-2</v>
      </c>
      <c r="BM77" s="1">
        <f t="shared" si="74"/>
        <v>-0.45500000000000007</v>
      </c>
      <c r="BN77" s="1">
        <f t="shared" si="75"/>
        <v>-1.75</v>
      </c>
    </row>
    <row r="78" spans="1:66" x14ac:dyDescent="0.2">
      <c r="A78" s="4">
        <f t="shared" si="76"/>
        <v>45730</v>
      </c>
      <c r="B78" s="1">
        <v>73</v>
      </c>
      <c r="C78" s="1">
        <v>12</v>
      </c>
      <c r="D78" s="5">
        <v>12.98</v>
      </c>
      <c r="E78" s="5">
        <v>-4.9160000000000004</v>
      </c>
      <c r="F78" s="5">
        <v>-12.05</v>
      </c>
      <c r="G78" s="5">
        <v>-8.93</v>
      </c>
      <c r="H78" s="5">
        <v>89</v>
      </c>
      <c r="I78" s="5">
        <v>4.5999999999999999E-2</v>
      </c>
      <c r="J78" s="5">
        <v>-0.42899999999999999</v>
      </c>
      <c r="K78" s="5">
        <v>0.128</v>
      </c>
      <c r="L78" s="5">
        <v>0.54400000000000004</v>
      </c>
      <c r="M78" s="5">
        <v>1.157</v>
      </c>
      <c r="N78" s="5">
        <v>-5.4779999999999998</v>
      </c>
      <c r="O78" s="5">
        <v>91.6</v>
      </c>
      <c r="P78" s="5">
        <v>0.129</v>
      </c>
      <c r="Q78" s="5">
        <v>-0.35199999999999998</v>
      </c>
      <c r="R78" s="5">
        <v>0.21</v>
      </c>
      <c r="S78" s="5">
        <v>0.627</v>
      </c>
      <c r="T78" s="5">
        <v>1.248</v>
      </c>
      <c r="U78" s="5">
        <v>-12.81</v>
      </c>
      <c r="V78" s="5">
        <v>85.8</v>
      </c>
      <c r="W78" s="5">
        <v>-4.4999999999999998E-2</v>
      </c>
      <c r="X78" s="5">
        <v>-0.53800000000000003</v>
      </c>
      <c r="Y78" s="5">
        <v>4.9000000000000002E-2</v>
      </c>
      <c r="Z78" s="5">
        <v>0.46300000000000002</v>
      </c>
      <c r="AA78" s="5">
        <v>1.0720000000000001</v>
      </c>
      <c r="AB78" s="5">
        <v>1.022</v>
      </c>
      <c r="AC78" s="5">
        <v>-10.28</v>
      </c>
      <c r="AD78" s="5">
        <v>-3.444</v>
      </c>
      <c r="AE78" s="5">
        <v>-14.73</v>
      </c>
      <c r="AF78" s="5">
        <v>-4.0679999999999996</v>
      </c>
      <c r="AG78" s="5">
        <v>-13.13</v>
      </c>
      <c r="AH78" s="5">
        <v>1.038</v>
      </c>
      <c r="AI78" s="5">
        <v>0.114</v>
      </c>
      <c r="AK78" s="5">
        <f t="shared" si="56"/>
        <v>1.2529999999999999</v>
      </c>
      <c r="AL78" s="22">
        <f t="shared" si="57"/>
        <v>-0.2</v>
      </c>
      <c r="AN78" s="1">
        <f t="shared" si="60"/>
        <v>91.6</v>
      </c>
      <c r="AO78" s="1">
        <f t="shared" si="61"/>
        <v>89</v>
      </c>
      <c r="AP78" s="1">
        <f t="shared" si="62"/>
        <v>85.8</v>
      </c>
      <c r="AQ78" s="16">
        <f t="shared" si="53"/>
        <v>0.34799999999999998</v>
      </c>
      <c r="AR78" s="23">
        <f t="shared" si="63"/>
        <v>5.8000000000000003E-2</v>
      </c>
      <c r="AT78" s="18">
        <f t="shared" si="58"/>
        <v>45730</v>
      </c>
      <c r="AU78" s="19">
        <f t="shared" si="59"/>
        <v>73</v>
      </c>
      <c r="AV78" s="1">
        <f t="shared" si="64"/>
        <v>-8.9</v>
      </c>
      <c r="AW78" s="1">
        <f t="shared" si="65"/>
        <v>-5.5</v>
      </c>
      <c r="AX78" s="1">
        <f t="shared" si="66"/>
        <v>-12.8</v>
      </c>
      <c r="AY78" s="1">
        <f t="shared" si="54"/>
        <v>89</v>
      </c>
      <c r="AZ78" s="1">
        <f t="shared" si="55"/>
        <v>85.8</v>
      </c>
      <c r="BA78" s="1">
        <f t="shared" si="67"/>
        <v>1.2529999999999999</v>
      </c>
      <c r="BB78" s="5">
        <f t="shared" si="68"/>
        <v>-0.2</v>
      </c>
      <c r="BC78" s="1">
        <f>ROUND(AC78,1)</f>
        <v>-10.3</v>
      </c>
      <c r="BD78" s="1">
        <f>ROUND(AD78,1)</f>
        <v>-3.4</v>
      </c>
      <c r="BE78" s="1">
        <f>ROUND(AE78,1)</f>
        <v>-14.7</v>
      </c>
      <c r="BF78" s="5">
        <f t="shared" si="69"/>
        <v>0.1</v>
      </c>
      <c r="BG78" s="5">
        <f t="shared" si="70"/>
        <v>0.5</v>
      </c>
      <c r="BH78" s="5">
        <f t="shared" si="71"/>
        <v>1.2</v>
      </c>
      <c r="BI78" s="5">
        <f t="shared" si="72"/>
        <v>0.114</v>
      </c>
      <c r="BJ78" s="9">
        <f t="shared" si="73"/>
        <v>0.34799999999999998</v>
      </c>
      <c r="BK78" s="9">
        <f t="shared" si="73"/>
        <v>5.8000000000000003E-2</v>
      </c>
      <c r="BM78" s="1">
        <f t="shared" si="74"/>
        <v>2.0339999999999998</v>
      </c>
      <c r="BN78" s="1">
        <f t="shared" si="75"/>
        <v>-1.92</v>
      </c>
    </row>
    <row r="79" spans="1:66" x14ac:dyDescent="0.2">
      <c r="A79" s="4">
        <f t="shared" si="76"/>
        <v>45731</v>
      </c>
      <c r="B79" s="1">
        <v>74</v>
      </c>
      <c r="C79" s="1">
        <v>12</v>
      </c>
      <c r="D79" s="5">
        <v>12.92</v>
      </c>
      <c r="E79" s="5">
        <v>-4.008</v>
      </c>
      <c r="F79" s="5">
        <v>-8.51</v>
      </c>
      <c r="G79" s="5">
        <v>-6.52</v>
      </c>
      <c r="H79" s="5">
        <v>91.6</v>
      </c>
      <c r="I79" s="5">
        <v>5.8000000000000003E-2</v>
      </c>
      <c r="J79" s="5">
        <v>-0.40100000000000002</v>
      </c>
      <c r="K79" s="5">
        <v>0.14699999999999999</v>
      </c>
      <c r="L79" s="5">
        <v>0.56100000000000005</v>
      </c>
      <c r="M79" s="5">
        <v>1.169</v>
      </c>
      <c r="N79" s="5">
        <v>-4.3330000000000002</v>
      </c>
      <c r="O79" s="5">
        <v>93.4</v>
      </c>
      <c r="P79" s="5">
        <v>0.13600000000000001</v>
      </c>
      <c r="Q79" s="5">
        <v>-0.308</v>
      </c>
      <c r="R79" s="5">
        <v>0.24399999999999999</v>
      </c>
      <c r="S79" s="5">
        <v>0.64600000000000002</v>
      </c>
      <c r="T79" s="5">
        <v>1.2549999999999999</v>
      </c>
      <c r="U79" s="5">
        <v>-8.65</v>
      </c>
      <c r="V79" s="5">
        <v>90</v>
      </c>
      <c r="W79" s="5">
        <v>-2.5999999999999999E-2</v>
      </c>
      <c r="X79" s="5">
        <v>-0.48599999999999999</v>
      </c>
      <c r="Y79" s="5">
        <v>7.5999999999999998E-2</v>
      </c>
      <c r="Z79" s="5">
        <v>0.48499999999999999</v>
      </c>
      <c r="AA79" s="5">
        <v>1.087</v>
      </c>
      <c r="AB79" s="5">
        <v>0.96599999999999997</v>
      </c>
      <c r="AC79" s="5">
        <v>-7.07</v>
      </c>
      <c r="AD79" s="5">
        <v>-4.4530000000000003</v>
      </c>
      <c r="AE79" s="5">
        <v>-9.39</v>
      </c>
      <c r="AF79" s="5">
        <v>-4.2089999999999996</v>
      </c>
      <c r="AG79" s="5">
        <v>-8.92</v>
      </c>
      <c r="AH79" s="5">
        <v>0.98</v>
      </c>
      <c r="AI79" s="5">
        <v>0.114</v>
      </c>
      <c r="AK79" s="5">
        <f t="shared" si="56"/>
        <v>1.3089999999999999</v>
      </c>
      <c r="AL79" s="22">
        <f t="shared" si="57"/>
        <v>-0.1</v>
      </c>
      <c r="AN79" s="1">
        <f t="shared" si="60"/>
        <v>93.4</v>
      </c>
      <c r="AO79" s="1">
        <f t="shared" si="61"/>
        <v>91.6</v>
      </c>
      <c r="AP79" s="1">
        <f t="shared" si="62"/>
        <v>90</v>
      </c>
      <c r="AQ79" s="16">
        <f t="shared" si="53"/>
        <v>0.39800000000000002</v>
      </c>
      <c r="AR79" s="23">
        <f t="shared" si="63"/>
        <v>4.3999999999999997E-2</v>
      </c>
      <c r="AT79" s="18">
        <f t="shared" si="58"/>
        <v>45731</v>
      </c>
      <c r="AU79" s="19">
        <f t="shared" si="59"/>
        <v>74</v>
      </c>
      <c r="AV79" s="1">
        <f t="shared" si="64"/>
        <v>-6.5</v>
      </c>
      <c r="AW79" s="1">
        <f t="shared" si="65"/>
        <v>-4.3</v>
      </c>
      <c r="AX79" s="1">
        <f t="shared" si="66"/>
        <v>-8.6999999999999993</v>
      </c>
      <c r="AY79" s="1">
        <f t="shared" si="54"/>
        <v>91.6</v>
      </c>
      <c r="AZ79" s="1">
        <f t="shared" si="55"/>
        <v>90</v>
      </c>
      <c r="BA79" s="1">
        <f t="shared" si="67"/>
        <v>1.3089999999999999</v>
      </c>
      <c r="BB79" s="5">
        <f t="shared" si="68"/>
        <v>-0.1</v>
      </c>
      <c r="BC79" s="1">
        <f>ROUND(AC79,1)</f>
        <v>-7.1</v>
      </c>
      <c r="BD79" s="1">
        <f>ROUND(AD79,1)</f>
        <v>-4.5</v>
      </c>
      <c r="BE79" s="1">
        <f>ROUND(AE79,1)</f>
        <v>-9.4</v>
      </c>
      <c r="BF79" s="5">
        <f t="shared" si="69"/>
        <v>0.1</v>
      </c>
      <c r="BG79" s="5">
        <f t="shared" si="70"/>
        <v>0.6</v>
      </c>
      <c r="BH79" s="5">
        <f t="shared" si="71"/>
        <v>1.2</v>
      </c>
      <c r="BI79" s="5">
        <f t="shared" si="72"/>
        <v>0.114</v>
      </c>
      <c r="BJ79" s="9">
        <f t="shared" si="73"/>
        <v>0.39800000000000002</v>
      </c>
      <c r="BK79" s="9">
        <f t="shared" si="73"/>
        <v>4.3999999999999997E-2</v>
      </c>
      <c r="BM79" s="1">
        <f t="shared" si="74"/>
        <v>-0.12000000000000011</v>
      </c>
      <c r="BN79" s="1">
        <f t="shared" si="75"/>
        <v>-0.74000000000000021</v>
      </c>
    </row>
    <row r="80" spans="1:66" x14ac:dyDescent="0.2">
      <c r="A80" s="4">
        <f t="shared" si="76"/>
        <v>45732</v>
      </c>
      <c r="B80" s="1">
        <v>75</v>
      </c>
      <c r="C80" s="1">
        <v>12</v>
      </c>
      <c r="D80" s="5">
        <v>13.03</v>
      </c>
      <c r="E80" s="5">
        <v>-2.42</v>
      </c>
      <c r="F80" s="5">
        <v>-7.9050000000000002</v>
      </c>
      <c r="G80" s="5">
        <v>-6.83</v>
      </c>
      <c r="H80" s="5">
        <v>90.9</v>
      </c>
      <c r="I80" s="5">
        <v>5.3999999999999999E-2</v>
      </c>
      <c r="J80" s="5">
        <v>-0.40500000000000003</v>
      </c>
      <c r="K80" s="5">
        <v>0.14599999999999999</v>
      </c>
      <c r="L80" s="5">
        <v>0.55600000000000005</v>
      </c>
      <c r="M80" s="5">
        <v>1.1619999999999999</v>
      </c>
      <c r="N80" s="5">
        <v>-4.2990000000000004</v>
      </c>
      <c r="O80" s="5">
        <v>92.7</v>
      </c>
      <c r="P80" s="5">
        <v>0.13100000000000001</v>
      </c>
      <c r="Q80" s="5">
        <v>-0.33600000000000002</v>
      </c>
      <c r="R80" s="5">
        <v>0.223</v>
      </c>
      <c r="S80" s="5">
        <v>0.64700000000000002</v>
      </c>
      <c r="T80" s="5">
        <v>1.234</v>
      </c>
      <c r="U80" s="5">
        <v>-8.4499999999999993</v>
      </c>
      <c r="V80" s="5">
        <v>88.6</v>
      </c>
      <c r="W80" s="5">
        <v>-5.8999999999999997E-2</v>
      </c>
      <c r="X80" s="5">
        <v>-0.50900000000000001</v>
      </c>
      <c r="Y80" s="5">
        <v>5.6000000000000001E-2</v>
      </c>
      <c r="Z80" s="5">
        <v>0.47099999999999997</v>
      </c>
      <c r="AA80" s="5">
        <v>1.08</v>
      </c>
      <c r="AB80" s="5">
        <v>0.97199999999999998</v>
      </c>
      <c r="AC80" s="5">
        <v>-7.7050000000000001</v>
      </c>
      <c r="AD80" s="5">
        <v>-1.0760000000000001</v>
      </c>
      <c r="AE80" s="5">
        <v>-10.39</v>
      </c>
      <c r="AF80" s="5">
        <v>-2.5249999999999999</v>
      </c>
      <c r="AG80" s="5">
        <v>-8.5299999999999994</v>
      </c>
      <c r="AH80" s="5">
        <v>0.98699999999999999</v>
      </c>
      <c r="AI80" s="5">
        <v>0.114</v>
      </c>
      <c r="AK80" s="5">
        <f t="shared" si="56"/>
        <v>1.3029999999999999</v>
      </c>
      <c r="AL80" s="22">
        <f t="shared" si="57"/>
        <v>-0.1</v>
      </c>
      <c r="AN80" s="1">
        <f t="shared" si="60"/>
        <v>92.7</v>
      </c>
      <c r="AO80" s="1">
        <f t="shared" si="61"/>
        <v>90.9</v>
      </c>
      <c r="AP80" s="1">
        <f t="shared" si="62"/>
        <v>88.6</v>
      </c>
      <c r="AQ80" s="16">
        <f t="shared" si="53"/>
        <v>0.39300000000000002</v>
      </c>
      <c r="AR80" s="23">
        <f t="shared" si="63"/>
        <v>5.0999999999999997E-2</v>
      </c>
      <c r="AT80" s="18">
        <f t="shared" si="58"/>
        <v>45732</v>
      </c>
      <c r="AU80" s="19">
        <f t="shared" si="59"/>
        <v>75</v>
      </c>
      <c r="AV80" s="1">
        <f t="shared" si="64"/>
        <v>-6.8</v>
      </c>
      <c r="AW80" s="1">
        <f t="shared" si="65"/>
        <v>-4.3</v>
      </c>
      <c r="AX80" s="1">
        <f t="shared" si="66"/>
        <v>-8.5</v>
      </c>
      <c r="AY80" s="1">
        <f t="shared" si="54"/>
        <v>90.9</v>
      </c>
      <c r="AZ80" s="1">
        <f t="shared" si="55"/>
        <v>88.6</v>
      </c>
      <c r="BA80" s="1">
        <f t="shared" si="67"/>
        <v>1.3029999999999999</v>
      </c>
      <c r="BB80" s="5">
        <f t="shared" si="68"/>
        <v>-0.1</v>
      </c>
      <c r="BC80" s="1">
        <f>ROUND(AC80,1)</f>
        <v>-7.7</v>
      </c>
      <c r="BD80" s="1">
        <f>ROUND(AD80,1)</f>
        <v>-1.1000000000000001</v>
      </c>
      <c r="BE80" s="1">
        <f>ROUND(AE80,1)</f>
        <v>-10.4</v>
      </c>
      <c r="BF80" s="5">
        <f t="shared" si="69"/>
        <v>0.1</v>
      </c>
      <c r="BG80" s="5">
        <f t="shared" si="70"/>
        <v>0.6</v>
      </c>
      <c r="BH80" s="5">
        <f t="shared" si="71"/>
        <v>1.2</v>
      </c>
      <c r="BI80" s="5">
        <f t="shared" si="72"/>
        <v>0.114</v>
      </c>
      <c r="BJ80" s="9">
        <f t="shared" si="73"/>
        <v>0.39300000000000002</v>
      </c>
      <c r="BK80" s="9">
        <f t="shared" si="73"/>
        <v>5.0999999999999997E-2</v>
      </c>
      <c r="BM80" s="1">
        <f t="shared" si="74"/>
        <v>3.2230000000000003</v>
      </c>
      <c r="BN80" s="1">
        <f t="shared" si="75"/>
        <v>-1.9400000000000013</v>
      </c>
    </row>
    <row r="81" spans="1:66" x14ac:dyDescent="0.2">
      <c r="A81" s="4">
        <f t="shared" si="76"/>
        <v>45733</v>
      </c>
      <c r="B81" s="1">
        <v>76</v>
      </c>
      <c r="C81" s="1">
        <v>12</v>
      </c>
      <c r="D81" s="5">
        <v>13.03</v>
      </c>
      <c r="E81" s="5">
        <v>-2.9119999999999999</v>
      </c>
      <c r="F81" s="5">
        <v>-9.3000000000000007</v>
      </c>
      <c r="G81" s="5">
        <v>-7.8879999999999999</v>
      </c>
      <c r="H81" s="5">
        <v>85.2</v>
      </c>
      <c r="I81" s="5">
        <v>4.7E-2</v>
      </c>
      <c r="J81" s="5">
        <v>-0.41599999999999998</v>
      </c>
      <c r="K81" s="5">
        <v>0.14299999999999999</v>
      </c>
      <c r="L81" s="5">
        <v>0.55100000000000005</v>
      </c>
      <c r="M81" s="5">
        <v>1.1539999999999999</v>
      </c>
      <c r="N81" s="5">
        <v>-4.9039999999999999</v>
      </c>
      <c r="O81" s="5">
        <v>90.2</v>
      </c>
      <c r="P81" s="5">
        <v>0.122</v>
      </c>
      <c r="Q81" s="5">
        <v>-0.33500000000000002</v>
      </c>
      <c r="R81" s="5">
        <v>0.218</v>
      </c>
      <c r="S81" s="5">
        <v>0.63</v>
      </c>
      <c r="T81" s="5">
        <v>1.244</v>
      </c>
      <c r="U81" s="5">
        <v>-10.3</v>
      </c>
      <c r="V81" s="5">
        <v>72.41</v>
      </c>
      <c r="W81" s="5">
        <v>-5.0999999999999997E-2</v>
      </c>
      <c r="X81" s="5">
        <v>-0.52400000000000002</v>
      </c>
      <c r="Y81" s="5">
        <v>6.4000000000000001E-2</v>
      </c>
      <c r="Z81" s="5">
        <v>0.47299999999999998</v>
      </c>
      <c r="AA81" s="5">
        <v>1.0760000000000001</v>
      </c>
      <c r="AB81" s="5">
        <v>1.0149999999999999</v>
      </c>
      <c r="AC81" s="5">
        <v>-9.01</v>
      </c>
      <c r="AD81" s="5">
        <v>-0.93799999999999994</v>
      </c>
      <c r="AE81" s="5">
        <v>-12.29</v>
      </c>
      <c r="AF81" s="5">
        <v>-2.6520000000000001</v>
      </c>
      <c r="AG81" s="5">
        <v>-10.56</v>
      </c>
      <c r="AH81" s="5">
        <v>1.0329999999999999</v>
      </c>
      <c r="AI81" s="5">
        <v>0.114</v>
      </c>
      <c r="AK81" s="5">
        <f t="shared" si="56"/>
        <v>1.26</v>
      </c>
      <c r="AL81" s="22">
        <f t="shared" si="57"/>
        <v>-0.1</v>
      </c>
      <c r="AN81" s="1">
        <f t="shared" si="60"/>
        <v>90.2</v>
      </c>
      <c r="AO81" s="1">
        <f t="shared" si="61"/>
        <v>85.2</v>
      </c>
      <c r="AP81" s="1">
        <f t="shared" si="62"/>
        <v>72.400000000000006</v>
      </c>
      <c r="AQ81" s="16">
        <f t="shared" si="53"/>
        <v>0.307</v>
      </c>
      <c r="AR81" s="23">
        <f t="shared" si="63"/>
        <v>0.11700000000000001</v>
      </c>
      <c r="AT81" s="18">
        <f t="shared" si="58"/>
        <v>45733</v>
      </c>
      <c r="AU81" s="19">
        <f t="shared" si="59"/>
        <v>76</v>
      </c>
      <c r="AV81" s="1">
        <f t="shared" si="64"/>
        <v>-7.9</v>
      </c>
      <c r="AW81" s="1">
        <f t="shared" si="65"/>
        <v>-4.9000000000000004</v>
      </c>
      <c r="AX81" s="1">
        <f t="shared" si="66"/>
        <v>-10.3</v>
      </c>
      <c r="AY81" s="1">
        <f t="shared" si="54"/>
        <v>85.2</v>
      </c>
      <c r="AZ81" s="1">
        <f t="shared" si="55"/>
        <v>72.400000000000006</v>
      </c>
      <c r="BA81" s="1">
        <f t="shared" si="67"/>
        <v>1.26</v>
      </c>
      <c r="BB81" s="5">
        <f t="shared" si="68"/>
        <v>-0.1</v>
      </c>
      <c r="BC81" s="1">
        <f>ROUND(AC81,1)</f>
        <v>-9</v>
      </c>
      <c r="BD81" s="1">
        <f>ROUND(AD81,1)</f>
        <v>-0.9</v>
      </c>
      <c r="BE81" s="1">
        <f>ROUND(AE81,1)</f>
        <v>-12.3</v>
      </c>
      <c r="BF81" s="5">
        <f t="shared" si="69"/>
        <v>0.1</v>
      </c>
      <c r="BG81" s="5">
        <f t="shared" si="70"/>
        <v>0.6</v>
      </c>
      <c r="BH81" s="5">
        <f t="shared" si="71"/>
        <v>1.2</v>
      </c>
      <c r="BI81" s="5">
        <f t="shared" si="72"/>
        <v>0.114</v>
      </c>
      <c r="BJ81" s="9">
        <f t="shared" si="73"/>
        <v>0.307</v>
      </c>
      <c r="BK81" s="9">
        <f t="shared" si="73"/>
        <v>0.11700000000000001</v>
      </c>
      <c r="BM81" s="1">
        <f t="shared" si="74"/>
        <v>3.9660000000000002</v>
      </c>
      <c r="BN81" s="1">
        <f t="shared" si="75"/>
        <v>-1.9899999999999984</v>
      </c>
    </row>
    <row r="82" spans="1:66" x14ac:dyDescent="0.2">
      <c r="A82" s="4">
        <f t="shared" si="76"/>
        <v>45734</v>
      </c>
      <c r="B82" s="1">
        <v>77</v>
      </c>
      <c r="C82" s="1">
        <v>12</v>
      </c>
      <c r="D82" s="5">
        <v>13.04</v>
      </c>
      <c r="E82" s="5">
        <v>-2.6549999999999998</v>
      </c>
      <c r="F82" s="5">
        <v>-10.26</v>
      </c>
      <c r="G82" s="5">
        <v>-8.16</v>
      </c>
      <c r="H82" s="5">
        <v>79.94</v>
      </c>
      <c r="I82" s="5">
        <v>4.4999999999999998E-2</v>
      </c>
      <c r="J82" s="5">
        <v>-0.41099999999999998</v>
      </c>
      <c r="K82" s="5">
        <v>0.14499999999999999</v>
      </c>
      <c r="L82" s="5">
        <v>0.55200000000000005</v>
      </c>
      <c r="M82" s="5">
        <v>1.1499999999999999</v>
      </c>
      <c r="N82" s="5">
        <v>-3.794</v>
      </c>
      <c r="O82" s="5">
        <v>90</v>
      </c>
      <c r="P82" s="5">
        <v>0.13200000000000001</v>
      </c>
      <c r="Q82" s="5">
        <v>-0.32700000000000001</v>
      </c>
      <c r="R82" s="5">
        <v>0.219</v>
      </c>
      <c r="S82" s="5">
        <v>0.64200000000000002</v>
      </c>
      <c r="T82" s="5">
        <v>1.2370000000000001</v>
      </c>
      <c r="U82" s="5">
        <v>-11.11</v>
      </c>
      <c r="V82" s="5">
        <v>57.16</v>
      </c>
      <c r="W82" s="5">
        <v>-6.4000000000000001E-2</v>
      </c>
      <c r="X82" s="5">
        <v>-0.51700000000000002</v>
      </c>
      <c r="Y82" s="5">
        <v>5.1999999999999998E-2</v>
      </c>
      <c r="Z82" s="5">
        <v>0.46</v>
      </c>
      <c r="AA82" s="5">
        <v>1.056</v>
      </c>
      <c r="AB82" s="5">
        <v>0.98899999999999999</v>
      </c>
      <c r="AC82" s="5">
        <v>-9.51</v>
      </c>
      <c r="AD82" s="5">
        <v>-2.0190000000000001</v>
      </c>
      <c r="AE82" s="5">
        <v>-13.72</v>
      </c>
      <c r="AF82" s="5">
        <v>-2.92</v>
      </c>
      <c r="AG82" s="5">
        <v>-11.39</v>
      </c>
      <c r="AH82" s="5">
        <v>1.0069999999999999</v>
      </c>
      <c r="AI82" s="5">
        <v>0.114</v>
      </c>
      <c r="AK82" s="5">
        <f t="shared" si="56"/>
        <v>1.286</v>
      </c>
      <c r="AL82" s="22">
        <f t="shared" si="57"/>
        <v>-0.1</v>
      </c>
      <c r="AN82" s="1">
        <f t="shared" si="60"/>
        <v>90</v>
      </c>
      <c r="AO82" s="1">
        <f t="shared" si="61"/>
        <v>79.900000000000006</v>
      </c>
      <c r="AP82" s="1">
        <f t="shared" si="62"/>
        <v>57.2</v>
      </c>
      <c r="AQ82" s="16">
        <f t="shared" si="53"/>
        <v>0.26400000000000001</v>
      </c>
      <c r="AR82" s="23">
        <f t="shared" si="63"/>
        <v>0.19800000000000001</v>
      </c>
      <c r="AT82" s="18">
        <f t="shared" si="58"/>
        <v>45734</v>
      </c>
      <c r="AU82" s="19">
        <f t="shared" si="59"/>
        <v>77</v>
      </c>
      <c r="AV82" s="1">
        <f t="shared" si="64"/>
        <v>-8.1999999999999993</v>
      </c>
      <c r="AW82" s="1">
        <f t="shared" si="65"/>
        <v>-3.8</v>
      </c>
      <c r="AX82" s="1">
        <f t="shared" si="66"/>
        <v>-11.1</v>
      </c>
      <c r="AY82" s="1">
        <f t="shared" si="54"/>
        <v>79.900000000000006</v>
      </c>
      <c r="AZ82" s="1">
        <f t="shared" si="55"/>
        <v>57.2</v>
      </c>
      <c r="BA82" s="1">
        <f t="shared" si="67"/>
        <v>1.286</v>
      </c>
      <c r="BB82" s="5">
        <f t="shared" si="68"/>
        <v>-0.1</v>
      </c>
      <c r="BC82" s="1">
        <f>ROUND(AC82,1)</f>
        <v>-9.5</v>
      </c>
      <c r="BD82" s="1">
        <f>ROUND(AD82,1)</f>
        <v>-2</v>
      </c>
      <c r="BE82" s="1">
        <f>ROUND(AE82,1)</f>
        <v>-13.7</v>
      </c>
      <c r="BF82" s="5">
        <f t="shared" si="69"/>
        <v>0.1</v>
      </c>
      <c r="BG82" s="5">
        <f t="shared" si="70"/>
        <v>0.6</v>
      </c>
      <c r="BH82" s="5">
        <f t="shared" si="71"/>
        <v>1.2</v>
      </c>
      <c r="BI82" s="5">
        <f t="shared" si="72"/>
        <v>0.114</v>
      </c>
      <c r="BJ82" s="9">
        <f t="shared" si="73"/>
        <v>0.26400000000000001</v>
      </c>
      <c r="BK82" s="9">
        <f t="shared" si="73"/>
        <v>0.19800000000000001</v>
      </c>
      <c r="BM82" s="1">
        <f t="shared" si="74"/>
        <v>1.7749999999999999</v>
      </c>
      <c r="BN82" s="1">
        <f t="shared" si="75"/>
        <v>-2.6100000000000012</v>
      </c>
    </row>
    <row r="83" spans="1:66" x14ac:dyDescent="0.2">
      <c r="A83" s="4">
        <f t="shared" si="76"/>
        <v>45735</v>
      </c>
      <c r="B83" s="1">
        <v>78</v>
      </c>
      <c r="C83" s="1">
        <v>12</v>
      </c>
      <c r="D83" s="5">
        <v>12.89</v>
      </c>
      <c r="E83" s="5">
        <v>-5.4379999999999997</v>
      </c>
      <c r="F83" s="5">
        <v>-9.8699999999999992</v>
      </c>
      <c r="G83" s="5">
        <v>-7.2270000000000003</v>
      </c>
      <c r="H83" s="5">
        <v>87.7</v>
      </c>
      <c r="I83" s="5">
        <v>5.8000000000000003E-2</v>
      </c>
      <c r="J83" s="5">
        <v>-0.39600000000000002</v>
      </c>
      <c r="K83" s="5">
        <v>0.16300000000000001</v>
      </c>
      <c r="L83" s="5">
        <v>0.56799999999999995</v>
      </c>
      <c r="M83" s="5">
        <v>1.163</v>
      </c>
      <c r="N83" s="5">
        <v>-5.0380000000000003</v>
      </c>
      <c r="O83" s="5">
        <v>93.2</v>
      </c>
      <c r="P83" s="5">
        <v>0.14099999999999999</v>
      </c>
      <c r="Q83" s="5">
        <v>-0.316</v>
      </c>
      <c r="R83" s="5">
        <v>0.248</v>
      </c>
      <c r="S83" s="5">
        <v>0.66600000000000004</v>
      </c>
      <c r="T83" s="5">
        <v>1.2450000000000001</v>
      </c>
      <c r="U83" s="5">
        <v>-9.9600000000000009</v>
      </c>
      <c r="V83" s="5">
        <v>77.459999999999994</v>
      </c>
      <c r="W83" s="5">
        <v>-4.7E-2</v>
      </c>
      <c r="X83" s="5">
        <v>-0.495</v>
      </c>
      <c r="Y83" s="5">
        <v>8.4000000000000005E-2</v>
      </c>
      <c r="Z83" s="5">
        <v>0.47499999999999998</v>
      </c>
      <c r="AA83" s="5">
        <v>1.075</v>
      </c>
      <c r="AB83" s="5">
        <v>0.98099999999999998</v>
      </c>
      <c r="AC83" s="5">
        <v>-8.0299999999999994</v>
      </c>
      <c r="AD83" s="5">
        <v>-5.484</v>
      </c>
      <c r="AE83" s="5">
        <v>-11.98</v>
      </c>
      <c r="AF83" s="5">
        <v>-5.1440000000000001</v>
      </c>
      <c r="AG83" s="5">
        <v>-10.17</v>
      </c>
      <c r="AH83" s="5">
        <v>0.99</v>
      </c>
      <c r="AI83" s="5">
        <v>0.113</v>
      </c>
      <c r="AK83" s="5">
        <f t="shared" si="56"/>
        <v>1.294</v>
      </c>
      <c r="AL83" s="22">
        <f t="shared" si="57"/>
        <v>-0.1</v>
      </c>
      <c r="AN83" s="1">
        <f t="shared" si="60"/>
        <v>93.2</v>
      </c>
      <c r="AO83" s="1">
        <f t="shared" si="61"/>
        <v>87.7</v>
      </c>
      <c r="AP83" s="1">
        <f t="shared" si="62"/>
        <v>77.5</v>
      </c>
      <c r="AQ83" s="16">
        <f t="shared" si="53"/>
        <v>0.32500000000000001</v>
      </c>
      <c r="AR83" s="23">
        <f t="shared" si="63"/>
        <v>9.4E-2</v>
      </c>
      <c r="AT83" s="18">
        <f t="shared" si="58"/>
        <v>45735</v>
      </c>
      <c r="AU83" s="19">
        <f t="shared" si="59"/>
        <v>78</v>
      </c>
      <c r="AV83" s="1">
        <f t="shared" si="64"/>
        <v>-7.2</v>
      </c>
      <c r="AW83" s="1">
        <f t="shared" si="65"/>
        <v>-5</v>
      </c>
      <c r="AX83" s="1">
        <f t="shared" si="66"/>
        <v>-10</v>
      </c>
      <c r="AY83" s="1">
        <f t="shared" si="54"/>
        <v>87.7</v>
      </c>
      <c r="AZ83" s="1">
        <f t="shared" si="55"/>
        <v>77.5</v>
      </c>
      <c r="BA83" s="1">
        <f t="shared" si="67"/>
        <v>1.294</v>
      </c>
      <c r="BB83" s="5">
        <f t="shared" si="68"/>
        <v>-0.1</v>
      </c>
      <c r="BC83" s="1">
        <f>ROUND(AC83,1)</f>
        <v>-8</v>
      </c>
      <c r="BD83" s="1">
        <f>ROUND(AD83,1)</f>
        <v>-5.5</v>
      </c>
      <c r="BE83" s="1">
        <f>ROUND(AE83,1)</f>
        <v>-12</v>
      </c>
      <c r="BF83" s="5">
        <f t="shared" si="69"/>
        <v>0.2</v>
      </c>
      <c r="BG83" s="5">
        <f t="shared" si="70"/>
        <v>0.6</v>
      </c>
      <c r="BH83" s="5">
        <f t="shared" si="71"/>
        <v>1.2</v>
      </c>
      <c r="BI83" s="5">
        <f t="shared" si="72"/>
        <v>0.113</v>
      </c>
      <c r="BJ83" s="9">
        <f t="shared" si="73"/>
        <v>0.32500000000000001</v>
      </c>
      <c r="BK83" s="9">
        <f t="shared" si="73"/>
        <v>9.4E-2</v>
      </c>
      <c r="BM83" s="1">
        <f t="shared" si="74"/>
        <v>-0.44599999999999973</v>
      </c>
      <c r="BN83" s="1">
        <f t="shared" si="75"/>
        <v>-2.0199999999999996</v>
      </c>
    </row>
    <row r="84" spans="1:66" x14ac:dyDescent="0.2">
      <c r="A84" s="4">
        <f t="shared" si="76"/>
        <v>45736</v>
      </c>
      <c r="B84" s="1">
        <v>79</v>
      </c>
      <c r="C84" s="1">
        <v>12</v>
      </c>
      <c r="D84" s="5">
        <v>13.02</v>
      </c>
      <c r="E84" s="5">
        <v>-1.119</v>
      </c>
      <c r="F84" s="5">
        <v>-5.4610000000000003</v>
      </c>
      <c r="G84" s="5">
        <v>-4.6070000000000002</v>
      </c>
      <c r="H84" s="5">
        <v>87</v>
      </c>
      <c r="I84" s="5">
        <v>6.3E-2</v>
      </c>
      <c r="J84" s="5">
        <v>-0.39300000000000002</v>
      </c>
      <c r="K84" s="5">
        <v>0.17</v>
      </c>
      <c r="L84" s="5">
        <v>0.57399999999999995</v>
      </c>
      <c r="M84" s="5">
        <v>1.1639999999999999</v>
      </c>
      <c r="N84" s="5">
        <v>-1.9059999999999999</v>
      </c>
      <c r="O84" s="5">
        <v>93.7</v>
      </c>
      <c r="P84" s="5">
        <v>0.14399999999999999</v>
      </c>
      <c r="Q84" s="5">
        <v>-0.318</v>
      </c>
      <c r="R84" s="5">
        <v>0.255</v>
      </c>
      <c r="S84" s="5">
        <v>0.64600000000000002</v>
      </c>
      <c r="T84" s="5">
        <v>1.2430000000000001</v>
      </c>
      <c r="U84" s="5">
        <v>-5.75</v>
      </c>
      <c r="V84" s="5">
        <v>64.97</v>
      </c>
      <c r="W84" s="5">
        <v>-4.3999999999999997E-2</v>
      </c>
      <c r="X84" s="5">
        <v>-0.49399999999999999</v>
      </c>
      <c r="Y84" s="5">
        <v>8.5999999999999993E-2</v>
      </c>
      <c r="Z84" s="5">
        <v>0.48799999999999999</v>
      </c>
      <c r="AA84" s="5">
        <v>1.0740000000000001</v>
      </c>
      <c r="AB84" s="5">
        <v>0.997</v>
      </c>
      <c r="AC84" s="5">
        <v>-5.1890000000000001</v>
      </c>
      <c r="AD84" s="5">
        <v>-3.3000000000000002E-2</v>
      </c>
      <c r="AE84" s="5">
        <v>-6.5439999999999996</v>
      </c>
      <c r="AF84" s="5">
        <v>-0.23899999999999999</v>
      </c>
      <c r="AG84" s="5">
        <v>-5.72</v>
      </c>
      <c r="AH84" s="5">
        <v>1.0049999999999999</v>
      </c>
      <c r="AI84" s="5">
        <v>0.113</v>
      </c>
      <c r="AK84" s="5">
        <f t="shared" si="56"/>
        <v>1.278</v>
      </c>
      <c r="AL84" s="22">
        <f t="shared" si="57"/>
        <v>-0.1</v>
      </c>
      <c r="AN84" s="1">
        <f t="shared" si="60"/>
        <v>93.7</v>
      </c>
      <c r="AO84" s="1">
        <f t="shared" si="61"/>
        <v>87</v>
      </c>
      <c r="AP84" s="1">
        <f t="shared" si="62"/>
        <v>65</v>
      </c>
      <c r="AQ84" s="16">
        <f t="shared" si="53"/>
        <v>0.34499999999999997</v>
      </c>
      <c r="AR84" s="23">
        <f t="shared" si="63"/>
        <v>0.186</v>
      </c>
      <c r="AT84" s="18">
        <f t="shared" si="58"/>
        <v>45736</v>
      </c>
      <c r="AU84" s="19">
        <f t="shared" si="59"/>
        <v>79</v>
      </c>
      <c r="AV84" s="1">
        <f t="shared" si="64"/>
        <v>-4.5999999999999996</v>
      </c>
      <c r="AW84" s="1">
        <f t="shared" si="65"/>
        <v>-1.9</v>
      </c>
      <c r="AX84" s="1">
        <f t="shared" si="66"/>
        <v>-5.8</v>
      </c>
      <c r="AY84" s="1">
        <f t="shared" si="54"/>
        <v>87</v>
      </c>
      <c r="AZ84" s="1">
        <f t="shared" si="55"/>
        <v>65</v>
      </c>
      <c r="BA84" s="1">
        <f t="shared" si="67"/>
        <v>1.278</v>
      </c>
      <c r="BB84" s="5">
        <f t="shared" si="68"/>
        <v>-0.1</v>
      </c>
      <c r="BC84" s="1">
        <f>ROUND(AC84,1)</f>
        <v>-5.2</v>
      </c>
      <c r="BD84" s="1">
        <f>ROUND(AD84,1)</f>
        <v>0</v>
      </c>
      <c r="BE84" s="1">
        <f>ROUND(AE84,1)</f>
        <v>-6.5</v>
      </c>
      <c r="BF84" s="5">
        <f t="shared" si="69"/>
        <v>0.2</v>
      </c>
      <c r="BG84" s="5">
        <f t="shared" si="70"/>
        <v>0.6</v>
      </c>
      <c r="BH84" s="5">
        <f t="shared" si="71"/>
        <v>1.2</v>
      </c>
      <c r="BI84" s="5">
        <f t="shared" si="72"/>
        <v>0.113</v>
      </c>
      <c r="BJ84" s="9">
        <f t="shared" si="73"/>
        <v>0.34499999999999997</v>
      </c>
      <c r="BK84" s="9">
        <f t="shared" si="73"/>
        <v>0.186</v>
      </c>
      <c r="BM84" s="1">
        <f t="shared" si="74"/>
        <v>1.873</v>
      </c>
      <c r="BN84" s="1">
        <f t="shared" si="75"/>
        <v>-0.79399999999999959</v>
      </c>
    </row>
    <row r="85" spans="1:66" x14ac:dyDescent="0.2">
      <c r="A85" s="4">
        <f t="shared" si="76"/>
        <v>45737</v>
      </c>
      <c r="B85" s="1">
        <v>80</v>
      </c>
      <c r="C85" s="1">
        <v>12</v>
      </c>
      <c r="D85" s="5">
        <v>13.07</v>
      </c>
      <c r="E85" s="5">
        <v>0.18099999999999999</v>
      </c>
      <c r="F85" s="5">
        <v>-6.577</v>
      </c>
      <c r="G85" s="5">
        <v>-4.3380000000000001</v>
      </c>
      <c r="H85" s="5">
        <v>81.5</v>
      </c>
      <c r="I85" s="5">
        <v>6.7000000000000004E-2</v>
      </c>
      <c r="J85" s="5">
        <v>-0.39500000000000002</v>
      </c>
      <c r="K85" s="5">
        <v>0.17299999999999999</v>
      </c>
      <c r="L85" s="5">
        <v>0.57399999999999995</v>
      </c>
      <c r="M85" s="5">
        <v>1.1599999999999999</v>
      </c>
      <c r="N85" s="5">
        <v>-0.58799999999999997</v>
      </c>
      <c r="O85" s="5">
        <v>94.1</v>
      </c>
      <c r="P85" s="5">
        <v>0.14199999999999999</v>
      </c>
      <c r="Q85" s="5">
        <v>-0.308</v>
      </c>
      <c r="R85" s="5">
        <v>0.25800000000000001</v>
      </c>
      <c r="S85" s="5">
        <v>0.65800000000000003</v>
      </c>
      <c r="T85" s="5">
        <v>1.2430000000000001</v>
      </c>
      <c r="U85" s="5">
        <v>-7.4050000000000002</v>
      </c>
      <c r="V85" s="5">
        <v>55.23</v>
      </c>
      <c r="W85" s="5">
        <v>-5.0999999999999997E-2</v>
      </c>
      <c r="X85" s="5">
        <v>-0.51400000000000001</v>
      </c>
      <c r="Y85" s="5">
        <v>9.0999999999999998E-2</v>
      </c>
      <c r="Z85" s="5">
        <v>0.48799999999999999</v>
      </c>
      <c r="AA85" s="5">
        <v>1.0820000000000001</v>
      </c>
      <c r="AB85" s="5">
        <v>1.008</v>
      </c>
      <c r="AC85" s="5">
        <v>-5.3710000000000004</v>
      </c>
      <c r="AD85" s="5">
        <v>0.29899999999999999</v>
      </c>
      <c r="AE85" s="5">
        <v>-9.0500000000000007</v>
      </c>
      <c r="AF85" s="5">
        <v>1.0669999999999999</v>
      </c>
      <c r="AG85" s="5">
        <v>-7.633</v>
      </c>
      <c r="AH85" s="5">
        <v>1.02</v>
      </c>
      <c r="AI85" s="5">
        <v>0.114</v>
      </c>
      <c r="AK85" s="5">
        <f t="shared" si="56"/>
        <v>1.2669999999999999</v>
      </c>
      <c r="AL85" s="22">
        <f t="shared" si="57"/>
        <v>-0.1</v>
      </c>
      <c r="AN85" s="1">
        <f t="shared" si="60"/>
        <v>94.1</v>
      </c>
      <c r="AO85" s="1">
        <f t="shared" si="61"/>
        <v>81.5</v>
      </c>
      <c r="AP85" s="1">
        <f t="shared" si="62"/>
        <v>55.2</v>
      </c>
      <c r="AQ85" s="16">
        <f t="shared" si="53"/>
        <v>0.32300000000000001</v>
      </c>
      <c r="AR85" s="23">
        <f t="shared" si="63"/>
        <v>0.26200000000000001</v>
      </c>
      <c r="AT85" s="18">
        <f t="shared" si="58"/>
        <v>45737</v>
      </c>
      <c r="AU85" s="19">
        <f t="shared" si="59"/>
        <v>80</v>
      </c>
      <c r="AV85" s="1">
        <f t="shared" si="64"/>
        <v>-4.3</v>
      </c>
      <c r="AW85" s="1">
        <f t="shared" si="65"/>
        <v>-0.6</v>
      </c>
      <c r="AX85" s="1">
        <f t="shared" si="66"/>
        <v>-7.4</v>
      </c>
      <c r="AY85" s="1">
        <f t="shared" si="54"/>
        <v>81.5</v>
      </c>
      <c r="AZ85" s="1">
        <f t="shared" si="55"/>
        <v>55.2</v>
      </c>
      <c r="BA85" s="1">
        <f t="shared" si="67"/>
        <v>1.2669999999999999</v>
      </c>
      <c r="BB85" s="5">
        <f t="shared" si="68"/>
        <v>-0.1</v>
      </c>
      <c r="BC85" s="1">
        <f>ROUND(AC85,1)</f>
        <v>-5.4</v>
      </c>
      <c r="BD85" s="1">
        <f>ROUND(AD85,1)</f>
        <v>0.3</v>
      </c>
      <c r="BE85" s="1">
        <f>ROUND(AE85,1)</f>
        <v>-9.1</v>
      </c>
      <c r="BF85" s="5">
        <f t="shared" si="69"/>
        <v>0.2</v>
      </c>
      <c r="BG85" s="5">
        <f t="shared" si="70"/>
        <v>0.6</v>
      </c>
      <c r="BH85" s="5">
        <f t="shared" si="71"/>
        <v>1.2</v>
      </c>
      <c r="BI85" s="5">
        <f t="shared" si="72"/>
        <v>0.114</v>
      </c>
      <c r="BJ85" s="9">
        <f t="shared" si="73"/>
        <v>0.32300000000000001</v>
      </c>
      <c r="BK85" s="9">
        <f t="shared" si="73"/>
        <v>0.26200000000000001</v>
      </c>
      <c r="BM85" s="1">
        <f t="shared" si="74"/>
        <v>0.88700000000000001</v>
      </c>
      <c r="BN85" s="1">
        <f t="shared" si="75"/>
        <v>-1.6450000000000005</v>
      </c>
    </row>
    <row r="86" spans="1:66" x14ac:dyDescent="0.2">
      <c r="A86" s="4">
        <f t="shared" si="76"/>
        <v>45738</v>
      </c>
      <c r="B86" s="1">
        <v>81</v>
      </c>
      <c r="C86" s="1">
        <v>12</v>
      </c>
      <c r="D86" s="5">
        <v>13.05</v>
      </c>
      <c r="E86" s="5">
        <v>-1.927</v>
      </c>
      <c r="F86" s="5">
        <v>-6.952</v>
      </c>
      <c r="G86" s="5">
        <v>-5.851</v>
      </c>
      <c r="H86" s="5">
        <v>87.2</v>
      </c>
      <c r="I86" s="5">
        <v>5.3999999999999999E-2</v>
      </c>
      <c r="J86" s="5">
        <v>-0.39900000000000002</v>
      </c>
      <c r="K86" s="5">
        <v>0.16600000000000001</v>
      </c>
      <c r="L86" s="5">
        <v>0.56599999999999995</v>
      </c>
      <c r="M86" s="5">
        <v>1.1519999999999999</v>
      </c>
      <c r="N86" s="5">
        <v>-3.5289999999999999</v>
      </c>
      <c r="O86" s="5">
        <v>93</v>
      </c>
      <c r="P86" s="5">
        <v>0.14199999999999999</v>
      </c>
      <c r="Q86" s="5">
        <v>-0.29799999999999999</v>
      </c>
      <c r="R86" s="5">
        <v>0.245</v>
      </c>
      <c r="S86" s="5">
        <v>0.64700000000000002</v>
      </c>
      <c r="T86" s="5">
        <v>1.2450000000000001</v>
      </c>
      <c r="U86" s="5">
        <v>-7.3710000000000004</v>
      </c>
      <c r="V86" s="5">
        <v>73.010000000000005</v>
      </c>
      <c r="W86" s="5">
        <v>-5.0999999999999997E-2</v>
      </c>
      <c r="X86" s="5">
        <v>-0.5</v>
      </c>
      <c r="Y86" s="5">
        <v>8.6999999999999994E-2</v>
      </c>
      <c r="Z86" s="5">
        <v>0.48299999999999998</v>
      </c>
      <c r="AA86" s="5">
        <v>1.071</v>
      </c>
      <c r="AB86" s="5">
        <v>0.93899999999999995</v>
      </c>
      <c r="AC86" s="5">
        <v>-6.3120000000000003</v>
      </c>
      <c r="AD86" s="5">
        <v>-2.319</v>
      </c>
      <c r="AE86" s="5">
        <v>-9.19</v>
      </c>
      <c r="AF86" s="5">
        <v>-2.4119999999999999</v>
      </c>
      <c r="AG86" s="5">
        <v>-7.47</v>
      </c>
      <c r="AH86" s="5">
        <v>0.95099999999999996</v>
      </c>
      <c r="AI86" s="5">
        <v>0.114</v>
      </c>
      <c r="AK86" s="5">
        <f t="shared" si="56"/>
        <v>1.3359999999999999</v>
      </c>
      <c r="AL86" s="22">
        <f t="shared" si="57"/>
        <v>-0.1</v>
      </c>
      <c r="AN86" s="1">
        <f t="shared" si="60"/>
        <v>93</v>
      </c>
      <c r="AO86" s="1">
        <f t="shared" si="61"/>
        <v>87.2</v>
      </c>
      <c r="AP86" s="1">
        <f t="shared" si="62"/>
        <v>73</v>
      </c>
      <c r="AQ86" s="16">
        <f t="shared" si="53"/>
        <v>0.34300000000000003</v>
      </c>
      <c r="AR86" s="23">
        <f t="shared" si="63"/>
        <v>0.127</v>
      </c>
      <c r="AT86" s="18">
        <f t="shared" si="58"/>
        <v>45738</v>
      </c>
      <c r="AU86" s="19">
        <f t="shared" si="59"/>
        <v>81</v>
      </c>
      <c r="AV86" s="1">
        <f t="shared" si="64"/>
        <v>-5.9</v>
      </c>
      <c r="AW86" s="1">
        <f t="shared" si="65"/>
        <v>-3.5</v>
      </c>
      <c r="AX86" s="1">
        <f t="shared" si="66"/>
        <v>-7.4</v>
      </c>
      <c r="AY86" s="1">
        <f t="shared" si="54"/>
        <v>87.2</v>
      </c>
      <c r="AZ86" s="1">
        <f t="shared" si="55"/>
        <v>73</v>
      </c>
      <c r="BA86" s="1">
        <f t="shared" si="67"/>
        <v>1.3359999999999999</v>
      </c>
      <c r="BB86" s="5">
        <f t="shared" si="68"/>
        <v>-0.1</v>
      </c>
      <c r="BC86" s="1">
        <f>ROUND(AC86,1)</f>
        <v>-6.3</v>
      </c>
      <c r="BD86" s="1">
        <f>ROUND(AD86,1)</f>
        <v>-2.2999999999999998</v>
      </c>
      <c r="BE86" s="1">
        <f>ROUND(AE86,1)</f>
        <v>-9.1999999999999993</v>
      </c>
      <c r="BF86" s="5">
        <f t="shared" si="69"/>
        <v>0.2</v>
      </c>
      <c r="BG86" s="5">
        <f t="shared" si="70"/>
        <v>0.6</v>
      </c>
      <c r="BH86" s="5">
        <f t="shared" si="71"/>
        <v>1.2</v>
      </c>
      <c r="BI86" s="5">
        <f t="shared" si="72"/>
        <v>0.114</v>
      </c>
      <c r="BJ86" s="9">
        <f t="shared" si="73"/>
        <v>0.34300000000000003</v>
      </c>
      <c r="BK86" s="9">
        <f t="shared" si="73"/>
        <v>0.127</v>
      </c>
      <c r="BM86" s="1">
        <f t="shared" si="74"/>
        <v>1.21</v>
      </c>
      <c r="BN86" s="1">
        <f t="shared" si="75"/>
        <v>-1.8189999999999991</v>
      </c>
    </row>
    <row r="87" spans="1:66" x14ac:dyDescent="0.2">
      <c r="A87" s="4">
        <f t="shared" si="76"/>
        <v>45739</v>
      </c>
      <c r="B87" s="1">
        <v>82</v>
      </c>
      <c r="C87" s="1">
        <v>12</v>
      </c>
      <c r="D87" s="5">
        <v>12.93</v>
      </c>
      <c r="E87" s="5">
        <v>1.0999999999999999E-2</v>
      </c>
      <c r="F87" s="5">
        <v>-6.3780000000000001</v>
      </c>
      <c r="G87" s="5">
        <v>-3.6040000000000001</v>
      </c>
      <c r="H87" s="5">
        <v>93.8</v>
      </c>
      <c r="I87" s="5">
        <v>7.2999999999999995E-2</v>
      </c>
      <c r="J87" s="5">
        <v>-0.36499999999999999</v>
      </c>
      <c r="K87" s="5">
        <v>0.189</v>
      </c>
      <c r="L87" s="5">
        <v>0.58799999999999997</v>
      </c>
      <c r="M87" s="5">
        <v>1.167</v>
      </c>
      <c r="N87" s="5">
        <v>0.35799999999999998</v>
      </c>
      <c r="O87" s="5">
        <v>97.7</v>
      </c>
      <c r="P87" s="5">
        <v>0.17799999999999999</v>
      </c>
      <c r="Q87" s="5">
        <v>-0.247</v>
      </c>
      <c r="R87" s="5">
        <v>0.29299999999999998</v>
      </c>
      <c r="S87" s="5">
        <v>0.68799999999999994</v>
      </c>
      <c r="T87" s="5">
        <v>1.2709999999999999</v>
      </c>
      <c r="U87" s="5">
        <v>-6.6269999999999998</v>
      </c>
      <c r="V87" s="5">
        <v>88.1</v>
      </c>
      <c r="W87" s="5">
        <v>-2.8000000000000001E-2</v>
      </c>
      <c r="X87" s="5">
        <v>-0.46200000000000002</v>
      </c>
      <c r="Y87" s="5">
        <v>0.104</v>
      </c>
      <c r="Z87" s="5">
        <v>0.498</v>
      </c>
      <c r="AA87" s="5">
        <v>1.083</v>
      </c>
      <c r="AB87" s="5">
        <v>0.85699999999999998</v>
      </c>
      <c r="AC87" s="5">
        <v>-3.972</v>
      </c>
      <c r="AD87" s="5">
        <v>-0.19500000000000001</v>
      </c>
      <c r="AE87" s="5">
        <v>-7.1289999999999996</v>
      </c>
      <c r="AF87" s="5">
        <v>0.17100000000000001</v>
      </c>
      <c r="AG87" s="5">
        <v>-6.8970000000000002</v>
      </c>
      <c r="AH87" s="5">
        <v>0.85699999999999998</v>
      </c>
      <c r="AI87" s="5">
        <v>0.114</v>
      </c>
      <c r="AK87" s="5">
        <f t="shared" si="56"/>
        <v>1.4179999999999999</v>
      </c>
      <c r="AL87" s="22">
        <f t="shared" si="57"/>
        <v>-0.1</v>
      </c>
      <c r="AN87" s="1">
        <f t="shared" si="60"/>
        <v>97.7</v>
      </c>
      <c r="AO87" s="1">
        <f t="shared" si="61"/>
        <v>93.8</v>
      </c>
      <c r="AP87" s="1">
        <f t="shared" si="62"/>
        <v>88.1</v>
      </c>
      <c r="AQ87" s="16">
        <f t="shared" si="53"/>
        <v>0.55200000000000005</v>
      </c>
      <c r="AR87" s="23">
        <f t="shared" si="63"/>
        <v>7.4999999999999997E-2</v>
      </c>
      <c r="AT87" s="18">
        <f t="shared" si="58"/>
        <v>45739</v>
      </c>
      <c r="AU87" s="19">
        <f t="shared" si="59"/>
        <v>82</v>
      </c>
      <c r="AV87" s="1">
        <f t="shared" si="64"/>
        <v>-3.6</v>
      </c>
      <c r="AW87" s="1">
        <f t="shared" si="65"/>
        <v>0.4</v>
      </c>
      <c r="AX87" s="1">
        <f t="shared" si="66"/>
        <v>-6.6</v>
      </c>
      <c r="AY87" s="1">
        <f t="shared" si="54"/>
        <v>93.8</v>
      </c>
      <c r="AZ87" s="1">
        <f t="shared" si="55"/>
        <v>88.1</v>
      </c>
      <c r="BA87" s="1">
        <f t="shared" si="67"/>
        <v>1.4179999999999999</v>
      </c>
      <c r="BB87" s="5">
        <f t="shared" si="68"/>
        <v>-0.1</v>
      </c>
      <c r="BC87" s="1">
        <f>ROUND(AC87,1)</f>
        <v>-4</v>
      </c>
      <c r="BD87" s="1">
        <f>ROUND(AD87,1)</f>
        <v>-0.2</v>
      </c>
      <c r="BE87" s="1">
        <f>ROUND(AE87,1)</f>
        <v>-7.1</v>
      </c>
      <c r="BF87" s="5">
        <f t="shared" si="69"/>
        <v>0.2</v>
      </c>
      <c r="BG87" s="5">
        <f t="shared" si="70"/>
        <v>0.6</v>
      </c>
      <c r="BH87" s="5">
        <f t="shared" si="71"/>
        <v>1.2</v>
      </c>
      <c r="BI87" s="5">
        <f t="shared" si="72"/>
        <v>0.114</v>
      </c>
      <c r="BJ87" s="9">
        <f t="shared" si="73"/>
        <v>0.55200000000000005</v>
      </c>
      <c r="BK87" s="9">
        <f t="shared" si="73"/>
        <v>7.4999999999999997E-2</v>
      </c>
      <c r="BM87" s="1">
        <f t="shared" si="74"/>
        <v>-0.55299999999999994</v>
      </c>
      <c r="BN87" s="1">
        <f t="shared" si="75"/>
        <v>-0.50199999999999978</v>
      </c>
    </row>
    <row r="88" spans="1:66" x14ac:dyDescent="0.2">
      <c r="A88" s="4">
        <f t="shared" si="76"/>
        <v>45740</v>
      </c>
      <c r="B88" s="1">
        <v>83</v>
      </c>
      <c r="C88" s="1">
        <v>12</v>
      </c>
      <c r="D88" s="5">
        <v>12.95</v>
      </c>
      <c r="E88" s="5">
        <v>1.0529999999999999</v>
      </c>
      <c r="F88" s="5">
        <v>-0.13800000000000001</v>
      </c>
      <c r="G88" s="5">
        <v>0.20799999999999999</v>
      </c>
      <c r="H88" s="5">
        <v>93.9</v>
      </c>
      <c r="I88" s="5">
        <v>0.108</v>
      </c>
      <c r="J88" s="5">
        <v>-0.30599999999999999</v>
      </c>
      <c r="K88" s="5">
        <v>0.22800000000000001</v>
      </c>
      <c r="L88" s="5">
        <v>0.623</v>
      </c>
      <c r="M88" s="5">
        <v>1.1970000000000001</v>
      </c>
      <c r="N88" s="5">
        <v>0.83099999999999996</v>
      </c>
      <c r="O88" s="5">
        <v>98.1</v>
      </c>
      <c r="P88" s="5">
        <v>0.191</v>
      </c>
      <c r="Q88" s="5">
        <v>-0.219</v>
      </c>
      <c r="R88" s="5">
        <v>0.317</v>
      </c>
      <c r="S88" s="5">
        <v>0.70199999999999996</v>
      </c>
      <c r="T88" s="5">
        <v>1.278</v>
      </c>
      <c r="U88" s="5">
        <v>-0.55400000000000005</v>
      </c>
      <c r="V88" s="5">
        <v>81.7</v>
      </c>
      <c r="W88" s="5">
        <v>1.7999999999999999E-2</v>
      </c>
      <c r="X88" s="5">
        <v>-0.39800000000000002</v>
      </c>
      <c r="Y88" s="5">
        <v>0.14799999999999999</v>
      </c>
      <c r="Z88" s="5">
        <v>0.54400000000000004</v>
      </c>
      <c r="AA88" s="5">
        <v>1.1180000000000001</v>
      </c>
      <c r="AB88" s="5">
        <v>0.86799999999999999</v>
      </c>
      <c r="AC88" s="5">
        <v>-0.40400000000000003</v>
      </c>
      <c r="AD88" s="5">
        <v>-6.2E-2</v>
      </c>
      <c r="AE88" s="5">
        <v>-1.0169999999999999</v>
      </c>
      <c r="AF88" s="5">
        <v>0.77500000000000002</v>
      </c>
      <c r="AG88" s="5">
        <v>-0.41099999999999998</v>
      </c>
      <c r="AH88" s="5">
        <v>0.86699999999999999</v>
      </c>
      <c r="AI88" s="5">
        <v>0.114</v>
      </c>
      <c r="AK88" s="5">
        <f t="shared" si="56"/>
        <v>1.407</v>
      </c>
      <c r="AL88" s="22">
        <f t="shared" si="57"/>
        <v>0</v>
      </c>
      <c r="AN88" s="1">
        <f t="shared" si="60"/>
        <v>98.1</v>
      </c>
      <c r="AO88" s="1">
        <f t="shared" si="61"/>
        <v>93.9</v>
      </c>
      <c r="AP88" s="1">
        <f t="shared" si="62"/>
        <v>81.7</v>
      </c>
      <c r="AQ88" s="16">
        <f t="shared" si="53"/>
        <v>0.53</v>
      </c>
      <c r="AR88" s="23">
        <f t="shared" si="63"/>
        <v>0.11899999999999999</v>
      </c>
      <c r="AT88" s="18">
        <f t="shared" si="58"/>
        <v>45740</v>
      </c>
      <c r="AU88" s="19">
        <f t="shared" si="59"/>
        <v>83</v>
      </c>
      <c r="AV88" s="1">
        <f t="shared" si="64"/>
        <v>0.2</v>
      </c>
      <c r="AW88" s="1">
        <f t="shared" si="65"/>
        <v>0.8</v>
      </c>
      <c r="AX88" s="1">
        <f t="shared" si="66"/>
        <v>-0.6</v>
      </c>
      <c r="AY88" s="1">
        <f t="shared" si="54"/>
        <v>93.9</v>
      </c>
      <c r="AZ88" s="1">
        <f t="shared" si="55"/>
        <v>81.7</v>
      </c>
      <c r="BA88" s="1">
        <f t="shared" si="67"/>
        <v>1.407</v>
      </c>
      <c r="BB88" s="5">
        <f t="shared" si="68"/>
        <v>0</v>
      </c>
      <c r="BC88" s="1">
        <f>ROUND(AC88,1)</f>
        <v>-0.4</v>
      </c>
      <c r="BD88" s="1">
        <f>ROUND(AD88,1)</f>
        <v>-0.1</v>
      </c>
      <c r="BE88" s="1">
        <f>ROUND(AE88,1)</f>
        <v>-1</v>
      </c>
      <c r="BF88" s="5">
        <f t="shared" si="69"/>
        <v>0.2</v>
      </c>
      <c r="BG88" s="5">
        <f t="shared" si="70"/>
        <v>0.6</v>
      </c>
      <c r="BH88" s="5">
        <f t="shared" si="71"/>
        <v>1.2</v>
      </c>
      <c r="BI88" s="5">
        <f t="shared" si="72"/>
        <v>0.114</v>
      </c>
      <c r="BJ88" s="9">
        <f t="shared" si="73"/>
        <v>0.53</v>
      </c>
      <c r="BK88" s="9">
        <f t="shared" si="73"/>
        <v>0.11899999999999999</v>
      </c>
      <c r="BM88" s="1">
        <f t="shared" si="74"/>
        <v>-0.89300000000000002</v>
      </c>
      <c r="BN88" s="1">
        <f t="shared" si="75"/>
        <v>-0.46299999999999986</v>
      </c>
    </row>
    <row r="89" spans="1:66" x14ac:dyDescent="0.2">
      <c r="A89" s="4">
        <f t="shared" si="76"/>
        <v>45741</v>
      </c>
      <c r="B89" s="1">
        <v>84</v>
      </c>
      <c r="C89" s="1">
        <v>12</v>
      </c>
      <c r="D89" s="5">
        <v>13.05</v>
      </c>
      <c r="E89" s="5">
        <v>7.532</v>
      </c>
      <c r="F89" s="5">
        <v>0.28699999999999998</v>
      </c>
      <c r="G89" s="5">
        <v>3.601</v>
      </c>
      <c r="H89" s="5">
        <v>93.6</v>
      </c>
      <c r="I89" s="5">
        <v>0.124</v>
      </c>
      <c r="J89" s="5">
        <v>-0.245</v>
      </c>
      <c r="K89" s="5">
        <v>0.218</v>
      </c>
      <c r="L89" s="5">
        <v>0.61599999999999999</v>
      </c>
      <c r="M89" s="5">
        <v>1.177</v>
      </c>
      <c r="N89" s="5">
        <v>8.4499999999999993</v>
      </c>
      <c r="O89" s="5">
        <v>98.9</v>
      </c>
      <c r="P89" s="5">
        <v>0.253</v>
      </c>
      <c r="Q89" s="5">
        <v>-0.114</v>
      </c>
      <c r="R89" s="5">
        <v>0.311</v>
      </c>
      <c r="S89" s="5">
        <v>0.70699999999999996</v>
      </c>
      <c r="T89" s="5">
        <v>1.2929999999999999</v>
      </c>
      <c r="U89" s="5">
        <v>0.42599999999999999</v>
      </c>
      <c r="V89" s="5">
        <v>69.540000000000006</v>
      </c>
      <c r="W89" s="5">
        <v>0.02</v>
      </c>
      <c r="X89" s="5">
        <v>-0.35799999999999998</v>
      </c>
      <c r="Y89" s="5">
        <v>0.13100000000000001</v>
      </c>
      <c r="Z89" s="5">
        <v>0.52300000000000002</v>
      </c>
      <c r="AA89" s="5">
        <v>1.0669999999999999</v>
      </c>
      <c r="AB89" s="5">
        <v>0.98399999999999999</v>
      </c>
      <c r="AC89" s="5">
        <v>8.1000000000000003E-2</v>
      </c>
      <c r="AD89" s="5">
        <v>1.012</v>
      </c>
      <c r="AE89" s="5">
        <v>-0.33600000000000002</v>
      </c>
      <c r="AF89" s="5">
        <v>9.93</v>
      </c>
      <c r="AG89" s="5">
        <v>0.128</v>
      </c>
      <c r="AH89" s="5">
        <v>0.97699999999999998</v>
      </c>
      <c r="AI89" s="5">
        <v>0.11899999999999999</v>
      </c>
      <c r="AK89" s="5">
        <f t="shared" si="56"/>
        <v>1.2909999999999999</v>
      </c>
      <c r="AL89" s="22">
        <f t="shared" si="57"/>
        <v>0</v>
      </c>
      <c r="AN89" s="1">
        <f t="shared" si="60"/>
        <v>98.9</v>
      </c>
      <c r="AO89" s="1">
        <f t="shared" si="61"/>
        <v>93.6</v>
      </c>
      <c r="AP89" s="1">
        <f t="shared" si="62"/>
        <v>69.5</v>
      </c>
      <c r="AQ89" s="16">
        <f t="shared" si="53"/>
        <v>0.76800000000000002</v>
      </c>
      <c r="AR89" s="23">
        <f t="shared" si="63"/>
        <v>0.33700000000000002</v>
      </c>
      <c r="AT89" s="18">
        <f t="shared" si="58"/>
        <v>45741</v>
      </c>
      <c r="AU89" s="19">
        <f t="shared" si="59"/>
        <v>84</v>
      </c>
      <c r="AV89" s="1">
        <f t="shared" si="64"/>
        <v>3.6</v>
      </c>
      <c r="AW89" s="1">
        <f t="shared" si="65"/>
        <v>8.5</v>
      </c>
      <c r="AX89" s="1">
        <f t="shared" si="66"/>
        <v>0.4</v>
      </c>
      <c r="AY89" s="1">
        <f t="shared" si="54"/>
        <v>93.6</v>
      </c>
      <c r="AZ89" s="1">
        <f t="shared" si="55"/>
        <v>69.5</v>
      </c>
      <c r="BA89" s="1">
        <f t="shared" si="67"/>
        <v>1.2909999999999999</v>
      </c>
      <c r="BB89" s="5">
        <f t="shared" si="68"/>
        <v>0</v>
      </c>
      <c r="BC89" s="1">
        <f>ROUND(AC89,1)</f>
        <v>0.1</v>
      </c>
      <c r="BD89" s="1">
        <f>ROUND(AD89,1)</f>
        <v>1</v>
      </c>
      <c r="BE89" s="1">
        <f>ROUND(AE89,1)</f>
        <v>-0.3</v>
      </c>
      <c r="BF89" s="5">
        <f t="shared" si="69"/>
        <v>0.2</v>
      </c>
      <c r="BG89" s="5">
        <f t="shared" si="70"/>
        <v>0.6</v>
      </c>
      <c r="BH89" s="5">
        <f t="shared" si="71"/>
        <v>1.2</v>
      </c>
      <c r="BI89" s="5">
        <f t="shared" si="72"/>
        <v>0.11899999999999999</v>
      </c>
      <c r="BJ89" s="9">
        <f t="shared" si="73"/>
        <v>0.76800000000000002</v>
      </c>
      <c r="BK89" s="9">
        <f t="shared" si="73"/>
        <v>0.33700000000000002</v>
      </c>
      <c r="BM89" s="1">
        <f t="shared" si="74"/>
        <v>-7.4379999999999988</v>
      </c>
      <c r="BN89" s="1">
        <f t="shared" si="75"/>
        <v>-0.76200000000000001</v>
      </c>
    </row>
    <row r="90" spans="1:66" x14ac:dyDescent="0.2">
      <c r="A90" s="4">
        <f t="shared" si="76"/>
        <v>45742</v>
      </c>
      <c r="B90" s="1">
        <v>85</v>
      </c>
      <c r="C90" s="1">
        <v>12</v>
      </c>
      <c r="D90" s="5">
        <v>13.05</v>
      </c>
      <c r="E90" s="5">
        <v>10.58</v>
      </c>
      <c r="F90" s="5">
        <v>1.8839999999999999</v>
      </c>
      <c r="G90" s="5">
        <v>5.3659999999999997</v>
      </c>
      <c r="H90" s="5">
        <v>86.4</v>
      </c>
      <c r="I90" s="5">
        <v>0.11</v>
      </c>
      <c r="J90" s="5">
        <v>-5.5E-2</v>
      </c>
      <c r="K90" s="5">
        <v>0.2</v>
      </c>
      <c r="L90" s="5">
        <v>0.58099999999999996</v>
      </c>
      <c r="M90" s="5">
        <v>1.091</v>
      </c>
      <c r="N90" s="5">
        <v>9.99</v>
      </c>
      <c r="O90" s="5">
        <v>98.4</v>
      </c>
      <c r="P90" s="5">
        <v>0.217</v>
      </c>
      <c r="Q90" s="5">
        <v>0.14599999999999999</v>
      </c>
      <c r="R90" s="5">
        <v>0.28000000000000003</v>
      </c>
      <c r="S90" s="5">
        <v>0.67100000000000004</v>
      </c>
      <c r="T90" s="5">
        <v>1.22</v>
      </c>
      <c r="U90" s="5">
        <v>2.4809999999999999</v>
      </c>
      <c r="V90" s="5">
        <v>62.83</v>
      </c>
      <c r="W90" s="5">
        <v>-0.05</v>
      </c>
      <c r="X90" s="5">
        <v>-0.26100000000000001</v>
      </c>
      <c r="Y90" s="5">
        <v>0.109</v>
      </c>
      <c r="Z90" s="5">
        <v>0.48499999999999999</v>
      </c>
      <c r="AA90" s="5">
        <v>0.93899999999999995</v>
      </c>
      <c r="AB90" s="5">
        <v>1.0780000000000001</v>
      </c>
      <c r="AC90" s="5">
        <v>0.13700000000000001</v>
      </c>
      <c r="AD90" s="5">
        <v>1.1220000000000001</v>
      </c>
      <c r="AE90" s="5">
        <v>-0.33600000000000002</v>
      </c>
      <c r="AF90" s="5">
        <v>12.24</v>
      </c>
      <c r="AG90" s="5">
        <v>2.0489999999999999</v>
      </c>
      <c r="AH90" s="5">
        <v>1.069</v>
      </c>
      <c r="AI90" s="5">
        <v>0.13</v>
      </c>
      <c r="AK90" s="5">
        <f t="shared" si="56"/>
        <v>1.1969999999999998</v>
      </c>
      <c r="AL90" s="22">
        <f t="shared" si="57"/>
        <v>0.1</v>
      </c>
      <c r="AN90" s="1">
        <f t="shared" si="60"/>
        <v>98.4</v>
      </c>
      <c r="AO90" s="1">
        <f t="shared" si="61"/>
        <v>86.4</v>
      </c>
      <c r="AP90" s="1">
        <f t="shared" si="62"/>
        <v>62.8</v>
      </c>
      <c r="AQ90" s="16">
        <f t="shared" si="53"/>
        <v>0.77</v>
      </c>
      <c r="AR90" s="23">
        <f t="shared" si="63"/>
        <v>0.45600000000000002</v>
      </c>
      <c r="AT90" s="18">
        <f t="shared" si="58"/>
        <v>45742</v>
      </c>
      <c r="AU90" s="19">
        <f t="shared" si="59"/>
        <v>85</v>
      </c>
      <c r="AV90" s="1">
        <f t="shared" si="64"/>
        <v>5.4</v>
      </c>
      <c r="AW90" s="1">
        <f t="shared" si="65"/>
        <v>10</v>
      </c>
      <c r="AX90" s="1">
        <f t="shared" si="66"/>
        <v>2.5</v>
      </c>
      <c r="AY90" s="1">
        <f t="shared" si="54"/>
        <v>86.4</v>
      </c>
      <c r="AZ90" s="1">
        <f t="shared" si="55"/>
        <v>62.8</v>
      </c>
      <c r="BA90" s="1">
        <f t="shared" si="67"/>
        <v>1.1969999999999998</v>
      </c>
      <c r="BB90" s="5">
        <f t="shared" si="68"/>
        <v>0.1</v>
      </c>
      <c r="BC90" s="1">
        <f>ROUND(AC90,1)</f>
        <v>0.1</v>
      </c>
      <c r="BD90" s="1">
        <f>ROUND(AD90,1)</f>
        <v>1.1000000000000001</v>
      </c>
      <c r="BE90" s="1">
        <f>ROUND(AE90,1)</f>
        <v>-0.3</v>
      </c>
      <c r="BF90" s="5">
        <f t="shared" si="69"/>
        <v>0.2</v>
      </c>
      <c r="BG90" s="5">
        <f t="shared" si="70"/>
        <v>0.6</v>
      </c>
      <c r="BH90" s="5">
        <f t="shared" si="71"/>
        <v>1.1000000000000001</v>
      </c>
      <c r="BI90" s="5">
        <f t="shared" si="72"/>
        <v>0.13</v>
      </c>
      <c r="BJ90" s="9">
        <f t="shared" si="73"/>
        <v>0.77</v>
      </c>
      <c r="BK90" s="9">
        <f t="shared" si="73"/>
        <v>0.45600000000000002</v>
      </c>
      <c r="BM90" s="1">
        <f t="shared" si="74"/>
        <v>-8.8680000000000003</v>
      </c>
      <c r="BN90" s="1">
        <f t="shared" si="75"/>
        <v>-2.8169999999999997</v>
      </c>
    </row>
    <row r="91" spans="1:66" x14ac:dyDescent="0.2">
      <c r="A91" s="4">
        <f t="shared" si="76"/>
        <v>45743</v>
      </c>
      <c r="B91" s="1">
        <v>86</v>
      </c>
      <c r="C91" s="1">
        <v>12</v>
      </c>
      <c r="D91" s="5">
        <v>13.04</v>
      </c>
      <c r="E91" s="5">
        <v>4.3650000000000002</v>
      </c>
      <c r="F91" s="5">
        <v>-0.56299999999999994</v>
      </c>
      <c r="G91" s="5">
        <v>1.427</v>
      </c>
      <c r="H91" s="5">
        <v>86.5</v>
      </c>
      <c r="I91" s="5">
        <v>0.10299999999999999</v>
      </c>
      <c r="J91" s="5">
        <v>4.5999999999999999E-2</v>
      </c>
      <c r="K91" s="5">
        <v>0.192</v>
      </c>
      <c r="L91" s="5">
        <v>0.54200000000000004</v>
      </c>
      <c r="M91" s="5">
        <v>1.036</v>
      </c>
      <c r="N91" s="5">
        <v>4.8049999999999997</v>
      </c>
      <c r="O91" s="5">
        <v>97.2</v>
      </c>
      <c r="P91" s="5">
        <v>0.19600000000000001</v>
      </c>
      <c r="Q91" s="5">
        <v>0.124</v>
      </c>
      <c r="R91" s="5">
        <v>0.28299999999999997</v>
      </c>
      <c r="S91" s="5">
        <v>0.63500000000000001</v>
      </c>
      <c r="T91" s="5">
        <v>1.1279999999999999</v>
      </c>
      <c r="U91" s="5">
        <v>-0.85899999999999999</v>
      </c>
      <c r="V91" s="5">
        <v>62.48</v>
      </c>
      <c r="W91" s="5">
        <v>-3.2000000000000001E-2</v>
      </c>
      <c r="X91" s="5">
        <v>-7.9000000000000001E-2</v>
      </c>
      <c r="Y91" s="5">
        <v>9.0999999999999998E-2</v>
      </c>
      <c r="Z91" s="5">
        <v>0.437</v>
      </c>
      <c r="AA91" s="5">
        <v>0.93600000000000005</v>
      </c>
      <c r="AB91" s="5">
        <v>1.1000000000000001</v>
      </c>
      <c r="AC91" s="5">
        <v>-0.26</v>
      </c>
      <c r="AD91" s="5">
        <v>0.35199999999999998</v>
      </c>
      <c r="AE91" s="5">
        <v>-1.4059999999999999</v>
      </c>
      <c r="AF91" s="5">
        <v>4.4249999999999998</v>
      </c>
      <c r="AG91" s="5">
        <v>-1.0589999999999999</v>
      </c>
      <c r="AH91" s="5">
        <v>1.1020000000000001</v>
      </c>
      <c r="AI91" s="5">
        <v>0.14000000000000001</v>
      </c>
      <c r="AK91" s="5">
        <f t="shared" si="56"/>
        <v>1.1749999999999998</v>
      </c>
      <c r="AL91" s="22">
        <f t="shared" si="57"/>
        <v>0.1</v>
      </c>
      <c r="AN91" s="1">
        <f t="shared" si="60"/>
        <v>97.2</v>
      </c>
      <c r="AO91" s="1">
        <f t="shared" si="61"/>
        <v>86.5</v>
      </c>
      <c r="AP91" s="1">
        <f t="shared" si="62"/>
        <v>62.5</v>
      </c>
      <c r="AQ91" s="16">
        <f t="shared" si="53"/>
        <v>0.53800000000000003</v>
      </c>
      <c r="AR91" s="23">
        <f t="shared" si="63"/>
        <v>0.32300000000000001</v>
      </c>
      <c r="AT91" s="18">
        <f t="shared" si="58"/>
        <v>45743</v>
      </c>
      <c r="AU91" s="19">
        <f t="shared" si="59"/>
        <v>86</v>
      </c>
      <c r="AV91" s="1">
        <f t="shared" si="64"/>
        <v>1.4</v>
      </c>
      <c r="AW91" s="1">
        <f t="shared" si="65"/>
        <v>4.8</v>
      </c>
      <c r="AX91" s="1">
        <f t="shared" si="66"/>
        <v>-0.9</v>
      </c>
      <c r="AY91" s="1">
        <f t="shared" si="54"/>
        <v>86.5</v>
      </c>
      <c r="AZ91" s="1">
        <f t="shared" si="55"/>
        <v>62.5</v>
      </c>
      <c r="BA91" s="1">
        <f t="shared" si="67"/>
        <v>1.1749999999999998</v>
      </c>
      <c r="BB91" s="5">
        <f t="shared" si="68"/>
        <v>0.1</v>
      </c>
      <c r="BC91" s="1">
        <f>ROUND(AC91,1)</f>
        <v>-0.3</v>
      </c>
      <c r="BD91" s="1">
        <f>ROUND(AD91,1)</f>
        <v>0.4</v>
      </c>
      <c r="BE91" s="1">
        <f>ROUND(AE91,1)</f>
        <v>-1.4</v>
      </c>
      <c r="BF91" s="5">
        <f t="shared" si="69"/>
        <v>0.2</v>
      </c>
      <c r="BG91" s="5">
        <f t="shared" si="70"/>
        <v>0.5</v>
      </c>
      <c r="BH91" s="5">
        <f t="shared" si="71"/>
        <v>1</v>
      </c>
      <c r="BI91" s="5">
        <f t="shared" si="72"/>
        <v>0.14000000000000001</v>
      </c>
      <c r="BJ91" s="9">
        <f t="shared" si="73"/>
        <v>0.53800000000000003</v>
      </c>
      <c r="BK91" s="9">
        <f t="shared" si="73"/>
        <v>0.32300000000000001</v>
      </c>
      <c r="BM91" s="1">
        <f t="shared" si="74"/>
        <v>-4.4529999999999994</v>
      </c>
      <c r="BN91" s="1">
        <f t="shared" si="75"/>
        <v>-0.54699999999999993</v>
      </c>
    </row>
    <row r="92" spans="1:66" x14ac:dyDescent="0.2">
      <c r="A92" s="4">
        <f t="shared" si="76"/>
        <v>45744</v>
      </c>
      <c r="B92" s="1">
        <v>87</v>
      </c>
      <c r="C92" s="1">
        <v>12</v>
      </c>
      <c r="D92" s="5">
        <v>12.9</v>
      </c>
      <c r="E92" s="5">
        <v>1.1379999999999999</v>
      </c>
      <c r="F92" s="5">
        <v>-1.6719999999999999</v>
      </c>
      <c r="G92" s="5">
        <v>-1.181</v>
      </c>
      <c r="H92" s="5">
        <v>96</v>
      </c>
      <c r="I92" s="5">
        <v>8.3000000000000004E-2</v>
      </c>
      <c r="J92" s="5">
        <v>3.1E-2</v>
      </c>
      <c r="K92" s="5">
        <v>0.20599999999999999</v>
      </c>
      <c r="L92" s="5">
        <v>0.54500000000000004</v>
      </c>
      <c r="M92" s="5">
        <v>1.069</v>
      </c>
      <c r="N92" s="5">
        <v>0.73</v>
      </c>
      <c r="O92" s="5">
        <v>97.1</v>
      </c>
      <c r="P92" s="5">
        <v>0.17299999999999999</v>
      </c>
      <c r="Q92" s="5">
        <v>0.11600000000000001</v>
      </c>
      <c r="R92" s="5">
        <v>0.30599999999999999</v>
      </c>
      <c r="S92" s="5">
        <v>0.629</v>
      </c>
      <c r="T92" s="5">
        <v>1.1719999999999999</v>
      </c>
      <c r="U92" s="5">
        <v>-2.2109999999999999</v>
      </c>
      <c r="V92" s="5">
        <v>87.9</v>
      </c>
      <c r="W92" s="5">
        <v>-0.01</v>
      </c>
      <c r="X92" s="5">
        <v>-5.2999999999999999E-2</v>
      </c>
      <c r="Y92" s="5">
        <v>0.109</v>
      </c>
      <c r="Z92" s="5">
        <v>0.46</v>
      </c>
      <c r="AA92" s="5">
        <v>0.97799999999999998</v>
      </c>
      <c r="AB92" s="5">
        <v>1.0900000000000001</v>
      </c>
      <c r="AC92" s="5">
        <v>-1.264</v>
      </c>
      <c r="AD92" s="5">
        <v>0.155</v>
      </c>
      <c r="AE92" s="5">
        <v>-2.2759999999999998</v>
      </c>
      <c r="AF92" s="5">
        <v>0.9</v>
      </c>
      <c r="AG92" s="5">
        <v>-2.3359999999999999</v>
      </c>
      <c r="AH92" s="5">
        <v>1.0940000000000001</v>
      </c>
      <c r="AI92" s="5">
        <v>0.14000000000000001</v>
      </c>
      <c r="AK92" s="5">
        <f t="shared" si="56"/>
        <v>1.1849999999999998</v>
      </c>
      <c r="AL92" s="22">
        <f t="shared" si="57"/>
        <v>0.1</v>
      </c>
      <c r="AN92" s="1">
        <f t="shared" si="60"/>
        <v>97.1</v>
      </c>
      <c r="AO92" s="1">
        <f t="shared" si="61"/>
        <v>96</v>
      </c>
      <c r="AP92" s="1">
        <f t="shared" si="62"/>
        <v>87.9</v>
      </c>
      <c r="AQ92" s="16">
        <f t="shared" si="53"/>
        <v>0.56599999999999995</v>
      </c>
      <c r="AR92" s="23">
        <f t="shared" si="63"/>
        <v>7.8E-2</v>
      </c>
      <c r="AT92" s="18">
        <f t="shared" si="58"/>
        <v>45744</v>
      </c>
      <c r="AU92" s="19">
        <f t="shared" si="59"/>
        <v>87</v>
      </c>
      <c r="AV92" s="1">
        <f t="shared" si="64"/>
        <v>-1.2</v>
      </c>
      <c r="AW92" s="1">
        <f t="shared" si="65"/>
        <v>0.7</v>
      </c>
      <c r="AX92" s="1">
        <f t="shared" si="66"/>
        <v>-2.2000000000000002</v>
      </c>
      <c r="AY92" s="1">
        <f t="shared" si="54"/>
        <v>96</v>
      </c>
      <c r="AZ92" s="1">
        <f t="shared" si="55"/>
        <v>87.9</v>
      </c>
      <c r="BA92" s="1">
        <f t="shared" si="67"/>
        <v>1.1849999999999998</v>
      </c>
      <c r="BB92" s="5">
        <f t="shared" si="68"/>
        <v>0.1</v>
      </c>
      <c r="BC92" s="1">
        <f>ROUND(AC92,1)</f>
        <v>-1.3</v>
      </c>
      <c r="BD92" s="1">
        <f>ROUND(AD92,1)</f>
        <v>0.2</v>
      </c>
      <c r="BE92" s="1">
        <f>ROUND(AE92,1)</f>
        <v>-2.2999999999999998</v>
      </c>
      <c r="BF92" s="5">
        <f t="shared" si="69"/>
        <v>0.2</v>
      </c>
      <c r="BG92" s="5">
        <f t="shared" si="70"/>
        <v>0.5</v>
      </c>
      <c r="BH92" s="5">
        <f t="shared" si="71"/>
        <v>1.1000000000000001</v>
      </c>
      <c r="BI92" s="5">
        <f t="shared" si="72"/>
        <v>0.14000000000000001</v>
      </c>
      <c r="BJ92" s="9">
        <f t="shared" si="73"/>
        <v>0.56599999999999995</v>
      </c>
      <c r="BK92" s="9">
        <f t="shared" si="73"/>
        <v>7.8E-2</v>
      </c>
      <c r="BM92" s="1">
        <f t="shared" si="74"/>
        <v>-0.57499999999999996</v>
      </c>
      <c r="BN92" s="1">
        <f t="shared" si="75"/>
        <v>-6.4999999999999947E-2</v>
      </c>
    </row>
    <row r="93" spans="1:66" x14ac:dyDescent="0.2">
      <c r="A93" s="4">
        <f t="shared" si="76"/>
        <v>45745</v>
      </c>
      <c r="B93" s="1">
        <v>88</v>
      </c>
      <c r="C93" s="1">
        <v>12</v>
      </c>
      <c r="D93" s="5">
        <v>13.09</v>
      </c>
      <c r="E93" s="5">
        <v>3.827</v>
      </c>
      <c r="F93" s="5">
        <v>-4.6989999999999998</v>
      </c>
      <c r="G93" s="5">
        <v>-2.044</v>
      </c>
      <c r="H93" s="5">
        <v>79.86</v>
      </c>
      <c r="I93" s="5">
        <v>6.8000000000000005E-2</v>
      </c>
      <c r="J93" s="5">
        <v>1.6E-2</v>
      </c>
      <c r="K93" s="5">
        <v>0.21199999999999999</v>
      </c>
      <c r="L93" s="5">
        <v>0.55600000000000005</v>
      </c>
      <c r="M93" s="5">
        <v>1.087</v>
      </c>
      <c r="N93" s="5">
        <v>2.3119999999999998</v>
      </c>
      <c r="O93" s="5">
        <v>96.3</v>
      </c>
      <c r="P93" s="5">
        <v>0.16800000000000001</v>
      </c>
      <c r="Q93" s="5">
        <v>0.122</v>
      </c>
      <c r="R93" s="5">
        <v>0.311</v>
      </c>
      <c r="S93" s="5">
        <v>0.63900000000000001</v>
      </c>
      <c r="T93" s="5">
        <v>1.18</v>
      </c>
      <c r="U93" s="5">
        <v>-4.9740000000000002</v>
      </c>
      <c r="V93" s="5">
        <v>47.45</v>
      </c>
      <c r="W93" s="5">
        <v>-7.0999999999999994E-2</v>
      </c>
      <c r="X93" s="5">
        <v>-0.111</v>
      </c>
      <c r="Y93" s="5">
        <v>0.121</v>
      </c>
      <c r="Z93" s="5">
        <v>0.45500000000000002</v>
      </c>
      <c r="AA93" s="5">
        <v>0.997</v>
      </c>
      <c r="AB93" s="5">
        <v>1.0940000000000001</v>
      </c>
      <c r="AC93" s="5">
        <v>-3.3239999999999998</v>
      </c>
      <c r="AD93" s="5">
        <v>0.73799999999999999</v>
      </c>
      <c r="AE93" s="5">
        <v>-6.69</v>
      </c>
      <c r="AF93" s="5">
        <v>5.6749999999999998</v>
      </c>
      <c r="AG93" s="5">
        <v>-5.2249999999999996</v>
      </c>
      <c r="AH93" s="5">
        <v>1.103</v>
      </c>
      <c r="AI93" s="5">
        <v>0.13800000000000001</v>
      </c>
      <c r="AK93" s="5">
        <f t="shared" si="56"/>
        <v>1.1809999999999998</v>
      </c>
      <c r="AL93" s="22">
        <f t="shared" si="57"/>
        <v>0.1</v>
      </c>
      <c r="AN93" s="1">
        <f t="shared" si="60"/>
        <v>96.3</v>
      </c>
      <c r="AO93" s="1">
        <f t="shared" si="61"/>
        <v>79.900000000000006</v>
      </c>
      <c r="AP93" s="1">
        <f t="shared" si="62"/>
        <v>47.5</v>
      </c>
      <c r="AQ93" s="16">
        <f t="shared" si="53"/>
        <v>0.34300000000000003</v>
      </c>
      <c r="AR93" s="23">
        <f t="shared" si="63"/>
        <v>0.379</v>
      </c>
      <c r="AT93" s="18">
        <f t="shared" si="58"/>
        <v>45745</v>
      </c>
      <c r="AU93" s="19">
        <f t="shared" si="59"/>
        <v>88</v>
      </c>
      <c r="AV93" s="1">
        <f t="shared" si="64"/>
        <v>-2</v>
      </c>
      <c r="AW93" s="1">
        <f t="shared" si="65"/>
        <v>2.2999999999999998</v>
      </c>
      <c r="AX93" s="1">
        <f t="shared" si="66"/>
        <v>-5</v>
      </c>
      <c r="AY93" s="1">
        <f t="shared" si="54"/>
        <v>79.900000000000006</v>
      </c>
      <c r="AZ93" s="1">
        <f t="shared" si="55"/>
        <v>47.5</v>
      </c>
      <c r="BA93" s="1">
        <f t="shared" si="67"/>
        <v>1.1809999999999998</v>
      </c>
      <c r="BB93" s="5">
        <f t="shared" si="68"/>
        <v>0.1</v>
      </c>
      <c r="BC93" s="1">
        <f>ROUND(AC93,1)</f>
        <v>-3.3</v>
      </c>
      <c r="BD93" s="1">
        <f>ROUND(AD93,1)</f>
        <v>0.7</v>
      </c>
      <c r="BE93" s="1">
        <f>ROUND(AE93,1)</f>
        <v>-6.7</v>
      </c>
      <c r="BF93" s="5">
        <f t="shared" si="69"/>
        <v>0.2</v>
      </c>
      <c r="BG93" s="5">
        <f t="shared" si="70"/>
        <v>0.6</v>
      </c>
      <c r="BH93" s="5">
        <f t="shared" si="71"/>
        <v>1.1000000000000001</v>
      </c>
      <c r="BI93" s="5">
        <f t="shared" si="72"/>
        <v>0.13800000000000001</v>
      </c>
      <c r="BJ93" s="9">
        <f t="shared" si="73"/>
        <v>0.34300000000000003</v>
      </c>
      <c r="BK93" s="9">
        <f t="shared" si="73"/>
        <v>0.379</v>
      </c>
      <c r="BM93" s="1">
        <f t="shared" si="74"/>
        <v>-1.5739999999999998</v>
      </c>
      <c r="BN93" s="1">
        <f t="shared" si="75"/>
        <v>-1.7160000000000002</v>
      </c>
    </row>
    <row r="94" spans="1:66" x14ac:dyDescent="0.2">
      <c r="A94" s="4">
        <f t="shared" si="76"/>
        <v>45746</v>
      </c>
      <c r="B94" s="1">
        <v>89</v>
      </c>
      <c r="C94" s="1">
        <v>12</v>
      </c>
      <c r="D94" s="5">
        <v>13.08</v>
      </c>
      <c r="E94" s="5">
        <v>8.1</v>
      </c>
      <c r="F94" s="5">
        <v>-5.5919999999999996</v>
      </c>
      <c r="G94" s="5">
        <v>-0.92700000000000005</v>
      </c>
      <c r="H94" s="5">
        <v>68.83</v>
      </c>
      <c r="I94" s="5">
        <v>6.8000000000000005E-2</v>
      </c>
      <c r="J94" s="5">
        <v>1.7000000000000001E-2</v>
      </c>
      <c r="K94" s="5">
        <v>0.22800000000000001</v>
      </c>
      <c r="L94" s="5">
        <v>0.57699999999999996</v>
      </c>
      <c r="M94" s="5">
        <v>1.1060000000000001</v>
      </c>
      <c r="N94" s="5">
        <v>4.298</v>
      </c>
      <c r="O94" s="5">
        <v>88.2</v>
      </c>
      <c r="P94" s="5">
        <v>0.19400000000000001</v>
      </c>
      <c r="Q94" s="5">
        <v>0.14099999999999999</v>
      </c>
      <c r="R94" s="5">
        <v>0.32900000000000001</v>
      </c>
      <c r="S94" s="5">
        <v>0.67400000000000004</v>
      </c>
      <c r="T94" s="5">
        <v>1.198</v>
      </c>
      <c r="U94" s="5">
        <v>-5.3090000000000002</v>
      </c>
      <c r="V94" s="5">
        <v>40.14</v>
      </c>
      <c r="W94" s="5">
        <v>-9.9000000000000005E-2</v>
      </c>
      <c r="X94" s="5">
        <v>-0.14199999999999999</v>
      </c>
      <c r="Y94" s="5">
        <v>0.13100000000000001</v>
      </c>
      <c r="Z94" s="5">
        <v>0.49299999999999999</v>
      </c>
      <c r="AA94" s="5">
        <v>1.0149999999999999</v>
      </c>
      <c r="AB94" s="5">
        <v>1.1259999999999999</v>
      </c>
      <c r="AC94" s="5">
        <v>-2.911</v>
      </c>
      <c r="AD94" s="5">
        <v>0.56299999999999994</v>
      </c>
      <c r="AE94" s="5">
        <v>-6.9560000000000004</v>
      </c>
      <c r="AF94" s="5">
        <v>9.41</v>
      </c>
      <c r="AG94" s="5">
        <v>-5.6509999999999998</v>
      </c>
      <c r="AH94" s="5">
        <v>1.129</v>
      </c>
      <c r="AI94" s="5">
        <v>0.13700000000000001</v>
      </c>
      <c r="AK94" s="5">
        <f t="shared" si="56"/>
        <v>1.149</v>
      </c>
      <c r="AL94" s="22">
        <f t="shared" si="57"/>
        <v>0.1</v>
      </c>
      <c r="AN94" s="1">
        <f t="shared" si="60"/>
        <v>88.2</v>
      </c>
      <c r="AO94" s="1">
        <f t="shared" si="61"/>
        <v>68.8</v>
      </c>
      <c r="AP94" s="1">
        <f t="shared" si="62"/>
        <v>40.1</v>
      </c>
      <c r="AQ94" s="16">
        <f t="shared" si="53"/>
        <v>0.33300000000000002</v>
      </c>
      <c r="AR94" s="23">
        <f t="shared" si="63"/>
        <v>0.497</v>
      </c>
      <c r="AT94" s="18">
        <f t="shared" si="58"/>
        <v>45746</v>
      </c>
      <c r="AU94" s="19">
        <f t="shared" si="59"/>
        <v>89</v>
      </c>
      <c r="AV94" s="1">
        <f t="shared" si="64"/>
        <v>-0.9</v>
      </c>
      <c r="AW94" s="1">
        <f t="shared" si="65"/>
        <v>4.3</v>
      </c>
      <c r="AX94" s="1">
        <f t="shared" si="66"/>
        <v>-5.3</v>
      </c>
      <c r="AY94" s="1">
        <f t="shared" si="54"/>
        <v>68.8</v>
      </c>
      <c r="AZ94" s="1">
        <f t="shared" si="55"/>
        <v>40.1</v>
      </c>
      <c r="BA94" s="1">
        <f t="shared" si="67"/>
        <v>1.149</v>
      </c>
      <c r="BB94" s="5">
        <f t="shared" si="68"/>
        <v>0.1</v>
      </c>
      <c r="BC94" s="1">
        <f>ROUND(AC94,1)</f>
        <v>-2.9</v>
      </c>
      <c r="BD94" s="1">
        <f>ROUND(AD94,1)</f>
        <v>0.6</v>
      </c>
      <c r="BE94" s="1">
        <f>ROUND(AE94,1)</f>
        <v>-7</v>
      </c>
      <c r="BF94" s="5">
        <f t="shared" si="69"/>
        <v>0.2</v>
      </c>
      <c r="BG94" s="5">
        <f t="shared" si="70"/>
        <v>0.6</v>
      </c>
      <c r="BH94" s="5">
        <f t="shared" si="71"/>
        <v>1.1000000000000001</v>
      </c>
      <c r="BI94" s="5">
        <f t="shared" si="72"/>
        <v>0.13700000000000001</v>
      </c>
      <c r="BJ94" s="9">
        <f t="shared" si="73"/>
        <v>0.33300000000000002</v>
      </c>
      <c r="BK94" s="9">
        <f t="shared" si="73"/>
        <v>0.497</v>
      </c>
      <c r="BM94" s="1">
        <f t="shared" si="74"/>
        <v>-3.7350000000000003</v>
      </c>
      <c r="BN94" s="1">
        <f t="shared" si="75"/>
        <v>-1.6470000000000002</v>
      </c>
    </row>
    <row r="95" spans="1:66" x14ac:dyDescent="0.2">
      <c r="A95" s="4">
        <f t="shared" si="76"/>
        <v>45747</v>
      </c>
      <c r="B95" s="1">
        <v>90</v>
      </c>
      <c r="C95" s="1">
        <v>12</v>
      </c>
      <c r="D95" s="5">
        <v>13.03</v>
      </c>
      <c r="E95" s="5">
        <v>0.60799999999999998</v>
      </c>
      <c r="F95" s="5">
        <v>-4.2249999999999996</v>
      </c>
      <c r="G95" s="5">
        <v>-2.5449999999999999</v>
      </c>
      <c r="H95" s="5">
        <v>92.4</v>
      </c>
      <c r="I95" s="5">
        <v>6.7000000000000004E-2</v>
      </c>
      <c r="J95" s="5">
        <v>1.4999999999999999E-2</v>
      </c>
      <c r="K95" s="5">
        <v>0.23400000000000001</v>
      </c>
      <c r="L95" s="5">
        <v>0.58499999999999996</v>
      </c>
      <c r="M95" s="5">
        <v>1.115</v>
      </c>
      <c r="N95" s="5">
        <v>-0.82499999999999996</v>
      </c>
      <c r="O95" s="5">
        <v>95.5</v>
      </c>
      <c r="P95" s="5">
        <v>0.153</v>
      </c>
      <c r="Q95" s="5">
        <v>9.6000000000000002E-2</v>
      </c>
      <c r="R95" s="5">
        <v>0.316</v>
      </c>
      <c r="S95" s="5">
        <v>0.67100000000000004</v>
      </c>
      <c r="T95" s="5">
        <v>1.1970000000000001</v>
      </c>
      <c r="U95" s="5">
        <v>-5.1150000000000002</v>
      </c>
      <c r="V95" s="5">
        <v>70.98</v>
      </c>
      <c r="W95" s="5">
        <v>-1.2999999999999999E-2</v>
      </c>
      <c r="X95" s="5">
        <v>-7.1999999999999995E-2</v>
      </c>
      <c r="Y95" s="5">
        <v>0.14599999999999999</v>
      </c>
      <c r="Z95" s="5">
        <v>0.49399999999999999</v>
      </c>
      <c r="AA95" s="5">
        <v>1.0309999999999999</v>
      </c>
      <c r="AB95" s="5">
        <v>1.0509999999999999</v>
      </c>
      <c r="AC95" s="5">
        <v>-2.734</v>
      </c>
      <c r="AD95" s="5">
        <v>0.27600000000000002</v>
      </c>
      <c r="AE95" s="5">
        <v>-6.3579999999999997</v>
      </c>
      <c r="AF95" s="5">
        <v>8.5000000000000006E-2</v>
      </c>
      <c r="AG95" s="5">
        <v>-5.1509999999999998</v>
      </c>
      <c r="AH95" s="5">
        <v>1.0609999999999999</v>
      </c>
      <c r="AI95" s="5">
        <v>0.13700000000000001</v>
      </c>
      <c r="AK95" s="5">
        <f t="shared" si="56"/>
        <v>1.224</v>
      </c>
      <c r="AL95" s="22">
        <f t="shared" si="57"/>
        <v>0.1</v>
      </c>
      <c r="AN95" s="1">
        <f t="shared" si="60"/>
        <v>95.5</v>
      </c>
      <c r="AO95" s="1">
        <f t="shared" si="61"/>
        <v>92.4</v>
      </c>
      <c r="AP95" s="1">
        <f t="shared" si="62"/>
        <v>71</v>
      </c>
      <c r="AQ95" s="16">
        <f t="shared" si="53"/>
        <v>0.40799999999999997</v>
      </c>
      <c r="AR95" s="23">
        <f t="shared" si="63"/>
        <v>0.16700000000000001</v>
      </c>
      <c r="AT95" s="18">
        <f t="shared" si="58"/>
        <v>45747</v>
      </c>
      <c r="AU95" s="19">
        <f t="shared" si="59"/>
        <v>90</v>
      </c>
      <c r="AV95" s="1">
        <f t="shared" si="64"/>
        <v>-2.5</v>
      </c>
      <c r="AW95" s="1">
        <f t="shared" si="65"/>
        <v>-0.8</v>
      </c>
      <c r="AX95" s="1">
        <f t="shared" si="66"/>
        <v>-5.0999999999999996</v>
      </c>
      <c r="AY95" s="1">
        <f t="shared" si="54"/>
        <v>92.4</v>
      </c>
      <c r="AZ95" s="1">
        <f t="shared" si="55"/>
        <v>71</v>
      </c>
      <c r="BA95" s="1">
        <f t="shared" si="67"/>
        <v>1.224</v>
      </c>
      <c r="BB95" s="5">
        <f t="shared" si="68"/>
        <v>0.1</v>
      </c>
      <c r="BC95" s="1">
        <f>ROUND(AC95,1)</f>
        <v>-2.7</v>
      </c>
      <c r="BD95" s="1">
        <f>ROUND(AD95,1)</f>
        <v>0.3</v>
      </c>
      <c r="BE95" s="1">
        <f>ROUND(AE95,1)</f>
        <v>-6.4</v>
      </c>
      <c r="BF95" s="5">
        <f t="shared" si="69"/>
        <v>0.2</v>
      </c>
      <c r="BG95" s="5">
        <f t="shared" si="70"/>
        <v>0.6</v>
      </c>
      <c r="BH95" s="5">
        <f t="shared" si="71"/>
        <v>1.1000000000000001</v>
      </c>
      <c r="BI95" s="5">
        <f t="shared" si="72"/>
        <v>0.13700000000000001</v>
      </c>
      <c r="BJ95" s="9">
        <f t="shared" si="73"/>
        <v>0.40799999999999997</v>
      </c>
      <c r="BK95" s="9">
        <f t="shared" si="73"/>
        <v>0.16700000000000001</v>
      </c>
      <c r="BM95" s="1">
        <f t="shared" si="74"/>
        <v>1.101</v>
      </c>
      <c r="BN95" s="1">
        <f t="shared" si="75"/>
        <v>-1.2429999999999994</v>
      </c>
    </row>
    <row r="96" spans="1:66" x14ac:dyDescent="0.2">
      <c r="A96" s="4">
        <f t="shared" si="76"/>
        <v>45748</v>
      </c>
      <c r="B96" s="1">
        <v>91</v>
      </c>
      <c r="C96" s="1">
        <v>12</v>
      </c>
      <c r="D96" s="5">
        <v>13.06</v>
      </c>
      <c r="E96" s="5">
        <v>2.1819999999999999</v>
      </c>
      <c r="F96" s="5">
        <v>-4.5279999999999996</v>
      </c>
      <c r="G96" s="5">
        <v>-2.8879999999999999</v>
      </c>
      <c r="H96" s="5">
        <v>90.7</v>
      </c>
      <c r="I96" s="5">
        <v>6.4000000000000001E-2</v>
      </c>
      <c r="J96" s="5">
        <v>1.2E-2</v>
      </c>
      <c r="K96" s="5">
        <v>0.23599999999999999</v>
      </c>
      <c r="L96" s="5">
        <v>0.59</v>
      </c>
      <c r="M96" s="5">
        <v>1.1160000000000001</v>
      </c>
      <c r="N96" s="5">
        <v>0.55500000000000005</v>
      </c>
      <c r="O96" s="5">
        <v>95.1</v>
      </c>
      <c r="P96" s="5">
        <v>0.15</v>
      </c>
      <c r="Q96" s="5">
        <v>9.6000000000000002E-2</v>
      </c>
      <c r="R96" s="5">
        <v>0.32300000000000001</v>
      </c>
      <c r="S96" s="5">
        <v>0.67700000000000005</v>
      </c>
      <c r="T96" s="5">
        <v>1.2010000000000001</v>
      </c>
      <c r="U96" s="5">
        <v>-5.0419999999999998</v>
      </c>
      <c r="V96" s="5">
        <v>77.319999999999993</v>
      </c>
      <c r="W96" s="5">
        <v>-2.1999999999999999E-2</v>
      </c>
      <c r="X96" s="5">
        <v>-6.9000000000000006E-2</v>
      </c>
      <c r="Y96" s="5">
        <v>0.14599999999999999</v>
      </c>
      <c r="Z96" s="5">
        <v>0.498</v>
      </c>
      <c r="AA96" s="5">
        <v>1.03</v>
      </c>
      <c r="AB96" s="5">
        <v>1.073</v>
      </c>
      <c r="AC96" s="5">
        <v>-3.262</v>
      </c>
      <c r="AD96" s="5">
        <v>0.314</v>
      </c>
      <c r="AE96" s="5">
        <v>-6.2290000000000001</v>
      </c>
      <c r="AF96" s="5">
        <v>1.2929999999999999</v>
      </c>
      <c r="AG96" s="5">
        <v>-5.2249999999999996</v>
      </c>
      <c r="AH96" s="5">
        <v>1.081</v>
      </c>
      <c r="AI96" s="5">
        <v>0.13700000000000001</v>
      </c>
      <c r="AK96" s="5">
        <f t="shared" si="56"/>
        <v>1.202</v>
      </c>
      <c r="AL96" s="22">
        <f t="shared" si="57"/>
        <v>0.1</v>
      </c>
      <c r="AN96" s="1">
        <f t="shared" si="60"/>
        <v>95.1</v>
      </c>
      <c r="AO96" s="1">
        <f t="shared" si="61"/>
        <v>90.7</v>
      </c>
      <c r="AP96" s="1">
        <f t="shared" si="62"/>
        <v>77.3</v>
      </c>
      <c r="AQ96" s="16">
        <f t="shared" si="53"/>
        <v>0.49099999999999999</v>
      </c>
      <c r="AR96" s="23">
        <f t="shared" si="63"/>
        <v>0.14399999999999999</v>
      </c>
      <c r="AT96" s="18">
        <f t="shared" si="58"/>
        <v>45748</v>
      </c>
      <c r="AU96" s="19">
        <f t="shared" si="59"/>
        <v>91</v>
      </c>
      <c r="AV96" s="1">
        <f t="shared" si="64"/>
        <v>-2.9</v>
      </c>
      <c r="AW96" s="1">
        <f t="shared" si="65"/>
        <v>0.6</v>
      </c>
      <c r="AX96" s="1">
        <f t="shared" si="66"/>
        <v>-5</v>
      </c>
      <c r="AY96" s="1">
        <f t="shared" si="54"/>
        <v>90.7</v>
      </c>
      <c r="AZ96" s="1">
        <f t="shared" si="55"/>
        <v>77.3</v>
      </c>
      <c r="BA96" s="1">
        <f t="shared" si="67"/>
        <v>1.202</v>
      </c>
      <c r="BB96" s="5">
        <f t="shared" si="68"/>
        <v>0.1</v>
      </c>
      <c r="BC96" s="1">
        <f>ROUND(AC96,1)</f>
        <v>-3.3</v>
      </c>
      <c r="BD96" s="1">
        <f>ROUND(AD96,1)</f>
        <v>0.3</v>
      </c>
      <c r="BE96" s="1">
        <f>ROUND(AE96,1)</f>
        <v>-6.2</v>
      </c>
      <c r="BF96" s="5">
        <f t="shared" si="69"/>
        <v>0.2</v>
      </c>
      <c r="BG96" s="5">
        <f t="shared" si="70"/>
        <v>0.6</v>
      </c>
      <c r="BH96" s="5">
        <f t="shared" si="71"/>
        <v>1.1000000000000001</v>
      </c>
      <c r="BI96" s="5">
        <f t="shared" si="72"/>
        <v>0.13700000000000001</v>
      </c>
      <c r="BJ96" s="9">
        <f t="shared" si="73"/>
        <v>0.49099999999999999</v>
      </c>
      <c r="BK96" s="9">
        <f t="shared" si="73"/>
        <v>0.14399999999999999</v>
      </c>
      <c r="BM96" s="1">
        <f t="shared" si="74"/>
        <v>-0.24100000000000005</v>
      </c>
      <c r="BN96" s="1">
        <f t="shared" si="75"/>
        <v>-1.1870000000000003</v>
      </c>
    </row>
    <row r="97" spans="1:66" x14ac:dyDescent="0.2">
      <c r="A97" s="4">
        <f t="shared" si="76"/>
        <v>45749</v>
      </c>
      <c r="B97" s="1">
        <v>92</v>
      </c>
      <c r="C97" s="1">
        <v>12</v>
      </c>
      <c r="D97" s="5">
        <v>13.06</v>
      </c>
      <c r="E97" s="5">
        <v>1.6719999999999999</v>
      </c>
      <c r="F97" s="5">
        <v>-4.2249999999999996</v>
      </c>
      <c r="G97" s="5">
        <v>-3.64</v>
      </c>
      <c r="H97" s="5">
        <v>91.1</v>
      </c>
      <c r="I97" s="5">
        <v>5.6000000000000001E-2</v>
      </c>
      <c r="J97" s="5">
        <v>8.0000000000000002E-3</v>
      </c>
      <c r="K97" s="5">
        <v>0.23599999999999999</v>
      </c>
      <c r="L97" s="5">
        <v>0.59</v>
      </c>
      <c r="M97" s="5">
        <v>1.113</v>
      </c>
      <c r="N97" s="5">
        <v>-1.264</v>
      </c>
      <c r="O97" s="5">
        <v>94.4</v>
      </c>
      <c r="P97" s="5">
        <v>0.13700000000000001</v>
      </c>
      <c r="Q97" s="5">
        <v>9.6000000000000002E-2</v>
      </c>
      <c r="R97" s="5">
        <v>0.32500000000000001</v>
      </c>
      <c r="S97" s="5">
        <v>0.66700000000000004</v>
      </c>
      <c r="T97" s="5">
        <v>1.1950000000000001</v>
      </c>
      <c r="U97" s="5">
        <v>-4.6379999999999999</v>
      </c>
      <c r="V97" s="5">
        <v>72.739999999999995</v>
      </c>
      <c r="W97" s="5">
        <v>-4.7E-2</v>
      </c>
      <c r="X97" s="5">
        <v>-9.1999999999999998E-2</v>
      </c>
      <c r="Y97" s="5">
        <v>0.155</v>
      </c>
      <c r="Z97" s="5">
        <v>0.5</v>
      </c>
      <c r="AA97" s="5">
        <v>1.0249999999999999</v>
      </c>
      <c r="AB97" s="5">
        <v>1.0449999999999999</v>
      </c>
      <c r="AC97" s="5">
        <v>-3.6720000000000002</v>
      </c>
      <c r="AD97" s="5">
        <v>0.249</v>
      </c>
      <c r="AE97" s="5">
        <v>-5.4889999999999999</v>
      </c>
      <c r="AF97" s="5">
        <v>1.4390000000000001</v>
      </c>
      <c r="AG97" s="5">
        <v>-4.7030000000000003</v>
      </c>
      <c r="AH97" s="5">
        <v>1.054</v>
      </c>
      <c r="AI97" s="5">
        <v>0.13700000000000001</v>
      </c>
      <c r="AK97" s="5">
        <f t="shared" si="56"/>
        <v>1.23</v>
      </c>
      <c r="AL97" s="22">
        <f t="shared" si="57"/>
        <v>0.1</v>
      </c>
      <c r="AN97" s="1">
        <f t="shared" si="60"/>
        <v>94.4</v>
      </c>
      <c r="AO97" s="1">
        <f t="shared" si="61"/>
        <v>91.1</v>
      </c>
      <c r="AP97" s="1">
        <f t="shared" si="62"/>
        <v>72.7</v>
      </c>
      <c r="AQ97" s="16">
        <f t="shared" si="53"/>
        <v>0.40500000000000003</v>
      </c>
      <c r="AR97" s="23">
        <f t="shared" si="63"/>
        <v>0.152</v>
      </c>
      <c r="AT97" s="18">
        <f t="shared" si="58"/>
        <v>45749</v>
      </c>
      <c r="AU97" s="19">
        <f t="shared" si="59"/>
        <v>92</v>
      </c>
      <c r="AV97" s="1">
        <f t="shared" si="64"/>
        <v>-3.6</v>
      </c>
      <c r="AW97" s="1">
        <f t="shared" si="65"/>
        <v>-1.3</v>
      </c>
      <c r="AX97" s="1">
        <f t="shared" si="66"/>
        <v>-4.5999999999999996</v>
      </c>
      <c r="AY97" s="1">
        <f t="shared" si="54"/>
        <v>91.1</v>
      </c>
      <c r="AZ97" s="1">
        <f t="shared" si="55"/>
        <v>72.7</v>
      </c>
      <c r="BA97" s="1">
        <f t="shared" si="67"/>
        <v>1.23</v>
      </c>
      <c r="BB97" s="5">
        <f t="shared" si="68"/>
        <v>0.1</v>
      </c>
      <c r="BC97" s="1">
        <f>ROUND(AC97,1)</f>
        <v>-3.7</v>
      </c>
      <c r="BD97" s="1">
        <f>ROUND(AD97,1)</f>
        <v>0.2</v>
      </c>
      <c r="BE97" s="1">
        <f>ROUND(AE97,1)</f>
        <v>-5.5</v>
      </c>
      <c r="BF97" s="5">
        <f t="shared" si="69"/>
        <v>0.2</v>
      </c>
      <c r="BG97" s="5">
        <f t="shared" si="70"/>
        <v>0.6</v>
      </c>
      <c r="BH97" s="5">
        <f t="shared" si="71"/>
        <v>1.1000000000000001</v>
      </c>
      <c r="BI97" s="5">
        <f t="shared" si="72"/>
        <v>0.13700000000000001</v>
      </c>
      <c r="BJ97" s="9">
        <f t="shared" si="73"/>
        <v>0.40500000000000003</v>
      </c>
      <c r="BK97" s="9">
        <f t="shared" si="73"/>
        <v>0.152</v>
      </c>
      <c r="BM97" s="1">
        <f t="shared" si="74"/>
        <v>1.5129999999999999</v>
      </c>
      <c r="BN97" s="1">
        <f t="shared" si="75"/>
        <v>-0.85099999999999998</v>
      </c>
    </row>
    <row r="98" spans="1:66" x14ac:dyDescent="0.2">
      <c r="A98" s="4">
        <f t="shared" si="76"/>
        <v>45750</v>
      </c>
      <c r="B98" s="1">
        <v>93</v>
      </c>
      <c r="C98" s="1">
        <v>12</v>
      </c>
      <c r="D98" s="5">
        <v>13.12</v>
      </c>
      <c r="E98" s="5">
        <v>2.609</v>
      </c>
      <c r="F98" s="5">
        <v>-5.6349999999999998</v>
      </c>
      <c r="G98" s="5">
        <v>-4.1079999999999997</v>
      </c>
      <c r="H98" s="5">
        <v>73.69</v>
      </c>
      <c r="I98" s="5">
        <v>5.0999999999999997E-2</v>
      </c>
      <c r="J98" s="5">
        <v>6.0000000000000001E-3</v>
      </c>
      <c r="K98" s="5">
        <v>0.23</v>
      </c>
      <c r="L98" s="5">
        <v>0.58399999999999996</v>
      </c>
      <c r="M98" s="5">
        <v>1.1040000000000001</v>
      </c>
      <c r="N98" s="5">
        <v>-0.154</v>
      </c>
      <c r="O98" s="5">
        <v>93.8</v>
      </c>
      <c r="P98" s="5">
        <v>0.151</v>
      </c>
      <c r="Q98" s="5">
        <v>0.10299999999999999</v>
      </c>
      <c r="R98" s="5">
        <v>0.317</v>
      </c>
      <c r="S98" s="5">
        <v>0.67300000000000004</v>
      </c>
      <c r="T98" s="5">
        <v>1.2010000000000001</v>
      </c>
      <c r="U98" s="5">
        <v>-6.56</v>
      </c>
      <c r="V98" s="5">
        <v>46.33</v>
      </c>
      <c r="W98" s="5">
        <v>-7.6999999999999999E-2</v>
      </c>
      <c r="X98" s="5">
        <v>-0.124</v>
      </c>
      <c r="Y98" s="5">
        <v>0.14399999999999999</v>
      </c>
      <c r="Z98" s="5">
        <v>0.502</v>
      </c>
      <c r="AA98" s="5">
        <v>1.0169999999999999</v>
      </c>
      <c r="AB98" s="5">
        <v>1.06</v>
      </c>
      <c r="AC98" s="5">
        <v>-5.2450000000000001</v>
      </c>
      <c r="AD98" s="5">
        <v>0.307</v>
      </c>
      <c r="AE98" s="5">
        <v>-8.34</v>
      </c>
      <c r="AF98" s="5">
        <v>2.2330000000000001</v>
      </c>
      <c r="AG98" s="5">
        <v>-6.4619999999999997</v>
      </c>
      <c r="AH98" s="5">
        <v>1.071</v>
      </c>
      <c r="AI98" s="5">
        <v>0.13600000000000001</v>
      </c>
      <c r="AK98" s="5">
        <f t="shared" si="56"/>
        <v>1.2149999999999999</v>
      </c>
      <c r="AL98" s="22">
        <f t="shared" si="57"/>
        <v>0.1</v>
      </c>
      <c r="AN98" s="1">
        <f t="shared" si="60"/>
        <v>93.8</v>
      </c>
      <c r="AO98" s="1">
        <f t="shared" si="61"/>
        <v>73.7</v>
      </c>
      <c r="AP98" s="1">
        <f t="shared" si="62"/>
        <v>46.3</v>
      </c>
      <c r="AQ98" s="16">
        <f t="shared" si="53"/>
        <v>0.28000000000000003</v>
      </c>
      <c r="AR98" s="23">
        <f t="shared" si="63"/>
        <v>0.32500000000000001</v>
      </c>
      <c r="AT98" s="18">
        <f t="shared" si="58"/>
        <v>45750</v>
      </c>
      <c r="AU98" s="19">
        <f t="shared" si="59"/>
        <v>93</v>
      </c>
      <c r="AV98" s="1">
        <f t="shared" si="64"/>
        <v>-4.0999999999999996</v>
      </c>
      <c r="AW98" s="1">
        <f t="shared" si="65"/>
        <v>-0.2</v>
      </c>
      <c r="AX98" s="1">
        <f t="shared" si="66"/>
        <v>-6.6</v>
      </c>
      <c r="AY98" s="1">
        <f t="shared" si="54"/>
        <v>73.7</v>
      </c>
      <c r="AZ98" s="1">
        <f t="shared" si="55"/>
        <v>46.3</v>
      </c>
      <c r="BA98" s="1">
        <f t="shared" si="67"/>
        <v>1.2149999999999999</v>
      </c>
      <c r="BB98" s="5">
        <f t="shared" si="68"/>
        <v>0.1</v>
      </c>
      <c r="BC98" s="1">
        <f>ROUND(AC98,1)</f>
        <v>-5.2</v>
      </c>
      <c r="BD98" s="1">
        <f>ROUND(AD98,1)</f>
        <v>0.3</v>
      </c>
      <c r="BE98" s="1">
        <f>ROUND(AE98,1)</f>
        <v>-8.3000000000000007</v>
      </c>
      <c r="BF98" s="5">
        <f t="shared" si="69"/>
        <v>0.2</v>
      </c>
      <c r="BG98" s="5">
        <f t="shared" si="70"/>
        <v>0.6</v>
      </c>
      <c r="BH98" s="5">
        <f t="shared" si="71"/>
        <v>1.1000000000000001</v>
      </c>
      <c r="BI98" s="5">
        <f t="shared" si="72"/>
        <v>0.13600000000000001</v>
      </c>
      <c r="BJ98" s="9">
        <f t="shared" si="73"/>
        <v>0.28000000000000003</v>
      </c>
      <c r="BK98" s="9">
        <f t="shared" si="73"/>
        <v>0.32500000000000001</v>
      </c>
      <c r="BM98" s="1">
        <f t="shared" si="74"/>
        <v>0.46099999999999997</v>
      </c>
      <c r="BN98" s="1">
        <f t="shared" si="75"/>
        <v>-1.7800000000000002</v>
      </c>
    </row>
    <row r="99" spans="1:66" x14ac:dyDescent="0.2">
      <c r="A99" s="4">
        <f t="shared" si="76"/>
        <v>45751</v>
      </c>
      <c r="B99" s="1">
        <v>94</v>
      </c>
      <c r="C99" s="1">
        <v>12</v>
      </c>
      <c r="D99" s="5">
        <v>13.11</v>
      </c>
      <c r="E99" s="5">
        <v>5.9390000000000001</v>
      </c>
      <c r="F99" s="5">
        <v>-6.7759999999999998</v>
      </c>
      <c r="G99" s="5">
        <v>-1.2210000000000001</v>
      </c>
      <c r="H99" s="5">
        <v>51.72</v>
      </c>
      <c r="I99" s="5">
        <v>7.0999999999999994E-2</v>
      </c>
      <c r="J99" s="5">
        <v>2.3E-2</v>
      </c>
      <c r="K99" s="5">
        <v>0.247</v>
      </c>
      <c r="L99" s="5">
        <v>0.6</v>
      </c>
      <c r="M99" s="5">
        <v>1.1140000000000001</v>
      </c>
      <c r="N99" s="5">
        <v>4.5</v>
      </c>
      <c r="O99" s="5">
        <v>75</v>
      </c>
      <c r="P99" s="5">
        <v>0.19900000000000001</v>
      </c>
      <c r="Q99" s="5">
        <v>0.155</v>
      </c>
      <c r="R99" s="5">
        <v>0.34100000000000003</v>
      </c>
      <c r="S99" s="5">
        <v>0.70099999999999996</v>
      </c>
      <c r="T99" s="5">
        <v>1.236</v>
      </c>
      <c r="U99" s="5">
        <v>-6.9649999999999999</v>
      </c>
      <c r="V99" s="5">
        <v>29.26</v>
      </c>
      <c r="W99" s="5">
        <v>-9.2999999999999999E-2</v>
      </c>
      <c r="X99" s="5">
        <v>-0.128</v>
      </c>
      <c r="Y99" s="5">
        <v>0.152</v>
      </c>
      <c r="Z99" s="5">
        <v>0.498</v>
      </c>
      <c r="AA99" s="5">
        <v>1.0129999999999999</v>
      </c>
      <c r="AB99" s="5">
        <v>1.0760000000000001</v>
      </c>
      <c r="AC99" s="5">
        <v>-3.9940000000000002</v>
      </c>
      <c r="AD99" s="5">
        <v>0.71699999999999997</v>
      </c>
      <c r="AE99" s="5">
        <v>-8.86</v>
      </c>
      <c r="AF99" s="5">
        <v>8.98</v>
      </c>
      <c r="AG99" s="5">
        <v>-7.3070000000000004</v>
      </c>
      <c r="AH99" s="5">
        <v>1.079</v>
      </c>
      <c r="AI99" s="5">
        <v>0.13600000000000001</v>
      </c>
      <c r="AK99" s="5">
        <f t="shared" si="56"/>
        <v>1.1989999999999998</v>
      </c>
      <c r="AL99" s="22">
        <f t="shared" si="57"/>
        <v>0.1</v>
      </c>
      <c r="AN99" s="1">
        <f t="shared" si="60"/>
        <v>75</v>
      </c>
      <c r="AO99" s="1">
        <f t="shared" si="61"/>
        <v>51.7</v>
      </c>
      <c r="AP99" s="1">
        <f t="shared" si="62"/>
        <v>29.3</v>
      </c>
      <c r="AQ99" s="16">
        <f t="shared" si="53"/>
        <v>0.247</v>
      </c>
      <c r="AR99" s="23">
        <f t="shared" si="63"/>
        <v>0.59599999999999997</v>
      </c>
      <c r="AT99" s="18">
        <f t="shared" si="58"/>
        <v>45751</v>
      </c>
      <c r="AU99" s="19">
        <f t="shared" si="59"/>
        <v>94</v>
      </c>
      <c r="AV99" s="1">
        <f t="shared" si="64"/>
        <v>-1.2</v>
      </c>
      <c r="AW99" s="1">
        <f t="shared" si="65"/>
        <v>4.5</v>
      </c>
      <c r="AX99" s="1">
        <f t="shared" si="66"/>
        <v>-7</v>
      </c>
      <c r="AY99" s="1">
        <f t="shared" si="54"/>
        <v>51.7</v>
      </c>
      <c r="AZ99" s="1">
        <f t="shared" si="55"/>
        <v>29.3</v>
      </c>
      <c r="BA99" s="1">
        <f t="shared" si="67"/>
        <v>1.1989999999999998</v>
      </c>
      <c r="BB99" s="5">
        <f t="shared" si="68"/>
        <v>0.1</v>
      </c>
      <c r="BC99" s="1">
        <f>ROUND(AC99,1)</f>
        <v>-4</v>
      </c>
      <c r="BD99" s="1">
        <f>ROUND(AD99,1)</f>
        <v>0.7</v>
      </c>
      <c r="BE99" s="1">
        <f>ROUND(AE99,1)</f>
        <v>-8.9</v>
      </c>
      <c r="BF99" s="5">
        <f t="shared" si="69"/>
        <v>0.2</v>
      </c>
      <c r="BG99" s="5">
        <f t="shared" si="70"/>
        <v>0.6</v>
      </c>
      <c r="BH99" s="5">
        <f t="shared" si="71"/>
        <v>1.1000000000000001</v>
      </c>
      <c r="BI99" s="5">
        <f t="shared" si="72"/>
        <v>0.13600000000000001</v>
      </c>
      <c r="BJ99" s="9">
        <f t="shared" si="73"/>
        <v>0.247</v>
      </c>
      <c r="BK99" s="9">
        <f t="shared" si="73"/>
        <v>0.59599999999999997</v>
      </c>
      <c r="BM99" s="1">
        <f t="shared" si="74"/>
        <v>-3.7829999999999999</v>
      </c>
      <c r="BN99" s="1">
        <f t="shared" si="75"/>
        <v>-1.8949999999999996</v>
      </c>
    </row>
    <row r="100" spans="1:66" x14ac:dyDescent="0.2">
      <c r="A100" s="4">
        <f t="shared" si="76"/>
        <v>45752</v>
      </c>
      <c r="B100" s="1">
        <v>95</v>
      </c>
      <c r="C100" s="1">
        <v>12</v>
      </c>
      <c r="D100" s="5">
        <v>13.11</v>
      </c>
      <c r="E100" s="5">
        <v>10.72</v>
      </c>
      <c r="F100" s="5">
        <v>-3.3639999999999999</v>
      </c>
      <c r="G100" s="5">
        <v>2.0259999999999998</v>
      </c>
      <c r="H100" s="5">
        <v>50.67</v>
      </c>
      <c r="I100" s="5">
        <v>0.08</v>
      </c>
      <c r="J100" s="5">
        <v>3.2000000000000001E-2</v>
      </c>
      <c r="K100" s="5">
        <v>0.25800000000000001</v>
      </c>
      <c r="L100" s="5">
        <v>0.61099999999999999</v>
      </c>
      <c r="M100" s="5">
        <v>1.1220000000000001</v>
      </c>
      <c r="N100" s="5">
        <v>8.4499999999999993</v>
      </c>
      <c r="O100" s="5">
        <v>67.41</v>
      </c>
      <c r="P100" s="5">
        <v>0.21199999999999999</v>
      </c>
      <c r="Q100" s="5">
        <v>0.16600000000000001</v>
      </c>
      <c r="R100" s="5">
        <v>0.36299999999999999</v>
      </c>
      <c r="S100" s="5">
        <v>0.71199999999999997</v>
      </c>
      <c r="T100" s="5">
        <v>1.2609999999999999</v>
      </c>
      <c r="U100" s="5">
        <v>-2.883</v>
      </c>
      <c r="V100" s="5">
        <v>28.11</v>
      </c>
      <c r="W100" s="5">
        <v>-4.4999999999999998E-2</v>
      </c>
      <c r="X100" s="5">
        <v>-0.10299999999999999</v>
      </c>
      <c r="Y100" s="5">
        <v>0.16900000000000001</v>
      </c>
      <c r="Z100" s="5">
        <v>0.52300000000000002</v>
      </c>
      <c r="AA100" s="5">
        <v>1.014</v>
      </c>
      <c r="AB100" s="5">
        <v>1.1120000000000001</v>
      </c>
      <c r="AC100" s="5">
        <v>-2.0499999999999998</v>
      </c>
      <c r="AD100" s="5">
        <v>0.71699999999999997</v>
      </c>
      <c r="AE100" s="5">
        <v>-5.577</v>
      </c>
      <c r="AF100" s="5">
        <v>12.59</v>
      </c>
      <c r="AG100" s="5">
        <v>-3.1920000000000002</v>
      </c>
      <c r="AH100" s="5">
        <v>1.1080000000000001</v>
      </c>
      <c r="AI100" s="5">
        <v>0.13700000000000001</v>
      </c>
      <c r="AK100" s="5">
        <f t="shared" si="56"/>
        <v>1.1629999999999998</v>
      </c>
      <c r="AL100" s="22">
        <f t="shared" si="57"/>
        <v>0.1</v>
      </c>
      <c r="AN100" s="1">
        <f t="shared" si="60"/>
        <v>67.400000000000006</v>
      </c>
      <c r="AO100" s="1">
        <f t="shared" si="61"/>
        <v>50.7</v>
      </c>
      <c r="AP100" s="1">
        <f t="shared" si="62"/>
        <v>28.1</v>
      </c>
      <c r="AQ100" s="16">
        <f t="shared" si="53"/>
        <v>0.311</v>
      </c>
      <c r="AR100" s="23">
        <f t="shared" si="63"/>
        <v>0.79600000000000004</v>
      </c>
      <c r="AT100" s="18">
        <f t="shared" si="58"/>
        <v>45752</v>
      </c>
      <c r="AU100" s="19">
        <f t="shared" si="59"/>
        <v>95</v>
      </c>
      <c r="AV100" s="1">
        <f t="shared" si="64"/>
        <v>2</v>
      </c>
      <c r="AW100" s="1">
        <f t="shared" si="65"/>
        <v>8.5</v>
      </c>
      <c r="AX100" s="1">
        <f t="shared" si="66"/>
        <v>-2.9</v>
      </c>
      <c r="AY100" s="1">
        <f t="shared" si="54"/>
        <v>50.7</v>
      </c>
      <c r="AZ100" s="1">
        <f t="shared" si="55"/>
        <v>28.1</v>
      </c>
      <c r="BA100" s="1">
        <f t="shared" si="67"/>
        <v>1.1629999999999998</v>
      </c>
      <c r="BB100" s="5">
        <f t="shared" si="68"/>
        <v>0.1</v>
      </c>
      <c r="BC100" s="1">
        <f>ROUND(AC100,1)</f>
        <v>-2.1</v>
      </c>
      <c r="BD100" s="1">
        <f>ROUND(AD100,1)</f>
        <v>0.7</v>
      </c>
      <c r="BE100" s="1">
        <f>ROUND(AE100,1)</f>
        <v>-5.6</v>
      </c>
      <c r="BF100" s="5">
        <f t="shared" si="69"/>
        <v>0.3</v>
      </c>
      <c r="BG100" s="5">
        <f t="shared" si="70"/>
        <v>0.6</v>
      </c>
      <c r="BH100" s="5">
        <f t="shared" si="71"/>
        <v>1.1000000000000001</v>
      </c>
      <c r="BI100" s="5">
        <f t="shared" si="72"/>
        <v>0.13700000000000001</v>
      </c>
      <c r="BJ100" s="9">
        <f t="shared" si="73"/>
        <v>0.311</v>
      </c>
      <c r="BK100" s="9">
        <f t="shared" si="73"/>
        <v>0.79600000000000004</v>
      </c>
      <c r="BM100" s="1">
        <f t="shared" si="74"/>
        <v>-7.7329999999999997</v>
      </c>
      <c r="BN100" s="1">
        <f t="shared" si="75"/>
        <v>-2.694</v>
      </c>
    </row>
    <row r="101" spans="1:66" x14ac:dyDescent="0.2">
      <c r="A101" s="4">
        <f t="shared" si="76"/>
        <v>45753</v>
      </c>
      <c r="B101" s="1">
        <v>96</v>
      </c>
      <c r="C101" s="1">
        <v>12</v>
      </c>
      <c r="D101" s="5">
        <v>13.02</v>
      </c>
      <c r="E101" s="5">
        <v>10.36</v>
      </c>
      <c r="F101" s="5">
        <v>-0.54200000000000004</v>
      </c>
      <c r="G101" s="5">
        <v>2.67</v>
      </c>
      <c r="H101" s="5">
        <v>66.37</v>
      </c>
      <c r="I101" s="5">
        <v>8.7999999999999995E-2</v>
      </c>
      <c r="J101" s="5">
        <v>4.2999999999999997E-2</v>
      </c>
      <c r="K101" s="5">
        <v>0.26900000000000002</v>
      </c>
      <c r="L101" s="5">
        <v>0.623</v>
      </c>
      <c r="M101" s="5">
        <v>1.1339999999999999</v>
      </c>
      <c r="N101" s="5">
        <v>8.11</v>
      </c>
      <c r="O101" s="5">
        <v>97.8</v>
      </c>
      <c r="P101" s="5">
        <v>0.2</v>
      </c>
      <c r="Q101" s="5">
        <v>0.151</v>
      </c>
      <c r="R101" s="5">
        <v>0.35899999999999999</v>
      </c>
      <c r="S101" s="5">
        <v>0.71199999999999997</v>
      </c>
      <c r="T101" s="5">
        <v>1.23</v>
      </c>
      <c r="U101" s="5">
        <v>-0.28399999999999997</v>
      </c>
      <c r="V101" s="5">
        <v>42.5</v>
      </c>
      <c r="W101" s="5">
        <v>-7.2999999999999995E-2</v>
      </c>
      <c r="X101" s="5">
        <v>-7.5999999999999998E-2</v>
      </c>
      <c r="Y101" s="5">
        <v>0.16800000000000001</v>
      </c>
      <c r="Z101" s="5">
        <v>0.52100000000000002</v>
      </c>
      <c r="AA101" s="5">
        <v>0.995</v>
      </c>
      <c r="AB101" s="5">
        <v>1.1359999999999999</v>
      </c>
      <c r="AC101" s="5">
        <v>-0.621</v>
      </c>
      <c r="AD101" s="5">
        <v>0.65</v>
      </c>
      <c r="AE101" s="5">
        <v>-2.8660000000000001</v>
      </c>
      <c r="AF101" s="5">
        <v>9.92</v>
      </c>
      <c r="AG101" s="5">
        <v>-0.60599999999999998</v>
      </c>
      <c r="AH101" s="5">
        <v>1.1319999999999999</v>
      </c>
      <c r="AI101" s="5">
        <v>0.14000000000000001</v>
      </c>
      <c r="AK101" s="5">
        <f t="shared" si="56"/>
        <v>1.139</v>
      </c>
      <c r="AL101" s="22">
        <f t="shared" si="57"/>
        <v>0.2</v>
      </c>
      <c r="AN101" s="1">
        <f t="shared" si="60"/>
        <v>97.8</v>
      </c>
      <c r="AO101" s="1">
        <f t="shared" si="61"/>
        <v>66.400000000000006</v>
      </c>
      <c r="AP101" s="1">
        <f t="shared" si="62"/>
        <v>42.5</v>
      </c>
      <c r="AQ101" s="16">
        <f t="shared" si="53"/>
        <v>0.45900000000000002</v>
      </c>
      <c r="AR101" s="23">
        <f t="shared" si="63"/>
        <v>0.621</v>
      </c>
      <c r="AT101" s="18">
        <f t="shared" si="58"/>
        <v>45753</v>
      </c>
      <c r="AU101" s="19">
        <f t="shared" si="59"/>
        <v>96</v>
      </c>
      <c r="AV101" s="1">
        <f t="shared" si="64"/>
        <v>2.7</v>
      </c>
      <c r="AW101" s="1">
        <f t="shared" si="65"/>
        <v>8.1</v>
      </c>
      <c r="AX101" s="1">
        <f t="shared" si="66"/>
        <v>-0.3</v>
      </c>
      <c r="AY101" s="1">
        <f t="shared" si="54"/>
        <v>66.400000000000006</v>
      </c>
      <c r="AZ101" s="1">
        <f t="shared" si="55"/>
        <v>42.5</v>
      </c>
      <c r="BA101" s="1">
        <f t="shared" si="67"/>
        <v>1.139</v>
      </c>
      <c r="BB101" s="5">
        <f t="shared" si="68"/>
        <v>0.2</v>
      </c>
      <c r="BC101" s="1">
        <f>ROUND(AC101,1)</f>
        <v>-0.6</v>
      </c>
      <c r="BD101" s="1">
        <f>ROUND(AD101,1)</f>
        <v>0.7</v>
      </c>
      <c r="BE101" s="1">
        <f>ROUND(AE101,1)</f>
        <v>-2.9</v>
      </c>
      <c r="BF101" s="5">
        <f t="shared" si="69"/>
        <v>0.3</v>
      </c>
      <c r="BG101" s="5">
        <f t="shared" si="70"/>
        <v>0.6</v>
      </c>
      <c r="BH101" s="5">
        <f t="shared" si="71"/>
        <v>1.1000000000000001</v>
      </c>
      <c r="BI101" s="5">
        <f t="shared" si="72"/>
        <v>0.14000000000000001</v>
      </c>
      <c r="BJ101" s="9">
        <f t="shared" si="73"/>
        <v>0.45900000000000002</v>
      </c>
      <c r="BK101" s="9">
        <f t="shared" si="73"/>
        <v>0.621</v>
      </c>
      <c r="BM101" s="1">
        <f t="shared" si="74"/>
        <v>-7.4599999999999991</v>
      </c>
      <c r="BN101" s="1">
        <f t="shared" si="75"/>
        <v>-2.5820000000000003</v>
      </c>
    </row>
    <row r="102" spans="1:66" x14ac:dyDescent="0.2">
      <c r="A102" s="4">
        <f t="shared" si="76"/>
        <v>45754</v>
      </c>
      <c r="B102" s="1">
        <v>97</v>
      </c>
      <c r="C102" s="1">
        <v>12</v>
      </c>
      <c r="D102" s="5">
        <v>12.97</v>
      </c>
      <c r="E102" s="5">
        <v>2.7149999999999999</v>
      </c>
      <c r="F102" s="5">
        <v>-1.5229999999999999</v>
      </c>
      <c r="G102" s="5">
        <v>0.442</v>
      </c>
      <c r="H102" s="5">
        <v>97.5</v>
      </c>
      <c r="I102" s="5">
        <v>9.8000000000000004E-2</v>
      </c>
      <c r="J102" s="5">
        <v>0.05</v>
      </c>
      <c r="K102" s="5">
        <v>0.23799999999999999</v>
      </c>
      <c r="L102" s="5">
        <v>0.59</v>
      </c>
      <c r="M102" s="5">
        <v>1.099</v>
      </c>
      <c r="N102" s="5">
        <v>3.4620000000000002</v>
      </c>
      <c r="O102" s="5">
        <v>98.3</v>
      </c>
      <c r="P102" s="5">
        <v>0.185</v>
      </c>
      <c r="Q102" s="5">
        <v>0.13400000000000001</v>
      </c>
      <c r="R102" s="5">
        <v>0.34899999999999998</v>
      </c>
      <c r="S102" s="5">
        <v>0.69899999999999995</v>
      </c>
      <c r="T102" s="5">
        <v>1.216</v>
      </c>
      <c r="U102" s="5">
        <v>-2.92</v>
      </c>
      <c r="V102" s="5">
        <v>95.5</v>
      </c>
      <c r="W102" s="5">
        <v>-0.01</v>
      </c>
      <c r="X102" s="5">
        <v>-5.8999999999999997E-2</v>
      </c>
      <c r="Y102" s="5">
        <v>0.12</v>
      </c>
      <c r="Z102" s="5">
        <v>0.46</v>
      </c>
      <c r="AA102" s="5">
        <v>0.97499999999999998</v>
      </c>
      <c r="AB102" s="5">
        <v>1.113</v>
      </c>
      <c r="AC102" s="5">
        <v>-0.43099999999999999</v>
      </c>
      <c r="AD102" s="5">
        <v>0.39900000000000002</v>
      </c>
      <c r="AE102" s="5">
        <v>-3.25</v>
      </c>
      <c r="AF102" s="5">
        <v>4.0590000000000002</v>
      </c>
      <c r="AG102" s="5">
        <v>-2.988</v>
      </c>
      <c r="AH102" s="5">
        <v>1.119</v>
      </c>
      <c r="AI102" s="5">
        <v>0.156</v>
      </c>
      <c r="AK102" s="5">
        <f t="shared" si="56"/>
        <v>1.1619999999999999</v>
      </c>
      <c r="AL102" s="22">
        <f t="shared" si="57"/>
        <v>0.1</v>
      </c>
      <c r="AN102" s="1">
        <f t="shared" si="60"/>
        <v>98.3</v>
      </c>
      <c r="AO102" s="1">
        <f t="shared" si="61"/>
        <v>97.5</v>
      </c>
      <c r="AP102" s="1">
        <f t="shared" si="62"/>
        <v>95.5</v>
      </c>
      <c r="AQ102" s="16">
        <f t="shared" si="53"/>
        <v>0.747</v>
      </c>
      <c r="AR102" s="23">
        <f t="shared" si="63"/>
        <v>3.5000000000000003E-2</v>
      </c>
      <c r="AT102" s="18">
        <f t="shared" si="58"/>
        <v>45754</v>
      </c>
      <c r="AU102" s="19">
        <f t="shared" si="59"/>
        <v>97</v>
      </c>
      <c r="AV102" s="1">
        <f t="shared" si="64"/>
        <v>0.4</v>
      </c>
      <c r="AW102" s="1">
        <f t="shared" si="65"/>
        <v>3.5</v>
      </c>
      <c r="AX102" s="1">
        <f t="shared" si="66"/>
        <v>-2.9</v>
      </c>
      <c r="AY102" s="1">
        <f t="shared" si="54"/>
        <v>97.5</v>
      </c>
      <c r="AZ102" s="1">
        <f t="shared" si="55"/>
        <v>95.5</v>
      </c>
      <c r="BA102" s="1">
        <f t="shared" si="67"/>
        <v>1.1619999999999999</v>
      </c>
      <c r="BB102" s="5">
        <f t="shared" si="68"/>
        <v>0.1</v>
      </c>
      <c r="BC102" s="1">
        <f>ROUND(AC102,1)</f>
        <v>-0.4</v>
      </c>
      <c r="BD102" s="1">
        <f>ROUND(AD102,1)</f>
        <v>0.4</v>
      </c>
      <c r="BE102" s="1">
        <f>ROUND(AE102,1)</f>
        <v>-3.3</v>
      </c>
      <c r="BF102" s="5">
        <f t="shared" si="69"/>
        <v>0.2</v>
      </c>
      <c r="BG102" s="5">
        <f t="shared" si="70"/>
        <v>0.6</v>
      </c>
      <c r="BH102" s="5">
        <f t="shared" si="71"/>
        <v>1.1000000000000001</v>
      </c>
      <c r="BI102" s="5">
        <f t="shared" si="72"/>
        <v>0.156</v>
      </c>
      <c r="BJ102" s="9">
        <f t="shared" si="73"/>
        <v>0.747</v>
      </c>
      <c r="BK102" s="9">
        <f t="shared" si="73"/>
        <v>3.5000000000000003E-2</v>
      </c>
      <c r="BM102" s="1">
        <f t="shared" si="74"/>
        <v>-3.0630000000000002</v>
      </c>
      <c r="BN102" s="1">
        <f t="shared" si="75"/>
        <v>-0.33000000000000007</v>
      </c>
    </row>
    <row r="103" spans="1:66" x14ac:dyDescent="0.2">
      <c r="A103" s="4">
        <f t="shared" si="76"/>
        <v>45755</v>
      </c>
      <c r="B103" s="1">
        <v>98</v>
      </c>
      <c r="C103" s="1">
        <v>12</v>
      </c>
      <c r="D103" s="5">
        <v>13.04</v>
      </c>
      <c r="E103" s="5">
        <v>0.75700000000000001</v>
      </c>
      <c r="F103" s="5">
        <v>-3.5790000000000002</v>
      </c>
      <c r="G103" s="5">
        <v>-2.39</v>
      </c>
      <c r="H103" s="5">
        <v>94.4</v>
      </c>
      <c r="I103" s="5">
        <v>5.0999999999999997E-2</v>
      </c>
      <c r="J103" s="5">
        <v>0.01</v>
      </c>
      <c r="K103" s="5">
        <v>0.19600000000000001</v>
      </c>
      <c r="L103" s="5">
        <v>0.52600000000000002</v>
      </c>
      <c r="M103" s="5">
        <v>1.046</v>
      </c>
      <c r="N103" s="5">
        <v>-0.28399999999999997</v>
      </c>
      <c r="O103" s="5">
        <v>96.8</v>
      </c>
      <c r="P103" s="5">
        <v>0.14099999999999999</v>
      </c>
      <c r="Q103" s="5">
        <v>9.5000000000000001E-2</v>
      </c>
      <c r="R103" s="5">
        <v>0.28299999999999997</v>
      </c>
      <c r="S103" s="5">
        <v>0.60199999999999998</v>
      </c>
      <c r="T103" s="5">
        <v>1.1339999999999999</v>
      </c>
      <c r="U103" s="5">
        <v>-4.3710000000000004</v>
      </c>
      <c r="V103" s="5">
        <v>91</v>
      </c>
      <c r="W103" s="5">
        <v>-0.03</v>
      </c>
      <c r="X103" s="5">
        <v>-6.8000000000000005E-2</v>
      </c>
      <c r="Y103" s="5">
        <v>0.104</v>
      </c>
      <c r="Z103" s="5">
        <v>0.44</v>
      </c>
      <c r="AA103" s="5">
        <v>0.96</v>
      </c>
      <c r="AB103" s="5">
        <v>1.1419999999999999</v>
      </c>
      <c r="AC103" s="5">
        <v>-2.573</v>
      </c>
      <c r="AD103" s="5">
        <v>-8.8999999999999996E-2</v>
      </c>
      <c r="AE103" s="5">
        <v>-4.758</v>
      </c>
      <c r="AF103" s="5">
        <v>0.52700000000000002</v>
      </c>
      <c r="AG103" s="5">
        <v>-4.5570000000000004</v>
      </c>
      <c r="AH103" s="5">
        <v>1.1479999999999999</v>
      </c>
      <c r="AI103" s="5">
        <v>0.16</v>
      </c>
      <c r="AK103" s="5">
        <f t="shared" si="56"/>
        <v>1.133</v>
      </c>
      <c r="AL103" s="22">
        <f t="shared" si="57"/>
        <v>0.1</v>
      </c>
      <c r="AN103" s="1">
        <f t="shared" si="60"/>
        <v>96.8</v>
      </c>
      <c r="AO103" s="1">
        <f t="shared" si="61"/>
        <v>94.4</v>
      </c>
      <c r="AP103" s="1">
        <f t="shared" si="62"/>
        <v>91</v>
      </c>
      <c r="AQ103" s="16">
        <f t="shared" si="53"/>
        <v>0.54400000000000004</v>
      </c>
      <c r="AR103" s="23">
        <f t="shared" si="63"/>
        <v>5.3999999999999999E-2</v>
      </c>
      <c r="AT103" s="18">
        <f t="shared" si="58"/>
        <v>45755</v>
      </c>
      <c r="AU103" s="19">
        <f t="shared" si="59"/>
        <v>98</v>
      </c>
      <c r="AV103" s="1">
        <f t="shared" si="64"/>
        <v>-2.4</v>
      </c>
      <c r="AW103" s="1">
        <f t="shared" si="65"/>
        <v>-0.3</v>
      </c>
      <c r="AX103" s="1">
        <f t="shared" si="66"/>
        <v>-4.4000000000000004</v>
      </c>
      <c r="AY103" s="1">
        <f t="shared" si="54"/>
        <v>94.4</v>
      </c>
      <c r="AZ103" s="1">
        <f t="shared" si="55"/>
        <v>91</v>
      </c>
      <c r="BA103" s="1">
        <f t="shared" si="67"/>
        <v>1.133</v>
      </c>
      <c r="BB103" s="5">
        <f t="shared" si="68"/>
        <v>0.1</v>
      </c>
      <c r="BC103" s="1">
        <f>ROUND(AC103,1)</f>
        <v>-2.6</v>
      </c>
      <c r="BD103" s="1">
        <f>ROUND(AD103,1)</f>
        <v>-0.1</v>
      </c>
      <c r="BE103" s="1">
        <f>ROUND(AE103,1)</f>
        <v>-4.8</v>
      </c>
      <c r="BF103" s="5">
        <f t="shared" si="69"/>
        <v>0.2</v>
      </c>
      <c r="BG103" s="5">
        <f t="shared" si="70"/>
        <v>0.5</v>
      </c>
      <c r="BH103" s="5">
        <f t="shared" si="71"/>
        <v>1</v>
      </c>
      <c r="BI103" s="5">
        <f t="shared" si="72"/>
        <v>0.16</v>
      </c>
      <c r="BJ103" s="9">
        <f t="shared" si="73"/>
        <v>0.54400000000000004</v>
      </c>
      <c r="BK103" s="9">
        <f t="shared" si="73"/>
        <v>5.3999999999999999E-2</v>
      </c>
      <c r="BM103" s="1">
        <f t="shared" si="74"/>
        <v>0.19499999999999998</v>
      </c>
      <c r="BN103" s="1">
        <f t="shared" si="75"/>
        <v>-0.38699999999999957</v>
      </c>
    </row>
    <row r="104" spans="1:66" x14ac:dyDescent="0.2">
      <c r="A104" s="4">
        <f t="shared" si="76"/>
        <v>45756</v>
      </c>
      <c r="B104" s="1">
        <v>99</v>
      </c>
      <c r="C104" s="1">
        <v>12</v>
      </c>
      <c r="D104" s="5">
        <v>13.12</v>
      </c>
      <c r="E104" s="5">
        <v>3.7210000000000001</v>
      </c>
      <c r="F104" s="5">
        <v>-4.1390000000000002</v>
      </c>
      <c r="G104" s="5">
        <v>-1.4790000000000001</v>
      </c>
      <c r="H104" s="5">
        <v>81.7</v>
      </c>
      <c r="I104" s="5">
        <v>5.7000000000000002E-2</v>
      </c>
      <c r="J104" s="5">
        <v>1.9E-2</v>
      </c>
      <c r="K104" s="5">
        <v>0.218</v>
      </c>
      <c r="L104" s="5">
        <v>0.55100000000000005</v>
      </c>
      <c r="M104" s="5">
        <v>1.0649999999999999</v>
      </c>
      <c r="N104" s="5">
        <v>2.8450000000000002</v>
      </c>
      <c r="O104" s="5">
        <v>95.4</v>
      </c>
      <c r="P104" s="5">
        <v>0.157</v>
      </c>
      <c r="Q104" s="5">
        <v>0.11600000000000001</v>
      </c>
      <c r="R104" s="5">
        <v>0.29099999999999998</v>
      </c>
      <c r="S104" s="5">
        <v>0.63900000000000001</v>
      </c>
      <c r="T104" s="5">
        <v>1.153</v>
      </c>
      <c r="U104" s="5">
        <v>-4.6040000000000001</v>
      </c>
      <c r="V104" s="5">
        <v>55.01</v>
      </c>
      <c r="W104" s="5">
        <v>-6.4000000000000001E-2</v>
      </c>
      <c r="X104" s="5">
        <v>-9.9000000000000005E-2</v>
      </c>
      <c r="Y104" s="5">
        <v>0.13900000000000001</v>
      </c>
      <c r="Z104" s="5">
        <v>0.46</v>
      </c>
      <c r="AA104" s="5">
        <v>0.97299999999999998</v>
      </c>
      <c r="AB104" s="5">
        <v>1.133</v>
      </c>
      <c r="AC104" s="5">
        <v>-2.2650000000000001</v>
      </c>
      <c r="AD104" s="5">
        <v>0.46300000000000002</v>
      </c>
      <c r="AE104" s="5">
        <v>-5.5529999999999999</v>
      </c>
      <c r="AF104" s="5">
        <v>3.4550000000000001</v>
      </c>
      <c r="AG104" s="5">
        <v>-4.7629999999999999</v>
      </c>
      <c r="AH104" s="5">
        <v>1.137</v>
      </c>
      <c r="AI104" s="5">
        <v>0.155</v>
      </c>
      <c r="AK104" s="5">
        <f t="shared" si="56"/>
        <v>1.1419999999999999</v>
      </c>
      <c r="AL104" s="22">
        <f t="shared" si="57"/>
        <v>0.1</v>
      </c>
      <c r="AN104" s="1">
        <f t="shared" si="60"/>
        <v>95.4</v>
      </c>
      <c r="AO104" s="1">
        <f t="shared" si="61"/>
        <v>81.7</v>
      </c>
      <c r="AP104" s="1">
        <f t="shared" si="62"/>
        <v>55</v>
      </c>
      <c r="AQ104" s="16">
        <f t="shared" si="53"/>
        <v>0.41199999999999998</v>
      </c>
      <c r="AR104" s="23">
        <f t="shared" si="63"/>
        <v>0.33700000000000002</v>
      </c>
      <c r="AT104" s="18">
        <f t="shared" si="58"/>
        <v>45756</v>
      </c>
      <c r="AU104" s="19">
        <f t="shared" si="59"/>
        <v>99</v>
      </c>
      <c r="AV104" s="1">
        <f t="shared" si="64"/>
        <v>-1.5</v>
      </c>
      <c r="AW104" s="1">
        <f t="shared" si="65"/>
        <v>2.8</v>
      </c>
      <c r="AX104" s="1">
        <f t="shared" si="66"/>
        <v>-4.5999999999999996</v>
      </c>
      <c r="AY104" s="1">
        <f t="shared" si="54"/>
        <v>81.7</v>
      </c>
      <c r="AZ104" s="1">
        <f t="shared" si="55"/>
        <v>55</v>
      </c>
      <c r="BA104" s="1">
        <f t="shared" si="67"/>
        <v>1.1419999999999999</v>
      </c>
      <c r="BB104" s="5">
        <f t="shared" si="68"/>
        <v>0.1</v>
      </c>
      <c r="BC104" s="1">
        <f>ROUND(AC104,1)</f>
        <v>-2.2999999999999998</v>
      </c>
      <c r="BD104" s="1">
        <f>ROUND(AD104,1)</f>
        <v>0.5</v>
      </c>
      <c r="BE104" s="1">
        <f>ROUND(AE104,1)</f>
        <v>-5.6</v>
      </c>
      <c r="BF104" s="5">
        <f t="shared" si="69"/>
        <v>0.2</v>
      </c>
      <c r="BG104" s="5">
        <f t="shared" si="70"/>
        <v>0.6</v>
      </c>
      <c r="BH104" s="5">
        <f t="shared" si="71"/>
        <v>1.1000000000000001</v>
      </c>
      <c r="BI104" s="5">
        <f t="shared" si="72"/>
        <v>0.155</v>
      </c>
      <c r="BJ104" s="9">
        <f t="shared" si="73"/>
        <v>0.41199999999999998</v>
      </c>
      <c r="BK104" s="9">
        <f t="shared" si="73"/>
        <v>0.33700000000000002</v>
      </c>
      <c r="BM104" s="1">
        <f t="shared" si="74"/>
        <v>-2.3820000000000001</v>
      </c>
      <c r="BN104" s="1">
        <f t="shared" si="75"/>
        <v>-0.94899999999999984</v>
      </c>
    </row>
    <row r="105" spans="1:66" x14ac:dyDescent="0.2">
      <c r="A105" s="4">
        <f t="shared" si="76"/>
        <v>45757</v>
      </c>
      <c r="B105" s="1">
        <v>100</v>
      </c>
      <c r="C105" s="1">
        <v>12</v>
      </c>
      <c r="D105" s="5">
        <v>13.02</v>
      </c>
      <c r="E105" s="5">
        <v>2.95</v>
      </c>
      <c r="F105" s="5">
        <v>-2.7629999999999999</v>
      </c>
      <c r="G105" s="5">
        <v>0.56699999999999995</v>
      </c>
      <c r="H105" s="5">
        <v>80</v>
      </c>
      <c r="I105" s="5">
        <v>7.3999999999999996E-2</v>
      </c>
      <c r="J105" s="5">
        <v>3.1E-2</v>
      </c>
      <c r="K105" s="5">
        <v>0.23799999999999999</v>
      </c>
      <c r="L105" s="5">
        <v>0.57699999999999996</v>
      </c>
      <c r="M105" s="5">
        <v>1.0840000000000001</v>
      </c>
      <c r="N105" s="5">
        <v>4.5369999999999999</v>
      </c>
      <c r="O105" s="5">
        <v>98</v>
      </c>
      <c r="P105" s="5">
        <v>0.17100000000000001</v>
      </c>
      <c r="Q105" s="5">
        <v>0.125</v>
      </c>
      <c r="R105" s="5">
        <v>0.317</v>
      </c>
      <c r="S105" s="5">
        <v>0.66500000000000004</v>
      </c>
      <c r="T105" s="5">
        <v>1.1839999999999999</v>
      </c>
      <c r="U105" s="5">
        <v>-2.8530000000000002</v>
      </c>
      <c r="V105" s="5">
        <v>61.67</v>
      </c>
      <c r="W105" s="5">
        <v>-1.4999999999999999E-2</v>
      </c>
      <c r="X105" s="5">
        <v>-7.1999999999999995E-2</v>
      </c>
      <c r="Y105" s="5">
        <v>0.15</v>
      </c>
      <c r="Z105" s="5">
        <v>0.49299999999999999</v>
      </c>
      <c r="AA105" s="5">
        <v>1.0009999999999999</v>
      </c>
      <c r="AB105" s="5">
        <v>1.143</v>
      </c>
      <c r="AC105" s="5">
        <v>-1.246</v>
      </c>
      <c r="AD105" s="5">
        <v>0.14699999999999999</v>
      </c>
      <c r="AE105" s="5">
        <v>-3.9860000000000002</v>
      </c>
      <c r="AF105" s="5">
        <v>4.0510000000000002</v>
      </c>
      <c r="AG105" s="5">
        <v>-3.02</v>
      </c>
      <c r="AH105" s="5">
        <v>1.143</v>
      </c>
      <c r="AI105" s="5">
        <v>0.153</v>
      </c>
      <c r="AK105" s="5">
        <f t="shared" si="56"/>
        <v>1.1319999999999999</v>
      </c>
      <c r="AL105" s="22">
        <f t="shared" si="57"/>
        <v>0.1</v>
      </c>
      <c r="AN105" s="1">
        <f t="shared" si="60"/>
        <v>98</v>
      </c>
      <c r="AO105" s="1">
        <f t="shared" si="61"/>
        <v>80</v>
      </c>
      <c r="AP105" s="1">
        <f t="shared" si="62"/>
        <v>61.7</v>
      </c>
      <c r="AQ105" s="16">
        <f t="shared" si="53"/>
        <v>0.52100000000000002</v>
      </c>
      <c r="AR105" s="23">
        <f t="shared" si="63"/>
        <v>0.32300000000000001</v>
      </c>
      <c r="AT105" s="18">
        <f t="shared" si="58"/>
        <v>45757</v>
      </c>
      <c r="AU105" s="19">
        <f t="shared" si="59"/>
        <v>100</v>
      </c>
      <c r="AV105" s="1">
        <f t="shared" si="64"/>
        <v>0.6</v>
      </c>
      <c r="AW105" s="1">
        <f t="shared" si="65"/>
        <v>4.5</v>
      </c>
      <c r="AX105" s="1">
        <f t="shared" si="66"/>
        <v>-2.9</v>
      </c>
      <c r="AY105" s="1">
        <f t="shared" si="54"/>
        <v>80</v>
      </c>
      <c r="AZ105" s="1">
        <f t="shared" si="55"/>
        <v>61.7</v>
      </c>
      <c r="BA105" s="1">
        <f t="shared" si="67"/>
        <v>1.1319999999999999</v>
      </c>
      <c r="BB105" s="5">
        <f t="shared" si="68"/>
        <v>0.1</v>
      </c>
      <c r="BC105" s="1">
        <f>ROUND(AC105,1)</f>
        <v>-1.2</v>
      </c>
      <c r="BD105" s="1">
        <f>ROUND(AD105,1)</f>
        <v>0.1</v>
      </c>
      <c r="BE105" s="1">
        <f>ROUND(AE105,1)</f>
        <v>-4</v>
      </c>
      <c r="BF105" s="5">
        <f t="shared" si="69"/>
        <v>0.2</v>
      </c>
      <c r="BG105" s="5">
        <f t="shared" si="70"/>
        <v>0.6</v>
      </c>
      <c r="BH105" s="5">
        <f t="shared" si="71"/>
        <v>1.1000000000000001</v>
      </c>
      <c r="BI105" s="5">
        <f t="shared" si="72"/>
        <v>0.153</v>
      </c>
      <c r="BJ105" s="9">
        <f t="shared" si="73"/>
        <v>0.52100000000000002</v>
      </c>
      <c r="BK105" s="9">
        <f t="shared" si="73"/>
        <v>0.32300000000000001</v>
      </c>
      <c r="BM105" s="1">
        <f t="shared" si="74"/>
        <v>-4.3899999999999997</v>
      </c>
      <c r="BN105" s="1">
        <f t="shared" si="75"/>
        <v>-1.133</v>
      </c>
    </row>
    <row r="106" spans="1:66" x14ac:dyDescent="0.2">
      <c r="A106" s="4">
        <f t="shared" si="76"/>
        <v>45758</v>
      </c>
      <c r="B106" s="1">
        <v>101</v>
      </c>
      <c r="C106" s="1">
        <v>12</v>
      </c>
      <c r="D106" s="5">
        <v>13.11</v>
      </c>
      <c r="E106" s="5">
        <v>8.7200000000000006</v>
      </c>
      <c r="F106" s="5">
        <v>-3.665</v>
      </c>
      <c r="G106" s="5">
        <v>-0.628</v>
      </c>
      <c r="H106" s="5">
        <v>69.13</v>
      </c>
      <c r="I106" s="5">
        <v>6.2E-2</v>
      </c>
      <c r="J106" s="5">
        <v>2.3E-2</v>
      </c>
      <c r="K106" s="5">
        <v>0.22600000000000001</v>
      </c>
      <c r="L106" s="5">
        <v>0.56599999999999995</v>
      </c>
      <c r="M106" s="5">
        <v>1.069</v>
      </c>
      <c r="N106" s="5">
        <v>4.5270000000000001</v>
      </c>
      <c r="O106" s="5">
        <v>96.8</v>
      </c>
      <c r="P106" s="5">
        <v>0.16400000000000001</v>
      </c>
      <c r="Q106" s="5">
        <v>0.13300000000000001</v>
      </c>
      <c r="R106" s="5">
        <v>0.317</v>
      </c>
      <c r="S106" s="5">
        <v>0.65100000000000002</v>
      </c>
      <c r="T106" s="5">
        <v>1.1759999999999999</v>
      </c>
      <c r="U106" s="5">
        <v>-4.673</v>
      </c>
      <c r="V106" s="5">
        <v>36.82</v>
      </c>
      <c r="W106" s="5">
        <v>-0.111</v>
      </c>
      <c r="X106" s="5">
        <v>-0.11799999999999999</v>
      </c>
      <c r="Y106" s="5">
        <v>0.151</v>
      </c>
      <c r="Z106" s="5">
        <v>0.49</v>
      </c>
      <c r="AA106" s="5">
        <v>0.97199999999999998</v>
      </c>
      <c r="AB106" s="5">
        <v>1.1619999999999999</v>
      </c>
      <c r="AC106" s="5">
        <v>-1.6160000000000001</v>
      </c>
      <c r="AD106" s="5">
        <v>0.50700000000000001</v>
      </c>
      <c r="AE106" s="5">
        <v>-4.9580000000000002</v>
      </c>
      <c r="AF106" s="5">
        <v>7.1459999999999999</v>
      </c>
      <c r="AG106" s="5">
        <v>-4.7320000000000002</v>
      </c>
      <c r="AH106" s="5">
        <v>1.1719999999999999</v>
      </c>
      <c r="AI106" s="5">
        <v>0.152</v>
      </c>
      <c r="AK106" s="5">
        <f t="shared" si="56"/>
        <v>1.113</v>
      </c>
      <c r="AL106" s="22">
        <f t="shared" si="57"/>
        <v>0.1</v>
      </c>
      <c r="AN106" s="1">
        <f t="shared" si="60"/>
        <v>96.8</v>
      </c>
      <c r="AO106" s="1">
        <f t="shared" si="61"/>
        <v>69.099999999999994</v>
      </c>
      <c r="AP106" s="1">
        <f t="shared" si="62"/>
        <v>36.799999999999997</v>
      </c>
      <c r="AQ106" s="16">
        <f t="shared" si="53"/>
        <v>0.31</v>
      </c>
      <c r="AR106" s="23">
        <f t="shared" si="63"/>
        <v>0.53200000000000003</v>
      </c>
      <c r="AT106" s="18">
        <f t="shared" si="58"/>
        <v>45758</v>
      </c>
      <c r="AU106" s="19">
        <f t="shared" si="59"/>
        <v>101</v>
      </c>
      <c r="AV106" s="1">
        <f t="shared" si="64"/>
        <v>-0.6</v>
      </c>
      <c r="AW106" s="1">
        <f t="shared" si="65"/>
        <v>4.5</v>
      </c>
      <c r="AX106" s="1">
        <f t="shared" si="66"/>
        <v>-4.7</v>
      </c>
      <c r="AY106" s="1">
        <f t="shared" si="54"/>
        <v>69.099999999999994</v>
      </c>
      <c r="AZ106" s="1">
        <f t="shared" si="55"/>
        <v>36.799999999999997</v>
      </c>
      <c r="BA106" s="1">
        <f t="shared" si="67"/>
        <v>1.113</v>
      </c>
      <c r="BB106" s="5">
        <f t="shared" si="68"/>
        <v>0.1</v>
      </c>
      <c r="BC106" s="1">
        <f>ROUND(AC106,1)</f>
        <v>-1.6</v>
      </c>
      <c r="BD106" s="1">
        <f>ROUND(AD106,1)</f>
        <v>0.5</v>
      </c>
      <c r="BE106" s="1">
        <f>ROUND(AE106,1)</f>
        <v>-5</v>
      </c>
      <c r="BF106" s="5">
        <f t="shared" si="69"/>
        <v>0.2</v>
      </c>
      <c r="BG106" s="5">
        <f t="shared" si="70"/>
        <v>0.6</v>
      </c>
      <c r="BH106" s="5">
        <f t="shared" si="71"/>
        <v>1.1000000000000001</v>
      </c>
      <c r="BI106" s="5">
        <f t="shared" si="72"/>
        <v>0.152</v>
      </c>
      <c r="BJ106" s="9">
        <f t="shared" si="73"/>
        <v>0.31</v>
      </c>
      <c r="BK106" s="9">
        <f t="shared" si="73"/>
        <v>0.53200000000000003</v>
      </c>
      <c r="BM106" s="1">
        <f t="shared" si="74"/>
        <v>-4.0200000000000005</v>
      </c>
      <c r="BN106" s="1">
        <f t="shared" si="75"/>
        <v>-0.28500000000000014</v>
      </c>
    </row>
    <row r="107" spans="1:66" x14ac:dyDescent="0.2">
      <c r="A107" s="4">
        <f t="shared" si="76"/>
        <v>45759</v>
      </c>
      <c r="B107" s="1">
        <v>102</v>
      </c>
      <c r="C107" s="1">
        <v>12</v>
      </c>
      <c r="D107" s="5">
        <v>13.11</v>
      </c>
      <c r="E107" s="5">
        <v>1.0999999999999999E-2</v>
      </c>
      <c r="F107" s="5">
        <v>-6.27</v>
      </c>
      <c r="G107" s="5">
        <v>-5.1609999999999996</v>
      </c>
      <c r="H107" s="5">
        <v>87.2</v>
      </c>
      <c r="I107" s="5">
        <v>4.1000000000000002E-2</v>
      </c>
      <c r="J107" s="5">
        <v>0</v>
      </c>
      <c r="K107" s="5">
        <v>0.20300000000000001</v>
      </c>
      <c r="L107" s="5">
        <v>0.54700000000000004</v>
      </c>
      <c r="M107" s="5">
        <v>1.056</v>
      </c>
      <c r="N107" s="5">
        <v>-2.7850000000000001</v>
      </c>
      <c r="O107" s="5">
        <v>93.1</v>
      </c>
      <c r="P107" s="5">
        <v>0.125</v>
      </c>
      <c r="Q107" s="5">
        <v>0.09</v>
      </c>
      <c r="R107" s="5">
        <v>0.28199999999999997</v>
      </c>
      <c r="S107" s="5">
        <v>0.65300000000000002</v>
      </c>
      <c r="T107" s="5">
        <v>1.1359999999999999</v>
      </c>
      <c r="U107" s="5">
        <v>-6.7960000000000003</v>
      </c>
      <c r="V107" s="5">
        <v>67.400000000000006</v>
      </c>
      <c r="W107" s="5">
        <v>-0.08</v>
      </c>
      <c r="X107" s="5">
        <v>-0.114</v>
      </c>
      <c r="Y107" s="5">
        <v>0.122</v>
      </c>
      <c r="Z107" s="5">
        <v>0.45900000000000002</v>
      </c>
      <c r="AA107" s="5">
        <v>0.96299999999999997</v>
      </c>
      <c r="AB107" s="5">
        <v>1.117</v>
      </c>
      <c r="AC107" s="5">
        <v>-5.2530000000000001</v>
      </c>
      <c r="AD107" s="5">
        <v>-0.123</v>
      </c>
      <c r="AE107" s="5">
        <v>-8.5500000000000007</v>
      </c>
      <c r="AF107" s="5">
        <v>-0.90800000000000003</v>
      </c>
      <c r="AG107" s="5">
        <v>-6.92</v>
      </c>
      <c r="AH107" s="5">
        <v>1.131</v>
      </c>
      <c r="AI107" s="5">
        <v>0.154</v>
      </c>
      <c r="AK107" s="5">
        <f t="shared" si="56"/>
        <v>1.1579999999999999</v>
      </c>
      <c r="AL107" s="22">
        <f t="shared" si="57"/>
        <v>0.1</v>
      </c>
      <c r="AN107" s="1">
        <f t="shared" si="60"/>
        <v>93.1</v>
      </c>
      <c r="AO107" s="1">
        <f t="shared" si="61"/>
        <v>87.2</v>
      </c>
      <c r="AP107" s="1">
        <f t="shared" si="62"/>
        <v>67.400000000000006</v>
      </c>
      <c r="AQ107" s="16">
        <f t="shared" si="53"/>
        <v>0.33500000000000002</v>
      </c>
      <c r="AR107" s="23">
        <f t="shared" si="63"/>
        <v>0.16200000000000001</v>
      </c>
      <c r="AT107" s="18">
        <f t="shared" si="58"/>
        <v>45759</v>
      </c>
      <c r="AU107" s="19">
        <f t="shared" si="59"/>
        <v>102</v>
      </c>
      <c r="AV107" s="1">
        <f t="shared" si="64"/>
        <v>-5.2</v>
      </c>
      <c r="AW107" s="1">
        <f t="shared" si="65"/>
        <v>-2.8</v>
      </c>
      <c r="AX107" s="1">
        <f t="shared" si="66"/>
        <v>-6.8</v>
      </c>
      <c r="AY107" s="1">
        <f t="shared" si="54"/>
        <v>87.2</v>
      </c>
      <c r="AZ107" s="1">
        <f t="shared" si="55"/>
        <v>67.400000000000006</v>
      </c>
      <c r="BA107" s="1">
        <f t="shared" si="67"/>
        <v>1.1579999999999999</v>
      </c>
      <c r="BB107" s="5">
        <f t="shared" si="68"/>
        <v>0.1</v>
      </c>
      <c r="BC107" s="1">
        <f>ROUND(AC107,1)</f>
        <v>-5.3</v>
      </c>
      <c r="BD107" s="1">
        <f>ROUND(AD107,1)</f>
        <v>-0.1</v>
      </c>
      <c r="BE107" s="1">
        <f>ROUND(AE107,1)</f>
        <v>-8.6</v>
      </c>
      <c r="BF107" s="5">
        <f t="shared" si="69"/>
        <v>0.2</v>
      </c>
      <c r="BG107" s="5">
        <f t="shared" si="70"/>
        <v>0.5</v>
      </c>
      <c r="BH107" s="5">
        <f t="shared" si="71"/>
        <v>1.1000000000000001</v>
      </c>
      <c r="BI107" s="5">
        <f t="shared" si="72"/>
        <v>0.154</v>
      </c>
      <c r="BJ107" s="9">
        <f t="shared" si="73"/>
        <v>0.33500000000000002</v>
      </c>
      <c r="BK107" s="9">
        <f t="shared" si="73"/>
        <v>0.16200000000000001</v>
      </c>
      <c r="BM107" s="1">
        <f t="shared" si="74"/>
        <v>2.6619999999999999</v>
      </c>
      <c r="BN107" s="1">
        <f t="shared" si="75"/>
        <v>-1.7540000000000004</v>
      </c>
    </row>
    <row r="108" spans="1:66" x14ac:dyDescent="0.2">
      <c r="A108" s="4">
        <f t="shared" si="76"/>
        <v>45760</v>
      </c>
      <c r="B108" s="1">
        <v>103</v>
      </c>
      <c r="C108" s="1">
        <v>12</v>
      </c>
      <c r="D108" s="5">
        <v>13.13</v>
      </c>
      <c r="E108" s="5">
        <v>4.5789999999999997</v>
      </c>
      <c r="F108" s="5">
        <v>-8.69</v>
      </c>
      <c r="G108" s="5">
        <v>-2.6120000000000001</v>
      </c>
      <c r="H108" s="5">
        <v>61.63</v>
      </c>
      <c r="I108" s="5">
        <v>4.9000000000000002E-2</v>
      </c>
      <c r="J108" s="5">
        <v>8.0000000000000002E-3</v>
      </c>
      <c r="K108" s="5">
        <v>0.21299999999999999</v>
      </c>
      <c r="L108" s="5">
        <v>0.55300000000000005</v>
      </c>
      <c r="M108" s="5">
        <v>1.06</v>
      </c>
      <c r="N108" s="5">
        <v>3.2170000000000001</v>
      </c>
      <c r="O108" s="5">
        <v>92.2</v>
      </c>
      <c r="P108" s="5">
        <v>0.16800000000000001</v>
      </c>
      <c r="Q108" s="5">
        <v>0.11700000000000001</v>
      </c>
      <c r="R108" s="5">
        <v>0.30599999999999999</v>
      </c>
      <c r="S108" s="5">
        <v>0.64200000000000002</v>
      </c>
      <c r="T108" s="5">
        <v>1.1579999999999999</v>
      </c>
      <c r="U108" s="5">
        <v>-8.82</v>
      </c>
      <c r="V108" s="5">
        <v>31.29</v>
      </c>
      <c r="W108" s="5">
        <v>-0.108</v>
      </c>
      <c r="X108" s="5">
        <v>-0.161</v>
      </c>
      <c r="Y108" s="5">
        <v>0.11899999999999999</v>
      </c>
      <c r="Z108" s="5">
        <v>0.46400000000000002</v>
      </c>
      <c r="AA108" s="5">
        <v>0.97</v>
      </c>
      <c r="AB108" s="5">
        <v>1.149</v>
      </c>
      <c r="AC108" s="5">
        <v>-4.7670000000000003</v>
      </c>
      <c r="AD108" s="5">
        <v>0.16</v>
      </c>
      <c r="AE108" s="5">
        <v>-10.5</v>
      </c>
      <c r="AF108" s="5">
        <v>4.3559999999999999</v>
      </c>
      <c r="AG108" s="5">
        <v>-9.18</v>
      </c>
      <c r="AH108" s="5">
        <v>1.153</v>
      </c>
      <c r="AI108" s="5">
        <v>0.154</v>
      </c>
      <c r="AK108" s="5">
        <f t="shared" si="56"/>
        <v>1.1259999999999999</v>
      </c>
      <c r="AL108" s="22">
        <f t="shared" si="57"/>
        <v>0.1</v>
      </c>
      <c r="AN108" s="1">
        <f t="shared" si="60"/>
        <v>92.2</v>
      </c>
      <c r="AO108" s="1">
        <f t="shared" si="61"/>
        <v>61.6</v>
      </c>
      <c r="AP108" s="1">
        <f t="shared" si="62"/>
        <v>31.3</v>
      </c>
      <c r="AQ108" s="16">
        <f t="shared" si="53"/>
        <v>0.24099999999999999</v>
      </c>
      <c r="AR108" s="23">
        <f t="shared" si="63"/>
        <v>0.52900000000000003</v>
      </c>
      <c r="AT108" s="18">
        <f t="shared" si="58"/>
        <v>45760</v>
      </c>
      <c r="AU108" s="19">
        <f t="shared" si="59"/>
        <v>103</v>
      </c>
      <c r="AV108" s="1">
        <f t="shared" si="64"/>
        <v>-2.6</v>
      </c>
      <c r="AW108" s="1">
        <f t="shared" si="65"/>
        <v>3.2</v>
      </c>
      <c r="AX108" s="1">
        <f t="shared" si="66"/>
        <v>-8.8000000000000007</v>
      </c>
      <c r="AY108" s="1">
        <f t="shared" si="54"/>
        <v>61.6</v>
      </c>
      <c r="AZ108" s="1">
        <f t="shared" si="55"/>
        <v>31.3</v>
      </c>
      <c r="BA108" s="1">
        <f t="shared" si="67"/>
        <v>1.1259999999999999</v>
      </c>
      <c r="BB108" s="5">
        <f t="shared" si="68"/>
        <v>0.1</v>
      </c>
      <c r="BC108" s="1">
        <f>ROUND(AC108,1)</f>
        <v>-4.8</v>
      </c>
      <c r="BD108" s="1">
        <f>ROUND(AD108,1)</f>
        <v>0.2</v>
      </c>
      <c r="BE108" s="1">
        <f>ROUND(AE108,1)</f>
        <v>-10.5</v>
      </c>
      <c r="BF108" s="5">
        <f t="shared" si="69"/>
        <v>0.2</v>
      </c>
      <c r="BG108" s="5">
        <f t="shared" si="70"/>
        <v>0.6</v>
      </c>
      <c r="BH108" s="5">
        <f t="shared" si="71"/>
        <v>1.1000000000000001</v>
      </c>
      <c r="BI108" s="5">
        <f t="shared" si="72"/>
        <v>0.154</v>
      </c>
      <c r="BJ108" s="9">
        <f t="shared" si="73"/>
        <v>0.24099999999999999</v>
      </c>
      <c r="BK108" s="9">
        <f t="shared" si="73"/>
        <v>0.52900000000000003</v>
      </c>
      <c r="BM108" s="1">
        <f t="shared" si="74"/>
        <v>-3.0569999999999999</v>
      </c>
      <c r="BN108" s="1">
        <f t="shared" si="75"/>
        <v>-1.6799999999999997</v>
      </c>
    </row>
    <row r="109" spans="1:66" x14ac:dyDescent="0.2">
      <c r="A109" s="4">
        <f t="shared" si="76"/>
        <v>45761</v>
      </c>
      <c r="B109" s="1">
        <v>104</v>
      </c>
      <c r="C109" s="1">
        <v>12</v>
      </c>
      <c r="D109" s="5">
        <v>13.13</v>
      </c>
      <c r="E109" s="5">
        <v>11.52</v>
      </c>
      <c r="F109" s="5">
        <v>-3.4929999999999999</v>
      </c>
      <c r="G109" s="5">
        <v>2.411</v>
      </c>
      <c r="H109" s="5">
        <v>48</v>
      </c>
      <c r="I109" s="5">
        <v>6.4000000000000001E-2</v>
      </c>
      <c r="J109" s="5">
        <v>2.1999999999999999E-2</v>
      </c>
      <c r="K109" s="5">
        <v>0.23100000000000001</v>
      </c>
      <c r="L109" s="5">
        <v>0.57099999999999995</v>
      </c>
      <c r="M109" s="5">
        <v>1.069</v>
      </c>
      <c r="N109" s="5">
        <v>7.77</v>
      </c>
      <c r="O109" s="5">
        <v>62.54</v>
      </c>
      <c r="P109" s="5">
        <v>0.19</v>
      </c>
      <c r="Q109" s="5">
        <v>0.14699999999999999</v>
      </c>
      <c r="R109" s="5">
        <v>0.32300000000000001</v>
      </c>
      <c r="S109" s="5">
        <v>0.67300000000000004</v>
      </c>
      <c r="T109" s="5">
        <v>1.167</v>
      </c>
      <c r="U109" s="5">
        <v>-2.7810000000000001</v>
      </c>
      <c r="V109" s="5">
        <v>29.86</v>
      </c>
      <c r="W109" s="5">
        <v>-0.11600000000000001</v>
      </c>
      <c r="X109" s="5">
        <v>-0.128</v>
      </c>
      <c r="Y109" s="5">
        <v>0.14799999999999999</v>
      </c>
      <c r="Z109" s="5">
        <v>0.48599999999999999</v>
      </c>
      <c r="AA109" s="5">
        <v>0.97</v>
      </c>
      <c r="AB109" s="5">
        <v>1.173</v>
      </c>
      <c r="AC109" s="5">
        <v>-1.8009999999999999</v>
      </c>
      <c r="AD109" s="5">
        <v>0.64</v>
      </c>
      <c r="AE109" s="5">
        <v>-5.4450000000000003</v>
      </c>
      <c r="AF109" s="5">
        <v>11.07</v>
      </c>
      <c r="AG109" s="5">
        <v>-3.202</v>
      </c>
      <c r="AH109" s="5">
        <v>1.17</v>
      </c>
      <c r="AI109" s="5">
        <v>0.152</v>
      </c>
      <c r="AK109" s="5">
        <f t="shared" si="56"/>
        <v>1.1019999999999999</v>
      </c>
      <c r="AL109" s="22">
        <f t="shared" si="57"/>
        <v>0.1</v>
      </c>
      <c r="AN109" s="1">
        <f t="shared" si="60"/>
        <v>62.5</v>
      </c>
      <c r="AO109" s="1">
        <f t="shared" si="61"/>
        <v>48</v>
      </c>
      <c r="AP109" s="1">
        <f t="shared" si="62"/>
        <v>29.9</v>
      </c>
      <c r="AQ109" s="16">
        <f t="shared" si="53"/>
        <v>0.316</v>
      </c>
      <c r="AR109" s="23">
        <f t="shared" si="63"/>
        <v>0.74099999999999999</v>
      </c>
      <c r="AT109" s="18">
        <f t="shared" si="58"/>
        <v>45761</v>
      </c>
      <c r="AU109" s="19">
        <f t="shared" si="59"/>
        <v>104</v>
      </c>
      <c r="AV109" s="1">
        <f t="shared" si="64"/>
        <v>2.4</v>
      </c>
      <c r="AW109" s="1">
        <f t="shared" si="65"/>
        <v>7.8</v>
      </c>
      <c r="AX109" s="1">
        <f t="shared" si="66"/>
        <v>-2.8</v>
      </c>
      <c r="AY109" s="1">
        <f t="shared" si="54"/>
        <v>48</v>
      </c>
      <c r="AZ109" s="1">
        <f t="shared" si="55"/>
        <v>29.9</v>
      </c>
      <c r="BA109" s="1">
        <f t="shared" si="67"/>
        <v>1.1019999999999999</v>
      </c>
      <c r="BB109" s="5">
        <f t="shared" si="68"/>
        <v>0.1</v>
      </c>
      <c r="BC109" s="1">
        <f>ROUND(AC109,1)</f>
        <v>-1.8</v>
      </c>
      <c r="BD109" s="1">
        <f>ROUND(AD109,1)</f>
        <v>0.6</v>
      </c>
      <c r="BE109" s="1">
        <f>ROUND(AE109,1)</f>
        <v>-5.4</v>
      </c>
      <c r="BF109" s="5">
        <f t="shared" si="69"/>
        <v>0.2</v>
      </c>
      <c r="BG109" s="5">
        <f t="shared" si="70"/>
        <v>0.6</v>
      </c>
      <c r="BH109" s="5">
        <f t="shared" si="71"/>
        <v>1.1000000000000001</v>
      </c>
      <c r="BI109" s="5">
        <f t="shared" si="72"/>
        <v>0.152</v>
      </c>
      <c r="BJ109" s="9">
        <f t="shared" si="73"/>
        <v>0.316</v>
      </c>
      <c r="BK109" s="9">
        <f t="shared" si="73"/>
        <v>0.74099999999999999</v>
      </c>
      <c r="BM109" s="1">
        <f t="shared" si="74"/>
        <v>-7.13</v>
      </c>
      <c r="BN109" s="1">
        <f t="shared" si="75"/>
        <v>-2.6640000000000001</v>
      </c>
    </row>
    <row r="110" spans="1:66" x14ac:dyDescent="0.2">
      <c r="A110" s="4">
        <f t="shared" si="76"/>
        <v>45762</v>
      </c>
      <c r="B110" s="1">
        <v>105</v>
      </c>
      <c r="C110" s="1">
        <v>12</v>
      </c>
      <c r="D110" s="5">
        <v>13.12</v>
      </c>
      <c r="E110" s="5">
        <v>12.09</v>
      </c>
      <c r="F110" s="5">
        <v>0.71399999999999997</v>
      </c>
      <c r="G110" s="5">
        <v>3.7250000000000001</v>
      </c>
      <c r="H110" s="5">
        <v>55.93</v>
      </c>
      <c r="I110" s="5">
        <v>8.7999999999999995E-2</v>
      </c>
      <c r="J110" s="5">
        <v>4.3999999999999997E-2</v>
      </c>
      <c r="K110" s="5">
        <v>0.24399999999999999</v>
      </c>
      <c r="L110" s="5">
        <v>0.58699999999999997</v>
      </c>
      <c r="M110" s="5">
        <v>1.087</v>
      </c>
      <c r="N110" s="5">
        <v>8.84</v>
      </c>
      <c r="O110" s="5">
        <v>76.650000000000006</v>
      </c>
      <c r="P110" s="5">
        <v>0.19400000000000001</v>
      </c>
      <c r="Q110" s="5">
        <v>0.13700000000000001</v>
      </c>
      <c r="R110" s="5">
        <v>0.33300000000000002</v>
      </c>
      <c r="S110" s="5">
        <v>0.68500000000000005</v>
      </c>
      <c r="T110" s="5">
        <v>1.1870000000000001</v>
      </c>
      <c r="U110" s="5">
        <v>0.122</v>
      </c>
      <c r="V110" s="5">
        <v>29.65</v>
      </c>
      <c r="W110" s="5">
        <v>-0.108</v>
      </c>
      <c r="X110" s="5">
        <v>-0.11700000000000001</v>
      </c>
      <c r="Y110" s="5">
        <v>0.14299999999999999</v>
      </c>
      <c r="Z110" s="5">
        <v>0.46400000000000002</v>
      </c>
      <c r="AA110" s="5">
        <v>0.96899999999999997</v>
      </c>
      <c r="AB110" s="5">
        <v>1.1919999999999999</v>
      </c>
      <c r="AC110" s="5">
        <v>-0.46</v>
      </c>
      <c r="AD110" s="5">
        <v>0.60299999999999998</v>
      </c>
      <c r="AE110" s="5">
        <v>-1.615</v>
      </c>
      <c r="AF110" s="5">
        <v>10.68</v>
      </c>
      <c r="AG110" s="5">
        <v>-8.7999999999999995E-2</v>
      </c>
      <c r="AH110" s="5">
        <v>1.1919999999999999</v>
      </c>
      <c r="AI110" s="5">
        <v>0.157</v>
      </c>
      <c r="AK110" s="5">
        <f t="shared" si="56"/>
        <v>1.083</v>
      </c>
      <c r="AL110" s="22">
        <f t="shared" si="57"/>
        <v>0.1</v>
      </c>
      <c r="AN110" s="1">
        <f t="shared" si="60"/>
        <v>76.7</v>
      </c>
      <c r="AO110" s="1">
        <f t="shared" si="61"/>
        <v>55.9</v>
      </c>
      <c r="AP110" s="1">
        <f t="shared" si="62"/>
        <v>29.7</v>
      </c>
      <c r="AQ110" s="16">
        <f t="shared" si="53"/>
        <v>0.33700000000000002</v>
      </c>
      <c r="AR110" s="23">
        <f t="shared" si="63"/>
        <v>0.79800000000000004</v>
      </c>
      <c r="AT110" s="18">
        <f t="shared" si="58"/>
        <v>45762</v>
      </c>
      <c r="AU110" s="19">
        <f t="shared" si="59"/>
        <v>105</v>
      </c>
      <c r="AV110" s="1">
        <f t="shared" si="64"/>
        <v>3.7</v>
      </c>
      <c r="AW110" s="1">
        <f t="shared" si="65"/>
        <v>8.8000000000000007</v>
      </c>
      <c r="AX110" s="1">
        <f t="shared" si="66"/>
        <v>0.1</v>
      </c>
      <c r="AY110" s="1">
        <f t="shared" si="54"/>
        <v>55.9</v>
      </c>
      <c r="AZ110" s="1">
        <f t="shared" si="55"/>
        <v>29.7</v>
      </c>
      <c r="BA110" s="1">
        <f t="shared" si="67"/>
        <v>1.083</v>
      </c>
      <c r="BB110" s="5">
        <f t="shared" si="68"/>
        <v>0.1</v>
      </c>
      <c r="BC110" s="1">
        <f>ROUND(AC110,1)</f>
        <v>-0.5</v>
      </c>
      <c r="BD110" s="1">
        <f>ROUND(AD110,1)</f>
        <v>0.6</v>
      </c>
      <c r="BE110" s="1">
        <f>ROUND(AE110,1)</f>
        <v>-1.6</v>
      </c>
      <c r="BF110" s="5">
        <f t="shared" si="69"/>
        <v>0.2</v>
      </c>
      <c r="BG110" s="5">
        <f t="shared" si="70"/>
        <v>0.6</v>
      </c>
      <c r="BH110" s="5">
        <f t="shared" si="71"/>
        <v>1.1000000000000001</v>
      </c>
      <c r="BI110" s="5">
        <f t="shared" si="72"/>
        <v>0.157</v>
      </c>
      <c r="BJ110" s="9">
        <f t="shared" si="73"/>
        <v>0.33700000000000002</v>
      </c>
      <c r="BK110" s="9">
        <f t="shared" si="73"/>
        <v>0.79800000000000004</v>
      </c>
      <c r="BM110" s="1">
        <f t="shared" si="74"/>
        <v>-8.2370000000000001</v>
      </c>
      <c r="BN110" s="1">
        <f t="shared" si="75"/>
        <v>-1.7370000000000001</v>
      </c>
    </row>
    <row r="111" spans="1:66" x14ac:dyDescent="0.2">
      <c r="A111" s="4">
        <f t="shared" si="76"/>
        <v>45763</v>
      </c>
      <c r="B111" s="1">
        <v>106</v>
      </c>
      <c r="C111" s="1">
        <v>12</v>
      </c>
      <c r="D111" s="5">
        <v>13.13</v>
      </c>
      <c r="E111" s="5">
        <v>5.5910000000000002</v>
      </c>
      <c r="F111" s="5">
        <v>-4.6360000000000001</v>
      </c>
      <c r="G111" s="5">
        <v>-2.0640000000000001</v>
      </c>
      <c r="H111" s="5">
        <v>46.68</v>
      </c>
      <c r="I111" s="5">
        <v>5.6000000000000001E-2</v>
      </c>
      <c r="J111" s="5">
        <v>1.7000000000000001E-2</v>
      </c>
      <c r="K111" s="5">
        <v>0.19600000000000001</v>
      </c>
      <c r="L111" s="5">
        <v>0.53</v>
      </c>
      <c r="M111" s="5">
        <v>1.038</v>
      </c>
      <c r="N111" s="5">
        <v>1.4259999999999999</v>
      </c>
      <c r="O111" s="5">
        <v>71.89</v>
      </c>
      <c r="P111" s="5">
        <v>0.16900000000000001</v>
      </c>
      <c r="Q111" s="5">
        <v>0.125</v>
      </c>
      <c r="R111" s="5">
        <v>0.29099999999999998</v>
      </c>
      <c r="S111" s="5">
        <v>0.63500000000000001</v>
      </c>
      <c r="T111" s="5">
        <v>1.1479999999999999</v>
      </c>
      <c r="U111" s="5">
        <v>-5.3810000000000002</v>
      </c>
      <c r="V111" s="5">
        <v>30.88</v>
      </c>
      <c r="W111" s="5">
        <v>-0.124</v>
      </c>
      <c r="X111" s="5">
        <v>-0.158</v>
      </c>
      <c r="Y111" s="5">
        <v>8.5000000000000006E-2</v>
      </c>
      <c r="Z111" s="5">
        <v>0.42299999999999999</v>
      </c>
      <c r="AA111" s="5">
        <v>0.92900000000000005</v>
      </c>
      <c r="AB111" s="5">
        <v>1.2030000000000001</v>
      </c>
      <c r="AC111" s="5">
        <v>-3.3370000000000002</v>
      </c>
      <c r="AD111" s="5">
        <v>0.44500000000000001</v>
      </c>
      <c r="AE111" s="5">
        <v>-6.8090000000000002</v>
      </c>
      <c r="AF111" s="5">
        <v>3.5590000000000002</v>
      </c>
      <c r="AG111" s="5">
        <v>-5.3710000000000004</v>
      </c>
      <c r="AH111" s="5">
        <v>1.212</v>
      </c>
      <c r="AI111" s="5">
        <v>0.16300000000000001</v>
      </c>
      <c r="AK111" s="5">
        <f t="shared" si="56"/>
        <v>1.0719999999999998</v>
      </c>
      <c r="AL111" s="22">
        <f t="shared" si="57"/>
        <v>0.1</v>
      </c>
      <c r="AN111" s="1">
        <f t="shared" si="60"/>
        <v>71.900000000000006</v>
      </c>
      <c r="AO111" s="1">
        <f t="shared" si="61"/>
        <v>46.7</v>
      </c>
      <c r="AP111" s="1">
        <f t="shared" si="62"/>
        <v>30.9</v>
      </c>
      <c r="AQ111" s="16">
        <f t="shared" si="53"/>
        <v>0.20899999999999999</v>
      </c>
      <c r="AR111" s="23">
        <f t="shared" si="63"/>
        <v>0.46700000000000003</v>
      </c>
      <c r="AT111" s="18">
        <f t="shared" si="58"/>
        <v>45763</v>
      </c>
      <c r="AU111" s="19">
        <f t="shared" si="59"/>
        <v>106</v>
      </c>
      <c r="AV111" s="1">
        <f t="shared" si="64"/>
        <v>-2.1</v>
      </c>
      <c r="AW111" s="1">
        <f t="shared" si="65"/>
        <v>1.4</v>
      </c>
      <c r="AX111" s="1">
        <f t="shared" si="66"/>
        <v>-5.4</v>
      </c>
      <c r="AY111" s="1">
        <f t="shared" si="54"/>
        <v>46.7</v>
      </c>
      <c r="AZ111" s="1">
        <f t="shared" si="55"/>
        <v>30.9</v>
      </c>
      <c r="BA111" s="1">
        <f t="shared" si="67"/>
        <v>1.0719999999999998</v>
      </c>
      <c r="BB111" s="5">
        <f t="shared" si="68"/>
        <v>0.1</v>
      </c>
      <c r="BC111" s="1">
        <f>ROUND(AC111,1)</f>
        <v>-3.3</v>
      </c>
      <c r="BD111" s="1">
        <f>ROUND(AD111,1)</f>
        <v>0.4</v>
      </c>
      <c r="BE111" s="1">
        <f>ROUND(AE111,1)</f>
        <v>-6.8</v>
      </c>
      <c r="BF111" s="5">
        <f t="shared" si="69"/>
        <v>0.2</v>
      </c>
      <c r="BG111" s="5">
        <f t="shared" si="70"/>
        <v>0.5</v>
      </c>
      <c r="BH111" s="5">
        <f t="shared" si="71"/>
        <v>1</v>
      </c>
      <c r="BI111" s="5">
        <f t="shared" si="72"/>
        <v>0.16300000000000001</v>
      </c>
      <c r="BJ111" s="9">
        <f t="shared" si="73"/>
        <v>0.20899999999999999</v>
      </c>
      <c r="BK111" s="9">
        <f t="shared" si="73"/>
        <v>0.46700000000000003</v>
      </c>
      <c r="BM111" s="1">
        <f t="shared" si="74"/>
        <v>-0.98099999999999987</v>
      </c>
      <c r="BN111" s="1">
        <f t="shared" si="75"/>
        <v>-1.4279999999999999</v>
      </c>
    </row>
    <row r="112" spans="1:66" x14ac:dyDescent="0.2">
      <c r="A112" s="4">
        <f t="shared" si="76"/>
        <v>45764</v>
      </c>
      <c r="B112" s="1">
        <v>107</v>
      </c>
      <c r="C112" s="1">
        <v>12</v>
      </c>
      <c r="D112" s="5">
        <v>13.14</v>
      </c>
      <c r="E112" s="5">
        <v>8.23</v>
      </c>
      <c r="F112" s="5">
        <v>-5.8310000000000004</v>
      </c>
      <c r="G112" s="5">
        <v>-0.79600000000000004</v>
      </c>
      <c r="H112" s="5">
        <v>42.29</v>
      </c>
      <c r="I112" s="5">
        <v>5.6000000000000001E-2</v>
      </c>
      <c r="J112" s="5">
        <v>1.7000000000000001E-2</v>
      </c>
      <c r="K112" s="5">
        <v>0.20599999999999999</v>
      </c>
      <c r="L112" s="5">
        <v>0.53800000000000003</v>
      </c>
      <c r="M112" s="5">
        <v>1.042</v>
      </c>
      <c r="N112" s="5">
        <v>4.2569999999999997</v>
      </c>
      <c r="O112" s="5">
        <v>57.34</v>
      </c>
      <c r="P112" s="5">
        <v>0.16600000000000001</v>
      </c>
      <c r="Q112" s="5">
        <v>0.13400000000000001</v>
      </c>
      <c r="R112" s="5">
        <v>0.29199999999999998</v>
      </c>
      <c r="S112" s="5">
        <v>0.63400000000000001</v>
      </c>
      <c r="T112" s="5">
        <v>1.1240000000000001</v>
      </c>
      <c r="U112" s="5">
        <v>-5.4130000000000003</v>
      </c>
      <c r="V112" s="5">
        <v>24.36</v>
      </c>
      <c r="W112" s="5">
        <v>-0.13300000000000001</v>
      </c>
      <c r="X112" s="5">
        <v>-0.14699999999999999</v>
      </c>
      <c r="Y112" s="5">
        <v>0.12</v>
      </c>
      <c r="Z112" s="5">
        <v>0.45500000000000002</v>
      </c>
      <c r="AA112" s="5">
        <v>0.94199999999999995</v>
      </c>
      <c r="AB112" s="5">
        <v>1.2190000000000001</v>
      </c>
      <c r="AC112" s="5">
        <v>-3.3319999999999999</v>
      </c>
      <c r="AD112" s="5">
        <v>0.53700000000000003</v>
      </c>
      <c r="AE112" s="5">
        <v>-7.5170000000000003</v>
      </c>
      <c r="AF112" s="5">
        <v>6.1289999999999996</v>
      </c>
      <c r="AG112" s="5">
        <v>-5.7409999999999997</v>
      </c>
      <c r="AH112" s="5">
        <v>1.222</v>
      </c>
      <c r="AI112" s="5">
        <v>0.16</v>
      </c>
      <c r="AK112" s="5">
        <f t="shared" si="56"/>
        <v>1.0559999999999998</v>
      </c>
      <c r="AL112" s="22">
        <f t="shared" si="57"/>
        <v>0.1</v>
      </c>
      <c r="AN112" s="1">
        <f t="shared" si="60"/>
        <v>57.3</v>
      </c>
      <c r="AO112" s="1">
        <f t="shared" si="61"/>
        <v>42.3</v>
      </c>
      <c r="AP112" s="1">
        <f t="shared" si="62"/>
        <v>24.4</v>
      </c>
      <c r="AQ112" s="16">
        <f t="shared" si="53"/>
        <v>0.20200000000000001</v>
      </c>
      <c r="AR112" s="23">
        <f t="shared" si="63"/>
        <v>0.626</v>
      </c>
      <c r="AT112" s="18">
        <f t="shared" si="58"/>
        <v>45764</v>
      </c>
      <c r="AU112" s="19">
        <f t="shared" si="59"/>
        <v>107</v>
      </c>
      <c r="AV112" s="1">
        <f t="shared" si="64"/>
        <v>-0.8</v>
      </c>
      <c r="AW112" s="1">
        <f t="shared" si="65"/>
        <v>4.3</v>
      </c>
      <c r="AX112" s="1">
        <f t="shared" si="66"/>
        <v>-5.4</v>
      </c>
      <c r="AY112" s="1">
        <f t="shared" si="54"/>
        <v>42.3</v>
      </c>
      <c r="AZ112" s="1">
        <f t="shared" si="55"/>
        <v>24.4</v>
      </c>
      <c r="BA112" s="1">
        <f t="shared" si="67"/>
        <v>1.0559999999999998</v>
      </c>
      <c r="BB112" s="5">
        <f t="shared" si="68"/>
        <v>0.1</v>
      </c>
      <c r="BC112" s="1">
        <f>ROUND(AC112,1)</f>
        <v>-3.3</v>
      </c>
      <c r="BD112" s="1">
        <f>ROUND(AD112,1)</f>
        <v>0.5</v>
      </c>
      <c r="BE112" s="1">
        <f>ROUND(AE112,1)</f>
        <v>-7.5</v>
      </c>
      <c r="BF112" s="5">
        <f t="shared" si="69"/>
        <v>0.2</v>
      </c>
      <c r="BG112" s="5">
        <f t="shared" si="70"/>
        <v>0.5</v>
      </c>
      <c r="BH112" s="5">
        <f t="shared" si="71"/>
        <v>1</v>
      </c>
      <c r="BI112" s="5">
        <f t="shared" si="72"/>
        <v>0.16</v>
      </c>
      <c r="BJ112" s="9">
        <f t="shared" si="73"/>
        <v>0.20200000000000001</v>
      </c>
      <c r="BK112" s="9">
        <f t="shared" si="73"/>
        <v>0.626</v>
      </c>
      <c r="BM112" s="1">
        <f t="shared" si="74"/>
        <v>-3.7199999999999998</v>
      </c>
      <c r="BN112" s="1">
        <f t="shared" si="75"/>
        <v>-2.1040000000000001</v>
      </c>
    </row>
    <row r="113" spans="1:66" x14ac:dyDescent="0.2">
      <c r="A113" s="4">
        <f t="shared" si="76"/>
        <v>45765</v>
      </c>
      <c r="B113" s="1">
        <v>108</v>
      </c>
      <c r="C113" s="1">
        <v>12</v>
      </c>
      <c r="D113" s="5">
        <v>13.12</v>
      </c>
      <c r="E113" s="5">
        <v>15</v>
      </c>
      <c r="F113" s="5">
        <v>-2.677</v>
      </c>
      <c r="G113" s="5">
        <v>4.1909999999999998</v>
      </c>
      <c r="H113" s="5">
        <v>44.64</v>
      </c>
      <c r="I113" s="5">
        <v>6.7000000000000004E-2</v>
      </c>
      <c r="J113" s="5">
        <v>2.7E-2</v>
      </c>
      <c r="K113" s="5">
        <v>0.222</v>
      </c>
      <c r="L113" s="5">
        <v>0.55600000000000005</v>
      </c>
      <c r="M113" s="5">
        <v>1.054</v>
      </c>
      <c r="N113" s="5">
        <v>11.5</v>
      </c>
      <c r="O113" s="5">
        <v>79.03</v>
      </c>
      <c r="P113" s="5">
        <v>0.217</v>
      </c>
      <c r="Q113" s="5">
        <v>0.16300000000000001</v>
      </c>
      <c r="R113" s="5">
        <v>0.315</v>
      </c>
      <c r="S113" s="5">
        <v>0.65100000000000002</v>
      </c>
      <c r="T113" s="5">
        <v>1.1419999999999999</v>
      </c>
      <c r="U113" s="5">
        <v>-2.109</v>
      </c>
      <c r="V113" s="5">
        <v>32.1</v>
      </c>
      <c r="W113" s="5">
        <v>-0.128</v>
      </c>
      <c r="X113" s="5">
        <v>-0.151</v>
      </c>
      <c r="Y113" s="5">
        <v>0.14099999999999999</v>
      </c>
      <c r="Z113" s="5">
        <v>0.46200000000000002</v>
      </c>
      <c r="AA113" s="5">
        <v>0.91400000000000003</v>
      </c>
      <c r="AB113" s="5">
        <v>1.2609999999999999</v>
      </c>
      <c r="AC113" s="5">
        <v>-1.2829999999999999</v>
      </c>
      <c r="AD113" s="5">
        <v>0.8</v>
      </c>
      <c r="AE113" s="5">
        <v>-4.4290000000000003</v>
      </c>
      <c r="AF113" s="5">
        <v>12.76</v>
      </c>
      <c r="AG113" s="5">
        <v>-2.4119999999999999</v>
      </c>
      <c r="AH113" s="5">
        <v>1.256</v>
      </c>
      <c r="AI113" s="5">
        <v>0.16300000000000001</v>
      </c>
      <c r="AK113" s="5">
        <f t="shared" si="56"/>
        <v>1.014</v>
      </c>
      <c r="AL113" s="22">
        <f t="shared" si="57"/>
        <v>0.1</v>
      </c>
      <c r="AN113" s="1">
        <f t="shared" si="60"/>
        <v>79</v>
      </c>
      <c r="AO113" s="1">
        <f t="shared" si="61"/>
        <v>44.6</v>
      </c>
      <c r="AP113" s="1">
        <f t="shared" si="62"/>
        <v>32.1</v>
      </c>
      <c r="AQ113" s="16">
        <f t="shared" si="53"/>
        <v>0.435</v>
      </c>
      <c r="AR113" s="23">
        <f t="shared" si="63"/>
        <v>0.92</v>
      </c>
      <c r="AT113" s="18">
        <f t="shared" si="58"/>
        <v>45765</v>
      </c>
      <c r="AU113" s="19">
        <f t="shared" si="59"/>
        <v>108</v>
      </c>
      <c r="AV113" s="1">
        <f t="shared" si="64"/>
        <v>4.2</v>
      </c>
      <c r="AW113" s="1">
        <f t="shared" si="65"/>
        <v>11.5</v>
      </c>
      <c r="AX113" s="1">
        <f t="shared" si="66"/>
        <v>-2.1</v>
      </c>
      <c r="AY113" s="1">
        <f t="shared" si="54"/>
        <v>44.6</v>
      </c>
      <c r="AZ113" s="1">
        <f t="shared" si="55"/>
        <v>32.1</v>
      </c>
      <c r="BA113" s="1">
        <f t="shared" si="67"/>
        <v>1.014</v>
      </c>
      <c r="BB113" s="5">
        <f t="shared" si="68"/>
        <v>0.1</v>
      </c>
      <c r="BC113" s="1">
        <f>ROUND(AC113,1)</f>
        <v>-1.3</v>
      </c>
      <c r="BD113" s="1">
        <f>ROUND(AD113,1)</f>
        <v>0.8</v>
      </c>
      <c r="BE113" s="1">
        <f>ROUND(AE113,1)</f>
        <v>-4.4000000000000004</v>
      </c>
      <c r="BF113" s="5">
        <f t="shared" si="69"/>
        <v>0.2</v>
      </c>
      <c r="BG113" s="5">
        <f t="shared" si="70"/>
        <v>0.6</v>
      </c>
      <c r="BH113" s="5">
        <f t="shared" si="71"/>
        <v>1.1000000000000001</v>
      </c>
      <c r="BI113" s="5">
        <f t="shared" si="72"/>
        <v>0.16300000000000001</v>
      </c>
      <c r="BJ113" s="9">
        <f t="shared" si="73"/>
        <v>0.435</v>
      </c>
      <c r="BK113" s="9">
        <f t="shared" si="73"/>
        <v>0.92</v>
      </c>
      <c r="BM113" s="1">
        <f t="shared" si="74"/>
        <v>-10.7</v>
      </c>
      <c r="BN113" s="1">
        <f t="shared" si="75"/>
        <v>-2.3200000000000003</v>
      </c>
    </row>
    <row r="114" spans="1:66" x14ac:dyDescent="0.2">
      <c r="A114" s="4">
        <f t="shared" si="76"/>
        <v>45766</v>
      </c>
      <c r="B114" s="1">
        <v>109</v>
      </c>
      <c r="C114" s="1">
        <v>12</v>
      </c>
      <c r="D114" s="5">
        <v>13.13</v>
      </c>
      <c r="E114" s="5">
        <v>6.8090000000000002</v>
      </c>
      <c r="F114" s="5">
        <v>-2.036</v>
      </c>
      <c r="G114" s="5">
        <v>0.53400000000000003</v>
      </c>
      <c r="H114" s="5">
        <v>77.84</v>
      </c>
      <c r="I114" s="5">
        <v>7.9000000000000001E-2</v>
      </c>
      <c r="J114" s="5">
        <v>3.7999999999999999E-2</v>
      </c>
      <c r="K114" s="5">
        <v>0.21199999999999999</v>
      </c>
      <c r="L114" s="5">
        <v>0.53700000000000003</v>
      </c>
      <c r="M114" s="5">
        <v>1.0389999999999999</v>
      </c>
      <c r="N114" s="5">
        <v>5.3079999999999998</v>
      </c>
      <c r="O114" s="5">
        <v>96.1</v>
      </c>
      <c r="P114" s="5">
        <v>0.188</v>
      </c>
      <c r="Q114" s="5">
        <v>0.14699999999999999</v>
      </c>
      <c r="R114" s="5">
        <v>0.30599999999999999</v>
      </c>
      <c r="S114" s="5">
        <v>0.64100000000000001</v>
      </c>
      <c r="T114" s="5">
        <v>1.135</v>
      </c>
      <c r="U114" s="5">
        <v>-2.7850000000000001</v>
      </c>
      <c r="V114" s="5">
        <v>39.130000000000003</v>
      </c>
      <c r="W114" s="5">
        <v>-4.7E-2</v>
      </c>
      <c r="X114" s="5">
        <v>-7.4999999999999997E-2</v>
      </c>
      <c r="Y114" s="5">
        <v>0.126</v>
      </c>
      <c r="Z114" s="5">
        <v>0.436</v>
      </c>
      <c r="AA114" s="5">
        <v>0.94299999999999995</v>
      </c>
      <c r="AB114" s="5">
        <v>1.2649999999999999</v>
      </c>
      <c r="AC114" s="5">
        <v>-0.71399999999999997</v>
      </c>
      <c r="AD114" s="5">
        <v>0.59</v>
      </c>
      <c r="AE114" s="5">
        <v>-3.1070000000000002</v>
      </c>
      <c r="AF114" s="5">
        <v>5.4370000000000003</v>
      </c>
      <c r="AG114" s="5">
        <v>-2.8359999999999999</v>
      </c>
      <c r="AH114" s="5">
        <v>1.2709999999999999</v>
      </c>
      <c r="AI114" s="5">
        <v>0.17100000000000001</v>
      </c>
      <c r="AK114" s="5">
        <f t="shared" si="56"/>
        <v>1.01</v>
      </c>
      <c r="AL114" s="22">
        <f t="shared" si="57"/>
        <v>0.1</v>
      </c>
      <c r="AN114" s="1">
        <f t="shared" si="60"/>
        <v>96.1</v>
      </c>
      <c r="AO114" s="1">
        <f t="shared" si="61"/>
        <v>77.8</v>
      </c>
      <c r="AP114" s="1">
        <f t="shared" si="62"/>
        <v>39.1</v>
      </c>
      <c r="AQ114" s="16">
        <f t="shared" si="53"/>
        <v>0.34799999999999998</v>
      </c>
      <c r="AR114" s="23">
        <f t="shared" si="63"/>
        <v>0.54200000000000004</v>
      </c>
      <c r="AT114" s="18">
        <f t="shared" si="58"/>
        <v>45766</v>
      </c>
      <c r="AU114" s="19">
        <f t="shared" si="59"/>
        <v>109</v>
      </c>
      <c r="AV114" s="1">
        <f t="shared" si="64"/>
        <v>0.5</v>
      </c>
      <c r="AW114" s="1">
        <f t="shared" si="65"/>
        <v>5.3</v>
      </c>
      <c r="AX114" s="1">
        <f t="shared" si="66"/>
        <v>-2.8</v>
      </c>
      <c r="AY114" s="1">
        <f t="shared" si="54"/>
        <v>77.8</v>
      </c>
      <c r="AZ114" s="1">
        <f t="shared" si="55"/>
        <v>39.1</v>
      </c>
      <c r="BA114" s="1">
        <f t="shared" si="67"/>
        <v>1.01</v>
      </c>
      <c r="BB114" s="5">
        <f t="shared" si="68"/>
        <v>0.1</v>
      </c>
      <c r="BC114" s="1">
        <f>ROUND(AC114,1)</f>
        <v>-0.7</v>
      </c>
      <c r="BD114" s="1">
        <f>ROUND(AD114,1)</f>
        <v>0.6</v>
      </c>
      <c r="BE114" s="1">
        <f>ROUND(AE114,1)</f>
        <v>-3.1</v>
      </c>
      <c r="BF114" s="5">
        <f t="shared" si="69"/>
        <v>0.2</v>
      </c>
      <c r="BG114" s="5">
        <f t="shared" si="70"/>
        <v>0.5</v>
      </c>
      <c r="BH114" s="5">
        <f t="shared" si="71"/>
        <v>1</v>
      </c>
      <c r="BI114" s="5">
        <f t="shared" si="72"/>
        <v>0.17100000000000001</v>
      </c>
      <c r="BJ114" s="9">
        <f t="shared" si="73"/>
        <v>0.34799999999999998</v>
      </c>
      <c r="BK114" s="9">
        <f t="shared" si="73"/>
        <v>0.54200000000000004</v>
      </c>
      <c r="BM114" s="1">
        <f t="shared" si="74"/>
        <v>-4.718</v>
      </c>
      <c r="BN114" s="1">
        <f t="shared" si="75"/>
        <v>-0.32200000000000006</v>
      </c>
    </row>
    <row r="115" spans="1:66" x14ac:dyDescent="0.2">
      <c r="A115" s="4">
        <f t="shared" si="76"/>
        <v>45767</v>
      </c>
      <c r="B115" s="1">
        <v>110</v>
      </c>
      <c r="C115" s="1">
        <v>12</v>
      </c>
      <c r="D115" s="5">
        <v>13.15</v>
      </c>
      <c r="E115" s="5">
        <v>1.861</v>
      </c>
      <c r="F115" s="5">
        <v>-3.45</v>
      </c>
      <c r="G115" s="5">
        <v>-2.2599999999999998</v>
      </c>
      <c r="H115" s="5">
        <v>83.5</v>
      </c>
      <c r="I115" s="5">
        <v>4.8000000000000001E-2</v>
      </c>
      <c r="J115" s="5">
        <v>8.0000000000000002E-3</v>
      </c>
      <c r="K115" s="5">
        <v>0.188</v>
      </c>
      <c r="L115" s="5">
        <v>0.50800000000000001</v>
      </c>
      <c r="M115" s="5">
        <v>1.0149999999999999</v>
      </c>
      <c r="N115" s="5">
        <v>0.76400000000000001</v>
      </c>
      <c r="O115" s="5">
        <v>94.7</v>
      </c>
      <c r="P115" s="5">
        <v>0.13900000000000001</v>
      </c>
      <c r="Q115" s="5">
        <v>9.4E-2</v>
      </c>
      <c r="R115" s="5">
        <v>0.27600000000000002</v>
      </c>
      <c r="S115" s="5">
        <v>0.60399999999999998</v>
      </c>
      <c r="T115" s="5">
        <v>1.103</v>
      </c>
      <c r="U115" s="5">
        <v>-4.5030000000000001</v>
      </c>
      <c r="V115" s="5">
        <v>56.21</v>
      </c>
      <c r="W115" s="5">
        <v>-7.3999999999999996E-2</v>
      </c>
      <c r="X115" s="5">
        <v>-9.5000000000000001E-2</v>
      </c>
      <c r="Y115" s="5">
        <v>0.104</v>
      </c>
      <c r="Z115" s="5">
        <v>0.42</v>
      </c>
      <c r="AA115" s="5">
        <v>0.93300000000000005</v>
      </c>
      <c r="AB115" s="5">
        <v>1.2649999999999999</v>
      </c>
      <c r="AC115" s="5">
        <v>-2.37</v>
      </c>
      <c r="AD115" s="5">
        <v>0.26100000000000001</v>
      </c>
      <c r="AE115" s="5">
        <v>-4.6159999999999997</v>
      </c>
      <c r="AF115" s="5">
        <v>1.196</v>
      </c>
      <c r="AG115" s="5">
        <v>-4.4240000000000004</v>
      </c>
      <c r="AH115" s="5">
        <v>1.2749999999999999</v>
      </c>
      <c r="AI115" s="5">
        <v>0.17</v>
      </c>
      <c r="AK115" s="5">
        <f t="shared" si="56"/>
        <v>1.01</v>
      </c>
      <c r="AL115" s="22">
        <f t="shared" si="57"/>
        <v>0.1</v>
      </c>
      <c r="AN115" s="1">
        <f t="shared" si="60"/>
        <v>94.7</v>
      </c>
      <c r="AO115" s="1">
        <f t="shared" si="61"/>
        <v>83.5</v>
      </c>
      <c r="AP115" s="1">
        <f t="shared" si="62"/>
        <v>56.2</v>
      </c>
      <c r="AQ115" s="16">
        <f t="shared" si="53"/>
        <v>0.36299999999999999</v>
      </c>
      <c r="AR115" s="23">
        <f t="shared" si="63"/>
        <v>0.28299999999999997</v>
      </c>
      <c r="AT115" s="18">
        <f t="shared" si="58"/>
        <v>45767</v>
      </c>
      <c r="AU115" s="19">
        <f t="shared" si="59"/>
        <v>110</v>
      </c>
      <c r="AV115" s="1">
        <f t="shared" si="64"/>
        <v>-2.2999999999999998</v>
      </c>
      <c r="AW115" s="1">
        <f t="shared" si="65"/>
        <v>0.8</v>
      </c>
      <c r="AX115" s="1">
        <f t="shared" si="66"/>
        <v>-4.5</v>
      </c>
      <c r="AY115" s="1">
        <f t="shared" si="54"/>
        <v>83.5</v>
      </c>
      <c r="AZ115" s="1">
        <f t="shared" si="55"/>
        <v>56.2</v>
      </c>
      <c r="BA115" s="1">
        <f t="shared" si="67"/>
        <v>1.01</v>
      </c>
      <c r="BB115" s="5">
        <f t="shared" si="68"/>
        <v>0.1</v>
      </c>
      <c r="BC115" s="1">
        <f>ROUND(AC115,1)</f>
        <v>-2.4</v>
      </c>
      <c r="BD115" s="1">
        <f>ROUND(AD115,1)</f>
        <v>0.3</v>
      </c>
      <c r="BE115" s="1">
        <f>ROUND(AE115,1)</f>
        <v>-4.5999999999999996</v>
      </c>
      <c r="BF115" s="5">
        <f t="shared" si="69"/>
        <v>0.2</v>
      </c>
      <c r="BG115" s="5">
        <f t="shared" si="70"/>
        <v>0.5</v>
      </c>
      <c r="BH115" s="5">
        <f t="shared" si="71"/>
        <v>1</v>
      </c>
      <c r="BI115" s="5">
        <f t="shared" si="72"/>
        <v>0.17</v>
      </c>
      <c r="BJ115" s="9">
        <f t="shared" si="73"/>
        <v>0.36299999999999999</v>
      </c>
      <c r="BK115" s="9">
        <f t="shared" si="73"/>
        <v>0.28299999999999997</v>
      </c>
      <c r="BM115" s="1">
        <f t="shared" si="74"/>
        <v>-0.503</v>
      </c>
      <c r="BN115" s="1">
        <f t="shared" si="75"/>
        <v>-0.11299999999999955</v>
      </c>
    </row>
    <row r="116" spans="1:66" x14ac:dyDescent="0.2">
      <c r="A116" s="4">
        <f t="shared" si="76"/>
        <v>45768</v>
      </c>
      <c r="B116" s="1">
        <v>111</v>
      </c>
      <c r="C116" s="1">
        <v>12</v>
      </c>
      <c r="D116" s="5">
        <v>13.13</v>
      </c>
      <c r="E116" s="5">
        <v>0.79700000000000004</v>
      </c>
      <c r="F116" s="5">
        <v>-5.5469999999999997</v>
      </c>
      <c r="G116" s="5">
        <v>-4.2530000000000001</v>
      </c>
      <c r="H116" s="5">
        <v>87.3</v>
      </c>
      <c r="I116" s="5">
        <v>3.7999999999999999E-2</v>
      </c>
      <c r="J116" s="5">
        <v>3.0000000000000001E-3</v>
      </c>
      <c r="K116" s="5">
        <v>0.185</v>
      </c>
      <c r="L116" s="5">
        <v>0.50800000000000001</v>
      </c>
      <c r="M116" s="5">
        <v>1.0069999999999999</v>
      </c>
      <c r="N116" s="5">
        <v>-1.6020000000000001</v>
      </c>
      <c r="O116" s="5">
        <v>93.9</v>
      </c>
      <c r="P116" s="5">
        <v>0.121</v>
      </c>
      <c r="Q116" s="5">
        <v>8.7999999999999995E-2</v>
      </c>
      <c r="R116" s="5">
        <v>0.26600000000000001</v>
      </c>
      <c r="S116" s="5">
        <v>0.59</v>
      </c>
      <c r="T116" s="5">
        <v>1.103</v>
      </c>
      <c r="U116" s="5">
        <v>-6.0860000000000003</v>
      </c>
      <c r="V116" s="5">
        <v>67.03</v>
      </c>
      <c r="W116" s="5">
        <v>-7.0999999999999994E-2</v>
      </c>
      <c r="X116" s="5">
        <v>-9.8000000000000004E-2</v>
      </c>
      <c r="Y116" s="5">
        <v>9.0999999999999998E-2</v>
      </c>
      <c r="Z116" s="5">
        <v>0.42499999999999999</v>
      </c>
      <c r="AA116" s="5">
        <v>0.92</v>
      </c>
      <c r="AB116" s="5">
        <v>1.25</v>
      </c>
      <c r="AC116" s="5">
        <v>-4.3899999999999997</v>
      </c>
      <c r="AD116" s="5">
        <v>1.6E-2</v>
      </c>
      <c r="AE116" s="5">
        <v>-7.7149999999999999</v>
      </c>
      <c r="AF116" s="5">
        <v>0.47299999999999998</v>
      </c>
      <c r="AG116" s="5">
        <v>-6.1390000000000002</v>
      </c>
      <c r="AH116" s="5">
        <v>1.262</v>
      </c>
      <c r="AI116" s="5">
        <v>0.16400000000000001</v>
      </c>
      <c r="AK116" s="5">
        <f t="shared" si="56"/>
        <v>1.0249999999999999</v>
      </c>
      <c r="AL116" s="22">
        <f t="shared" si="57"/>
        <v>0.1</v>
      </c>
      <c r="AN116" s="1">
        <f t="shared" si="60"/>
        <v>93.9</v>
      </c>
      <c r="AO116" s="1">
        <f t="shared" si="61"/>
        <v>87.3</v>
      </c>
      <c r="AP116" s="1">
        <f t="shared" si="62"/>
        <v>67</v>
      </c>
      <c r="AQ116" s="16">
        <f t="shared" si="53"/>
        <v>0.36399999999999999</v>
      </c>
      <c r="AR116" s="23">
        <f t="shared" si="63"/>
        <v>0.17899999999999999</v>
      </c>
      <c r="AT116" s="18">
        <f t="shared" si="58"/>
        <v>45768</v>
      </c>
      <c r="AU116" s="19">
        <f t="shared" si="59"/>
        <v>111</v>
      </c>
      <c r="AV116" s="1">
        <f t="shared" si="64"/>
        <v>-4.3</v>
      </c>
      <c r="AW116" s="1">
        <f t="shared" si="65"/>
        <v>-1.6</v>
      </c>
      <c r="AX116" s="1">
        <f t="shared" si="66"/>
        <v>-6.1</v>
      </c>
      <c r="AY116" s="1">
        <f t="shared" si="54"/>
        <v>87.3</v>
      </c>
      <c r="AZ116" s="1">
        <f t="shared" si="55"/>
        <v>67</v>
      </c>
      <c r="BA116" s="1">
        <f t="shared" si="67"/>
        <v>1.0249999999999999</v>
      </c>
      <c r="BB116" s="5">
        <f t="shared" si="68"/>
        <v>0.1</v>
      </c>
      <c r="BC116" s="1">
        <f>ROUND(AC116,1)</f>
        <v>-4.4000000000000004</v>
      </c>
      <c r="BD116" s="1">
        <f>ROUND(AD116,1)</f>
        <v>0</v>
      </c>
      <c r="BE116" s="1">
        <f>ROUND(AE116,1)</f>
        <v>-7.7</v>
      </c>
      <c r="BF116" s="5">
        <f t="shared" si="69"/>
        <v>0.2</v>
      </c>
      <c r="BG116" s="5">
        <f t="shared" si="70"/>
        <v>0.5</v>
      </c>
      <c r="BH116" s="5">
        <f t="shared" si="71"/>
        <v>1</v>
      </c>
      <c r="BI116" s="5">
        <f t="shared" si="72"/>
        <v>0.16400000000000001</v>
      </c>
      <c r="BJ116" s="9">
        <f t="shared" si="73"/>
        <v>0.36399999999999999</v>
      </c>
      <c r="BK116" s="9">
        <f t="shared" si="73"/>
        <v>0.17899999999999999</v>
      </c>
      <c r="BM116" s="1">
        <f t="shared" si="74"/>
        <v>1.6180000000000001</v>
      </c>
      <c r="BN116" s="1">
        <f t="shared" si="75"/>
        <v>-1.6289999999999996</v>
      </c>
    </row>
    <row r="117" spans="1:66" x14ac:dyDescent="0.2">
      <c r="A117" s="4">
        <f t="shared" si="76"/>
        <v>45769</v>
      </c>
      <c r="B117" s="1">
        <v>112</v>
      </c>
      <c r="C117" s="1">
        <v>12</v>
      </c>
      <c r="D117" s="5">
        <v>13.16</v>
      </c>
      <c r="E117" s="5">
        <v>2.7360000000000002</v>
      </c>
      <c r="F117" s="5">
        <v>-7.0629999999999997</v>
      </c>
      <c r="G117" s="5">
        <v>-2.7559999999999998</v>
      </c>
      <c r="H117" s="5">
        <v>68.319999999999993</v>
      </c>
      <c r="I117" s="5">
        <v>4.7E-2</v>
      </c>
      <c r="J117" s="5">
        <v>8.0000000000000002E-3</v>
      </c>
      <c r="K117" s="5">
        <v>0.19900000000000001</v>
      </c>
      <c r="L117" s="5">
        <v>0.52300000000000002</v>
      </c>
      <c r="M117" s="5">
        <v>1.0169999999999999</v>
      </c>
      <c r="N117" s="5">
        <v>1.399</v>
      </c>
      <c r="O117" s="5">
        <v>92.3</v>
      </c>
      <c r="P117" s="5">
        <v>0.14799999999999999</v>
      </c>
      <c r="Q117" s="5">
        <v>0.10199999999999999</v>
      </c>
      <c r="R117" s="5">
        <v>0.29399999999999998</v>
      </c>
      <c r="S117" s="5">
        <v>0.61899999999999999</v>
      </c>
      <c r="T117" s="5">
        <v>1.1100000000000001</v>
      </c>
      <c r="U117" s="5">
        <v>-7.3710000000000004</v>
      </c>
      <c r="V117" s="5">
        <v>39.340000000000003</v>
      </c>
      <c r="W117" s="5">
        <v>-0.11</v>
      </c>
      <c r="X117" s="5">
        <v>-0.121</v>
      </c>
      <c r="Y117" s="5">
        <v>0.121</v>
      </c>
      <c r="Z117" s="5">
        <v>0.435</v>
      </c>
      <c r="AA117" s="5">
        <v>0.92900000000000005</v>
      </c>
      <c r="AB117" s="5">
        <v>1.254</v>
      </c>
      <c r="AC117" s="5">
        <v>-4.5419999999999998</v>
      </c>
      <c r="AD117" s="5">
        <v>0.371</v>
      </c>
      <c r="AE117" s="5">
        <v>-8.86</v>
      </c>
      <c r="AF117" s="5">
        <v>2.61</v>
      </c>
      <c r="AG117" s="5">
        <v>-7.65</v>
      </c>
      <c r="AH117" s="5">
        <v>1.264</v>
      </c>
      <c r="AI117" s="5">
        <v>0.161</v>
      </c>
      <c r="AK117" s="5">
        <f t="shared" si="56"/>
        <v>1.0209999999999999</v>
      </c>
      <c r="AL117" s="22">
        <f t="shared" si="57"/>
        <v>0.1</v>
      </c>
      <c r="AN117" s="1">
        <f t="shared" si="60"/>
        <v>92.3</v>
      </c>
      <c r="AO117" s="1">
        <f t="shared" si="61"/>
        <v>68.3</v>
      </c>
      <c r="AP117" s="1">
        <f t="shared" si="62"/>
        <v>39.299999999999997</v>
      </c>
      <c r="AQ117" s="16">
        <f t="shared" si="53"/>
        <v>0.26500000000000001</v>
      </c>
      <c r="AR117" s="23">
        <f t="shared" si="63"/>
        <v>0.40899999999999997</v>
      </c>
      <c r="AT117" s="18">
        <f t="shared" si="58"/>
        <v>45769</v>
      </c>
      <c r="AU117" s="19">
        <f t="shared" si="59"/>
        <v>112</v>
      </c>
      <c r="AV117" s="1">
        <f t="shared" si="64"/>
        <v>-2.8</v>
      </c>
      <c r="AW117" s="1">
        <f t="shared" si="65"/>
        <v>1.4</v>
      </c>
      <c r="AX117" s="1">
        <f t="shared" si="66"/>
        <v>-7.4</v>
      </c>
      <c r="AY117" s="1">
        <f t="shared" si="54"/>
        <v>68.3</v>
      </c>
      <c r="AZ117" s="1">
        <f t="shared" si="55"/>
        <v>39.299999999999997</v>
      </c>
      <c r="BA117" s="1">
        <f t="shared" si="67"/>
        <v>1.0209999999999999</v>
      </c>
      <c r="BB117" s="5">
        <f t="shared" si="68"/>
        <v>0.1</v>
      </c>
      <c r="BC117" s="1">
        <f>ROUND(AC117,1)</f>
        <v>-4.5</v>
      </c>
      <c r="BD117" s="1">
        <f>ROUND(AD117,1)</f>
        <v>0.4</v>
      </c>
      <c r="BE117" s="1">
        <f>ROUND(AE117,1)</f>
        <v>-8.9</v>
      </c>
      <c r="BF117" s="5">
        <f t="shared" si="69"/>
        <v>0.2</v>
      </c>
      <c r="BG117" s="5">
        <f t="shared" si="70"/>
        <v>0.5</v>
      </c>
      <c r="BH117" s="5">
        <f t="shared" si="71"/>
        <v>1</v>
      </c>
      <c r="BI117" s="5">
        <f t="shared" si="72"/>
        <v>0.161</v>
      </c>
      <c r="BJ117" s="9">
        <f t="shared" si="73"/>
        <v>0.26500000000000001</v>
      </c>
      <c r="BK117" s="9">
        <f t="shared" si="73"/>
        <v>0.40899999999999997</v>
      </c>
      <c r="BM117" s="1">
        <f t="shared" si="74"/>
        <v>-1.028</v>
      </c>
      <c r="BN117" s="1">
        <f t="shared" si="75"/>
        <v>-1.488999999999999</v>
      </c>
    </row>
    <row r="118" spans="1:66" x14ac:dyDescent="0.2">
      <c r="A118" s="4">
        <f t="shared" si="76"/>
        <v>45770</v>
      </c>
      <c r="B118" s="1">
        <v>113</v>
      </c>
      <c r="C118" s="1">
        <v>12</v>
      </c>
      <c r="D118" s="5">
        <v>13.16</v>
      </c>
      <c r="E118" s="5">
        <v>7.5750000000000002</v>
      </c>
      <c r="F118" s="5">
        <v>-4.6360000000000001</v>
      </c>
      <c r="G118" s="5">
        <v>0.255</v>
      </c>
      <c r="H118" s="5">
        <v>59.31</v>
      </c>
      <c r="I118" s="5">
        <v>6.2E-2</v>
      </c>
      <c r="J118" s="5">
        <v>2.1000000000000001E-2</v>
      </c>
      <c r="K118" s="5">
        <v>0.218</v>
      </c>
      <c r="L118" s="5">
        <v>0.54300000000000004</v>
      </c>
      <c r="M118" s="5">
        <v>1.03</v>
      </c>
      <c r="N118" s="5">
        <v>5.3449999999999998</v>
      </c>
      <c r="O118" s="5">
        <v>79.69</v>
      </c>
      <c r="P118" s="5">
        <v>0.17699999999999999</v>
      </c>
      <c r="Q118" s="5">
        <v>0.128</v>
      </c>
      <c r="R118" s="5">
        <v>0.33400000000000002</v>
      </c>
      <c r="S118" s="5">
        <v>0.64500000000000002</v>
      </c>
      <c r="T118" s="5">
        <v>1.1559999999999999</v>
      </c>
      <c r="U118" s="5">
        <v>-4.5030000000000001</v>
      </c>
      <c r="V118" s="5">
        <v>36.630000000000003</v>
      </c>
      <c r="W118" s="5">
        <v>-9.7000000000000003E-2</v>
      </c>
      <c r="X118" s="5">
        <v>-0.123</v>
      </c>
      <c r="Y118" s="5">
        <v>0.13700000000000001</v>
      </c>
      <c r="Z118" s="5">
        <v>0.44500000000000001</v>
      </c>
      <c r="AA118" s="5">
        <v>0.93799999999999994</v>
      </c>
      <c r="AB118" s="5">
        <v>1.2709999999999999</v>
      </c>
      <c r="AC118" s="5">
        <v>-2.4489999999999998</v>
      </c>
      <c r="AD118" s="5">
        <v>0.84499999999999997</v>
      </c>
      <c r="AE118" s="5">
        <v>-6.5049999999999999</v>
      </c>
      <c r="AF118" s="5">
        <v>8.6300000000000008</v>
      </c>
      <c r="AG118" s="5">
        <v>-4.84</v>
      </c>
      <c r="AH118" s="5">
        <v>1.274</v>
      </c>
      <c r="AI118" s="5">
        <v>0.159</v>
      </c>
      <c r="AK118" s="5">
        <f t="shared" si="56"/>
        <v>1.004</v>
      </c>
      <c r="AL118" s="22">
        <f t="shared" si="57"/>
        <v>0.1</v>
      </c>
      <c r="AN118" s="1">
        <f t="shared" si="60"/>
        <v>79.7</v>
      </c>
      <c r="AO118" s="1">
        <f t="shared" si="61"/>
        <v>59.3</v>
      </c>
      <c r="AP118" s="1">
        <f t="shared" si="62"/>
        <v>36.6</v>
      </c>
      <c r="AQ118" s="16">
        <f t="shared" ref="AQ118:AQ149" si="77">ROUND((0.6105*(EXP((17.273*N118)/(N118+237.3))))*AP118/100,3)</f>
        <v>0.32700000000000001</v>
      </c>
      <c r="AR118" s="23">
        <f t="shared" si="63"/>
        <v>0.56599999999999995</v>
      </c>
      <c r="AT118" s="18">
        <f t="shared" si="58"/>
        <v>45770</v>
      </c>
      <c r="AU118" s="19">
        <f t="shared" si="59"/>
        <v>113</v>
      </c>
      <c r="AV118" s="1">
        <f t="shared" si="64"/>
        <v>0.3</v>
      </c>
      <c r="AW118" s="1">
        <f t="shared" si="65"/>
        <v>5.3</v>
      </c>
      <c r="AX118" s="1">
        <f t="shared" si="66"/>
        <v>-4.5</v>
      </c>
      <c r="AY118" s="1">
        <f t="shared" si="54"/>
        <v>59.3</v>
      </c>
      <c r="AZ118" s="1">
        <f t="shared" si="55"/>
        <v>36.6</v>
      </c>
      <c r="BA118" s="1">
        <f t="shared" si="67"/>
        <v>1.004</v>
      </c>
      <c r="BB118" s="5">
        <f t="shared" si="68"/>
        <v>0.1</v>
      </c>
      <c r="BC118" s="1">
        <f>ROUND(AC118,1)</f>
        <v>-2.4</v>
      </c>
      <c r="BD118" s="1">
        <f>ROUND(AD118,1)</f>
        <v>0.8</v>
      </c>
      <c r="BE118" s="1">
        <f>ROUND(AE118,1)</f>
        <v>-6.5</v>
      </c>
      <c r="BF118" s="5">
        <f t="shared" si="69"/>
        <v>0.2</v>
      </c>
      <c r="BG118" s="5">
        <f t="shared" si="70"/>
        <v>0.5</v>
      </c>
      <c r="BH118" s="5">
        <f t="shared" si="71"/>
        <v>1</v>
      </c>
      <c r="BI118" s="5">
        <f t="shared" si="72"/>
        <v>0.159</v>
      </c>
      <c r="BJ118" s="9">
        <f t="shared" si="73"/>
        <v>0.32700000000000001</v>
      </c>
      <c r="BK118" s="9">
        <f t="shared" si="73"/>
        <v>0.56599999999999995</v>
      </c>
      <c r="BM118" s="1">
        <f t="shared" si="74"/>
        <v>-4.5</v>
      </c>
      <c r="BN118" s="1">
        <f t="shared" si="75"/>
        <v>-2.0019999999999998</v>
      </c>
    </row>
    <row r="119" spans="1:66" x14ac:dyDescent="0.2">
      <c r="A119" s="4">
        <f t="shared" si="76"/>
        <v>45771</v>
      </c>
      <c r="B119" s="1">
        <v>114</v>
      </c>
      <c r="C119" s="1">
        <v>12</v>
      </c>
      <c r="D119" s="5">
        <v>13.15</v>
      </c>
      <c r="E119" s="5">
        <v>13.71</v>
      </c>
      <c r="F119" s="5">
        <v>-2.6120000000000001</v>
      </c>
      <c r="G119" s="5">
        <v>3.399</v>
      </c>
      <c r="H119" s="5">
        <v>47.11</v>
      </c>
      <c r="I119" s="5">
        <v>7.1999999999999995E-2</v>
      </c>
      <c r="J119" s="5">
        <v>2.8000000000000001E-2</v>
      </c>
      <c r="K119" s="5">
        <v>0.222</v>
      </c>
      <c r="L119" s="5">
        <v>0.55100000000000005</v>
      </c>
      <c r="M119" s="5">
        <v>1.0289999999999999</v>
      </c>
      <c r="N119" s="5">
        <v>8.8699999999999992</v>
      </c>
      <c r="O119" s="5">
        <v>66.790000000000006</v>
      </c>
      <c r="P119" s="5">
        <v>0.21</v>
      </c>
      <c r="Q119" s="5">
        <v>0.14799999999999999</v>
      </c>
      <c r="R119" s="5">
        <v>0.32</v>
      </c>
      <c r="S119" s="5">
        <v>0.65300000000000002</v>
      </c>
      <c r="T119" s="5">
        <v>1.1579999999999999</v>
      </c>
      <c r="U119" s="5">
        <v>-2.008</v>
      </c>
      <c r="V119" s="5">
        <v>27.96</v>
      </c>
      <c r="W119" s="5">
        <v>-0.158</v>
      </c>
      <c r="X119" s="5">
        <v>-0.17</v>
      </c>
      <c r="Y119" s="5">
        <v>0.124</v>
      </c>
      <c r="Z119" s="5">
        <v>0.46300000000000002</v>
      </c>
      <c r="AA119" s="5">
        <v>0.90900000000000003</v>
      </c>
      <c r="AB119" s="5">
        <v>1.3009999999999999</v>
      </c>
      <c r="AC119" s="5">
        <v>-1.3149999999999999</v>
      </c>
      <c r="AD119" s="5">
        <v>0.81</v>
      </c>
      <c r="AE119" s="5">
        <v>-4.3040000000000003</v>
      </c>
      <c r="AF119" s="5">
        <v>14.06</v>
      </c>
      <c r="AG119" s="5">
        <v>-2.4119999999999999</v>
      </c>
      <c r="AH119" s="5">
        <v>1.294</v>
      </c>
      <c r="AI119" s="5">
        <v>0.16</v>
      </c>
      <c r="AK119" s="5">
        <f t="shared" si="56"/>
        <v>0.97399999999999998</v>
      </c>
      <c r="AL119" s="22">
        <f t="shared" si="57"/>
        <v>0.1</v>
      </c>
      <c r="AN119" s="1">
        <f t="shared" si="60"/>
        <v>66.8</v>
      </c>
      <c r="AO119" s="1">
        <f t="shared" si="61"/>
        <v>47.1</v>
      </c>
      <c r="AP119" s="1">
        <f t="shared" si="62"/>
        <v>28</v>
      </c>
      <c r="AQ119" s="16">
        <f t="shared" si="77"/>
        <v>0.31900000000000001</v>
      </c>
      <c r="AR119" s="23">
        <f t="shared" si="63"/>
        <v>0.82</v>
      </c>
      <c r="AT119" s="18">
        <f t="shared" si="58"/>
        <v>45771</v>
      </c>
      <c r="AU119" s="19">
        <f t="shared" si="59"/>
        <v>114</v>
      </c>
      <c r="AV119" s="1">
        <f t="shared" si="64"/>
        <v>3.4</v>
      </c>
      <c r="AW119" s="1">
        <f t="shared" si="65"/>
        <v>8.9</v>
      </c>
      <c r="AX119" s="1">
        <f t="shared" si="66"/>
        <v>-2</v>
      </c>
      <c r="AY119" s="1">
        <f t="shared" si="54"/>
        <v>47.1</v>
      </c>
      <c r="AZ119" s="1">
        <f t="shared" si="55"/>
        <v>28</v>
      </c>
      <c r="BA119" s="1">
        <f t="shared" si="67"/>
        <v>0.97399999999999998</v>
      </c>
      <c r="BB119" s="5">
        <f t="shared" si="68"/>
        <v>0.1</v>
      </c>
      <c r="BC119" s="1">
        <f>ROUND(AC119,1)</f>
        <v>-1.3</v>
      </c>
      <c r="BD119" s="1">
        <f>ROUND(AD119,1)</f>
        <v>0.8</v>
      </c>
      <c r="BE119" s="1">
        <f>ROUND(AE119,1)</f>
        <v>-4.3</v>
      </c>
      <c r="BF119" s="5">
        <f t="shared" si="69"/>
        <v>0.2</v>
      </c>
      <c r="BG119" s="5">
        <f t="shared" si="70"/>
        <v>0.6</v>
      </c>
      <c r="BH119" s="5">
        <f t="shared" si="71"/>
        <v>1</v>
      </c>
      <c r="BI119" s="5">
        <f t="shared" si="72"/>
        <v>0.16</v>
      </c>
      <c r="BJ119" s="9">
        <f t="shared" si="73"/>
        <v>0.31900000000000001</v>
      </c>
      <c r="BK119" s="9">
        <f t="shared" si="73"/>
        <v>0.82</v>
      </c>
      <c r="BM119" s="1">
        <f t="shared" si="74"/>
        <v>-8.0599999999999987</v>
      </c>
      <c r="BN119" s="1">
        <f t="shared" si="75"/>
        <v>-2.2960000000000003</v>
      </c>
    </row>
    <row r="120" spans="1:66" x14ac:dyDescent="0.2">
      <c r="A120" s="4">
        <f t="shared" si="76"/>
        <v>45772</v>
      </c>
      <c r="B120" s="1">
        <v>115</v>
      </c>
      <c r="C120" s="1">
        <v>12</v>
      </c>
      <c r="D120" s="5">
        <v>13.16</v>
      </c>
      <c r="E120" s="5">
        <v>15.24</v>
      </c>
      <c r="F120" s="5">
        <v>1.351</v>
      </c>
      <c r="G120" s="5">
        <v>6.49</v>
      </c>
      <c r="H120" s="5">
        <v>40.450000000000003</v>
      </c>
      <c r="I120" s="5">
        <v>8.5000000000000006E-2</v>
      </c>
      <c r="J120" s="5">
        <v>4.2999999999999997E-2</v>
      </c>
      <c r="K120" s="5">
        <v>0.224</v>
      </c>
      <c r="L120" s="5">
        <v>0.55000000000000004</v>
      </c>
      <c r="M120" s="5">
        <v>1.03</v>
      </c>
      <c r="N120" s="5">
        <v>11.84</v>
      </c>
      <c r="O120" s="5">
        <v>56.04</v>
      </c>
      <c r="P120" s="5">
        <v>0.20300000000000001</v>
      </c>
      <c r="Q120" s="5">
        <v>0.16900000000000001</v>
      </c>
      <c r="R120" s="5">
        <v>0.31900000000000001</v>
      </c>
      <c r="S120" s="5">
        <v>0.65600000000000003</v>
      </c>
      <c r="T120" s="5">
        <v>1.133</v>
      </c>
      <c r="U120" s="5">
        <v>2.0129999999999999</v>
      </c>
      <c r="V120" s="5">
        <v>20.13</v>
      </c>
      <c r="W120" s="5">
        <v>-0.153</v>
      </c>
      <c r="X120" s="5">
        <v>-0.14799999999999999</v>
      </c>
      <c r="Y120" s="5">
        <v>0.108</v>
      </c>
      <c r="Z120" s="5">
        <v>0.44600000000000001</v>
      </c>
      <c r="AA120" s="5">
        <v>0.90100000000000002</v>
      </c>
      <c r="AB120" s="5">
        <v>1.3580000000000001</v>
      </c>
      <c r="AC120" s="5">
        <v>-0.26</v>
      </c>
      <c r="AD120" s="5">
        <v>0.871</v>
      </c>
      <c r="AE120" s="5">
        <v>-1.4770000000000001</v>
      </c>
      <c r="AF120" s="5">
        <v>14.27</v>
      </c>
      <c r="AG120" s="5">
        <v>1.53</v>
      </c>
      <c r="AH120" s="5">
        <v>1.347</v>
      </c>
      <c r="AI120" s="5">
        <v>0.183</v>
      </c>
      <c r="AK120" s="5">
        <f t="shared" si="56"/>
        <v>0.91699999999999982</v>
      </c>
      <c r="AL120" s="22">
        <f t="shared" si="57"/>
        <v>0.1</v>
      </c>
      <c r="AN120" s="1">
        <f t="shared" si="60"/>
        <v>56</v>
      </c>
      <c r="AO120" s="1">
        <f t="shared" si="61"/>
        <v>40.5</v>
      </c>
      <c r="AP120" s="1">
        <f t="shared" si="62"/>
        <v>20.100000000000001</v>
      </c>
      <c r="AQ120" s="16">
        <f t="shared" si="77"/>
        <v>0.27900000000000003</v>
      </c>
      <c r="AR120" s="23">
        <f t="shared" si="63"/>
        <v>1.109</v>
      </c>
      <c r="AT120" s="18">
        <f t="shared" si="58"/>
        <v>45772</v>
      </c>
      <c r="AU120" s="19">
        <f t="shared" si="59"/>
        <v>115</v>
      </c>
      <c r="AV120" s="1">
        <f t="shared" si="64"/>
        <v>6.5</v>
      </c>
      <c r="AW120" s="1">
        <f t="shared" si="65"/>
        <v>11.8</v>
      </c>
      <c r="AX120" s="1">
        <f t="shared" si="66"/>
        <v>2</v>
      </c>
      <c r="AY120" s="1">
        <f t="shared" si="54"/>
        <v>40.5</v>
      </c>
      <c r="AZ120" s="1">
        <f t="shared" si="55"/>
        <v>20.100000000000001</v>
      </c>
      <c r="BA120" s="1">
        <f t="shared" si="67"/>
        <v>0.91699999999999982</v>
      </c>
      <c r="BB120" s="5">
        <f t="shared" si="68"/>
        <v>0.1</v>
      </c>
      <c r="BC120" s="1">
        <f>ROUND(AC120,1)</f>
        <v>-0.3</v>
      </c>
      <c r="BD120" s="1">
        <f>ROUND(AD120,1)</f>
        <v>0.9</v>
      </c>
      <c r="BE120" s="1">
        <f>ROUND(AE120,1)</f>
        <v>-1.5</v>
      </c>
      <c r="BF120" s="5">
        <f t="shared" si="69"/>
        <v>0.2</v>
      </c>
      <c r="BG120" s="5">
        <f t="shared" si="70"/>
        <v>0.6</v>
      </c>
      <c r="BH120" s="5">
        <f t="shared" si="71"/>
        <v>1</v>
      </c>
      <c r="BI120" s="5">
        <f t="shared" si="72"/>
        <v>0.183</v>
      </c>
      <c r="BJ120" s="9">
        <f t="shared" si="73"/>
        <v>0.27900000000000003</v>
      </c>
      <c r="BK120" s="9">
        <f t="shared" si="73"/>
        <v>1.109</v>
      </c>
      <c r="BM120" s="1">
        <f t="shared" si="74"/>
        <v>-10.968999999999999</v>
      </c>
      <c r="BN120" s="1">
        <f t="shared" si="75"/>
        <v>-3.49</v>
      </c>
    </row>
    <row r="121" spans="1:66" x14ac:dyDescent="0.2">
      <c r="A121" s="4">
        <f t="shared" si="76"/>
        <v>45773</v>
      </c>
      <c r="B121" s="1">
        <v>116</v>
      </c>
      <c r="C121" s="1">
        <v>12</v>
      </c>
      <c r="D121" s="5">
        <v>13.14</v>
      </c>
      <c r="E121" s="5">
        <v>13.71</v>
      </c>
      <c r="F121" s="5">
        <v>2.1619999999999999</v>
      </c>
      <c r="G121" s="5">
        <v>5.8819999999999997</v>
      </c>
      <c r="H121" s="5">
        <v>46.11</v>
      </c>
      <c r="I121" s="5">
        <v>8.2000000000000003E-2</v>
      </c>
      <c r="J121" s="5">
        <v>4.5999999999999999E-2</v>
      </c>
      <c r="K121" s="5">
        <v>0.20799999999999999</v>
      </c>
      <c r="L121" s="5">
        <v>0.52</v>
      </c>
      <c r="M121" s="5">
        <v>0.997</v>
      </c>
      <c r="N121" s="5">
        <v>10.79</v>
      </c>
      <c r="O121" s="5">
        <v>72.849999999999994</v>
      </c>
      <c r="P121" s="5">
        <v>0.2</v>
      </c>
      <c r="Q121" s="5">
        <v>0.16900000000000001</v>
      </c>
      <c r="R121" s="5">
        <v>0.3</v>
      </c>
      <c r="S121" s="5">
        <v>0.60699999999999998</v>
      </c>
      <c r="T121" s="5">
        <v>1.107</v>
      </c>
      <c r="U121" s="5">
        <v>2.339</v>
      </c>
      <c r="V121" s="5">
        <v>30.23</v>
      </c>
      <c r="W121" s="5">
        <v>-0.128</v>
      </c>
      <c r="X121" s="5">
        <v>-0.14499999999999999</v>
      </c>
      <c r="Y121" s="5">
        <v>0.111</v>
      </c>
      <c r="Z121" s="5">
        <v>0.42299999999999999</v>
      </c>
      <c r="AA121" s="5">
        <v>0.88</v>
      </c>
      <c r="AB121" s="5">
        <v>1.391</v>
      </c>
      <c r="AC121" s="5">
        <v>-9.9000000000000005E-2</v>
      </c>
      <c r="AD121" s="5">
        <v>0.85</v>
      </c>
      <c r="AE121" s="5">
        <v>-0.84599999999999997</v>
      </c>
      <c r="AF121" s="5">
        <v>13.19</v>
      </c>
      <c r="AG121" s="5">
        <v>2.194</v>
      </c>
      <c r="AH121" s="5">
        <v>1.381</v>
      </c>
      <c r="AI121" s="5">
        <v>0.21099999999999999</v>
      </c>
      <c r="AK121" s="5">
        <f t="shared" si="56"/>
        <v>0.8839999999999999</v>
      </c>
      <c r="AL121" s="22">
        <f t="shared" si="57"/>
        <v>0.1</v>
      </c>
      <c r="AN121" s="1">
        <f t="shared" si="60"/>
        <v>72.900000000000006</v>
      </c>
      <c r="AO121" s="1">
        <f t="shared" si="61"/>
        <v>46.1</v>
      </c>
      <c r="AP121" s="1">
        <f t="shared" si="62"/>
        <v>30.2</v>
      </c>
      <c r="AQ121" s="16">
        <f t="shared" si="77"/>
        <v>0.39100000000000001</v>
      </c>
      <c r="AR121" s="23">
        <f t="shared" si="63"/>
        <v>0.90400000000000003</v>
      </c>
      <c r="AT121" s="18">
        <f t="shared" si="58"/>
        <v>45773</v>
      </c>
      <c r="AU121" s="19">
        <f t="shared" si="59"/>
        <v>116</v>
      </c>
      <c r="AV121" s="1">
        <f t="shared" si="64"/>
        <v>5.9</v>
      </c>
      <c r="AW121" s="1">
        <f t="shared" si="65"/>
        <v>10.8</v>
      </c>
      <c r="AX121" s="1">
        <f t="shared" si="66"/>
        <v>2.2999999999999998</v>
      </c>
      <c r="AY121" s="1">
        <f t="shared" si="54"/>
        <v>46.1</v>
      </c>
      <c r="AZ121" s="1">
        <f t="shared" si="55"/>
        <v>30.2</v>
      </c>
      <c r="BA121" s="1">
        <f t="shared" si="67"/>
        <v>0.8839999999999999</v>
      </c>
      <c r="BB121" s="5">
        <f t="shared" si="68"/>
        <v>0.1</v>
      </c>
      <c r="BC121" s="1">
        <f>ROUND(AC121,1)</f>
        <v>-0.1</v>
      </c>
      <c r="BD121" s="1">
        <f>ROUND(AD121,1)</f>
        <v>0.9</v>
      </c>
      <c r="BE121" s="1">
        <f>ROUND(AE121,1)</f>
        <v>-0.8</v>
      </c>
      <c r="BF121" s="5">
        <f t="shared" si="69"/>
        <v>0.2</v>
      </c>
      <c r="BG121" s="5">
        <f t="shared" si="70"/>
        <v>0.5</v>
      </c>
      <c r="BH121" s="5">
        <f t="shared" si="71"/>
        <v>1</v>
      </c>
      <c r="BI121" s="5">
        <f t="shared" si="72"/>
        <v>0.21099999999999999</v>
      </c>
      <c r="BJ121" s="9">
        <f t="shared" si="73"/>
        <v>0.39100000000000001</v>
      </c>
      <c r="BK121" s="9">
        <f t="shared" si="73"/>
        <v>0.90400000000000003</v>
      </c>
      <c r="BM121" s="1">
        <f t="shared" si="74"/>
        <v>-9.94</v>
      </c>
      <c r="BN121" s="1">
        <f t="shared" si="75"/>
        <v>-3.1850000000000001</v>
      </c>
    </row>
    <row r="122" spans="1:66" x14ac:dyDescent="0.2">
      <c r="A122" s="4">
        <f t="shared" si="76"/>
        <v>45774</v>
      </c>
      <c r="B122" s="1">
        <v>117</v>
      </c>
      <c r="C122" s="1">
        <v>12</v>
      </c>
      <c r="D122" s="5">
        <v>13.17</v>
      </c>
      <c r="E122" s="5">
        <v>10.7</v>
      </c>
      <c r="F122" s="5">
        <v>1.4370000000000001</v>
      </c>
      <c r="G122" s="5">
        <v>4.3529999999999998</v>
      </c>
      <c r="H122" s="5">
        <v>57.19</v>
      </c>
      <c r="I122" s="5">
        <v>8.5999999999999993E-2</v>
      </c>
      <c r="J122" s="5">
        <v>4.8000000000000001E-2</v>
      </c>
      <c r="K122" s="5">
        <v>0.20300000000000001</v>
      </c>
      <c r="L122" s="5">
        <v>0.50600000000000001</v>
      </c>
      <c r="M122" s="5">
        <v>0.98499999999999999</v>
      </c>
      <c r="N122" s="5">
        <v>8.57</v>
      </c>
      <c r="O122" s="5">
        <v>78.489999999999995</v>
      </c>
      <c r="P122" s="5">
        <v>0.186</v>
      </c>
      <c r="Q122" s="5">
        <v>0.13400000000000001</v>
      </c>
      <c r="R122" s="5">
        <v>0.29099999999999998</v>
      </c>
      <c r="S122" s="5">
        <v>0.59599999999999997</v>
      </c>
      <c r="T122" s="5">
        <v>1.0920000000000001</v>
      </c>
      <c r="U122" s="5">
        <v>0.79700000000000004</v>
      </c>
      <c r="V122" s="5">
        <v>35.770000000000003</v>
      </c>
      <c r="W122" s="5">
        <v>-0.105</v>
      </c>
      <c r="X122" s="5">
        <v>-0.111</v>
      </c>
      <c r="Y122" s="5">
        <v>0.125</v>
      </c>
      <c r="Z122" s="5">
        <v>0.41499999999999998</v>
      </c>
      <c r="AA122" s="5">
        <v>0.89800000000000002</v>
      </c>
      <c r="AB122" s="5">
        <v>1.425</v>
      </c>
      <c r="AC122" s="5">
        <v>-0.08</v>
      </c>
      <c r="AD122" s="5">
        <v>0.84099999999999997</v>
      </c>
      <c r="AE122" s="5">
        <v>-0.79900000000000004</v>
      </c>
      <c r="AF122" s="5">
        <v>9.86</v>
      </c>
      <c r="AG122" s="5">
        <v>0.70599999999999996</v>
      </c>
      <c r="AH122" s="5">
        <v>1.423</v>
      </c>
      <c r="AI122" s="5">
        <v>0.224</v>
      </c>
      <c r="AK122" s="5">
        <f t="shared" si="56"/>
        <v>0.84999999999999987</v>
      </c>
      <c r="AL122" s="22">
        <f t="shared" si="57"/>
        <v>0.1</v>
      </c>
      <c r="AN122" s="1">
        <f t="shared" si="60"/>
        <v>78.5</v>
      </c>
      <c r="AO122" s="1">
        <f t="shared" si="61"/>
        <v>57.2</v>
      </c>
      <c r="AP122" s="1">
        <f t="shared" si="62"/>
        <v>35.799999999999997</v>
      </c>
      <c r="AQ122" s="16">
        <f t="shared" si="77"/>
        <v>0.39900000000000002</v>
      </c>
      <c r="AR122" s="23">
        <f t="shared" si="63"/>
        <v>0.71599999999999997</v>
      </c>
      <c r="AT122" s="18">
        <f t="shared" si="58"/>
        <v>45774</v>
      </c>
      <c r="AU122" s="19">
        <f t="shared" si="59"/>
        <v>117</v>
      </c>
      <c r="AV122" s="1">
        <f t="shared" si="64"/>
        <v>4.4000000000000004</v>
      </c>
      <c r="AW122" s="1">
        <f t="shared" si="65"/>
        <v>8.6</v>
      </c>
      <c r="AX122" s="1">
        <f t="shared" si="66"/>
        <v>0.8</v>
      </c>
      <c r="AY122" s="1">
        <f t="shared" si="54"/>
        <v>57.2</v>
      </c>
      <c r="AZ122" s="1">
        <f t="shared" si="55"/>
        <v>35.799999999999997</v>
      </c>
      <c r="BA122" s="1">
        <f t="shared" si="67"/>
        <v>0.84999999999999987</v>
      </c>
      <c r="BB122" s="5">
        <f t="shared" si="68"/>
        <v>0.1</v>
      </c>
      <c r="BC122" s="1">
        <f>ROUND(AC122,1)</f>
        <v>-0.1</v>
      </c>
      <c r="BD122" s="1">
        <f>ROUND(AD122,1)</f>
        <v>0.8</v>
      </c>
      <c r="BE122" s="1">
        <f>ROUND(AE122,1)</f>
        <v>-0.8</v>
      </c>
      <c r="BF122" s="5">
        <f t="shared" si="69"/>
        <v>0.2</v>
      </c>
      <c r="BG122" s="5">
        <f t="shared" si="70"/>
        <v>0.5</v>
      </c>
      <c r="BH122" s="5">
        <f t="shared" si="71"/>
        <v>1</v>
      </c>
      <c r="BI122" s="5">
        <f t="shared" si="72"/>
        <v>0.224</v>
      </c>
      <c r="BJ122" s="9">
        <f t="shared" si="73"/>
        <v>0.39900000000000002</v>
      </c>
      <c r="BK122" s="9">
        <f t="shared" si="73"/>
        <v>0.71599999999999997</v>
      </c>
      <c r="BM122" s="1">
        <f t="shared" si="74"/>
        <v>-7.7290000000000001</v>
      </c>
      <c r="BN122" s="1">
        <f t="shared" si="75"/>
        <v>-1.5960000000000001</v>
      </c>
    </row>
    <row r="123" spans="1:66" x14ac:dyDescent="0.2">
      <c r="A123" s="4">
        <f t="shared" si="76"/>
        <v>45775</v>
      </c>
      <c r="B123" s="1">
        <v>118</v>
      </c>
      <c r="C123" s="1">
        <v>12</v>
      </c>
      <c r="D123" s="5">
        <v>12.97</v>
      </c>
      <c r="E123" s="5">
        <v>4.3849999999999998</v>
      </c>
      <c r="F123" s="5">
        <v>-0.54200000000000004</v>
      </c>
      <c r="G123" s="5">
        <v>1.272</v>
      </c>
      <c r="H123" s="5">
        <v>85.9</v>
      </c>
      <c r="I123" s="5">
        <v>8.2000000000000003E-2</v>
      </c>
      <c r="J123" s="5">
        <v>4.2000000000000003E-2</v>
      </c>
      <c r="K123" s="5">
        <v>0.20300000000000001</v>
      </c>
      <c r="L123" s="5">
        <v>0.501</v>
      </c>
      <c r="M123" s="5">
        <v>0.98299999999999998</v>
      </c>
      <c r="N123" s="5">
        <v>4.3689999999999998</v>
      </c>
      <c r="O123" s="5">
        <v>96.6</v>
      </c>
      <c r="P123" s="5">
        <v>0.17899999999999999</v>
      </c>
      <c r="Q123" s="5">
        <v>0.127</v>
      </c>
      <c r="R123" s="5">
        <v>0.28299999999999997</v>
      </c>
      <c r="S123" s="5">
        <v>0.58399999999999996</v>
      </c>
      <c r="T123" s="5">
        <v>1.06</v>
      </c>
      <c r="U123" s="5">
        <v>-0.216</v>
      </c>
      <c r="V123" s="5">
        <v>55.76</v>
      </c>
      <c r="W123" s="5">
        <v>-4.8000000000000001E-2</v>
      </c>
      <c r="X123" s="5">
        <v>-5.6000000000000001E-2</v>
      </c>
      <c r="Y123" s="5">
        <v>0.124</v>
      </c>
      <c r="Z123" s="5">
        <v>0.41599999999999998</v>
      </c>
      <c r="AA123" s="5">
        <v>0.89700000000000002</v>
      </c>
      <c r="AB123" s="5">
        <v>1.4339999999999999</v>
      </c>
      <c r="AC123" s="5">
        <v>-0.45700000000000002</v>
      </c>
      <c r="AD123" s="5">
        <v>0.28499999999999998</v>
      </c>
      <c r="AE123" s="5">
        <v>-1.6839999999999999</v>
      </c>
      <c r="AF123" s="5">
        <v>5.0229999999999997</v>
      </c>
      <c r="AG123" s="5">
        <v>-0.57899999999999996</v>
      </c>
      <c r="AH123" s="5">
        <v>1.4330000000000001</v>
      </c>
      <c r="AI123" s="5">
        <v>0.21199999999999999</v>
      </c>
      <c r="AK123" s="5">
        <f t="shared" si="56"/>
        <v>0.84099999999999997</v>
      </c>
      <c r="AL123" s="22">
        <f t="shared" si="57"/>
        <v>0.1</v>
      </c>
      <c r="AN123" s="1">
        <f t="shared" si="60"/>
        <v>96.6</v>
      </c>
      <c r="AO123" s="1">
        <f t="shared" si="61"/>
        <v>85.9</v>
      </c>
      <c r="AP123" s="1">
        <f t="shared" si="62"/>
        <v>55.8</v>
      </c>
      <c r="AQ123" s="16">
        <f t="shared" si="77"/>
        <v>0.46600000000000003</v>
      </c>
      <c r="AR123" s="23">
        <f t="shared" si="63"/>
        <v>0.36899999999999999</v>
      </c>
      <c r="AT123" s="18">
        <f t="shared" si="58"/>
        <v>45775</v>
      </c>
      <c r="AU123" s="19">
        <f t="shared" si="59"/>
        <v>118</v>
      </c>
      <c r="AV123" s="1">
        <f t="shared" si="64"/>
        <v>1.3</v>
      </c>
      <c r="AW123" s="1">
        <f t="shared" si="65"/>
        <v>4.4000000000000004</v>
      </c>
      <c r="AX123" s="1">
        <f t="shared" si="66"/>
        <v>-0.2</v>
      </c>
      <c r="AY123" s="1">
        <f t="shared" si="54"/>
        <v>85.9</v>
      </c>
      <c r="AZ123" s="1">
        <f t="shared" si="55"/>
        <v>55.8</v>
      </c>
      <c r="BA123" s="1">
        <f t="shared" si="67"/>
        <v>0.84099999999999997</v>
      </c>
      <c r="BB123" s="5">
        <f t="shared" si="68"/>
        <v>0.1</v>
      </c>
      <c r="BC123" s="1">
        <f>ROUND(AC123,1)</f>
        <v>-0.5</v>
      </c>
      <c r="BD123" s="1">
        <f>ROUND(AD123,1)</f>
        <v>0.3</v>
      </c>
      <c r="BE123" s="1">
        <f>ROUND(AE123,1)</f>
        <v>-1.7</v>
      </c>
      <c r="BF123" s="5">
        <f t="shared" si="69"/>
        <v>0.2</v>
      </c>
      <c r="BG123" s="5">
        <f t="shared" si="70"/>
        <v>0.5</v>
      </c>
      <c r="BH123" s="5">
        <f t="shared" si="71"/>
        <v>1</v>
      </c>
      <c r="BI123" s="5">
        <f t="shared" si="72"/>
        <v>0.21199999999999999</v>
      </c>
      <c r="BJ123" s="9">
        <f t="shared" si="73"/>
        <v>0.46600000000000003</v>
      </c>
      <c r="BK123" s="9">
        <f t="shared" si="73"/>
        <v>0.36899999999999999</v>
      </c>
      <c r="BM123" s="1">
        <f t="shared" si="74"/>
        <v>-4.0839999999999996</v>
      </c>
      <c r="BN123" s="1">
        <f t="shared" si="75"/>
        <v>-1.468</v>
      </c>
    </row>
    <row r="124" spans="1:66" x14ac:dyDescent="0.2">
      <c r="A124" s="4">
        <f t="shared" si="76"/>
        <v>45776</v>
      </c>
      <c r="B124" s="1">
        <v>119</v>
      </c>
      <c r="C124" s="1">
        <v>12</v>
      </c>
      <c r="D124" s="5">
        <v>13.14</v>
      </c>
      <c r="E124" s="5">
        <v>7.3330000000000002</v>
      </c>
      <c r="F124" s="5">
        <v>-0.82</v>
      </c>
      <c r="G124" s="5">
        <v>1.403</v>
      </c>
      <c r="H124" s="5">
        <v>75.430000000000007</v>
      </c>
      <c r="I124" s="5">
        <v>7.1999999999999995E-2</v>
      </c>
      <c r="J124" s="5">
        <v>3.1E-2</v>
      </c>
      <c r="K124" s="5">
        <v>0.193</v>
      </c>
      <c r="L124" s="5">
        <v>0.48899999999999999</v>
      </c>
      <c r="M124" s="5">
        <v>0.96899999999999997</v>
      </c>
      <c r="N124" s="5">
        <v>5.9169999999999998</v>
      </c>
      <c r="O124" s="5">
        <v>91.7</v>
      </c>
      <c r="P124" s="5">
        <v>0.17399999999999999</v>
      </c>
      <c r="Q124" s="5">
        <v>0.129</v>
      </c>
      <c r="R124" s="5">
        <v>0.26900000000000002</v>
      </c>
      <c r="S124" s="5">
        <v>0.56999999999999995</v>
      </c>
      <c r="T124" s="5">
        <v>1.0589999999999999</v>
      </c>
      <c r="U124" s="5">
        <v>-1.163</v>
      </c>
      <c r="V124" s="5">
        <v>47.57</v>
      </c>
      <c r="W124" s="5">
        <v>-5.3999999999999999E-2</v>
      </c>
      <c r="X124" s="5">
        <v>-7.5999999999999998E-2</v>
      </c>
      <c r="Y124" s="5">
        <v>0.108</v>
      </c>
      <c r="Z124" s="5">
        <v>0.40500000000000003</v>
      </c>
      <c r="AA124" s="5">
        <v>0.873</v>
      </c>
      <c r="AB124" s="5">
        <v>1.4490000000000001</v>
      </c>
      <c r="AC124" s="5">
        <v>-0.47399999999999998</v>
      </c>
      <c r="AD124" s="5">
        <v>0.47899999999999998</v>
      </c>
      <c r="AE124" s="5">
        <v>-1.925</v>
      </c>
      <c r="AF124" s="5">
        <v>5.7519999999999998</v>
      </c>
      <c r="AG124" s="5">
        <v>-1.27</v>
      </c>
      <c r="AH124" s="5">
        <v>1.45</v>
      </c>
      <c r="AI124" s="5">
        <v>0.21</v>
      </c>
      <c r="AK124" s="5">
        <f t="shared" si="56"/>
        <v>0.82599999999999985</v>
      </c>
      <c r="AL124" s="22">
        <f t="shared" si="57"/>
        <v>0.1</v>
      </c>
      <c r="AN124" s="1">
        <f t="shared" si="60"/>
        <v>91.7</v>
      </c>
      <c r="AO124" s="1">
        <f t="shared" si="61"/>
        <v>75.400000000000006</v>
      </c>
      <c r="AP124" s="1">
        <f t="shared" si="62"/>
        <v>47.6</v>
      </c>
      <c r="AQ124" s="16">
        <f t="shared" si="77"/>
        <v>0.442</v>
      </c>
      <c r="AR124" s="23">
        <f t="shared" si="63"/>
        <v>0.48699999999999999</v>
      </c>
      <c r="AT124" s="18">
        <f t="shared" si="58"/>
        <v>45776</v>
      </c>
      <c r="AU124" s="19">
        <f t="shared" si="59"/>
        <v>119</v>
      </c>
      <c r="AV124" s="1">
        <f t="shared" si="64"/>
        <v>1.4</v>
      </c>
      <c r="AW124" s="1">
        <f t="shared" si="65"/>
        <v>5.9</v>
      </c>
      <c r="AX124" s="1">
        <f t="shared" si="66"/>
        <v>-1.2</v>
      </c>
      <c r="AY124" s="1">
        <f t="shared" si="54"/>
        <v>75.400000000000006</v>
      </c>
      <c r="AZ124" s="1">
        <f t="shared" si="55"/>
        <v>47.6</v>
      </c>
      <c r="BA124" s="1">
        <f t="shared" si="67"/>
        <v>0.82599999999999985</v>
      </c>
      <c r="BB124" s="5">
        <f t="shared" si="68"/>
        <v>0.1</v>
      </c>
      <c r="BC124" s="1">
        <f>ROUND(AC124,1)</f>
        <v>-0.5</v>
      </c>
      <c r="BD124" s="1">
        <f>ROUND(AD124,1)</f>
        <v>0.5</v>
      </c>
      <c r="BE124" s="1">
        <f>ROUND(AE124,1)</f>
        <v>-1.9</v>
      </c>
      <c r="BF124" s="5">
        <f t="shared" si="69"/>
        <v>0.2</v>
      </c>
      <c r="BG124" s="5">
        <f t="shared" si="70"/>
        <v>0.5</v>
      </c>
      <c r="BH124" s="5">
        <f t="shared" si="71"/>
        <v>1</v>
      </c>
      <c r="BI124" s="5">
        <f t="shared" si="72"/>
        <v>0.21</v>
      </c>
      <c r="BJ124" s="9">
        <f t="shared" si="73"/>
        <v>0.442</v>
      </c>
      <c r="BK124" s="9">
        <f t="shared" si="73"/>
        <v>0.48699999999999999</v>
      </c>
      <c r="BM124" s="1">
        <f t="shared" si="74"/>
        <v>-5.4379999999999997</v>
      </c>
      <c r="BN124" s="1">
        <f t="shared" si="75"/>
        <v>-0.76200000000000001</v>
      </c>
    </row>
    <row r="125" spans="1:66" x14ac:dyDescent="0.2">
      <c r="A125" s="4">
        <f t="shared" si="76"/>
        <v>45777</v>
      </c>
      <c r="B125" s="1">
        <v>120</v>
      </c>
      <c r="C125" s="1">
        <v>12</v>
      </c>
      <c r="D125" s="5">
        <v>13.18</v>
      </c>
      <c r="E125" s="5">
        <v>10.72</v>
      </c>
      <c r="F125" s="5">
        <v>-1.6719999999999999</v>
      </c>
      <c r="G125" s="5">
        <v>2.9740000000000002</v>
      </c>
      <c r="H125" s="5">
        <v>64.59</v>
      </c>
      <c r="I125" s="5">
        <v>7.0000000000000007E-2</v>
      </c>
      <c r="J125" s="5">
        <v>0.03</v>
      </c>
      <c r="K125" s="5">
        <v>0.19</v>
      </c>
      <c r="L125" s="5">
        <v>0.48799999999999999</v>
      </c>
      <c r="M125" s="5">
        <v>0.96099999999999997</v>
      </c>
      <c r="N125" s="5">
        <v>7.8289999999999997</v>
      </c>
      <c r="O125" s="5">
        <v>87.9</v>
      </c>
      <c r="P125" s="5">
        <v>0.185</v>
      </c>
      <c r="Q125" s="5">
        <v>0.14499999999999999</v>
      </c>
      <c r="R125" s="5">
        <v>0.28199999999999997</v>
      </c>
      <c r="S125" s="5">
        <v>0.57299999999999995</v>
      </c>
      <c r="T125" s="5">
        <v>1.0569999999999999</v>
      </c>
      <c r="U125" s="5">
        <v>-1.4670000000000001</v>
      </c>
      <c r="V125" s="5">
        <v>37.29</v>
      </c>
      <c r="W125" s="5">
        <v>-0.13800000000000001</v>
      </c>
      <c r="X125" s="5">
        <v>-0.156</v>
      </c>
      <c r="Y125" s="5">
        <v>9.4E-2</v>
      </c>
      <c r="Z125" s="5">
        <v>0.38600000000000001</v>
      </c>
      <c r="AA125" s="5">
        <v>0.85299999999999998</v>
      </c>
      <c r="AB125" s="5">
        <v>1.466</v>
      </c>
      <c r="AC125" s="5">
        <v>-0.64800000000000002</v>
      </c>
      <c r="AD125" s="5">
        <v>0.69099999999999995</v>
      </c>
      <c r="AE125" s="5">
        <v>-2.7280000000000002</v>
      </c>
      <c r="AF125" s="5">
        <v>9.1999999999999993</v>
      </c>
      <c r="AG125" s="5">
        <v>-1.8109999999999999</v>
      </c>
      <c r="AH125" s="5">
        <v>1.458</v>
      </c>
      <c r="AI125" s="5">
        <v>0.218</v>
      </c>
      <c r="AK125" s="5">
        <f t="shared" si="56"/>
        <v>0.80899999999999994</v>
      </c>
      <c r="AL125" s="22">
        <f t="shared" si="57"/>
        <v>0.1</v>
      </c>
      <c r="AN125" s="1">
        <f t="shared" si="60"/>
        <v>87.9</v>
      </c>
      <c r="AO125" s="1">
        <f t="shared" si="61"/>
        <v>64.599999999999994</v>
      </c>
      <c r="AP125" s="1">
        <f t="shared" si="62"/>
        <v>37.299999999999997</v>
      </c>
      <c r="AQ125" s="16">
        <f t="shared" si="77"/>
        <v>0.39500000000000002</v>
      </c>
      <c r="AR125" s="23">
        <f t="shared" si="63"/>
        <v>0.66400000000000003</v>
      </c>
      <c r="AT125" s="18">
        <f t="shared" si="58"/>
        <v>45777</v>
      </c>
      <c r="AU125" s="19">
        <f t="shared" si="59"/>
        <v>120</v>
      </c>
      <c r="AV125" s="1">
        <f t="shared" si="64"/>
        <v>3</v>
      </c>
      <c r="AW125" s="1">
        <f t="shared" si="65"/>
        <v>7.8</v>
      </c>
      <c r="AX125" s="1">
        <f t="shared" si="66"/>
        <v>-1.5</v>
      </c>
      <c r="AY125" s="1">
        <f t="shared" si="54"/>
        <v>64.599999999999994</v>
      </c>
      <c r="AZ125" s="1">
        <f t="shared" si="55"/>
        <v>37.299999999999997</v>
      </c>
      <c r="BA125" s="1">
        <f t="shared" si="67"/>
        <v>0.80899999999999994</v>
      </c>
      <c r="BB125" s="5">
        <f t="shared" si="68"/>
        <v>0.1</v>
      </c>
      <c r="BC125" s="1">
        <f>ROUND(AC125,1)</f>
        <v>-0.6</v>
      </c>
      <c r="BD125" s="1">
        <f>ROUND(AD125,1)</f>
        <v>0.7</v>
      </c>
      <c r="BE125" s="1">
        <f>ROUND(AE125,1)</f>
        <v>-2.7</v>
      </c>
      <c r="BF125" s="5">
        <f t="shared" si="69"/>
        <v>0.2</v>
      </c>
      <c r="BG125" s="5">
        <f t="shared" si="70"/>
        <v>0.5</v>
      </c>
      <c r="BH125" s="5">
        <f t="shared" si="71"/>
        <v>1</v>
      </c>
      <c r="BI125" s="5">
        <f t="shared" si="72"/>
        <v>0.218</v>
      </c>
      <c r="BJ125" s="9">
        <f t="shared" si="73"/>
        <v>0.39500000000000002</v>
      </c>
      <c r="BK125" s="9">
        <f t="shared" si="73"/>
        <v>0.66400000000000003</v>
      </c>
      <c r="BM125" s="1">
        <f t="shared" si="74"/>
        <v>-7.1379999999999999</v>
      </c>
      <c r="BN125" s="1">
        <f t="shared" si="75"/>
        <v>-1.2610000000000001</v>
      </c>
    </row>
    <row r="126" spans="1:66" x14ac:dyDescent="0.2">
      <c r="A126" s="4">
        <f t="shared" si="76"/>
        <v>45778</v>
      </c>
      <c r="B126" s="1">
        <v>121</v>
      </c>
      <c r="C126" s="1">
        <v>12</v>
      </c>
      <c r="D126" s="5">
        <v>13.17</v>
      </c>
      <c r="E126" s="5">
        <v>15.58</v>
      </c>
      <c r="F126" s="5">
        <v>1.012</v>
      </c>
      <c r="G126" s="5">
        <v>6.6680000000000001</v>
      </c>
      <c r="H126" s="5">
        <v>50.53</v>
      </c>
      <c r="I126" s="5">
        <v>7.5999999999999998E-2</v>
      </c>
      <c r="J126" s="5">
        <v>3.9E-2</v>
      </c>
      <c r="K126" s="5">
        <v>0.192</v>
      </c>
      <c r="L126" s="5">
        <v>0.48199999999999998</v>
      </c>
      <c r="M126" s="5">
        <v>0.95399999999999996</v>
      </c>
      <c r="N126" s="5">
        <v>12.28</v>
      </c>
      <c r="O126" s="5">
        <v>66.28</v>
      </c>
      <c r="P126" s="5">
        <v>0.20899999999999999</v>
      </c>
      <c r="Q126" s="5">
        <v>0.14599999999999999</v>
      </c>
      <c r="R126" s="5">
        <v>0.27700000000000002</v>
      </c>
      <c r="S126" s="5">
        <v>0.57399999999999995</v>
      </c>
      <c r="T126" s="5">
        <v>1.0489999999999999</v>
      </c>
      <c r="U126" s="5">
        <v>1.2709999999999999</v>
      </c>
      <c r="V126" s="5">
        <v>33.909999999999997</v>
      </c>
      <c r="W126" s="5">
        <v>-0.16500000000000001</v>
      </c>
      <c r="X126" s="5">
        <v>-0.16500000000000001</v>
      </c>
      <c r="Y126" s="5">
        <v>9.1999999999999998E-2</v>
      </c>
      <c r="Z126" s="5">
        <v>0.373</v>
      </c>
      <c r="AA126" s="5">
        <v>0.81100000000000005</v>
      </c>
      <c r="AB126" s="5">
        <v>1.534</v>
      </c>
      <c r="AC126" s="5">
        <v>-0.124</v>
      </c>
      <c r="AD126" s="5">
        <v>0.86799999999999999</v>
      </c>
      <c r="AE126" s="5">
        <v>-1.2789999999999999</v>
      </c>
      <c r="AF126" s="5">
        <v>14.58</v>
      </c>
      <c r="AG126" s="5">
        <v>0.88300000000000001</v>
      </c>
      <c r="AH126" s="5">
        <v>1.5209999999999999</v>
      </c>
      <c r="AI126" s="5">
        <v>0.246</v>
      </c>
      <c r="AK126" s="5">
        <f t="shared" si="56"/>
        <v>0.74099999999999988</v>
      </c>
      <c r="AL126" s="22">
        <f t="shared" si="57"/>
        <v>0.1</v>
      </c>
      <c r="AN126" s="1">
        <f t="shared" si="60"/>
        <v>66.3</v>
      </c>
      <c r="AO126" s="1">
        <f t="shared" si="61"/>
        <v>50.5</v>
      </c>
      <c r="AP126" s="1">
        <f t="shared" si="62"/>
        <v>33.9</v>
      </c>
      <c r="AQ126" s="16">
        <f t="shared" si="77"/>
        <v>0.48399999999999999</v>
      </c>
      <c r="AR126" s="23">
        <f t="shared" si="63"/>
        <v>0.94399999999999995</v>
      </c>
      <c r="AT126" s="18">
        <f t="shared" si="58"/>
        <v>45778</v>
      </c>
      <c r="AU126" s="19">
        <f t="shared" si="59"/>
        <v>121</v>
      </c>
      <c r="AV126" s="1">
        <f t="shared" si="64"/>
        <v>6.7</v>
      </c>
      <c r="AW126" s="1">
        <f t="shared" si="65"/>
        <v>12.3</v>
      </c>
      <c r="AX126" s="1">
        <f t="shared" si="66"/>
        <v>1.3</v>
      </c>
      <c r="AY126" s="1">
        <f t="shared" si="54"/>
        <v>50.5</v>
      </c>
      <c r="AZ126" s="1">
        <f t="shared" si="55"/>
        <v>33.9</v>
      </c>
      <c r="BA126" s="1">
        <f t="shared" si="67"/>
        <v>0.74099999999999988</v>
      </c>
      <c r="BB126" s="5">
        <f t="shared" si="68"/>
        <v>0.1</v>
      </c>
      <c r="BC126" s="1">
        <f>ROUND(AC126,1)</f>
        <v>-0.1</v>
      </c>
      <c r="BD126" s="1">
        <f>ROUND(AD126,1)</f>
        <v>0.9</v>
      </c>
      <c r="BE126" s="1">
        <f>ROUND(AE126,1)</f>
        <v>-1.3</v>
      </c>
      <c r="BF126" s="5">
        <f t="shared" si="69"/>
        <v>0.2</v>
      </c>
      <c r="BG126" s="5">
        <f t="shared" si="70"/>
        <v>0.5</v>
      </c>
      <c r="BH126" s="5">
        <f t="shared" si="71"/>
        <v>1</v>
      </c>
      <c r="BI126" s="5">
        <f t="shared" si="72"/>
        <v>0.246</v>
      </c>
      <c r="BJ126" s="9">
        <f t="shared" si="73"/>
        <v>0.48399999999999999</v>
      </c>
      <c r="BK126" s="9">
        <f t="shared" si="73"/>
        <v>0.94399999999999995</v>
      </c>
      <c r="BM126" s="1">
        <f t="shared" si="74"/>
        <v>-11.411999999999999</v>
      </c>
      <c r="BN126" s="1">
        <f t="shared" si="75"/>
        <v>-2.5499999999999998</v>
      </c>
    </row>
    <row r="127" spans="1:66" x14ac:dyDescent="0.2">
      <c r="A127" s="4">
        <f t="shared" si="76"/>
        <v>45779</v>
      </c>
      <c r="B127" s="1">
        <v>122</v>
      </c>
      <c r="C127" s="1">
        <v>12</v>
      </c>
      <c r="D127" s="5">
        <v>13.17</v>
      </c>
      <c r="E127" s="5">
        <v>17.989999999999998</v>
      </c>
      <c r="F127" s="5">
        <v>2.8220000000000001</v>
      </c>
      <c r="G127" s="5">
        <v>8.86</v>
      </c>
      <c r="H127" s="5">
        <v>49.93</v>
      </c>
      <c r="I127" s="5">
        <v>7.6999999999999999E-2</v>
      </c>
      <c r="J127" s="5">
        <v>4.2000000000000003E-2</v>
      </c>
      <c r="K127" s="5">
        <v>0.182</v>
      </c>
      <c r="L127" s="5">
        <v>0.46500000000000002</v>
      </c>
      <c r="M127" s="5">
        <v>0.93799999999999994</v>
      </c>
      <c r="N127" s="5">
        <v>15.21</v>
      </c>
      <c r="O127" s="5">
        <v>68.2</v>
      </c>
      <c r="P127" s="5">
        <v>0.191</v>
      </c>
      <c r="Q127" s="5">
        <v>0.14699999999999999</v>
      </c>
      <c r="R127" s="5">
        <v>0.28499999999999998</v>
      </c>
      <c r="S127" s="5">
        <v>0.55200000000000005</v>
      </c>
      <c r="T127" s="5">
        <v>1.048</v>
      </c>
      <c r="U127" s="5">
        <v>3.56</v>
      </c>
      <c r="V127" s="5">
        <v>25.39</v>
      </c>
      <c r="W127" s="5">
        <v>-0.158</v>
      </c>
      <c r="X127" s="5">
        <v>-0.17899999999999999</v>
      </c>
      <c r="Y127" s="5">
        <v>5.5E-2</v>
      </c>
      <c r="Z127" s="5">
        <v>0.35099999999999998</v>
      </c>
      <c r="AA127" s="5">
        <v>0.80100000000000005</v>
      </c>
      <c r="AB127" s="5">
        <v>1.6</v>
      </c>
      <c r="AC127" s="5">
        <v>0.13300000000000001</v>
      </c>
      <c r="AD127" s="5">
        <v>0.88200000000000001</v>
      </c>
      <c r="AE127" s="5">
        <v>-0.16400000000000001</v>
      </c>
      <c r="AF127" s="5">
        <v>17.14</v>
      </c>
      <c r="AG127" s="5">
        <v>3.032</v>
      </c>
      <c r="AH127" s="5">
        <v>1.579</v>
      </c>
      <c r="AI127" s="5">
        <v>0.27900000000000003</v>
      </c>
      <c r="AK127" s="5">
        <f t="shared" si="56"/>
        <v>0.67499999999999982</v>
      </c>
      <c r="AL127" s="22">
        <f t="shared" si="57"/>
        <v>0.1</v>
      </c>
      <c r="AN127" s="1">
        <f t="shared" si="60"/>
        <v>68.2</v>
      </c>
      <c r="AO127" s="1">
        <f t="shared" si="61"/>
        <v>49.9</v>
      </c>
      <c r="AP127" s="1">
        <f t="shared" si="62"/>
        <v>25.4</v>
      </c>
      <c r="AQ127" s="16">
        <f t="shared" si="77"/>
        <v>0.439</v>
      </c>
      <c r="AR127" s="23">
        <f t="shared" si="63"/>
        <v>1.2889999999999999</v>
      </c>
      <c r="AT127" s="18">
        <f t="shared" si="58"/>
        <v>45779</v>
      </c>
      <c r="AU127" s="19">
        <f t="shared" si="59"/>
        <v>122</v>
      </c>
      <c r="AV127" s="1">
        <f t="shared" si="64"/>
        <v>8.9</v>
      </c>
      <c r="AW127" s="1">
        <f t="shared" si="65"/>
        <v>15.2</v>
      </c>
      <c r="AX127" s="1">
        <f t="shared" si="66"/>
        <v>3.6</v>
      </c>
      <c r="AY127" s="1">
        <f t="shared" si="54"/>
        <v>49.9</v>
      </c>
      <c r="AZ127" s="1">
        <f t="shared" si="55"/>
        <v>25.4</v>
      </c>
      <c r="BA127" s="1">
        <f t="shared" si="67"/>
        <v>0.67499999999999982</v>
      </c>
      <c r="BB127" s="5">
        <f t="shared" si="68"/>
        <v>0.1</v>
      </c>
      <c r="BC127" s="1">
        <f>ROUND(AC127,1)</f>
        <v>0.1</v>
      </c>
      <c r="BD127" s="1">
        <f>ROUND(AD127,1)</f>
        <v>0.9</v>
      </c>
      <c r="BE127" s="1">
        <f>ROUND(AE127,1)</f>
        <v>-0.2</v>
      </c>
      <c r="BF127" s="5">
        <f t="shared" si="69"/>
        <v>0.2</v>
      </c>
      <c r="BG127" s="5">
        <f t="shared" si="70"/>
        <v>0.5</v>
      </c>
      <c r="BH127" s="5">
        <f t="shared" si="71"/>
        <v>0.9</v>
      </c>
      <c r="BI127" s="5">
        <f t="shared" si="72"/>
        <v>0.27900000000000003</v>
      </c>
      <c r="BJ127" s="9">
        <f t="shared" si="73"/>
        <v>0.439</v>
      </c>
      <c r="BK127" s="9">
        <f t="shared" si="73"/>
        <v>1.2889999999999999</v>
      </c>
      <c r="BM127" s="1">
        <f t="shared" si="74"/>
        <v>-14.328000000000001</v>
      </c>
      <c r="BN127" s="1">
        <f t="shared" si="75"/>
        <v>-3.7240000000000002</v>
      </c>
    </row>
    <row r="128" spans="1:66" x14ac:dyDescent="0.2">
      <c r="A128" s="4">
        <f t="shared" si="76"/>
        <v>45780</v>
      </c>
      <c r="B128" s="1">
        <v>123</v>
      </c>
      <c r="C128" s="1">
        <v>12</v>
      </c>
      <c r="D128" s="5">
        <v>13.04</v>
      </c>
      <c r="E128" s="5">
        <v>6.3730000000000002</v>
      </c>
      <c r="F128" s="5">
        <v>-3.9649999999999999</v>
      </c>
      <c r="G128" s="5">
        <v>1.861</v>
      </c>
      <c r="H128" s="5">
        <v>84.8</v>
      </c>
      <c r="I128" s="5">
        <v>8.2000000000000003E-2</v>
      </c>
      <c r="J128" s="5">
        <v>4.4999999999999998E-2</v>
      </c>
      <c r="K128" s="5">
        <v>0.17299999999999999</v>
      </c>
      <c r="L128" s="5">
        <v>0.44400000000000001</v>
      </c>
      <c r="M128" s="5">
        <v>0.92100000000000004</v>
      </c>
      <c r="N128" s="5">
        <v>8.2200000000000006</v>
      </c>
      <c r="O128" s="5">
        <v>97</v>
      </c>
      <c r="P128" s="5">
        <v>0.17</v>
      </c>
      <c r="Q128" s="5">
        <v>0.14599999999999999</v>
      </c>
      <c r="R128" s="5">
        <v>0.26</v>
      </c>
      <c r="S128" s="5">
        <v>0.54</v>
      </c>
      <c r="T128" s="5">
        <v>1.0169999999999999</v>
      </c>
      <c r="U128" s="5">
        <v>-4.5030000000000001</v>
      </c>
      <c r="V128" s="5">
        <v>58.52</v>
      </c>
      <c r="W128" s="5">
        <v>-3.6999999999999998E-2</v>
      </c>
      <c r="X128" s="5">
        <v>-4.7E-2</v>
      </c>
      <c r="Y128" s="5">
        <v>7.4999999999999997E-2</v>
      </c>
      <c r="Z128" s="5">
        <v>0.33400000000000002</v>
      </c>
      <c r="AA128" s="5">
        <v>0.81599999999999995</v>
      </c>
      <c r="AB128" s="5">
        <v>1.623</v>
      </c>
      <c r="AC128" s="5">
        <v>-0.70599999999999996</v>
      </c>
      <c r="AD128" s="5">
        <v>0.38300000000000001</v>
      </c>
      <c r="AE128" s="5">
        <v>-4.6449999999999996</v>
      </c>
      <c r="AF128" s="5">
        <v>6.8129999999999997</v>
      </c>
      <c r="AG128" s="5">
        <v>-4.6760000000000002</v>
      </c>
      <c r="AH128" s="5">
        <v>1.637</v>
      </c>
      <c r="AI128" s="5">
        <v>0.28299999999999997</v>
      </c>
      <c r="AK128" s="5">
        <f t="shared" si="56"/>
        <v>0.65199999999999991</v>
      </c>
      <c r="AL128" s="22">
        <f t="shared" si="57"/>
        <v>0.1</v>
      </c>
      <c r="AN128" s="1">
        <f t="shared" si="60"/>
        <v>97</v>
      </c>
      <c r="AO128" s="1">
        <f t="shared" si="61"/>
        <v>84.8</v>
      </c>
      <c r="AP128" s="1">
        <f t="shared" si="62"/>
        <v>58.5</v>
      </c>
      <c r="AQ128" s="16">
        <f t="shared" si="77"/>
        <v>0.63700000000000001</v>
      </c>
      <c r="AR128" s="23">
        <f t="shared" si="63"/>
        <v>0.45200000000000001</v>
      </c>
      <c r="AT128" s="18">
        <f t="shared" si="58"/>
        <v>45780</v>
      </c>
      <c r="AU128" s="19">
        <f t="shared" si="59"/>
        <v>123</v>
      </c>
      <c r="AV128" s="1">
        <f t="shared" si="64"/>
        <v>1.9</v>
      </c>
      <c r="AW128" s="1">
        <f t="shared" si="65"/>
        <v>8.1999999999999993</v>
      </c>
      <c r="AX128" s="1">
        <f t="shared" si="66"/>
        <v>-4.5</v>
      </c>
      <c r="AY128" s="1">
        <f t="shared" si="54"/>
        <v>84.8</v>
      </c>
      <c r="AZ128" s="1">
        <f t="shared" si="55"/>
        <v>58.5</v>
      </c>
      <c r="BA128" s="1">
        <f t="shared" si="67"/>
        <v>0.65199999999999991</v>
      </c>
      <c r="BB128" s="5">
        <f t="shared" si="68"/>
        <v>0.1</v>
      </c>
      <c r="BC128" s="1">
        <f>ROUND(AC128,1)</f>
        <v>-0.7</v>
      </c>
      <c r="BD128" s="1">
        <f>ROUND(AD128,1)</f>
        <v>0.4</v>
      </c>
      <c r="BE128" s="1">
        <f>ROUND(AE128,1)</f>
        <v>-4.5999999999999996</v>
      </c>
      <c r="BF128" s="5">
        <f t="shared" si="69"/>
        <v>0.2</v>
      </c>
      <c r="BG128" s="5">
        <f t="shared" si="70"/>
        <v>0.4</v>
      </c>
      <c r="BH128" s="5">
        <f t="shared" si="71"/>
        <v>0.9</v>
      </c>
      <c r="BI128" s="5">
        <f t="shared" si="72"/>
        <v>0.28299999999999997</v>
      </c>
      <c r="BJ128" s="9">
        <f t="shared" si="73"/>
        <v>0.63700000000000001</v>
      </c>
      <c r="BK128" s="9">
        <f t="shared" si="73"/>
        <v>0.45200000000000001</v>
      </c>
      <c r="BM128" s="1">
        <f t="shared" si="74"/>
        <v>-7.8370000000000006</v>
      </c>
      <c r="BN128" s="1">
        <f t="shared" si="75"/>
        <v>-0.14199999999999946</v>
      </c>
    </row>
    <row r="129" spans="1:66" x14ac:dyDescent="0.2">
      <c r="A129" s="4">
        <f t="shared" si="76"/>
        <v>45781</v>
      </c>
      <c r="B129" s="1">
        <v>124</v>
      </c>
      <c r="C129" s="1">
        <v>12</v>
      </c>
      <c r="D129" s="5">
        <v>13.18</v>
      </c>
      <c r="E129" s="5">
        <v>3.2919999999999998</v>
      </c>
      <c r="F129" s="5">
        <v>-4.5049999999999999</v>
      </c>
      <c r="G129" s="5">
        <v>-1.958</v>
      </c>
      <c r="H129" s="5">
        <v>75.2</v>
      </c>
      <c r="I129" s="5">
        <v>5.0999999999999997E-2</v>
      </c>
      <c r="J129" s="5">
        <v>1.6E-2</v>
      </c>
      <c r="K129" s="5">
        <v>0.16200000000000001</v>
      </c>
      <c r="L129" s="5">
        <v>0.434</v>
      </c>
      <c r="M129" s="5">
        <v>0.88200000000000001</v>
      </c>
      <c r="N129" s="5">
        <v>2.21</v>
      </c>
      <c r="O129" s="5">
        <v>94.5</v>
      </c>
      <c r="P129" s="5">
        <v>0.17100000000000001</v>
      </c>
      <c r="Q129" s="5">
        <v>0.11600000000000001</v>
      </c>
      <c r="R129" s="5">
        <v>0.248</v>
      </c>
      <c r="S129" s="5">
        <v>0.53</v>
      </c>
      <c r="T129" s="5">
        <v>0.95899999999999996</v>
      </c>
      <c r="U129" s="5">
        <v>-4.67</v>
      </c>
      <c r="V129" s="5">
        <v>45.56</v>
      </c>
      <c r="W129" s="5">
        <v>-6.2E-2</v>
      </c>
      <c r="X129" s="5">
        <v>-7.9000000000000001E-2</v>
      </c>
      <c r="Y129" s="5">
        <v>0.08</v>
      </c>
      <c r="Z129" s="5">
        <v>0.33700000000000002</v>
      </c>
      <c r="AA129" s="5">
        <v>0.79600000000000004</v>
      </c>
      <c r="AB129" s="5">
        <v>1.641</v>
      </c>
      <c r="AC129" s="5">
        <v>-2.5630000000000002</v>
      </c>
      <c r="AD129" s="5">
        <v>0.36799999999999999</v>
      </c>
      <c r="AE129" s="5">
        <v>-4.875</v>
      </c>
      <c r="AF129" s="5">
        <v>2.33</v>
      </c>
      <c r="AG129" s="5">
        <v>-4.7789999999999999</v>
      </c>
      <c r="AH129" s="5">
        <v>1.65</v>
      </c>
      <c r="AI129" s="5">
        <v>0.23799999999999999</v>
      </c>
      <c r="AK129" s="5">
        <f t="shared" si="56"/>
        <v>0.6339999999999999</v>
      </c>
      <c r="AL129" s="22">
        <f t="shared" si="57"/>
        <v>0.1</v>
      </c>
      <c r="AN129" s="1">
        <f t="shared" si="60"/>
        <v>94.5</v>
      </c>
      <c r="AO129" s="1">
        <f t="shared" si="61"/>
        <v>75.2</v>
      </c>
      <c r="AP129" s="1">
        <f t="shared" si="62"/>
        <v>45.6</v>
      </c>
      <c r="AQ129" s="16">
        <f t="shared" si="77"/>
        <v>0.32600000000000001</v>
      </c>
      <c r="AR129" s="23">
        <f t="shared" si="63"/>
        <v>0.38900000000000001</v>
      </c>
      <c r="AT129" s="18">
        <f t="shared" si="58"/>
        <v>45781</v>
      </c>
      <c r="AU129" s="19">
        <f t="shared" si="59"/>
        <v>124</v>
      </c>
      <c r="AV129" s="1">
        <f t="shared" si="64"/>
        <v>-2</v>
      </c>
      <c r="AW129" s="1">
        <f t="shared" si="65"/>
        <v>2.2000000000000002</v>
      </c>
      <c r="AX129" s="1">
        <f t="shared" si="66"/>
        <v>-4.7</v>
      </c>
      <c r="AY129" s="1">
        <f t="shared" si="54"/>
        <v>75.2</v>
      </c>
      <c r="AZ129" s="1">
        <f t="shared" si="55"/>
        <v>45.6</v>
      </c>
      <c r="BA129" s="1">
        <f t="shared" si="67"/>
        <v>0.6339999999999999</v>
      </c>
      <c r="BB129" s="5">
        <f t="shared" si="68"/>
        <v>0.1</v>
      </c>
      <c r="BC129" s="1">
        <f>ROUND(AC129,1)</f>
        <v>-2.6</v>
      </c>
      <c r="BD129" s="1">
        <f>ROUND(AD129,1)</f>
        <v>0.4</v>
      </c>
      <c r="BE129" s="1">
        <f>ROUND(AE129,1)</f>
        <v>-4.9000000000000004</v>
      </c>
      <c r="BF129" s="5">
        <f t="shared" si="69"/>
        <v>0.2</v>
      </c>
      <c r="BG129" s="5">
        <f t="shared" si="70"/>
        <v>0.4</v>
      </c>
      <c r="BH129" s="5">
        <f t="shared" si="71"/>
        <v>0.9</v>
      </c>
      <c r="BI129" s="5">
        <f t="shared" si="72"/>
        <v>0.23799999999999999</v>
      </c>
      <c r="BJ129" s="9">
        <f t="shared" si="73"/>
        <v>0.32600000000000001</v>
      </c>
      <c r="BK129" s="9">
        <f t="shared" si="73"/>
        <v>0.38900000000000001</v>
      </c>
      <c r="BM129" s="1">
        <f t="shared" si="74"/>
        <v>-1.8420000000000001</v>
      </c>
      <c r="BN129" s="1">
        <f t="shared" si="75"/>
        <v>-0.20500000000000007</v>
      </c>
    </row>
    <row r="130" spans="1:66" x14ac:dyDescent="0.2">
      <c r="A130" s="4">
        <f t="shared" si="76"/>
        <v>45782</v>
      </c>
      <c r="B130" s="1">
        <v>125</v>
      </c>
      <c r="C130" s="1">
        <v>12</v>
      </c>
      <c r="D130" s="5">
        <v>13.17</v>
      </c>
      <c r="E130" s="5">
        <v>11.11</v>
      </c>
      <c r="F130" s="5">
        <v>-3.5990000000000002</v>
      </c>
      <c r="G130" s="5">
        <v>2.6560000000000001</v>
      </c>
      <c r="H130" s="5">
        <v>44.04</v>
      </c>
      <c r="I130" s="5">
        <v>5.8999999999999997E-2</v>
      </c>
      <c r="J130" s="5">
        <v>2.1000000000000001E-2</v>
      </c>
      <c r="K130" s="5">
        <v>0.185</v>
      </c>
      <c r="L130" s="5">
        <v>0.47299999999999998</v>
      </c>
      <c r="M130" s="5">
        <v>0.90500000000000003</v>
      </c>
      <c r="N130" s="5">
        <v>7.77</v>
      </c>
      <c r="O130" s="5">
        <v>62.7</v>
      </c>
      <c r="P130" s="5">
        <v>0.187</v>
      </c>
      <c r="Q130" s="5">
        <v>0.15</v>
      </c>
      <c r="R130" s="5">
        <v>0.26900000000000002</v>
      </c>
      <c r="S130" s="5">
        <v>0.56999999999999995</v>
      </c>
      <c r="T130" s="5">
        <v>1.008</v>
      </c>
      <c r="U130" s="5">
        <v>-3.085</v>
      </c>
      <c r="V130" s="5">
        <v>21.99</v>
      </c>
      <c r="W130" s="5">
        <v>-0.19400000000000001</v>
      </c>
      <c r="X130" s="5">
        <v>-0.20100000000000001</v>
      </c>
      <c r="Y130" s="5">
        <v>5.8999999999999997E-2</v>
      </c>
      <c r="Z130" s="5">
        <v>0.36599999999999999</v>
      </c>
      <c r="AA130" s="5">
        <v>0.77300000000000002</v>
      </c>
      <c r="AB130" s="5">
        <v>1.663</v>
      </c>
      <c r="AC130" s="5">
        <v>-1.635</v>
      </c>
      <c r="AD130" s="5">
        <v>0.629</v>
      </c>
      <c r="AE130" s="5">
        <v>-5.2229999999999999</v>
      </c>
      <c r="AF130" s="5">
        <v>9.7799999999999994</v>
      </c>
      <c r="AG130" s="5">
        <v>-3.4830000000000001</v>
      </c>
      <c r="AH130" s="5">
        <v>1.6559999999999999</v>
      </c>
      <c r="AI130" s="5">
        <v>0.22900000000000001</v>
      </c>
      <c r="AK130" s="5">
        <f t="shared" si="56"/>
        <v>0.61199999999999988</v>
      </c>
      <c r="AL130" s="22">
        <f t="shared" si="57"/>
        <v>0.1</v>
      </c>
      <c r="AN130" s="1">
        <f t="shared" si="60"/>
        <v>62.7</v>
      </c>
      <c r="AO130" s="1">
        <f t="shared" si="61"/>
        <v>44</v>
      </c>
      <c r="AP130" s="1">
        <f t="shared" si="62"/>
        <v>22</v>
      </c>
      <c r="AQ130" s="16">
        <f t="shared" si="77"/>
        <v>0.23200000000000001</v>
      </c>
      <c r="AR130" s="23">
        <f t="shared" si="63"/>
        <v>0.82299999999999995</v>
      </c>
      <c r="AT130" s="18">
        <f t="shared" si="58"/>
        <v>45782</v>
      </c>
      <c r="AU130" s="19">
        <f t="shared" si="59"/>
        <v>125</v>
      </c>
      <c r="AV130" s="1">
        <f t="shared" si="64"/>
        <v>2.7</v>
      </c>
      <c r="AW130" s="1">
        <f t="shared" si="65"/>
        <v>7.8</v>
      </c>
      <c r="AX130" s="1">
        <f t="shared" si="66"/>
        <v>-3.1</v>
      </c>
      <c r="AY130" s="1">
        <f t="shared" si="54"/>
        <v>44</v>
      </c>
      <c r="AZ130" s="1">
        <f t="shared" si="55"/>
        <v>22</v>
      </c>
      <c r="BA130" s="1">
        <f t="shared" si="67"/>
        <v>0.61199999999999988</v>
      </c>
      <c r="BB130" s="5">
        <f t="shared" si="68"/>
        <v>0.1</v>
      </c>
      <c r="BC130" s="1">
        <f>ROUND(AC130,1)</f>
        <v>-1.6</v>
      </c>
      <c r="BD130" s="1">
        <f>ROUND(AD130,1)</f>
        <v>0.6</v>
      </c>
      <c r="BE130" s="1">
        <f>ROUND(AE130,1)</f>
        <v>-5.2</v>
      </c>
      <c r="BF130" s="5">
        <f t="shared" si="69"/>
        <v>0.2</v>
      </c>
      <c r="BG130" s="5">
        <f t="shared" si="70"/>
        <v>0.5</v>
      </c>
      <c r="BH130" s="5">
        <f t="shared" si="71"/>
        <v>0.9</v>
      </c>
      <c r="BI130" s="5">
        <f t="shared" si="72"/>
        <v>0.22900000000000001</v>
      </c>
      <c r="BJ130" s="9">
        <f t="shared" si="73"/>
        <v>0.23200000000000001</v>
      </c>
      <c r="BK130" s="9">
        <f t="shared" si="73"/>
        <v>0.82299999999999995</v>
      </c>
      <c r="BM130" s="1">
        <f t="shared" si="74"/>
        <v>-7.141</v>
      </c>
      <c r="BN130" s="1">
        <f t="shared" si="75"/>
        <v>-2.1379999999999999</v>
      </c>
    </row>
    <row r="131" spans="1:66" x14ac:dyDescent="0.2">
      <c r="A131" s="4">
        <f t="shared" si="76"/>
        <v>45783</v>
      </c>
      <c r="B131" s="1">
        <v>126</v>
      </c>
      <c r="C131" s="1">
        <v>12</v>
      </c>
      <c r="D131" s="5">
        <v>13.16</v>
      </c>
      <c r="E131" s="5">
        <v>15.48</v>
      </c>
      <c r="F131" s="5">
        <v>1.6719999999999999</v>
      </c>
      <c r="G131" s="5">
        <v>6.81</v>
      </c>
      <c r="H131" s="5">
        <v>39.29</v>
      </c>
      <c r="I131" s="5">
        <v>7.6999999999999999E-2</v>
      </c>
      <c r="J131" s="5">
        <v>3.7999999999999999E-2</v>
      </c>
      <c r="K131" s="5">
        <v>0.191</v>
      </c>
      <c r="L131" s="5">
        <v>0.47</v>
      </c>
      <c r="M131" s="5">
        <v>0.91</v>
      </c>
      <c r="N131" s="5">
        <v>12.92</v>
      </c>
      <c r="O131" s="5">
        <v>56.19</v>
      </c>
      <c r="P131" s="5">
        <v>0.19500000000000001</v>
      </c>
      <c r="Q131" s="5">
        <v>0.17399999999999999</v>
      </c>
      <c r="R131" s="5">
        <v>0.27700000000000002</v>
      </c>
      <c r="S131" s="5">
        <v>0.55900000000000005</v>
      </c>
      <c r="T131" s="5">
        <v>1.0089999999999999</v>
      </c>
      <c r="U131" s="5">
        <v>2.0470000000000002</v>
      </c>
      <c r="V131" s="5">
        <v>21.29</v>
      </c>
      <c r="W131" s="5">
        <v>-0.17100000000000001</v>
      </c>
      <c r="X131" s="5">
        <v>-0.17100000000000001</v>
      </c>
      <c r="Y131" s="5">
        <v>7.0999999999999994E-2</v>
      </c>
      <c r="Z131" s="5">
        <v>0.378</v>
      </c>
      <c r="AA131" s="5">
        <v>0.77400000000000002</v>
      </c>
      <c r="AB131" s="5">
        <v>1.7210000000000001</v>
      </c>
      <c r="AC131" s="5">
        <v>-0.16500000000000001</v>
      </c>
      <c r="AD131" s="5">
        <v>0.95299999999999996</v>
      </c>
      <c r="AE131" s="5">
        <v>-1.266</v>
      </c>
      <c r="AF131" s="5">
        <v>15.24</v>
      </c>
      <c r="AG131" s="5">
        <v>1.6579999999999999</v>
      </c>
      <c r="AH131" s="5">
        <v>1.708</v>
      </c>
      <c r="AI131" s="5">
        <v>0.26400000000000001</v>
      </c>
      <c r="AK131" s="5">
        <f t="shared" si="56"/>
        <v>0.55399999999999983</v>
      </c>
      <c r="AL131" s="22">
        <f t="shared" si="57"/>
        <v>0.1</v>
      </c>
      <c r="AN131" s="1">
        <f t="shared" si="60"/>
        <v>56.2</v>
      </c>
      <c r="AO131" s="1">
        <f t="shared" si="61"/>
        <v>39.299999999999997</v>
      </c>
      <c r="AP131" s="1">
        <f t="shared" si="62"/>
        <v>21.3</v>
      </c>
      <c r="AQ131" s="16">
        <f t="shared" si="77"/>
        <v>0.317</v>
      </c>
      <c r="AR131" s="23">
        <f t="shared" si="63"/>
        <v>1.171</v>
      </c>
      <c r="AT131" s="18">
        <f t="shared" si="58"/>
        <v>45783</v>
      </c>
      <c r="AU131" s="19">
        <f t="shared" si="59"/>
        <v>126</v>
      </c>
      <c r="AV131" s="1">
        <f t="shared" si="64"/>
        <v>6.8</v>
      </c>
      <c r="AW131" s="1">
        <f t="shared" si="65"/>
        <v>12.9</v>
      </c>
      <c r="AX131" s="1">
        <f t="shared" si="66"/>
        <v>2</v>
      </c>
      <c r="AY131" s="1">
        <f t="shared" si="54"/>
        <v>39.299999999999997</v>
      </c>
      <c r="AZ131" s="1">
        <f t="shared" si="55"/>
        <v>21.3</v>
      </c>
      <c r="BA131" s="1">
        <f t="shared" si="67"/>
        <v>0.55399999999999983</v>
      </c>
      <c r="BB131" s="5">
        <f t="shared" si="68"/>
        <v>0.1</v>
      </c>
      <c r="BC131" s="1">
        <f>ROUND(AC131,1)</f>
        <v>-0.2</v>
      </c>
      <c r="BD131" s="1">
        <f>ROUND(AD131,1)</f>
        <v>1</v>
      </c>
      <c r="BE131" s="1">
        <f>ROUND(AE131,1)</f>
        <v>-1.3</v>
      </c>
      <c r="BF131" s="5">
        <f t="shared" si="69"/>
        <v>0.2</v>
      </c>
      <c r="BG131" s="5">
        <f t="shared" si="70"/>
        <v>0.5</v>
      </c>
      <c r="BH131" s="5">
        <f t="shared" si="71"/>
        <v>0.9</v>
      </c>
      <c r="BI131" s="5">
        <f t="shared" si="72"/>
        <v>0.26400000000000001</v>
      </c>
      <c r="BJ131" s="9">
        <f t="shared" si="73"/>
        <v>0.317</v>
      </c>
      <c r="BK131" s="9">
        <f t="shared" si="73"/>
        <v>1.171</v>
      </c>
      <c r="BM131" s="1">
        <f t="shared" si="74"/>
        <v>-11.967000000000001</v>
      </c>
      <c r="BN131" s="1">
        <f t="shared" si="75"/>
        <v>-3.3130000000000002</v>
      </c>
    </row>
    <row r="132" spans="1:66" x14ac:dyDescent="0.2">
      <c r="A132" s="4">
        <f t="shared" si="76"/>
        <v>45784</v>
      </c>
      <c r="B132" s="1">
        <v>127</v>
      </c>
      <c r="C132" s="1">
        <v>12</v>
      </c>
      <c r="D132" s="5">
        <v>13.13</v>
      </c>
      <c r="E132" s="5">
        <v>14.21</v>
      </c>
      <c r="F132" s="5">
        <v>2.6720000000000002</v>
      </c>
      <c r="G132" s="5">
        <v>6.8879999999999999</v>
      </c>
      <c r="H132" s="5">
        <v>51.69</v>
      </c>
      <c r="I132" s="5">
        <v>8.4000000000000005E-2</v>
      </c>
      <c r="J132" s="5">
        <v>4.7E-2</v>
      </c>
      <c r="K132" s="5">
        <v>0.182</v>
      </c>
      <c r="L132" s="5">
        <v>0.45</v>
      </c>
      <c r="M132" s="5">
        <v>0.90100000000000002</v>
      </c>
      <c r="N132" s="5">
        <v>12.38</v>
      </c>
      <c r="O132" s="5">
        <v>83.9</v>
      </c>
      <c r="P132" s="5">
        <v>0.19400000000000001</v>
      </c>
      <c r="Q132" s="5">
        <v>0.157</v>
      </c>
      <c r="R132" s="5">
        <v>0.27700000000000002</v>
      </c>
      <c r="S132" s="5">
        <v>0.53600000000000003</v>
      </c>
      <c r="T132" s="5">
        <v>0.99299999999999999</v>
      </c>
      <c r="U132" s="5">
        <v>1.1950000000000001</v>
      </c>
      <c r="V132" s="5">
        <v>33.25</v>
      </c>
      <c r="W132" s="5">
        <v>-0.108</v>
      </c>
      <c r="X132" s="5">
        <v>-0.12</v>
      </c>
      <c r="Y132" s="5">
        <v>7.0999999999999994E-2</v>
      </c>
      <c r="Z132" s="5">
        <v>0.34599999999999997</v>
      </c>
      <c r="AA132" s="5">
        <v>0.71199999999999997</v>
      </c>
      <c r="AB132" s="5">
        <v>1.784</v>
      </c>
      <c r="AC132" s="5">
        <v>0.1</v>
      </c>
      <c r="AD132" s="5">
        <v>1.07</v>
      </c>
      <c r="AE132" s="5">
        <v>-0.49399999999999999</v>
      </c>
      <c r="AF132" s="5">
        <v>13.14</v>
      </c>
      <c r="AG132" s="5">
        <v>1.1359999999999999</v>
      </c>
      <c r="AH132" s="5">
        <v>1.78</v>
      </c>
      <c r="AI132" s="5">
        <v>0.28399999999999997</v>
      </c>
      <c r="AK132" s="5">
        <f t="shared" si="56"/>
        <v>0.49099999999999988</v>
      </c>
      <c r="AL132" s="22">
        <f t="shared" si="57"/>
        <v>0.1</v>
      </c>
      <c r="AN132" s="1">
        <f t="shared" si="60"/>
        <v>83.9</v>
      </c>
      <c r="AO132" s="1">
        <f t="shared" si="61"/>
        <v>51.7</v>
      </c>
      <c r="AP132" s="1">
        <f t="shared" si="62"/>
        <v>33.299999999999997</v>
      </c>
      <c r="AQ132" s="16">
        <f t="shared" si="77"/>
        <v>0.47899999999999998</v>
      </c>
      <c r="AR132" s="23">
        <f t="shared" si="63"/>
        <v>0.95899999999999996</v>
      </c>
      <c r="AT132" s="18">
        <f t="shared" si="58"/>
        <v>45784</v>
      </c>
      <c r="AU132" s="19">
        <f t="shared" si="59"/>
        <v>127</v>
      </c>
      <c r="AV132" s="1">
        <f t="shared" si="64"/>
        <v>6.9</v>
      </c>
      <c r="AW132" s="1">
        <f t="shared" si="65"/>
        <v>12.4</v>
      </c>
      <c r="AX132" s="1">
        <f t="shared" si="66"/>
        <v>1.2</v>
      </c>
      <c r="AY132" s="1">
        <f t="shared" si="54"/>
        <v>51.7</v>
      </c>
      <c r="AZ132" s="1">
        <f t="shared" si="55"/>
        <v>33.299999999999997</v>
      </c>
      <c r="BA132" s="1">
        <f t="shared" si="67"/>
        <v>0.49099999999999988</v>
      </c>
      <c r="BB132" s="5">
        <f t="shared" si="68"/>
        <v>0.1</v>
      </c>
      <c r="BC132" s="1">
        <f>ROUND(AC132,1)</f>
        <v>0.1</v>
      </c>
      <c r="BD132" s="1">
        <f>ROUND(AD132,1)</f>
        <v>1.1000000000000001</v>
      </c>
      <c r="BE132" s="1">
        <f>ROUND(AE132,1)</f>
        <v>-0.5</v>
      </c>
      <c r="BF132" s="5">
        <f t="shared" si="69"/>
        <v>0.2</v>
      </c>
      <c r="BG132" s="5">
        <f t="shared" si="70"/>
        <v>0.5</v>
      </c>
      <c r="BH132" s="5">
        <f t="shared" si="71"/>
        <v>0.9</v>
      </c>
      <c r="BI132" s="5">
        <f t="shared" si="72"/>
        <v>0.28399999999999997</v>
      </c>
      <c r="BJ132" s="9">
        <f t="shared" si="73"/>
        <v>0.47899999999999998</v>
      </c>
      <c r="BK132" s="9">
        <f t="shared" si="73"/>
        <v>0.95899999999999996</v>
      </c>
      <c r="BM132" s="1">
        <f t="shared" si="74"/>
        <v>-11.31</v>
      </c>
      <c r="BN132" s="1">
        <f t="shared" si="75"/>
        <v>-1.6890000000000001</v>
      </c>
    </row>
    <row r="133" spans="1:66" x14ac:dyDescent="0.2">
      <c r="A133" s="4">
        <f t="shared" si="76"/>
        <v>45785</v>
      </c>
      <c r="B133" s="1">
        <v>128</v>
      </c>
      <c r="C133" s="1">
        <v>12</v>
      </c>
      <c r="D133" s="5">
        <v>13.19</v>
      </c>
      <c r="E133" s="5">
        <v>10.02</v>
      </c>
      <c r="F133" s="5">
        <v>-3.8359999999999999</v>
      </c>
      <c r="G133" s="5">
        <v>1.724</v>
      </c>
      <c r="H133" s="5">
        <v>48.73</v>
      </c>
      <c r="I133" s="5">
        <v>6.3E-2</v>
      </c>
      <c r="J133" s="5">
        <v>2.8000000000000001E-2</v>
      </c>
      <c r="K133" s="5">
        <v>0.16200000000000001</v>
      </c>
      <c r="L133" s="5">
        <v>0.42</v>
      </c>
      <c r="M133" s="5">
        <v>0.87</v>
      </c>
      <c r="N133" s="5">
        <v>7.1609999999999996</v>
      </c>
      <c r="O133" s="5">
        <v>84</v>
      </c>
      <c r="P133" s="5">
        <v>0.17299999999999999</v>
      </c>
      <c r="Q133" s="5">
        <v>0.14499999999999999</v>
      </c>
      <c r="R133" s="5">
        <v>0.247</v>
      </c>
      <c r="S133" s="5">
        <v>0.52600000000000002</v>
      </c>
      <c r="T133" s="5">
        <v>0.97099999999999997</v>
      </c>
      <c r="U133" s="5">
        <v>-4.2389999999999999</v>
      </c>
      <c r="V133" s="5">
        <v>20.68</v>
      </c>
      <c r="W133" s="5">
        <v>-0.189</v>
      </c>
      <c r="X133" s="5">
        <v>-0.20100000000000001</v>
      </c>
      <c r="Y133" s="5">
        <v>6.4000000000000001E-2</v>
      </c>
      <c r="Z133" s="5">
        <v>0.32500000000000001</v>
      </c>
      <c r="AA133" s="5">
        <v>0.76200000000000001</v>
      </c>
      <c r="AB133" s="5">
        <v>1.819</v>
      </c>
      <c r="AC133" s="5">
        <v>-1.2310000000000001</v>
      </c>
      <c r="AD133" s="5">
        <v>0.75700000000000001</v>
      </c>
      <c r="AE133" s="5">
        <v>-5.0170000000000003</v>
      </c>
      <c r="AF133" s="5">
        <v>9.27</v>
      </c>
      <c r="AG133" s="5">
        <v>-4.2910000000000004</v>
      </c>
      <c r="AH133" s="5">
        <v>1.8129999999999999</v>
      </c>
      <c r="AI133" s="5">
        <v>0.26800000000000002</v>
      </c>
      <c r="AK133" s="5">
        <f t="shared" si="56"/>
        <v>0.45599999999999996</v>
      </c>
      <c r="AL133" s="22">
        <f t="shared" si="57"/>
        <v>0.1</v>
      </c>
      <c r="AN133" s="1">
        <f t="shared" si="60"/>
        <v>84</v>
      </c>
      <c r="AO133" s="1">
        <f t="shared" si="61"/>
        <v>48.7</v>
      </c>
      <c r="AP133" s="1">
        <f t="shared" si="62"/>
        <v>20.7</v>
      </c>
      <c r="AQ133" s="16">
        <f t="shared" si="77"/>
        <v>0.21</v>
      </c>
      <c r="AR133" s="23">
        <f t="shared" si="63"/>
        <v>0.80400000000000005</v>
      </c>
      <c r="AT133" s="18">
        <f t="shared" si="58"/>
        <v>45785</v>
      </c>
      <c r="AU133" s="19">
        <f t="shared" si="59"/>
        <v>128</v>
      </c>
      <c r="AV133" s="1">
        <f t="shared" si="64"/>
        <v>1.7</v>
      </c>
      <c r="AW133" s="1">
        <f t="shared" si="65"/>
        <v>7.2</v>
      </c>
      <c r="AX133" s="1">
        <f t="shared" si="66"/>
        <v>-4.2</v>
      </c>
      <c r="AY133" s="1">
        <f t="shared" ref="AY133:AY196" si="78">AO133</f>
        <v>48.7</v>
      </c>
      <c r="AZ133" s="1">
        <f t="shared" ref="AZ133:AZ196" si="79">AP133</f>
        <v>20.7</v>
      </c>
      <c r="BA133" s="1">
        <f t="shared" si="67"/>
        <v>0.45599999999999996</v>
      </c>
      <c r="BB133" s="5">
        <f t="shared" si="68"/>
        <v>0.1</v>
      </c>
      <c r="BC133" s="1">
        <f>ROUND(AC133,1)</f>
        <v>-1.2</v>
      </c>
      <c r="BD133" s="1">
        <f>ROUND(AD133,1)</f>
        <v>0.8</v>
      </c>
      <c r="BE133" s="1">
        <f>ROUND(AE133,1)</f>
        <v>-5</v>
      </c>
      <c r="BF133" s="5">
        <f t="shared" si="69"/>
        <v>0.2</v>
      </c>
      <c r="BG133" s="5">
        <f t="shared" si="70"/>
        <v>0.4</v>
      </c>
      <c r="BH133" s="5">
        <f t="shared" si="71"/>
        <v>0.9</v>
      </c>
      <c r="BI133" s="5">
        <f t="shared" si="72"/>
        <v>0.26800000000000002</v>
      </c>
      <c r="BJ133" s="9">
        <f t="shared" si="73"/>
        <v>0.21</v>
      </c>
      <c r="BK133" s="9">
        <f t="shared" si="73"/>
        <v>0.80400000000000005</v>
      </c>
      <c r="BM133" s="1">
        <f t="shared" si="74"/>
        <v>-6.4039999999999999</v>
      </c>
      <c r="BN133" s="1">
        <f t="shared" si="75"/>
        <v>-0.77800000000000047</v>
      </c>
    </row>
    <row r="134" spans="1:66" x14ac:dyDescent="0.2">
      <c r="A134" s="4">
        <f t="shared" si="76"/>
        <v>45786</v>
      </c>
      <c r="B134" s="1">
        <v>129</v>
      </c>
      <c r="C134" s="1">
        <v>12</v>
      </c>
      <c r="D134" s="5">
        <v>13.18</v>
      </c>
      <c r="E134" s="5">
        <v>11.59</v>
      </c>
      <c r="F134" s="5">
        <v>0.26600000000000001</v>
      </c>
      <c r="G134" s="5">
        <v>5.3259999999999996</v>
      </c>
      <c r="H134" s="5">
        <v>45.23</v>
      </c>
      <c r="I134" s="5">
        <v>7.2999999999999995E-2</v>
      </c>
      <c r="J134" s="5">
        <v>3.5999999999999997E-2</v>
      </c>
      <c r="K134" s="5">
        <v>0.186</v>
      </c>
      <c r="L134" s="5">
        <v>0.45200000000000001</v>
      </c>
      <c r="M134" s="5">
        <v>0.88200000000000001</v>
      </c>
      <c r="N134" s="5">
        <v>11.44</v>
      </c>
      <c r="O134" s="5">
        <v>60.33</v>
      </c>
      <c r="P134" s="5">
        <v>0.18</v>
      </c>
      <c r="Q134" s="5">
        <v>0.151</v>
      </c>
      <c r="R134" s="5">
        <v>0.27200000000000002</v>
      </c>
      <c r="S134" s="5">
        <v>0.53900000000000003</v>
      </c>
      <c r="T134" s="5">
        <v>0.98399999999999999</v>
      </c>
      <c r="U134" s="5">
        <v>0.59499999999999997</v>
      </c>
      <c r="V134" s="5">
        <v>23.04</v>
      </c>
      <c r="W134" s="5">
        <v>-5.5E-2</v>
      </c>
      <c r="X134" s="5">
        <v>-8.8999999999999996E-2</v>
      </c>
      <c r="Y134" s="5">
        <v>9.5000000000000001E-2</v>
      </c>
      <c r="Z134" s="5">
        <v>0.36399999999999999</v>
      </c>
      <c r="AA134" s="5">
        <v>0.78400000000000003</v>
      </c>
      <c r="AB134" s="5">
        <v>1.871</v>
      </c>
      <c r="AC134" s="5">
        <v>-0.28399999999999997</v>
      </c>
      <c r="AD134" s="5">
        <v>0.57399999999999995</v>
      </c>
      <c r="AE134" s="5">
        <v>-1.7130000000000001</v>
      </c>
      <c r="AF134" s="5">
        <v>11.03</v>
      </c>
      <c r="AG134" s="5">
        <v>0.161</v>
      </c>
      <c r="AH134" s="5">
        <v>1.8520000000000001</v>
      </c>
      <c r="AI134" s="5">
        <v>0.25600000000000001</v>
      </c>
      <c r="AK134" s="5">
        <f t="shared" ref="AK134:AK151" si="80">AK$1-AB134</f>
        <v>0.40399999999999991</v>
      </c>
      <c r="AL134" s="22">
        <f t="shared" ref="AL134:AL147" si="81">ROUND(AVERAGE(J134:K134),1)</f>
        <v>0.1</v>
      </c>
      <c r="AN134" s="1">
        <f t="shared" si="60"/>
        <v>60.3</v>
      </c>
      <c r="AO134" s="1">
        <f t="shared" si="61"/>
        <v>45.2</v>
      </c>
      <c r="AP134" s="1">
        <f t="shared" si="62"/>
        <v>23</v>
      </c>
      <c r="AQ134" s="16">
        <f t="shared" si="77"/>
        <v>0.311</v>
      </c>
      <c r="AR134" s="23">
        <f t="shared" si="63"/>
        <v>1.0409999999999999</v>
      </c>
      <c r="AT134" s="18">
        <f t="shared" ref="AT134:AT197" si="82">A134</f>
        <v>45786</v>
      </c>
      <c r="AU134" s="19">
        <f t="shared" ref="AU134:AU197" si="83">B134</f>
        <v>129</v>
      </c>
      <c r="AV134" s="1">
        <f t="shared" si="64"/>
        <v>5.3</v>
      </c>
      <c r="AW134" s="1">
        <f t="shared" si="65"/>
        <v>11.4</v>
      </c>
      <c r="AX134" s="1">
        <f t="shared" si="66"/>
        <v>0.6</v>
      </c>
      <c r="AY134" s="1">
        <f t="shared" si="78"/>
        <v>45.2</v>
      </c>
      <c r="AZ134" s="1">
        <f t="shared" si="79"/>
        <v>23</v>
      </c>
      <c r="BA134" s="1">
        <f t="shared" si="67"/>
        <v>0.40399999999999991</v>
      </c>
      <c r="BB134" s="5">
        <f t="shared" si="68"/>
        <v>0.1</v>
      </c>
      <c r="BC134" s="1">
        <f>ROUND(AC134,1)</f>
        <v>-0.3</v>
      </c>
      <c r="BD134" s="1">
        <f>ROUND(AD134,1)</f>
        <v>0.6</v>
      </c>
      <c r="BE134" s="1">
        <f>ROUND(AE134,1)</f>
        <v>-1.7</v>
      </c>
      <c r="BF134" s="5">
        <f t="shared" si="69"/>
        <v>0.2</v>
      </c>
      <c r="BG134" s="5">
        <f t="shared" si="70"/>
        <v>0.5</v>
      </c>
      <c r="BH134" s="5">
        <f t="shared" si="71"/>
        <v>0.9</v>
      </c>
      <c r="BI134" s="5">
        <f t="shared" si="72"/>
        <v>0.25600000000000001</v>
      </c>
      <c r="BJ134" s="9">
        <f t="shared" si="73"/>
        <v>0.311</v>
      </c>
      <c r="BK134" s="9">
        <f t="shared" si="73"/>
        <v>1.0409999999999999</v>
      </c>
      <c r="BM134" s="1">
        <f t="shared" si="74"/>
        <v>-10.866</v>
      </c>
      <c r="BN134" s="1">
        <f t="shared" si="75"/>
        <v>-2.3079999999999998</v>
      </c>
    </row>
    <row r="135" spans="1:66" x14ac:dyDescent="0.2">
      <c r="A135" s="4">
        <f t="shared" si="76"/>
        <v>45787</v>
      </c>
      <c r="B135" s="1">
        <v>130</v>
      </c>
      <c r="C135" s="1">
        <v>12</v>
      </c>
      <c r="D135" s="5">
        <v>13.11</v>
      </c>
      <c r="E135" s="5">
        <v>8.81</v>
      </c>
      <c r="F135" s="5">
        <v>0.54200000000000004</v>
      </c>
      <c r="G135" s="5">
        <v>5.1390000000000002</v>
      </c>
      <c r="H135" s="5">
        <v>62.08</v>
      </c>
      <c r="I135" s="5">
        <v>8.8999999999999996E-2</v>
      </c>
      <c r="J135" s="5">
        <v>5.0999999999999997E-2</v>
      </c>
      <c r="K135" s="5">
        <v>0.19500000000000001</v>
      </c>
      <c r="L135" s="5">
        <v>0.45500000000000002</v>
      </c>
      <c r="M135" s="5">
        <v>0.88600000000000001</v>
      </c>
      <c r="N135" s="5">
        <v>8.11</v>
      </c>
      <c r="O135" s="5">
        <v>82.5</v>
      </c>
      <c r="P135" s="5">
        <v>0.17699999999999999</v>
      </c>
      <c r="Q135" s="5">
        <v>0.13900000000000001</v>
      </c>
      <c r="R135" s="5">
        <v>0.28699999999999998</v>
      </c>
      <c r="S135" s="5">
        <v>0.56200000000000006</v>
      </c>
      <c r="T135" s="5">
        <v>0.97</v>
      </c>
      <c r="U135" s="5">
        <v>-0.14899999999999999</v>
      </c>
      <c r="V135" s="5">
        <v>49.7</v>
      </c>
      <c r="W135" s="5">
        <v>-1.7999999999999999E-2</v>
      </c>
      <c r="X135" s="5">
        <v>-3.5000000000000003E-2</v>
      </c>
      <c r="Y135" s="5">
        <v>0.108</v>
      </c>
      <c r="Z135" s="5">
        <v>0.37</v>
      </c>
      <c r="AA135" s="5">
        <v>0.78300000000000003</v>
      </c>
      <c r="AB135" s="5">
        <v>1.8979999999999999</v>
      </c>
      <c r="AC135" s="5">
        <v>-1.0999999999999999E-2</v>
      </c>
      <c r="AD135" s="5">
        <v>0.29399999999999998</v>
      </c>
      <c r="AE135" s="5">
        <v>-1.024</v>
      </c>
      <c r="AF135" s="5">
        <v>7.984</v>
      </c>
      <c r="AG135" s="5">
        <v>-0.379</v>
      </c>
      <c r="AH135" s="5">
        <v>1.8979999999999999</v>
      </c>
      <c r="AI135" s="5">
        <v>0.26500000000000001</v>
      </c>
      <c r="AK135" s="5">
        <f t="shared" si="80"/>
        <v>0.377</v>
      </c>
      <c r="AL135" s="22">
        <f t="shared" si="81"/>
        <v>0.1</v>
      </c>
      <c r="AN135" s="1">
        <f t="shared" ref="AN135:AN198" si="84">ROUND(O135*AO$1,1)</f>
        <v>82.5</v>
      </c>
      <c r="AO135" s="1">
        <f t="shared" ref="AO135:AO198" si="85">ROUND(H135*AO$1,1)</f>
        <v>62.1</v>
      </c>
      <c r="AP135" s="1">
        <f t="shared" ref="AP135:AP198" si="86">ROUND(V135*AO$1,1)</f>
        <v>49.7</v>
      </c>
      <c r="AQ135" s="16">
        <f t="shared" si="77"/>
        <v>0.53700000000000003</v>
      </c>
      <c r="AR135" s="23">
        <f t="shared" ref="AR135:AR198" si="87">ROUND(AQ135/AP135*(100-AP135),3)</f>
        <v>0.54300000000000004</v>
      </c>
      <c r="AT135" s="18">
        <f t="shared" si="82"/>
        <v>45787</v>
      </c>
      <c r="AU135" s="19">
        <f t="shared" si="83"/>
        <v>130</v>
      </c>
      <c r="AV135" s="1">
        <f t="shared" ref="AV135:AV198" si="88">ROUND(G135,1)</f>
        <v>5.0999999999999996</v>
      </c>
      <c r="AW135" s="1">
        <f t="shared" ref="AW135:AW198" si="89">ROUND(N135,1)</f>
        <v>8.1</v>
      </c>
      <c r="AX135" s="1">
        <f t="shared" ref="AX135:AX198" si="90">ROUND(U135,1)</f>
        <v>-0.1</v>
      </c>
      <c r="AY135" s="1">
        <f t="shared" si="78"/>
        <v>62.1</v>
      </c>
      <c r="AZ135" s="1">
        <f t="shared" si="79"/>
        <v>49.7</v>
      </c>
      <c r="BA135" s="1">
        <f t="shared" ref="BA135:BA198" si="91">AK135</f>
        <v>0.377</v>
      </c>
      <c r="BB135" s="5">
        <f t="shared" ref="BB135:BB198" si="92">IF(AL135="","NAN",AL135)</f>
        <v>0.1</v>
      </c>
      <c r="BC135" s="1">
        <f>ROUND(AC135,1)</f>
        <v>0</v>
      </c>
      <c r="BD135" s="1">
        <f>ROUND(AD135,1)</f>
        <v>0.3</v>
      </c>
      <c r="BE135" s="1">
        <f>ROUND(AE135,1)</f>
        <v>-1</v>
      </c>
      <c r="BF135" s="5">
        <f t="shared" ref="BF135:BF198" si="93">ROUND(K135,1)</f>
        <v>0.2</v>
      </c>
      <c r="BG135" s="5">
        <f t="shared" ref="BG135:BG198" si="94">ROUND(L135,1)</f>
        <v>0.5</v>
      </c>
      <c r="BH135" s="5">
        <f t="shared" ref="BH135:BH198" si="95">ROUND(M135,1)</f>
        <v>0.9</v>
      </c>
      <c r="BI135" s="5">
        <f t="shared" ref="BI135:BI198" si="96">IF(AI135="NAN",-999,ROUND(AI135,3))</f>
        <v>0.26500000000000001</v>
      </c>
      <c r="BJ135" s="9">
        <f t="shared" ref="BJ135:BK198" si="97">AQ135</f>
        <v>0.53700000000000003</v>
      </c>
      <c r="BK135" s="9">
        <f t="shared" si="97"/>
        <v>0.54300000000000004</v>
      </c>
      <c r="BM135" s="1">
        <f t="shared" ref="BM135:BM198" si="98">AD135-N135</f>
        <v>-7.8159999999999998</v>
      </c>
      <c r="BN135" s="1">
        <f t="shared" ref="BN135:BN198" si="99">AE135-U135</f>
        <v>-0.875</v>
      </c>
    </row>
    <row r="136" spans="1:66" x14ac:dyDescent="0.2">
      <c r="A136" s="4">
        <f t="shared" ref="A136:A199" si="100">A135+1</f>
        <v>45788</v>
      </c>
      <c r="B136" s="1">
        <v>131</v>
      </c>
      <c r="C136" s="1">
        <v>12</v>
      </c>
      <c r="D136" s="5">
        <v>13.07</v>
      </c>
      <c r="E136" s="5">
        <v>6.875</v>
      </c>
      <c r="F136" s="5">
        <v>-1.5429999999999999</v>
      </c>
      <c r="G136" s="5">
        <v>1.825</v>
      </c>
      <c r="H136" s="5">
        <v>78.430000000000007</v>
      </c>
      <c r="I136" s="5">
        <v>7.4999999999999997E-2</v>
      </c>
      <c r="J136" s="5">
        <v>3.6999999999999998E-2</v>
      </c>
      <c r="K136" s="5">
        <v>0.185</v>
      </c>
      <c r="L136" s="5">
        <v>0.44500000000000001</v>
      </c>
      <c r="M136" s="5">
        <v>0.86499999999999999</v>
      </c>
      <c r="N136" s="5">
        <v>6.0190000000000001</v>
      </c>
      <c r="O136" s="5">
        <v>95.6</v>
      </c>
      <c r="P136" s="5">
        <v>0.17899999999999999</v>
      </c>
      <c r="Q136" s="5">
        <v>0.13300000000000001</v>
      </c>
      <c r="R136" s="5">
        <v>0.27100000000000002</v>
      </c>
      <c r="S136" s="5">
        <v>0.54400000000000004</v>
      </c>
      <c r="T136" s="5">
        <v>0.95699999999999996</v>
      </c>
      <c r="U136" s="5">
        <v>-1.3320000000000001</v>
      </c>
      <c r="V136" s="5">
        <v>53.83</v>
      </c>
      <c r="W136" s="5">
        <v>-4.2000000000000003E-2</v>
      </c>
      <c r="X136" s="5">
        <v>-6.6000000000000003E-2</v>
      </c>
      <c r="Y136" s="5">
        <v>9.0999999999999998E-2</v>
      </c>
      <c r="Z136" s="5">
        <v>0.35899999999999999</v>
      </c>
      <c r="AA136" s="5">
        <v>0.77300000000000002</v>
      </c>
      <c r="AB136" s="5">
        <v>1.9019999999999999</v>
      </c>
      <c r="AC136" s="5">
        <v>-0.52500000000000002</v>
      </c>
      <c r="AD136" s="5">
        <v>0.499</v>
      </c>
      <c r="AE136" s="5">
        <v>-2.2789999999999999</v>
      </c>
      <c r="AF136" s="5">
        <v>6.37</v>
      </c>
      <c r="AG136" s="5">
        <v>-1.6</v>
      </c>
      <c r="AH136" s="5">
        <v>1.9</v>
      </c>
      <c r="AI136" s="5">
        <v>0.24399999999999999</v>
      </c>
      <c r="AK136" s="5">
        <f t="shared" si="80"/>
        <v>0.373</v>
      </c>
      <c r="AL136" s="22">
        <f t="shared" si="81"/>
        <v>0.1</v>
      </c>
      <c r="AN136" s="1">
        <f t="shared" si="84"/>
        <v>95.6</v>
      </c>
      <c r="AO136" s="1">
        <f t="shared" si="85"/>
        <v>78.400000000000006</v>
      </c>
      <c r="AP136" s="1">
        <f t="shared" si="86"/>
        <v>53.8</v>
      </c>
      <c r="AQ136" s="16">
        <f t="shared" si="77"/>
        <v>0.504</v>
      </c>
      <c r="AR136" s="23">
        <f t="shared" si="87"/>
        <v>0.433</v>
      </c>
      <c r="AT136" s="18">
        <f t="shared" si="82"/>
        <v>45788</v>
      </c>
      <c r="AU136" s="19">
        <f t="shared" si="83"/>
        <v>131</v>
      </c>
      <c r="AV136" s="1">
        <f t="shared" si="88"/>
        <v>1.8</v>
      </c>
      <c r="AW136" s="1">
        <f t="shared" si="89"/>
        <v>6</v>
      </c>
      <c r="AX136" s="1">
        <f t="shared" si="90"/>
        <v>-1.3</v>
      </c>
      <c r="AY136" s="1">
        <f t="shared" si="78"/>
        <v>78.400000000000006</v>
      </c>
      <c r="AZ136" s="1">
        <f t="shared" si="79"/>
        <v>53.8</v>
      </c>
      <c r="BA136" s="1">
        <f t="shared" si="91"/>
        <v>0.373</v>
      </c>
      <c r="BB136" s="5">
        <f t="shared" si="92"/>
        <v>0.1</v>
      </c>
      <c r="BC136" s="1">
        <f>ROUND(AC136,1)</f>
        <v>-0.5</v>
      </c>
      <c r="BD136" s="1">
        <f>ROUND(AD136,1)</f>
        <v>0.5</v>
      </c>
      <c r="BE136" s="1">
        <f>ROUND(AE136,1)</f>
        <v>-2.2999999999999998</v>
      </c>
      <c r="BF136" s="5">
        <f t="shared" si="93"/>
        <v>0.2</v>
      </c>
      <c r="BG136" s="5">
        <f t="shared" si="94"/>
        <v>0.4</v>
      </c>
      <c r="BH136" s="5">
        <f t="shared" si="95"/>
        <v>0.9</v>
      </c>
      <c r="BI136" s="5">
        <f t="shared" si="96"/>
        <v>0.24399999999999999</v>
      </c>
      <c r="BJ136" s="9">
        <f t="shared" si="97"/>
        <v>0.504</v>
      </c>
      <c r="BK136" s="9">
        <f t="shared" si="97"/>
        <v>0.433</v>
      </c>
      <c r="BM136" s="1">
        <f t="shared" si="98"/>
        <v>-5.5200000000000005</v>
      </c>
      <c r="BN136" s="1">
        <f t="shared" si="99"/>
        <v>-0.94699999999999984</v>
      </c>
    </row>
    <row r="137" spans="1:66" x14ac:dyDescent="0.2">
      <c r="A137" s="4">
        <f t="shared" si="100"/>
        <v>45789</v>
      </c>
      <c r="B137" s="1">
        <v>132</v>
      </c>
      <c r="C137" s="1">
        <v>12</v>
      </c>
      <c r="D137" s="5">
        <v>13.07</v>
      </c>
      <c r="E137" s="5">
        <v>1.4159999999999999</v>
      </c>
      <c r="F137" s="5">
        <v>-0.67100000000000004</v>
      </c>
      <c r="G137" s="5">
        <v>0.19600000000000001</v>
      </c>
      <c r="H137" s="5">
        <v>96.8</v>
      </c>
      <c r="I137" s="5">
        <v>9.5000000000000001E-2</v>
      </c>
      <c r="J137" s="5">
        <v>4.5999999999999999E-2</v>
      </c>
      <c r="K137" s="5">
        <v>0.20799999999999999</v>
      </c>
      <c r="L137" s="5">
        <v>0.47499999999999998</v>
      </c>
      <c r="M137" s="5">
        <v>0.89</v>
      </c>
      <c r="N137" s="5">
        <v>2.15</v>
      </c>
      <c r="O137" s="5">
        <v>98.1</v>
      </c>
      <c r="P137" s="5">
        <v>0.19400000000000001</v>
      </c>
      <c r="Q137" s="5">
        <v>0.11899999999999999</v>
      </c>
      <c r="R137" s="5">
        <v>0.28799999999999998</v>
      </c>
      <c r="S137" s="5">
        <v>0.56699999999999995</v>
      </c>
      <c r="T137" s="5">
        <v>0.97699999999999998</v>
      </c>
      <c r="U137" s="5">
        <v>-1.3320000000000001</v>
      </c>
      <c r="V137" s="5">
        <v>95.5</v>
      </c>
      <c r="W137" s="5">
        <v>0.01</v>
      </c>
      <c r="X137" s="5">
        <v>-3.5999999999999997E-2</v>
      </c>
      <c r="Y137" s="5">
        <v>0.13</v>
      </c>
      <c r="Z137" s="5">
        <v>0.38600000000000001</v>
      </c>
      <c r="AA137" s="5">
        <v>0.80600000000000005</v>
      </c>
      <c r="AB137" s="5">
        <v>1.861</v>
      </c>
      <c r="AC137" s="5">
        <v>-0.34399999999999997</v>
      </c>
      <c r="AD137" s="5">
        <v>0.316</v>
      </c>
      <c r="AE137" s="5">
        <v>-1.3049999999999999</v>
      </c>
      <c r="AF137" s="5">
        <v>2.0059999999999998</v>
      </c>
      <c r="AG137" s="5">
        <v>-1.3620000000000001</v>
      </c>
      <c r="AH137" s="5">
        <v>1.859</v>
      </c>
      <c r="AI137" s="5">
        <v>0.23300000000000001</v>
      </c>
      <c r="AK137" s="5">
        <f t="shared" si="80"/>
        <v>0.41399999999999992</v>
      </c>
      <c r="AL137" s="22">
        <f t="shared" si="81"/>
        <v>0.1</v>
      </c>
      <c r="AN137" s="1">
        <f t="shared" si="84"/>
        <v>98.1</v>
      </c>
      <c r="AO137" s="1">
        <f t="shared" si="85"/>
        <v>96.8</v>
      </c>
      <c r="AP137" s="1">
        <f t="shared" si="86"/>
        <v>95.5</v>
      </c>
      <c r="AQ137" s="16">
        <f t="shared" si="77"/>
        <v>0.68100000000000005</v>
      </c>
      <c r="AR137" s="23">
        <f t="shared" si="87"/>
        <v>3.2000000000000001E-2</v>
      </c>
      <c r="AT137" s="18">
        <f t="shared" si="82"/>
        <v>45789</v>
      </c>
      <c r="AU137" s="19">
        <f t="shared" si="83"/>
        <v>132</v>
      </c>
      <c r="AV137" s="1">
        <f t="shared" si="88"/>
        <v>0.2</v>
      </c>
      <c r="AW137" s="1">
        <f t="shared" si="89"/>
        <v>2.2000000000000002</v>
      </c>
      <c r="AX137" s="1">
        <f t="shared" si="90"/>
        <v>-1.3</v>
      </c>
      <c r="AY137" s="1">
        <f t="shared" si="78"/>
        <v>96.8</v>
      </c>
      <c r="AZ137" s="1">
        <f t="shared" si="79"/>
        <v>95.5</v>
      </c>
      <c r="BA137" s="1">
        <f t="shared" si="91"/>
        <v>0.41399999999999992</v>
      </c>
      <c r="BB137" s="5">
        <f t="shared" si="92"/>
        <v>0.1</v>
      </c>
      <c r="BC137" s="1">
        <f>ROUND(AC137,1)</f>
        <v>-0.3</v>
      </c>
      <c r="BD137" s="1">
        <f>ROUND(AD137,1)</f>
        <v>0.3</v>
      </c>
      <c r="BE137" s="1">
        <f>ROUND(AE137,1)</f>
        <v>-1.3</v>
      </c>
      <c r="BF137" s="5">
        <f t="shared" si="93"/>
        <v>0.2</v>
      </c>
      <c r="BG137" s="5">
        <f t="shared" si="94"/>
        <v>0.5</v>
      </c>
      <c r="BH137" s="5">
        <f t="shared" si="95"/>
        <v>0.9</v>
      </c>
      <c r="BI137" s="5">
        <f t="shared" si="96"/>
        <v>0.23300000000000001</v>
      </c>
      <c r="BJ137" s="9">
        <f t="shared" si="97"/>
        <v>0.68100000000000005</v>
      </c>
      <c r="BK137" s="9">
        <f t="shared" si="97"/>
        <v>3.2000000000000001E-2</v>
      </c>
      <c r="BM137" s="1">
        <f t="shared" si="98"/>
        <v>-1.8339999999999999</v>
      </c>
      <c r="BN137" s="1">
        <f t="shared" si="99"/>
        <v>2.7000000000000135E-2</v>
      </c>
    </row>
    <row r="138" spans="1:66" x14ac:dyDescent="0.2">
      <c r="A138" s="4">
        <f t="shared" si="100"/>
        <v>45790</v>
      </c>
      <c r="B138" s="1">
        <v>133</v>
      </c>
      <c r="C138" s="1">
        <v>12</v>
      </c>
      <c r="D138" s="5">
        <v>13.05</v>
      </c>
      <c r="E138" s="5">
        <v>10.67</v>
      </c>
      <c r="F138" s="5">
        <v>0.35199999999999998</v>
      </c>
      <c r="G138" s="5">
        <v>3.2469999999999999</v>
      </c>
      <c r="H138" s="5">
        <v>84.9</v>
      </c>
      <c r="I138" s="5">
        <v>8.4000000000000005E-2</v>
      </c>
      <c r="J138" s="5">
        <v>3.7999999999999999E-2</v>
      </c>
      <c r="K138" s="5">
        <v>0.19600000000000001</v>
      </c>
      <c r="L138" s="5">
        <v>0.46100000000000002</v>
      </c>
      <c r="M138" s="5">
        <v>0.88200000000000001</v>
      </c>
      <c r="N138" s="5">
        <v>8.44</v>
      </c>
      <c r="O138" s="5">
        <v>98.6</v>
      </c>
      <c r="P138" s="5">
        <v>0.18</v>
      </c>
      <c r="Q138" s="5">
        <v>0.125</v>
      </c>
      <c r="R138" s="5">
        <v>0.29799999999999999</v>
      </c>
      <c r="S138" s="5">
        <v>0.55800000000000005</v>
      </c>
      <c r="T138" s="5">
        <v>0.98699999999999999</v>
      </c>
      <c r="U138" s="5">
        <v>0.46</v>
      </c>
      <c r="V138" s="5">
        <v>53.82</v>
      </c>
      <c r="W138" s="5">
        <v>-8.3000000000000004E-2</v>
      </c>
      <c r="X138" s="5">
        <v>-0.111</v>
      </c>
      <c r="Y138" s="5">
        <v>0.105</v>
      </c>
      <c r="Z138" s="5">
        <v>0.36599999999999999</v>
      </c>
      <c r="AA138" s="5">
        <v>0.77300000000000002</v>
      </c>
      <c r="AB138" s="5">
        <v>1.901</v>
      </c>
      <c r="AC138" s="5">
        <v>4.2000000000000003E-2</v>
      </c>
      <c r="AD138" s="5">
        <v>0.97499999999999998</v>
      </c>
      <c r="AE138" s="5">
        <v>-0.441</v>
      </c>
      <c r="AF138" s="5">
        <v>9.32</v>
      </c>
      <c r="AG138" s="5">
        <v>0.161</v>
      </c>
      <c r="AH138" s="5">
        <v>1.8959999999999999</v>
      </c>
      <c r="AI138" s="5">
        <v>0.27500000000000002</v>
      </c>
      <c r="AK138" s="5">
        <f t="shared" si="80"/>
        <v>0.37399999999999989</v>
      </c>
      <c r="AL138" s="22">
        <f t="shared" si="81"/>
        <v>0.1</v>
      </c>
      <c r="AN138" s="1">
        <f t="shared" si="84"/>
        <v>98.6</v>
      </c>
      <c r="AO138" s="1">
        <f t="shared" si="85"/>
        <v>84.9</v>
      </c>
      <c r="AP138" s="1">
        <f t="shared" si="86"/>
        <v>53.8</v>
      </c>
      <c r="AQ138" s="16">
        <f t="shared" si="77"/>
        <v>0.59399999999999997</v>
      </c>
      <c r="AR138" s="23">
        <f t="shared" si="87"/>
        <v>0.51</v>
      </c>
      <c r="AT138" s="18">
        <f t="shared" si="82"/>
        <v>45790</v>
      </c>
      <c r="AU138" s="19">
        <f t="shared" si="83"/>
        <v>133</v>
      </c>
      <c r="AV138" s="1">
        <f t="shared" si="88"/>
        <v>3.2</v>
      </c>
      <c r="AW138" s="1">
        <f t="shared" si="89"/>
        <v>8.4</v>
      </c>
      <c r="AX138" s="1">
        <f t="shared" si="90"/>
        <v>0.5</v>
      </c>
      <c r="AY138" s="1">
        <f t="shared" si="78"/>
        <v>84.9</v>
      </c>
      <c r="AZ138" s="1">
        <f t="shared" si="79"/>
        <v>53.8</v>
      </c>
      <c r="BA138" s="1">
        <f t="shared" si="91"/>
        <v>0.37399999999999989</v>
      </c>
      <c r="BB138" s="5">
        <f t="shared" si="92"/>
        <v>0.1</v>
      </c>
      <c r="BC138" s="1">
        <f>ROUND(AC138,1)</f>
        <v>0</v>
      </c>
      <c r="BD138" s="1">
        <f>ROUND(AD138,1)</f>
        <v>1</v>
      </c>
      <c r="BE138" s="1">
        <f>ROUND(AE138,1)</f>
        <v>-0.4</v>
      </c>
      <c r="BF138" s="5">
        <f t="shared" si="93"/>
        <v>0.2</v>
      </c>
      <c r="BG138" s="5">
        <f t="shared" si="94"/>
        <v>0.5</v>
      </c>
      <c r="BH138" s="5">
        <f t="shared" si="95"/>
        <v>0.9</v>
      </c>
      <c r="BI138" s="5">
        <f t="shared" si="96"/>
        <v>0.27500000000000002</v>
      </c>
      <c r="BJ138" s="9">
        <f t="shared" si="97"/>
        <v>0.59399999999999997</v>
      </c>
      <c r="BK138" s="9">
        <f t="shared" si="97"/>
        <v>0.51</v>
      </c>
      <c r="BM138" s="1">
        <f t="shared" si="98"/>
        <v>-7.4649999999999999</v>
      </c>
      <c r="BN138" s="1">
        <f t="shared" si="99"/>
        <v>-0.90100000000000002</v>
      </c>
    </row>
    <row r="139" spans="1:66" x14ac:dyDescent="0.2">
      <c r="A139" s="4">
        <f t="shared" si="100"/>
        <v>45791</v>
      </c>
      <c r="B139" s="1">
        <v>134</v>
      </c>
      <c r="C139" s="1">
        <v>12</v>
      </c>
      <c r="D139" s="5">
        <v>13.1</v>
      </c>
      <c r="E139" s="5">
        <v>5.2030000000000003</v>
      </c>
      <c r="F139" s="5">
        <v>-0.39300000000000002</v>
      </c>
      <c r="G139" s="5">
        <v>1.625</v>
      </c>
      <c r="H139" s="5">
        <v>86.4</v>
      </c>
      <c r="I139" s="5">
        <v>0.09</v>
      </c>
      <c r="J139" s="5">
        <v>4.4999999999999998E-2</v>
      </c>
      <c r="K139" s="5">
        <v>0.19500000000000001</v>
      </c>
      <c r="L139" s="5">
        <v>0.44800000000000001</v>
      </c>
      <c r="M139" s="5">
        <v>0.875</v>
      </c>
      <c r="N139" s="5">
        <v>5.8179999999999996</v>
      </c>
      <c r="O139" s="5">
        <v>97.7</v>
      </c>
      <c r="P139" s="5">
        <v>0.182</v>
      </c>
      <c r="Q139" s="5">
        <v>0.13600000000000001</v>
      </c>
      <c r="R139" s="5">
        <v>0.27700000000000002</v>
      </c>
      <c r="S139" s="5">
        <v>0.53600000000000003</v>
      </c>
      <c r="T139" s="5">
        <v>0.95199999999999996</v>
      </c>
      <c r="U139" s="5">
        <v>-1.8049999999999999</v>
      </c>
      <c r="V139" s="5">
        <v>57.17</v>
      </c>
      <c r="W139" s="5">
        <v>-1.7999999999999999E-2</v>
      </c>
      <c r="X139" s="5">
        <v>-5.5E-2</v>
      </c>
      <c r="Y139" s="5">
        <v>0.113</v>
      </c>
      <c r="Z139" s="5">
        <v>0.36899999999999999</v>
      </c>
      <c r="AA139" s="5">
        <v>0.78500000000000003</v>
      </c>
      <c r="AB139" s="5">
        <v>1.91</v>
      </c>
      <c r="AC139" s="5">
        <v>-0.13300000000000001</v>
      </c>
      <c r="AD139" s="5">
        <v>0.44800000000000001</v>
      </c>
      <c r="AE139" s="5">
        <v>-1.4079999999999999</v>
      </c>
      <c r="AF139" s="5">
        <v>5.3170000000000002</v>
      </c>
      <c r="AG139" s="5">
        <v>-1.8049999999999999</v>
      </c>
      <c r="AH139" s="5">
        <v>1.9159999999999999</v>
      </c>
      <c r="AI139" s="5">
        <v>0.249</v>
      </c>
      <c r="AK139" s="5">
        <f t="shared" si="80"/>
        <v>0.36499999999999999</v>
      </c>
      <c r="AL139" s="22">
        <f t="shared" si="81"/>
        <v>0.1</v>
      </c>
      <c r="AN139" s="1">
        <f t="shared" si="84"/>
        <v>97.7</v>
      </c>
      <c r="AO139" s="1">
        <f t="shared" si="85"/>
        <v>86.4</v>
      </c>
      <c r="AP139" s="1">
        <f t="shared" si="86"/>
        <v>57.2</v>
      </c>
      <c r="AQ139" s="16">
        <f t="shared" si="77"/>
        <v>0.52800000000000002</v>
      </c>
      <c r="AR139" s="23">
        <f t="shared" si="87"/>
        <v>0.39500000000000002</v>
      </c>
      <c r="AT139" s="18">
        <f t="shared" si="82"/>
        <v>45791</v>
      </c>
      <c r="AU139" s="19">
        <f t="shared" si="83"/>
        <v>134</v>
      </c>
      <c r="AV139" s="1">
        <f t="shared" si="88"/>
        <v>1.6</v>
      </c>
      <c r="AW139" s="1">
        <f t="shared" si="89"/>
        <v>5.8</v>
      </c>
      <c r="AX139" s="1">
        <f t="shared" si="90"/>
        <v>-1.8</v>
      </c>
      <c r="AY139" s="1">
        <f t="shared" si="78"/>
        <v>86.4</v>
      </c>
      <c r="AZ139" s="1">
        <f t="shared" si="79"/>
        <v>57.2</v>
      </c>
      <c r="BA139" s="1">
        <f t="shared" si="91"/>
        <v>0.36499999999999999</v>
      </c>
      <c r="BB139" s="5">
        <f t="shared" si="92"/>
        <v>0.1</v>
      </c>
      <c r="BC139" s="1">
        <f>ROUND(AC139,1)</f>
        <v>-0.1</v>
      </c>
      <c r="BD139" s="1">
        <f>ROUND(AD139,1)</f>
        <v>0.4</v>
      </c>
      <c r="BE139" s="1">
        <f>ROUND(AE139,1)</f>
        <v>-1.4</v>
      </c>
      <c r="BF139" s="5">
        <f t="shared" si="93"/>
        <v>0.2</v>
      </c>
      <c r="BG139" s="5">
        <f t="shared" si="94"/>
        <v>0.4</v>
      </c>
      <c r="BH139" s="5">
        <f t="shared" si="95"/>
        <v>0.9</v>
      </c>
      <c r="BI139" s="5">
        <f t="shared" si="96"/>
        <v>0.249</v>
      </c>
      <c r="BJ139" s="9">
        <f t="shared" si="97"/>
        <v>0.52800000000000002</v>
      </c>
      <c r="BK139" s="9">
        <f t="shared" si="97"/>
        <v>0.39500000000000002</v>
      </c>
      <c r="BM139" s="1">
        <f t="shared" si="98"/>
        <v>-5.3699999999999992</v>
      </c>
      <c r="BN139" s="1">
        <f t="shared" si="99"/>
        <v>0.39700000000000002</v>
      </c>
    </row>
    <row r="140" spans="1:66" x14ac:dyDescent="0.2">
      <c r="A140" s="4">
        <f t="shared" si="100"/>
        <v>45792</v>
      </c>
      <c r="B140" s="1">
        <v>135</v>
      </c>
      <c r="C140" s="1">
        <v>12</v>
      </c>
      <c r="D140" s="5">
        <v>13.1</v>
      </c>
      <c r="E140" s="5">
        <v>7.641</v>
      </c>
      <c r="F140" s="5">
        <v>-3.3210000000000002</v>
      </c>
      <c r="G140" s="5">
        <v>1.016</v>
      </c>
      <c r="H140" s="5">
        <v>71.290000000000006</v>
      </c>
      <c r="I140" s="5">
        <v>6.8000000000000005E-2</v>
      </c>
      <c r="J140" s="5">
        <v>2.5000000000000001E-2</v>
      </c>
      <c r="K140" s="5">
        <v>0.182</v>
      </c>
      <c r="L140" s="5">
        <v>0.44400000000000001</v>
      </c>
      <c r="M140" s="5">
        <v>0.85699999999999998</v>
      </c>
      <c r="N140" s="5">
        <v>6.7910000000000004</v>
      </c>
      <c r="O140" s="5">
        <v>94.3</v>
      </c>
      <c r="P140" s="5">
        <v>0.17699999999999999</v>
      </c>
      <c r="Q140" s="5">
        <v>0.128</v>
      </c>
      <c r="R140" s="5">
        <v>0.28299999999999997</v>
      </c>
      <c r="S140" s="5">
        <v>0.54700000000000004</v>
      </c>
      <c r="T140" s="5">
        <v>0.96399999999999997</v>
      </c>
      <c r="U140" s="5">
        <v>-3.423</v>
      </c>
      <c r="V140" s="5">
        <v>40.409999999999997</v>
      </c>
      <c r="W140" s="5">
        <v>-0.127</v>
      </c>
      <c r="X140" s="5">
        <v>-0.16600000000000001</v>
      </c>
      <c r="Y140" s="5">
        <v>6.5000000000000002E-2</v>
      </c>
      <c r="Z140" s="5">
        <v>0.35499999999999998</v>
      </c>
      <c r="AA140" s="5">
        <v>0.75900000000000001</v>
      </c>
      <c r="AB140" s="5">
        <v>1.925</v>
      </c>
      <c r="AC140" s="5">
        <v>-0.91300000000000003</v>
      </c>
      <c r="AD140" s="5">
        <v>0.67400000000000004</v>
      </c>
      <c r="AE140" s="5">
        <v>-3.476</v>
      </c>
      <c r="AF140" s="5">
        <v>6.6909999999999998</v>
      </c>
      <c r="AG140" s="5">
        <v>-3.6389999999999998</v>
      </c>
      <c r="AH140" s="5">
        <v>1.927</v>
      </c>
      <c r="AI140" s="5">
        <v>0.24399999999999999</v>
      </c>
      <c r="AK140" s="5">
        <f t="shared" si="80"/>
        <v>0.34999999999999987</v>
      </c>
      <c r="AL140" s="22">
        <f t="shared" si="81"/>
        <v>0.1</v>
      </c>
      <c r="AN140" s="1">
        <f t="shared" si="84"/>
        <v>94.3</v>
      </c>
      <c r="AO140" s="1">
        <f t="shared" si="85"/>
        <v>71.3</v>
      </c>
      <c r="AP140" s="1">
        <f t="shared" si="86"/>
        <v>40.4</v>
      </c>
      <c r="AQ140" s="16">
        <f t="shared" si="77"/>
        <v>0.39900000000000002</v>
      </c>
      <c r="AR140" s="23">
        <f t="shared" si="87"/>
        <v>0.58899999999999997</v>
      </c>
      <c r="AT140" s="18">
        <f t="shared" si="82"/>
        <v>45792</v>
      </c>
      <c r="AU140" s="19">
        <f t="shared" si="83"/>
        <v>135</v>
      </c>
      <c r="AV140" s="1">
        <f t="shared" si="88"/>
        <v>1</v>
      </c>
      <c r="AW140" s="1">
        <f t="shared" si="89"/>
        <v>6.8</v>
      </c>
      <c r="AX140" s="1">
        <f t="shared" si="90"/>
        <v>-3.4</v>
      </c>
      <c r="AY140" s="1">
        <f t="shared" si="78"/>
        <v>71.3</v>
      </c>
      <c r="AZ140" s="1">
        <f t="shared" si="79"/>
        <v>40.4</v>
      </c>
      <c r="BA140" s="1">
        <f t="shared" si="91"/>
        <v>0.34999999999999987</v>
      </c>
      <c r="BB140" s="5">
        <f t="shared" si="92"/>
        <v>0.1</v>
      </c>
      <c r="BC140" s="1">
        <f>ROUND(AC140,1)</f>
        <v>-0.9</v>
      </c>
      <c r="BD140" s="1">
        <f>ROUND(AD140,1)</f>
        <v>0.7</v>
      </c>
      <c r="BE140" s="1">
        <f>ROUND(AE140,1)</f>
        <v>-3.5</v>
      </c>
      <c r="BF140" s="5">
        <f t="shared" si="93"/>
        <v>0.2</v>
      </c>
      <c r="BG140" s="5">
        <f t="shared" si="94"/>
        <v>0.4</v>
      </c>
      <c r="BH140" s="5">
        <f t="shared" si="95"/>
        <v>0.9</v>
      </c>
      <c r="BI140" s="5">
        <f t="shared" si="96"/>
        <v>0.24399999999999999</v>
      </c>
      <c r="BJ140" s="9">
        <f t="shared" si="97"/>
        <v>0.39900000000000002</v>
      </c>
      <c r="BK140" s="9">
        <f t="shared" si="97"/>
        <v>0.58899999999999997</v>
      </c>
      <c r="BM140" s="1">
        <f t="shared" si="98"/>
        <v>-6.117</v>
      </c>
      <c r="BN140" s="1">
        <f t="shared" si="99"/>
        <v>-5.2999999999999936E-2</v>
      </c>
    </row>
    <row r="141" spans="1:66" x14ac:dyDescent="0.2">
      <c r="A141" s="4">
        <f t="shared" si="100"/>
        <v>45793</v>
      </c>
      <c r="B141" s="1">
        <v>136</v>
      </c>
      <c r="C141" s="1">
        <v>12</v>
      </c>
      <c r="D141" s="5">
        <v>13.15</v>
      </c>
      <c r="E141" s="5">
        <v>4.1500000000000004</v>
      </c>
      <c r="F141" s="5">
        <v>-1.417</v>
      </c>
      <c r="G141" s="5">
        <v>0.59699999999999998</v>
      </c>
      <c r="H141" s="5">
        <v>93.1</v>
      </c>
      <c r="I141" s="5">
        <v>7.8E-2</v>
      </c>
      <c r="J141" s="5">
        <v>3.3000000000000002E-2</v>
      </c>
      <c r="K141" s="5">
        <v>0.193</v>
      </c>
      <c r="L141" s="5">
        <v>0.45500000000000002</v>
      </c>
      <c r="M141" s="5">
        <v>0.86499999999999999</v>
      </c>
      <c r="N141" s="5">
        <v>4.0949999999999998</v>
      </c>
      <c r="O141" s="5">
        <v>98</v>
      </c>
      <c r="P141" s="5">
        <v>0.17299999999999999</v>
      </c>
      <c r="Q141" s="5">
        <v>0.11700000000000001</v>
      </c>
      <c r="R141" s="5">
        <v>0.27500000000000002</v>
      </c>
      <c r="S141" s="5">
        <v>0.54400000000000004</v>
      </c>
      <c r="T141" s="5">
        <v>0.96</v>
      </c>
      <c r="U141" s="5">
        <v>-1.873</v>
      </c>
      <c r="V141" s="5">
        <v>77.75</v>
      </c>
      <c r="W141" s="5">
        <v>-3.7999999999999999E-2</v>
      </c>
      <c r="X141" s="5">
        <v>-8.1000000000000003E-2</v>
      </c>
      <c r="Y141" s="5">
        <v>0.111</v>
      </c>
      <c r="Z141" s="5">
        <v>0.37</v>
      </c>
      <c r="AA141" s="5">
        <v>0.77400000000000002</v>
      </c>
      <c r="AB141" s="5">
        <v>1.944</v>
      </c>
      <c r="AC141" s="5">
        <v>-0.41899999999999998</v>
      </c>
      <c r="AD141" s="5">
        <v>0.314</v>
      </c>
      <c r="AE141" s="5">
        <v>-1.5389999999999999</v>
      </c>
      <c r="AF141" s="5">
        <v>3.5030000000000001</v>
      </c>
      <c r="AG141" s="5">
        <v>-1.925</v>
      </c>
      <c r="AH141" s="5">
        <v>1.9390000000000001</v>
      </c>
      <c r="AI141" s="5">
        <v>0.23499999999999999</v>
      </c>
      <c r="AK141" s="5">
        <f t="shared" si="80"/>
        <v>0.33099999999999996</v>
      </c>
      <c r="AL141" s="22">
        <f t="shared" si="81"/>
        <v>0.1</v>
      </c>
      <c r="AN141" s="1">
        <f t="shared" si="84"/>
        <v>98</v>
      </c>
      <c r="AO141" s="1">
        <f t="shared" si="85"/>
        <v>93.1</v>
      </c>
      <c r="AP141" s="1">
        <f t="shared" si="86"/>
        <v>77.8</v>
      </c>
      <c r="AQ141" s="16">
        <f t="shared" si="77"/>
        <v>0.63700000000000001</v>
      </c>
      <c r="AR141" s="23">
        <f t="shared" si="87"/>
        <v>0.182</v>
      </c>
      <c r="AT141" s="18">
        <f t="shared" si="82"/>
        <v>45793</v>
      </c>
      <c r="AU141" s="19">
        <f t="shared" si="83"/>
        <v>136</v>
      </c>
      <c r="AV141" s="1">
        <f t="shared" si="88"/>
        <v>0.6</v>
      </c>
      <c r="AW141" s="1">
        <f t="shared" si="89"/>
        <v>4.0999999999999996</v>
      </c>
      <c r="AX141" s="1">
        <f t="shared" si="90"/>
        <v>-1.9</v>
      </c>
      <c r="AY141" s="1">
        <f t="shared" si="78"/>
        <v>93.1</v>
      </c>
      <c r="AZ141" s="1">
        <f t="shared" si="79"/>
        <v>77.8</v>
      </c>
      <c r="BA141" s="1">
        <f t="shared" si="91"/>
        <v>0.33099999999999996</v>
      </c>
      <c r="BB141" s="5">
        <f t="shared" si="92"/>
        <v>0.1</v>
      </c>
      <c r="BC141" s="1">
        <f>ROUND(AC141,1)</f>
        <v>-0.4</v>
      </c>
      <c r="BD141" s="1">
        <f>ROUND(AD141,1)</f>
        <v>0.3</v>
      </c>
      <c r="BE141" s="1">
        <f>ROUND(AE141,1)</f>
        <v>-1.5</v>
      </c>
      <c r="BF141" s="5">
        <f t="shared" si="93"/>
        <v>0.2</v>
      </c>
      <c r="BG141" s="5">
        <f t="shared" si="94"/>
        <v>0.5</v>
      </c>
      <c r="BH141" s="5">
        <f t="shared" si="95"/>
        <v>0.9</v>
      </c>
      <c r="BI141" s="5">
        <f t="shared" si="96"/>
        <v>0.23499999999999999</v>
      </c>
      <c r="BJ141" s="9">
        <f t="shared" si="97"/>
        <v>0.63700000000000001</v>
      </c>
      <c r="BK141" s="9">
        <f t="shared" si="97"/>
        <v>0.182</v>
      </c>
      <c r="BM141" s="1">
        <f t="shared" si="98"/>
        <v>-3.7809999999999997</v>
      </c>
      <c r="BN141" s="1">
        <f t="shared" si="99"/>
        <v>0.33400000000000007</v>
      </c>
    </row>
    <row r="142" spans="1:66" x14ac:dyDescent="0.2">
      <c r="A142" s="4">
        <f t="shared" si="100"/>
        <v>45794</v>
      </c>
      <c r="B142" s="1">
        <v>137</v>
      </c>
      <c r="C142" s="1">
        <v>12</v>
      </c>
      <c r="D142" s="5">
        <v>12.95</v>
      </c>
      <c r="E142" s="5">
        <v>5.2910000000000004</v>
      </c>
      <c r="F142" s="5">
        <v>-0.47899999999999998</v>
      </c>
      <c r="G142" s="5">
        <v>1.45</v>
      </c>
      <c r="H142" s="5">
        <v>95.3</v>
      </c>
      <c r="I142" s="5">
        <v>9.2999999999999999E-2</v>
      </c>
      <c r="J142" s="5">
        <v>0.05</v>
      </c>
      <c r="K142" s="5">
        <v>0.20799999999999999</v>
      </c>
      <c r="L142" s="5">
        <v>0.47299999999999998</v>
      </c>
      <c r="M142" s="5">
        <v>0.88400000000000001</v>
      </c>
      <c r="N142" s="5">
        <v>4.7699999999999996</v>
      </c>
      <c r="O142" s="5">
        <v>98.1</v>
      </c>
      <c r="P142" s="5">
        <v>0.17299999999999999</v>
      </c>
      <c r="Q142" s="5">
        <v>0.14499999999999999</v>
      </c>
      <c r="R142" s="5">
        <v>0.28899999999999998</v>
      </c>
      <c r="S142" s="5">
        <v>0.55000000000000004</v>
      </c>
      <c r="T142" s="5">
        <v>0.96199999999999997</v>
      </c>
      <c r="U142" s="5">
        <v>-1.4330000000000001</v>
      </c>
      <c r="V142" s="5">
        <v>78.66</v>
      </c>
      <c r="W142" s="5">
        <v>-2.9000000000000001E-2</v>
      </c>
      <c r="X142" s="5">
        <v>-7.4999999999999997E-2</v>
      </c>
      <c r="Y142" s="5">
        <v>0.107</v>
      </c>
      <c r="Z142" s="5">
        <v>0.378</v>
      </c>
      <c r="AA142" s="5">
        <v>0.78500000000000003</v>
      </c>
      <c r="AB142" s="5">
        <v>1.962</v>
      </c>
      <c r="AC142" s="5">
        <v>-0.13</v>
      </c>
      <c r="AD142" s="5">
        <v>0.82499999999999996</v>
      </c>
      <c r="AE142" s="5">
        <v>-1.905</v>
      </c>
      <c r="AF142" s="5">
        <v>5.3609999999999998</v>
      </c>
      <c r="AG142" s="5">
        <v>-1.492</v>
      </c>
      <c r="AH142" s="5">
        <v>1.9670000000000001</v>
      </c>
      <c r="AI142" s="5">
        <v>0.24099999999999999</v>
      </c>
      <c r="AK142" s="5">
        <f t="shared" si="80"/>
        <v>0.31299999999999994</v>
      </c>
      <c r="AL142" s="22">
        <f t="shared" si="81"/>
        <v>0.1</v>
      </c>
      <c r="AN142" s="1">
        <f t="shared" si="84"/>
        <v>98.1</v>
      </c>
      <c r="AO142" s="1">
        <f t="shared" si="85"/>
        <v>95.3</v>
      </c>
      <c r="AP142" s="1">
        <f t="shared" si="86"/>
        <v>78.7</v>
      </c>
      <c r="AQ142" s="16">
        <f t="shared" si="77"/>
        <v>0.67500000000000004</v>
      </c>
      <c r="AR142" s="23">
        <f t="shared" si="87"/>
        <v>0.183</v>
      </c>
      <c r="AT142" s="18">
        <f t="shared" si="82"/>
        <v>45794</v>
      </c>
      <c r="AU142" s="19">
        <f t="shared" si="83"/>
        <v>137</v>
      </c>
      <c r="AV142" s="1">
        <f t="shared" si="88"/>
        <v>1.5</v>
      </c>
      <c r="AW142" s="1">
        <f t="shared" si="89"/>
        <v>4.8</v>
      </c>
      <c r="AX142" s="1">
        <f t="shared" si="90"/>
        <v>-1.4</v>
      </c>
      <c r="AY142" s="1">
        <f t="shared" si="78"/>
        <v>95.3</v>
      </c>
      <c r="AZ142" s="1">
        <f t="shared" si="79"/>
        <v>78.7</v>
      </c>
      <c r="BA142" s="1">
        <f t="shared" si="91"/>
        <v>0.31299999999999994</v>
      </c>
      <c r="BB142" s="5">
        <f t="shared" si="92"/>
        <v>0.1</v>
      </c>
      <c r="BC142" s="1">
        <f>ROUND(AC142,1)</f>
        <v>-0.1</v>
      </c>
      <c r="BD142" s="1">
        <f>ROUND(AD142,1)</f>
        <v>0.8</v>
      </c>
      <c r="BE142" s="1">
        <f>ROUND(AE142,1)</f>
        <v>-1.9</v>
      </c>
      <c r="BF142" s="5">
        <f t="shared" si="93"/>
        <v>0.2</v>
      </c>
      <c r="BG142" s="5">
        <f t="shared" si="94"/>
        <v>0.5</v>
      </c>
      <c r="BH142" s="5">
        <f t="shared" si="95"/>
        <v>0.9</v>
      </c>
      <c r="BI142" s="5">
        <f t="shared" si="96"/>
        <v>0.24099999999999999</v>
      </c>
      <c r="BJ142" s="9">
        <f t="shared" si="97"/>
        <v>0.67500000000000004</v>
      </c>
      <c r="BK142" s="9">
        <f t="shared" si="97"/>
        <v>0.183</v>
      </c>
      <c r="BM142" s="1">
        <f t="shared" si="98"/>
        <v>-3.9449999999999994</v>
      </c>
      <c r="BN142" s="1">
        <f t="shared" si="99"/>
        <v>-0.47199999999999998</v>
      </c>
    </row>
    <row r="143" spans="1:66" x14ac:dyDescent="0.2">
      <c r="A143" s="4">
        <f t="shared" si="100"/>
        <v>45795</v>
      </c>
      <c r="B143" s="1">
        <v>138</v>
      </c>
      <c r="C143" s="1">
        <v>12</v>
      </c>
      <c r="D143" s="5">
        <v>13.19</v>
      </c>
      <c r="E143" s="5">
        <v>1.97</v>
      </c>
      <c r="F143" s="5">
        <v>-2.1219999999999999</v>
      </c>
      <c r="G143" s="5">
        <v>-0.96599999999999997</v>
      </c>
      <c r="H143" s="5">
        <v>92.1</v>
      </c>
      <c r="I143" s="5">
        <v>7.0999999999999994E-2</v>
      </c>
      <c r="J143" s="5">
        <v>2.8000000000000001E-2</v>
      </c>
      <c r="K143" s="5">
        <v>0.186</v>
      </c>
      <c r="L143" s="5">
        <v>0.44600000000000001</v>
      </c>
      <c r="M143" s="5">
        <v>0.85899999999999999</v>
      </c>
      <c r="N143" s="5">
        <v>1.474</v>
      </c>
      <c r="O143" s="5">
        <v>96.4</v>
      </c>
      <c r="P143" s="5">
        <v>0.156</v>
      </c>
      <c r="Q143" s="5">
        <v>0.121</v>
      </c>
      <c r="R143" s="5">
        <v>0.26</v>
      </c>
      <c r="S143" s="5">
        <v>0.52400000000000002</v>
      </c>
      <c r="T143" s="5">
        <v>0.93500000000000005</v>
      </c>
      <c r="U143" s="5">
        <v>-2.5489999999999999</v>
      </c>
      <c r="V143" s="5">
        <v>84.1</v>
      </c>
      <c r="W143" s="5">
        <v>-3.7999999999999999E-2</v>
      </c>
      <c r="X143" s="5">
        <v>-8.4000000000000005E-2</v>
      </c>
      <c r="Y143" s="5">
        <v>0.114</v>
      </c>
      <c r="Z143" s="5">
        <v>0.35699999999999998</v>
      </c>
      <c r="AA143" s="5">
        <v>0.77</v>
      </c>
      <c r="AB143" s="5">
        <v>1.96</v>
      </c>
      <c r="AC143" s="5">
        <v>-1.224</v>
      </c>
      <c r="AD143" s="5">
        <v>0.23599999999999999</v>
      </c>
      <c r="AE143" s="5">
        <v>-2.8260000000000001</v>
      </c>
      <c r="AF143" s="5">
        <v>1.5309999999999999</v>
      </c>
      <c r="AG143" s="5">
        <v>-2.8570000000000002</v>
      </c>
      <c r="AH143" s="5">
        <v>1.9690000000000001</v>
      </c>
      <c r="AI143" s="5">
        <v>0.23100000000000001</v>
      </c>
      <c r="AK143" s="5">
        <f t="shared" si="80"/>
        <v>0.31499999999999995</v>
      </c>
      <c r="AL143" s="22">
        <f t="shared" si="81"/>
        <v>0.1</v>
      </c>
      <c r="AN143" s="1">
        <f t="shared" si="84"/>
        <v>96.4</v>
      </c>
      <c r="AO143" s="1">
        <f t="shared" si="85"/>
        <v>92.1</v>
      </c>
      <c r="AP143" s="1">
        <f t="shared" si="86"/>
        <v>84.1</v>
      </c>
      <c r="AQ143" s="16">
        <f t="shared" si="77"/>
        <v>0.57099999999999995</v>
      </c>
      <c r="AR143" s="23">
        <f t="shared" si="87"/>
        <v>0.108</v>
      </c>
      <c r="AT143" s="18">
        <f t="shared" si="82"/>
        <v>45795</v>
      </c>
      <c r="AU143" s="19">
        <f t="shared" si="83"/>
        <v>138</v>
      </c>
      <c r="AV143" s="1">
        <f t="shared" si="88"/>
        <v>-1</v>
      </c>
      <c r="AW143" s="1">
        <f t="shared" si="89"/>
        <v>1.5</v>
      </c>
      <c r="AX143" s="1">
        <f t="shared" si="90"/>
        <v>-2.5</v>
      </c>
      <c r="AY143" s="1">
        <f t="shared" si="78"/>
        <v>92.1</v>
      </c>
      <c r="AZ143" s="1">
        <f t="shared" si="79"/>
        <v>84.1</v>
      </c>
      <c r="BA143" s="1">
        <f t="shared" si="91"/>
        <v>0.31499999999999995</v>
      </c>
      <c r="BB143" s="5">
        <f t="shared" si="92"/>
        <v>0.1</v>
      </c>
      <c r="BC143" s="1">
        <f>ROUND(AC143,1)</f>
        <v>-1.2</v>
      </c>
      <c r="BD143" s="1">
        <f>ROUND(AD143,1)</f>
        <v>0.2</v>
      </c>
      <c r="BE143" s="1">
        <f>ROUND(AE143,1)</f>
        <v>-2.8</v>
      </c>
      <c r="BF143" s="5">
        <f t="shared" si="93"/>
        <v>0.2</v>
      </c>
      <c r="BG143" s="5">
        <f t="shared" si="94"/>
        <v>0.4</v>
      </c>
      <c r="BH143" s="5">
        <f t="shared" si="95"/>
        <v>0.9</v>
      </c>
      <c r="BI143" s="5">
        <f t="shared" si="96"/>
        <v>0.23100000000000001</v>
      </c>
      <c r="BJ143" s="9">
        <f t="shared" si="97"/>
        <v>0.57099999999999995</v>
      </c>
      <c r="BK143" s="9">
        <f t="shared" si="97"/>
        <v>0.108</v>
      </c>
      <c r="BM143" s="1">
        <f t="shared" si="98"/>
        <v>-1.238</v>
      </c>
      <c r="BN143" s="1">
        <f t="shared" si="99"/>
        <v>-0.27700000000000014</v>
      </c>
    </row>
    <row r="144" spans="1:66" x14ac:dyDescent="0.2">
      <c r="A144" s="4">
        <f t="shared" si="100"/>
        <v>45796</v>
      </c>
      <c r="B144" s="1">
        <v>139</v>
      </c>
      <c r="C144" s="1">
        <v>12</v>
      </c>
      <c r="D144" s="5">
        <v>12.88</v>
      </c>
      <c r="E144" s="5">
        <v>0.501</v>
      </c>
      <c r="F144" s="5">
        <v>-2.6120000000000001</v>
      </c>
      <c r="G144" s="5">
        <v>-1.0169999999999999</v>
      </c>
      <c r="H144" s="5">
        <v>94.4</v>
      </c>
      <c r="I144" s="5">
        <v>7.9000000000000001E-2</v>
      </c>
      <c r="J144" s="5">
        <v>3.3000000000000002E-2</v>
      </c>
      <c r="K144" s="5">
        <v>0.20200000000000001</v>
      </c>
      <c r="L144" s="5">
        <v>0.47</v>
      </c>
      <c r="M144" s="5">
        <v>0.879</v>
      </c>
      <c r="N144" s="5">
        <v>0.25700000000000001</v>
      </c>
      <c r="O144" s="5">
        <v>97.7</v>
      </c>
      <c r="P144" s="5">
        <v>0.16</v>
      </c>
      <c r="Q144" s="5">
        <v>0.114</v>
      </c>
      <c r="R144" s="5">
        <v>0.29399999999999998</v>
      </c>
      <c r="S144" s="5">
        <v>0.56899999999999995</v>
      </c>
      <c r="T144" s="5">
        <v>0.96399999999999997</v>
      </c>
      <c r="U144" s="5">
        <v>-2.819</v>
      </c>
      <c r="V144" s="5">
        <v>80.099999999999994</v>
      </c>
      <c r="W144" s="5">
        <v>-2.1999999999999999E-2</v>
      </c>
      <c r="X144" s="5">
        <v>-5.0999999999999997E-2</v>
      </c>
      <c r="Y144" s="5">
        <v>0.112</v>
      </c>
      <c r="Z144" s="5">
        <v>0.375</v>
      </c>
      <c r="AA144" s="5">
        <v>0.79</v>
      </c>
      <c r="AB144" s="5">
        <v>1.91</v>
      </c>
      <c r="AC144" s="5">
        <v>-1.254</v>
      </c>
      <c r="AD144" s="5">
        <v>-6.4000000000000001E-2</v>
      </c>
      <c r="AE144" s="5">
        <v>-2.8679999999999999</v>
      </c>
      <c r="AF144" s="5">
        <v>0.22500000000000001</v>
      </c>
      <c r="AG144" s="5">
        <v>-3.0419999999999998</v>
      </c>
      <c r="AH144" s="5">
        <v>1.9139999999999999</v>
      </c>
      <c r="AI144" s="5">
        <v>0.224</v>
      </c>
      <c r="AK144" s="5">
        <f t="shared" si="80"/>
        <v>0.36499999999999999</v>
      </c>
      <c r="AL144" s="22">
        <f t="shared" si="81"/>
        <v>0.1</v>
      </c>
      <c r="AN144" s="1">
        <f t="shared" si="84"/>
        <v>97.7</v>
      </c>
      <c r="AO144" s="1">
        <f t="shared" si="85"/>
        <v>94.4</v>
      </c>
      <c r="AP144" s="1">
        <f t="shared" si="86"/>
        <v>80.099999999999994</v>
      </c>
      <c r="AQ144" s="16">
        <f t="shared" si="77"/>
        <v>0.498</v>
      </c>
      <c r="AR144" s="23">
        <f t="shared" si="87"/>
        <v>0.124</v>
      </c>
      <c r="AT144" s="18">
        <f t="shared" si="82"/>
        <v>45796</v>
      </c>
      <c r="AU144" s="19">
        <f t="shared" si="83"/>
        <v>139</v>
      </c>
      <c r="AV144" s="1">
        <f t="shared" si="88"/>
        <v>-1</v>
      </c>
      <c r="AW144" s="1">
        <f t="shared" si="89"/>
        <v>0.3</v>
      </c>
      <c r="AX144" s="1">
        <f t="shared" si="90"/>
        <v>-2.8</v>
      </c>
      <c r="AY144" s="1">
        <f t="shared" si="78"/>
        <v>94.4</v>
      </c>
      <c r="AZ144" s="1">
        <f t="shared" si="79"/>
        <v>80.099999999999994</v>
      </c>
      <c r="BA144" s="1">
        <f t="shared" si="91"/>
        <v>0.36499999999999999</v>
      </c>
      <c r="BB144" s="5">
        <f t="shared" si="92"/>
        <v>0.1</v>
      </c>
      <c r="BC144" s="1">
        <f>ROUND(AC144,1)</f>
        <v>-1.3</v>
      </c>
      <c r="BD144" s="1">
        <f>ROUND(AD144,1)</f>
        <v>-0.1</v>
      </c>
      <c r="BE144" s="1">
        <f>ROUND(AE144,1)</f>
        <v>-2.9</v>
      </c>
      <c r="BF144" s="5">
        <f t="shared" si="93"/>
        <v>0.2</v>
      </c>
      <c r="BG144" s="5">
        <f t="shared" si="94"/>
        <v>0.5</v>
      </c>
      <c r="BH144" s="5">
        <f t="shared" si="95"/>
        <v>0.9</v>
      </c>
      <c r="BI144" s="5">
        <f t="shared" si="96"/>
        <v>0.224</v>
      </c>
      <c r="BJ144" s="9">
        <f t="shared" si="97"/>
        <v>0.498</v>
      </c>
      <c r="BK144" s="9">
        <f t="shared" si="97"/>
        <v>0.124</v>
      </c>
      <c r="BM144" s="1">
        <f t="shared" si="98"/>
        <v>-0.32100000000000001</v>
      </c>
      <c r="BN144" s="1">
        <f t="shared" si="99"/>
        <v>-4.8999999999999932E-2</v>
      </c>
    </row>
    <row r="145" spans="1:66" x14ac:dyDescent="0.2">
      <c r="A145" s="4">
        <f t="shared" si="100"/>
        <v>45797</v>
      </c>
      <c r="B145" s="1">
        <v>140</v>
      </c>
      <c r="C145" s="1">
        <v>12</v>
      </c>
      <c r="D145" s="5">
        <v>13.18</v>
      </c>
      <c r="E145" s="5">
        <v>2.9929999999999999</v>
      </c>
      <c r="F145" s="5">
        <v>-1.8640000000000001</v>
      </c>
      <c r="G145" s="5">
        <v>-0.33900000000000002</v>
      </c>
      <c r="H145" s="5">
        <v>83.6</v>
      </c>
      <c r="I145" s="5">
        <v>0.08</v>
      </c>
      <c r="J145" s="5">
        <v>3.2000000000000001E-2</v>
      </c>
      <c r="K145" s="5">
        <v>0.20499999999999999</v>
      </c>
      <c r="L145" s="5">
        <v>0.47899999999999998</v>
      </c>
      <c r="M145" s="5">
        <v>0.88400000000000001</v>
      </c>
      <c r="N145" s="5">
        <v>3.4929999999999999</v>
      </c>
      <c r="O145" s="5">
        <v>96.5</v>
      </c>
      <c r="P145" s="5">
        <v>0.16500000000000001</v>
      </c>
      <c r="Q145" s="5">
        <v>0.125</v>
      </c>
      <c r="R145" s="5">
        <v>0.28299999999999997</v>
      </c>
      <c r="S145" s="5">
        <v>0.56699999999999995</v>
      </c>
      <c r="T145" s="5">
        <v>0.97699999999999998</v>
      </c>
      <c r="U145" s="5">
        <v>-2.5489999999999999</v>
      </c>
      <c r="V145" s="5">
        <v>63.87</v>
      </c>
      <c r="W145" s="5">
        <v>-0.03</v>
      </c>
      <c r="X145" s="5">
        <v>-7.4999999999999997E-2</v>
      </c>
      <c r="Y145" s="5">
        <v>0.126</v>
      </c>
      <c r="Z145" s="5">
        <v>0.40100000000000002</v>
      </c>
      <c r="AA145" s="5">
        <v>0.80100000000000005</v>
      </c>
      <c r="AB145" s="5">
        <v>1.9370000000000001</v>
      </c>
      <c r="AC145" s="5">
        <v>-1.3520000000000001</v>
      </c>
      <c r="AD145" s="5">
        <v>0.496</v>
      </c>
      <c r="AE145" s="5">
        <v>-3.5329999999999999</v>
      </c>
      <c r="AF145" s="5">
        <v>4.4290000000000003</v>
      </c>
      <c r="AG145" s="5">
        <v>-2.5750000000000002</v>
      </c>
      <c r="AH145" s="5">
        <v>1.9450000000000001</v>
      </c>
      <c r="AI145" s="5">
        <v>0.215</v>
      </c>
      <c r="AK145" s="5">
        <f t="shared" si="80"/>
        <v>0.33799999999999986</v>
      </c>
      <c r="AL145" s="22">
        <f t="shared" si="81"/>
        <v>0.1</v>
      </c>
      <c r="AN145" s="1">
        <f t="shared" si="84"/>
        <v>96.5</v>
      </c>
      <c r="AO145" s="1">
        <f t="shared" si="85"/>
        <v>83.6</v>
      </c>
      <c r="AP145" s="1">
        <f t="shared" si="86"/>
        <v>63.9</v>
      </c>
      <c r="AQ145" s="16">
        <f t="shared" si="77"/>
        <v>0.501</v>
      </c>
      <c r="AR145" s="23">
        <f t="shared" si="87"/>
        <v>0.28299999999999997</v>
      </c>
      <c r="AT145" s="18">
        <f t="shared" si="82"/>
        <v>45797</v>
      </c>
      <c r="AU145" s="19">
        <f t="shared" si="83"/>
        <v>140</v>
      </c>
      <c r="AV145" s="1">
        <f t="shared" si="88"/>
        <v>-0.3</v>
      </c>
      <c r="AW145" s="1">
        <f t="shared" si="89"/>
        <v>3.5</v>
      </c>
      <c r="AX145" s="1">
        <f t="shared" si="90"/>
        <v>-2.5</v>
      </c>
      <c r="AY145" s="1">
        <f t="shared" si="78"/>
        <v>83.6</v>
      </c>
      <c r="AZ145" s="1">
        <f t="shared" si="79"/>
        <v>63.9</v>
      </c>
      <c r="BA145" s="1">
        <f t="shared" si="91"/>
        <v>0.33799999999999986</v>
      </c>
      <c r="BB145" s="5">
        <f t="shared" si="92"/>
        <v>0.1</v>
      </c>
      <c r="BC145" s="1">
        <f>ROUND(AC145,1)</f>
        <v>-1.4</v>
      </c>
      <c r="BD145" s="1">
        <f>ROUND(AD145,1)</f>
        <v>0.5</v>
      </c>
      <c r="BE145" s="1">
        <f>ROUND(AE145,1)</f>
        <v>-3.5</v>
      </c>
      <c r="BF145" s="5">
        <f t="shared" si="93"/>
        <v>0.2</v>
      </c>
      <c r="BG145" s="5">
        <f t="shared" si="94"/>
        <v>0.5</v>
      </c>
      <c r="BH145" s="5">
        <f t="shared" si="95"/>
        <v>0.9</v>
      </c>
      <c r="BI145" s="5">
        <f t="shared" si="96"/>
        <v>0.215</v>
      </c>
      <c r="BJ145" s="9">
        <f t="shared" si="97"/>
        <v>0.501</v>
      </c>
      <c r="BK145" s="9">
        <f t="shared" si="97"/>
        <v>0.28299999999999997</v>
      </c>
      <c r="BM145" s="1">
        <f t="shared" si="98"/>
        <v>-2.9969999999999999</v>
      </c>
      <c r="BN145" s="1">
        <f t="shared" si="99"/>
        <v>-0.98399999999999999</v>
      </c>
    </row>
    <row r="146" spans="1:66" x14ac:dyDescent="0.2">
      <c r="A146" s="4">
        <f t="shared" si="100"/>
        <v>45798</v>
      </c>
      <c r="B146" s="1">
        <v>141</v>
      </c>
      <c r="C146" s="1">
        <v>12</v>
      </c>
      <c r="D146" s="5">
        <v>13.13</v>
      </c>
      <c r="E146" s="5">
        <v>5.5709999999999997</v>
      </c>
      <c r="F146" s="5">
        <v>-2.8690000000000002</v>
      </c>
      <c r="G146" s="5">
        <v>1.1020000000000001</v>
      </c>
      <c r="H146" s="5">
        <v>75.400000000000006</v>
      </c>
      <c r="I146" s="5">
        <v>0.08</v>
      </c>
      <c r="J146" s="5">
        <v>3.2000000000000001E-2</v>
      </c>
      <c r="K146" s="5">
        <v>0.20599999999999999</v>
      </c>
      <c r="L146" s="5">
        <v>0.48699999999999999</v>
      </c>
      <c r="M146" s="5">
        <v>0.89500000000000002</v>
      </c>
      <c r="N146" s="5">
        <v>6.1230000000000002</v>
      </c>
      <c r="O146" s="5">
        <v>90.2</v>
      </c>
      <c r="P146" s="5">
        <v>0.19800000000000001</v>
      </c>
      <c r="Q146" s="5">
        <v>0.14099999999999999</v>
      </c>
      <c r="R146" s="5">
        <v>0.29399999999999998</v>
      </c>
      <c r="S146" s="5">
        <v>0.56899999999999995</v>
      </c>
      <c r="T146" s="5">
        <v>0.995</v>
      </c>
      <c r="U146" s="5">
        <v>-2.8530000000000002</v>
      </c>
      <c r="V146" s="5">
        <v>49.13</v>
      </c>
      <c r="W146" s="5">
        <v>-8.4000000000000005E-2</v>
      </c>
      <c r="X146" s="5">
        <v>-0.105</v>
      </c>
      <c r="Y146" s="5">
        <v>0.109</v>
      </c>
      <c r="Z146" s="5">
        <v>0.40600000000000003</v>
      </c>
      <c r="AA146" s="5">
        <v>0.81599999999999995</v>
      </c>
      <c r="AB146" s="5">
        <v>1.9490000000000001</v>
      </c>
      <c r="AC146" s="5">
        <v>-0.99199999999999999</v>
      </c>
      <c r="AD146" s="5">
        <v>0.77500000000000002</v>
      </c>
      <c r="AE146" s="5">
        <v>-3.7269999999999999</v>
      </c>
      <c r="AF146" s="5">
        <v>7.1749999999999998</v>
      </c>
      <c r="AG146" s="5">
        <v>-3.0190000000000001</v>
      </c>
      <c r="AH146" s="5">
        <v>1.9450000000000001</v>
      </c>
      <c r="AI146" s="5">
        <v>0.218</v>
      </c>
      <c r="AK146" s="5">
        <f t="shared" si="80"/>
        <v>0.32599999999999985</v>
      </c>
      <c r="AL146" s="22">
        <f t="shared" si="81"/>
        <v>0.1</v>
      </c>
      <c r="AN146" s="1">
        <f t="shared" si="84"/>
        <v>90.2</v>
      </c>
      <c r="AO146" s="1">
        <f t="shared" si="85"/>
        <v>75.400000000000006</v>
      </c>
      <c r="AP146" s="1">
        <f t="shared" si="86"/>
        <v>49.1</v>
      </c>
      <c r="AQ146" s="16">
        <f t="shared" si="77"/>
        <v>0.46300000000000002</v>
      </c>
      <c r="AR146" s="23">
        <f t="shared" si="87"/>
        <v>0.48</v>
      </c>
      <c r="AT146" s="18">
        <f t="shared" si="82"/>
        <v>45798</v>
      </c>
      <c r="AU146" s="19">
        <f t="shared" si="83"/>
        <v>141</v>
      </c>
      <c r="AV146" s="1">
        <f t="shared" si="88"/>
        <v>1.1000000000000001</v>
      </c>
      <c r="AW146" s="1">
        <f t="shared" si="89"/>
        <v>6.1</v>
      </c>
      <c r="AX146" s="1">
        <f t="shared" si="90"/>
        <v>-2.9</v>
      </c>
      <c r="AY146" s="1">
        <f t="shared" si="78"/>
        <v>75.400000000000006</v>
      </c>
      <c r="AZ146" s="1">
        <f t="shared" si="79"/>
        <v>49.1</v>
      </c>
      <c r="BA146" s="1">
        <f t="shared" si="91"/>
        <v>0.32599999999999985</v>
      </c>
      <c r="BB146" s="5">
        <f t="shared" si="92"/>
        <v>0.1</v>
      </c>
      <c r="BC146" s="1">
        <f>ROUND(AC146,1)</f>
        <v>-1</v>
      </c>
      <c r="BD146" s="1">
        <f>ROUND(AD146,1)</f>
        <v>0.8</v>
      </c>
      <c r="BE146" s="1">
        <f>ROUND(AE146,1)</f>
        <v>-3.7</v>
      </c>
      <c r="BF146" s="5">
        <f t="shared" si="93"/>
        <v>0.2</v>
      </c>
      <c r="BG146" s="5">
        <f t="shared" si="94"/>
        <v>0.5</v>
      </c>
      <c r="BH146" s="5">
        <f t="shared" si="95"/>
        <v>0.9</v>
      </c>
      <c r="BI146" s="5">
        <f t="shared" si="96"/>
        <v>0.218</v>
      </c>
      <c r="BJ146" s="9">
        <f t="shared" si="97"/>
        <v>0.46300000000000002</v>
      </c>
      <c r="BK146" s="9">
        <f t="shared" si="97"/>
        <v>0.48</v>
      </c>
      <c r="BM146" s="1">
        <f t="shared" si="98"/>
        <v>-5.3479999999999999</v>
      </c>
      <c r="BN146" s="1">
        <f t="shared" si="99"/>
        <v>-0.87399999999999967</v>
      </c>
    </row>
    <row r="147" spans="1:66" x14ac:dyDescent="0.2">
      <c r="A147" s="4">
        <f t="shared" si="100"/>
        <v>45799</v>
      </c>
      <c r="B147" s="1">
        <v>142</v>
      </c>
      <c r="C147" s="1">
        <v>12</v>
      </c>
      <c r="D147" s="5">
        <v>13.08</v>
      </c>
      <c r="E147" s="5">
        <v>9.57</v>
      </c>
      <c r="F147" s="5">
        <v>7.3999999999999996E-2</v>
      </c>
      <c r="G147" s="5">
        <v>3.2719999999999998</v>
      </c>
      <c r="H147" s="5">
        <v>69.73</v>
      </c>
      <c r="I147" s="5">
        <v>8.3000000000000004E-2</v>
      </c>
      <c r="J147" s="5">
        <v>3.7999999999999999E-2</v>
      </c>
      <c r="K147" s="5">
        <v>0.21099999999999999</v>
      </c>
      <c r="L147" s="5">
        <v>0.49299999999999999</v>
      </c>
      <c r="M147" s="5">
        <v>0.90600000000000003</v>
      </c>
      <c r="N147" s="5">
        <v>7</v>
      </c>
      <c r="O147" s="5">
        <v>85.3</v>
      </c>
      <c r="P147" s="5">
        <v>0.17599999999999999</v>
      </c>
      <c r="Q147" s="5">
        <v>0.15</v>
      </c>
      <c r="R147" s="5">
        <v>0.29299999999999998</v>
      </c>
      <c r="S147" s="5">
        <v>0.58399999999999996</v>
      </c>
      <c r="T147" s="5">
        <v>0.99199999999999999</v>
      </c>
      <c r="U147" s="5">
        <v>0.155</v>
      </c>
      <c r="V147" s="5">
        <v>44.2</v>
      </c>
      <c r="W147" s="5">
        <v>-0.19700000000000001</v>
      </c>
      <c r="X147" s="5">
        <v>-0.19700000000000001</v>
      </c>
      <c r="Y147" s="5">
        <v>8.5000000000000006E-2</v>
      </c>
      <c r="Z147" s="5">
        <v>0.38900000000000001</v>
      </c>
      <c r="AA147" s="5">
        <v>0.78300000000000003</v>
      </c>
      <c r="AB147" s="5">
        <v>1.9690000000000001</v>
      </c>
      <c r="AC147" s="5">
        <v>-0.17100000000000001</v>
      </c>
      <c r="AD147" s="5">
        <v>0.81399999999999995</v>
      </c>
      <c r="AE147" s="5">
        <v>-1.113</v>
      </c>
      <c r="AF147" s="5">
        <v>10.71</v>
      </c>
      <c r="AG147" s="5">
        <v>-0.109</v>
      </c>
      <c r="AH147" s="5">
        <v>1.962</v>
      </c>
      <c r="AI147" s="5">
        <v>0.221</v>
      </c>
      <c r="AK147" s="5">
        <f t="shared" si="80"/>
        <v>0.30599999999999983</v>
      </c>
      <c r="AL147" s="22">
        <f t="shared" si="81"/>
        <v>0.1</v>
      </c>
      <c r="AN147" s="1">
        <f t="shared" si="84"/>
        <v>85.3</v>
      </c>
      <c r="AO147" s="1">
        <f t="shared" si="85"/>
        <v>69.7</v>
      </c>
      <c r="AP147" s="1">
        <f t="shared" si="86"/>
        <v>44.2</v>
      </c>
      <c r="AQ147" s="16">
        <f t="shared" si="77"/>
        <v>0.443</v>
      </c>
      <c r="AR147" s="23">
        <f t="shared" si="87"/>
        <v>0.55900000000000005</v>
      </c>
      <c r="AT147" s="18">
        <f t="shared" si="82"/>
        <v>45799</v>
      </c>
      <c r="AU147" s="19">
        <f t="shared" si="83"/>
        <v>142</v>
      </c>
      <c r="AV147" s="1">
        <f t="shared" si="88"/>
        <v>3.3</v>
      </c>
      <c r="AW147" s="1">
        <f t="shared" si="89"/>
        <v>7</v>
      </c>
      <c r="AX147" s="1">
        <f t="shared" si="90"/>
        <v>0.2</v>
      </c>
      <c r="AY147" s="1">
        <f t="shared" si="78"/>
        <v>69.7</v>
      </c>
      <c r="AZ147" s="1">
        <f t="shared" si="79"/>
        <v>44.2</v>
      </c>
      <c r="BA147" s="1">
        <f t="shared" si="91"/>
        <v>0.30599999999999983</v>
      </c>
      <c r="BB147" s="5">
        <f t="shared" si="92"/>
        <v>0.1</v>
      </c>
      <c r="BC147" s="1">
        <f>ROUND(AC147,1)</f>
        <v>-0.2</v>
      </c>
      <c r="BD147" s="1">
        <f>ROUND(AD147,1)</f>
        <v>0.8</v>
      </c>
      <c r="BE147" s="1">
        <f>ROUND(AE147,1)</f>
        <v>-1.1000000000000001</v>
      </c>
      <c r="BF147" s="5">
        <f t="shared" si="93"/>
        <v>0.2</v>
      </c>
      <c r="BG147" s="5">
        <f t="shared" si="94"/>
        <v>0.5</v>
      </c>
      <c r="BH147" s="5">
        <f t="shared" si="95"/>
        <v>0.9</v>
      </c>
      <c r="BI147" s="5">
        <f t="shared" si="96"/>
        <v>0.221</v>
      </c>
      <c r="BJ147" s="9">
        <f t="shared" si="97"/>
        <v>0.443</v>
      </c>
      <c r="BK147" s="9">
        <f t="shared" si="97"/>
        <v>0.55900000000000005</v>
      </c>
      <c r="BM147" s="1">
        <f t="shared" si="98"/>
        <v>-6.1859999999999999</v>
      </c>
      <c r="BN147" s="1">
        <f t="shared" si="99"/>
        <v>-1.268</v>
      </c>
    </row>
    <row r="148" spans="1:66" x14ac:dyDescent="0.2">
      <c r="A148" s="4">
        <f t="shared" si="100"/>
        <v>45800</v>
      </c>
      <c r="B148" s="1">
        <v>143</v>
      </c>
      <c r="C148" s="1">
        <v>12</v>
      </c>
      <c r="D148" s="5">
        <v>13.1</v>
      </c>
      <c r="E148" s="5">
        <v>12.26</v>
      </c>
      <c r="F148" s="5">
        <v>0.35199999999999998</v>
      </c>
      <c r="G148" s="5">
        <v>5.234</v>
      </c>
      <c r="H148" s="5">
        <v>68.239999999999995</v>
      </c>
      <c r="I148" s="5">
        <v>8.3000000000000004E-2</v>
      </c>
      <c r="J148" s="5">
        <v>4.9000000000000002E-2</v>
      </c>
      <c r="K148" s="5">
        <v>0.20300000000000001</v>
      </c>
      <c r="L148" s="5">
        <v>0.47599999999999998</v>
      </c>
      <c r="M148" s="5">
        <v>0.88600000000000001</v>
      </c>
      <c r="N148" s="5">
        <v>10.83</v>
      </c>
      <c r="O148" s="5">
        <v>91.7</v>
      </c>
      <c r="P148" s="5">
        <v>0.189</v>
      </c>
      <c r="Q148" s="5">
        <v>0.154</v>
      </c>
      <c r="R148" s="5">
        <v>0.28899999999999998</v>
      </c>
      <c r="S148" s="5">
        <v>0.57699999999999996</v>
      </c>
      <c r="T148" s="5">
        <v>0.998</v>
      </c>
      <c r="U148" s="5">
        <v>0.25700000000000001</v>
      </c>
      <c r="V148" s="5">
        <v>37.01</v>
      </c>
      <c r="W148" s="5">
        <v>-0.11799999999999999</v>
      </c>
      <c r="X148" s="5">
        <v>-0.124</v>
      </c>
      <c r="Y148" s="5">
        <v>0.104</v>
      </c>
      <c r="Z148" s="5">
        <v>0.36299999999999999</v>
      </c>
      <c r="AA148" s="5">
        <v>0.78100000000000003</v>
      </c>
      <c r="AB148" s="5">
        <v>2.0249999999999999</v>
      </c>
      <c r="AC148" s="5">
        <v>9.7000000000000003E-2</v>
      </c>
      <c r="AD148" s="5">
        <v>0.94499999999999995</v>
      </c>
      <c r="AE148" s="5">
        <v>-0.63</v>
      </c>
      <c r="AF148" s="5">
        <v>11.41</v>
      </c>
      <c r="AG148" s="5">
        <v>-2.3E-2</v>
      </c>
      <c r="AH148" s="5">
        <v>2.0099999999999998</v>
      </c>
      <c r="AI148" s="5">
        <v>0.246</v>
      </c>
      <c r="AK148" s="5">
        <f t="shared" si="80"/>
        <v>0.25</v>
      </c>
      <c r="AL148" s="22">
        <f>ROUND(AVERAGE(J148:K148),1)</f>
        <v>0.1</v>
      </c>
      <c r="AN148" s="1">
        <f t="shared" si="84"/>
        <v>91.7</v>
      </c>
      <c r="AO148" s="1">
        <f t="shared" si="85"/>
        <v>68.2</v>
      </c>
      <c r="AP148" s="1">
        <f t="shared" si="86"/>
        <v>37</v>
      </c>
      <c r="AQ148" s="16">
        <f t="shared" si="77"/>
        <v>0.48</v>
      </c>
      <c r="AR148" s="23">
        <f t="shared" si="87"/>
        <v>0.81699999999999995</v>
      </c>
      <c r="AT148" s="18">
        <f t="shared" si="82"/>
        <v>45800</v>
      </c>
      <c r="AU148" s="19">
        <f t="shared" si="83"/>
        <v>143</v>
      </c>
      <c r="AV148" s="1">
        <f t="shared" si="88"/>
        <v>5.2</v>
      </c>
      <c r="AW148" s="1">
        <f t="shared" si="89"/>
        <v>10.8</v>
      </c>
      <c r="AX148" s="1">
        <f t="shared" si="90"/>
        <v>0.3</v>
      </c>
      <c r="AY148" s="1">
        <f t="shared" si="78"/>
        <v>68.2</v>
      </c>
      <c r="AZ148" s="1">
        <f t="shared" si="79"/>
        <v>37</v>
      </c>
      <c r="BA148" s="1">
        <f t="shared" si="91"/>
        <v>0.25</v>
      </c>
      <c r="BB148" s="5">
        <f t="shared" si="92"/>
        <v>0.1</v>
      </c>
      <c r="BC148" s="1">
        <f>ROUND(AC148,1)</f>
        <v>0.1</v>
      </c>
      <c r="BD148" s="1">
        <f>ROUND(AD148,1)</f>
        <v>0.9</v>
      </c>
      <c r="BE148" s="1">
        <f>ROUND(AE148,1)</f>
        <v>-0.6</v>
      </c>
      <c r="BF148" s="5">
        <f t="shared" si="93"/>
        <v>0.2</v>
      </c>
      <c r="BG148" s="5">
        <f t="shared" si="94"/>
        <v>0.5</v>
      </c>
      <c r="BH148" s="5">
        <f t="shared" si="95"/>
        <v>0.9</v>
      </c>
      <c r="BI148" s="5">
        <f t="shared" si="96"/>
        <v>0.246</v>
      </c>
      <c r="BJ148" s="9">
        <f t="shared" si="97"/>
        <v>0.48</v>
      </c>
      <c r="BK148" s="9">
        <f t="shared" si="97"/>
        <v>0.81699999999999995</v>
      </c>
      <c r="BM148" s="1">
        <f t="shared" si="98"/>
        <v>-9.8849999999999998</v>
      </c>
      <c r="BN148" s="1">
        <f t="shared" si="99"/>
        <v>-0.88700000000000001</v>
      </c>
    </row>
    <row r="149" spans="1:66" x14ac:dyDescent="0.2">
      <c r="A149" s="4">
        <f t="shared" si="100"/>
        <v>45801</v>
      </c>
      <c r="B149" s="1">
        <v>144</v>
      </c>
      <c r="C149" s="1">
        <v>12</v>
      </c>
      <c r="D149" s="5">
        <v>13.07</v>
      </c>
      <c r="E149" s="5">
        <v>15.14</v>
      </c>
      <c r="F149" s="5">
        <v>2.48</v>
      </c>
      <c r="G149" s="5">
        <v>7.8760000000000003</v>
      </c>
      <c r="H149" s="5">
        <v>62.98</v>
      </c>
      <c r="I149" s="5">
        <v>0.08</v>
      </c>
      <c r="J149" s="5">
        <v>0.14899999999999999</v>
      </c>
      <c r="K149" s="5">
        <v>0.191</v>
      </c>
      <c r="L149" s="5">
        <v>0.44800000000000001</v>
      </c>
      <c r="M149" s="5">
        <v>0.873</v>
      </c>
      <c r="N149" s="5">
        <v>14.17</v>
      </c>
      <c r="O149" s="5">
        <v>80.400000000000006</v>
      </c>
      <c r="P149" s="5">
        <v>0.188</v>
      </c>
      <c r="Q149" s="5">
        <v>1.01</v>
      </c>
      <c r="R149" s="5">
        <v>0.28799999999999998</v>
      </c>
      <c r="S149" s="5">
        <v>0.53600000000000003</v>
      </c>
      <c r="T149" s="5">
        <v>0.98799999999999999</v>
      </c>
      <c r="U149" s="5">
        <v>2.6480000000000001</v>
      </c>
      <c r="V149" s="5">
        <v>40.39</v>
      </c>
      <c r="W149" s="5">
        <v>-6.5000000000000002E-2</v>
      </c>
      <c r="X149" s="5">
        <v>-4.7E-2</v>
      </c>
      <c r="Y149" s="5">
        <v>9.6000000000000002E-2</v>
      </c>
      <c r="Z149" s="5">
        <v>0.34899999999999998</v>
      </c>
      <c r="AA149" s="5">
        <v>0.751</v>
      </c>
      <c r="AB149" s="5">
        <v>2.0950000000000002</v>
      </c>
      <c r="AC149" s="5">
        <v>0.40699999999999997</v>
      </c>
      <c r="AD149" s="5">
        <v>1.4330000000000001</v>
      </c>
      <c r="AE149" s="5">
        <v>-0.125</v>
      </c>
      <c r="AF149" s="5">
        <v>14.2</v>
      </c>
      <c r="AG149" s="5">
        <v>2.3769999999999998</v>
      </c>
      <c r="AH149" s="5">
        <v>2.0720000000000001</v>
      </c>
      <c r="AI149" s="5">
        <v>0.27</v>
      </c>
      <c r="AK149" s="5">
        <f t="shared" si="80"/>
        <v>0.17999999999999972</v>
      </c>
      <c r="AL149" s="7">
        <f t="shared" ref="AL149:AL151" si="101">ROUND(K149,1)</f>
        <v>0.2</v>
      </c>
      <c r="AN149" s="1">
        <f t="shared" si="84"/>
        <v>80.400000000000006</v>
      </c>
      <c r="AO149" s="1">
        <f t="shared" si="85"/>
        <v>63</v>
      </c>
      <c r="AP149" s="1">
        <f t="shared" si="86"/>
        <v>40.4</v>
      </c>
      <c r="AQ149" s="16">
        <f t="shared" si="77"/>
        <v>0.65300000000000002</v>
      </c>
      <c r="AR149" s="23">
        <f t="shared" si="87"/>
        <v>0.96299999999999997</v>
      </c>
      <c r="AT149" s="18">
        <f t="shared" si="82"/>
        <v>45801</v>
      </c>
      <c r="AU149" s="19">
        <f t="shared" si="83"/>
        <v>144</v>
      </c>
      <c r="AV149" s="1">
        <f t="shared" si="88"/>
        <v>7.9</v>
      </c>
      <c r="AW149" s="1">
        <f t="shared" si="89"/>
        <v>14.2</v>
      </c>
      <c r="AX149" s="1">
        <f t="shared" si="90"/>
        <v>2.6</v>
      </c>
      <c r="AY149" s="1">
        <f t="shared" si="78"/>
        <v>63</v>
      </c>
      <c r="AZ149" s="1">
        <f t="shared" si="79"/>
        <v>40.4</v>
      </c>
      <c r="BA149" s="1">
        <f t="shared" si="91"/>
        <v>0.17999999999999972</v>
      </c>
      <c r="BB149" s="5">
        <f t="shared" si="92"/>
        <v>0.2</v>
      </c>
      <c r="BC149" s="1">
        <f>ROUND(AC149,1)</f>
        <v>0.4</v>
      </c>
      <c r="BD149" s="1">
        <f>ROUND(AD149,1)</f>
        <v>1.4</v>
      </c>
      <c r="BE149" s="1">
        <f>ROUND(AE149,1)</f>
        <v>-0.1</v>
      </c>
      <c r="BF149" s="5">
        <f t="shared" si="93"/>
        <v>0.2</v>
      </c>
      <c r="BG149" s="5">
        <f t="shared" si="94"/>
        <v>0.4</v>
      </c>
      <c r="BH149" s="5">
        <f t="shared" si="95"/>
        <v>0.9</v>
      </c>
      <c r="BI149" s="5">
        <f t="shared" si="96"/>
        <v>0.27</v>
      </c>
      <c r="BJ149" s="9">
        <f t="shared" si="97"/>
        <v>0.65300000000000002</v>
      </c>
      <c r="BK149" s="9">
        <f t="shared" si="97"/>
        <v>0.96299999999999997</v>
      </c>
      <c r="BM149" s="1">
        <f t="shared" si="98"/>
        <v>-12.737</v>
      </c>
      <c r="BN149" s="1">
        <f t="shared" si="99"/>
        <v>-2.7730000000000001</v>
      </c>
    </row>
    <row r="150" spans="1:66" x14ac:dyDescent="0.2">
      <c r="A150" s="4">
        <f t="shared" si="100"/>
        <v>45802</v>
      </c>
      <c r="B150" s="1">
        <v>145</v>
      </c>
      <c r="C150" s="1">
        <v>12</v>
      </c>
      <c r="D150" s="5">
        <v>12.98</v>
      </c>
      <c r="E150" s="5">
        <v>19.02</v>
      </c>
      <c r="F150" s="5">
        <v>4.5140000000000002</v>
      </c>
      <c r="G150" s="5">
        <v>10.96</v>
      </c>
      <c r="H150" s="5">
        <v>57.31</v>
      </c>
      <c r="I150" s="5">
        <v>8.5000000000000006E-2</v>
      </c>
      <c r="J150" s="5">
        <v>5.9779999999999998</v>
      </c>
      <c r="K150" s="5">
        <v>0.18099999999999999</v>
      </c>
      <c r="L150" s="5">
        <v>0.41799999999999998</v>
      </c>
      <c r="M150" s="5">
        <v>0.88</v>
      </c>
      <c r="N150" s="5">
        <v>17.53</v>
      </c>
      <c r="O150" s="5">
        <v>97</v>
      </c>
      <c r="P150" s="5">
        <v>0.20300000000000001</v>
      </c>
      <c r="Q150" s="5">
        <v>17.28</v>
      </c>
      <c r="R150" s="5">
        <v>0.27800000000000002</v>
      </c>
      <c r="S150" s="5">
        <v>0.52</v>
      </c>
      <c r="T150" s="5">
        <v>0.99199999999999999</v>
      </c>
      <c r="U150" s="5">
        <v>5.109</v>
      </c>
      <c r="V150" s="5">
        <v>31.64</v>
      </c>
      <c r="W150" s="5">
        <v>-0.19900000000000001</v>
      </c>
      <c r="X150" s="5">
        <v>3.6999999999999998E-2</v>
      </c>
      <c r="Y150" s="5">
        <v>6.6000000000000003E-2</v>
      </c>
      <c r="Z150" s="5">
        <v>0.32</v>
      </c>
      <c r="AA150" s="5">
        <v>0.73099999999999998</v>
      </c>
      <c r="AB150" s="5">
        <v>2.1859999999999999</v>
      </c>
      <c r="AC150" s="5">
        <v>1.508</v>
      </c>
      <c r="AD150" s="5">
        <v>3.899</v>
      </c>
      <c r="AE150" s="5">
        <v>8.5000000000000006E-2</v>
      </c>
      <c r="AF150" s="5">
        <v>18.600000000000001</v>
      </c>
      <c r="AG150" s="5">
        <v>4.6280000000000001</v>
      </c>
      <c r="AH150" s="5">
        <v>2.1629999999999998</v>
      </c>
      <c r="AI150" s="5">
        <v>0.28599999999999998</v>
      </c>
      <c r="AK150" s="5">
        <f t="shared" si="80"/>
        <v>8.8999999999999968E-2</v>
      </c>
      <c r="AL150" s="7">
        <f t="shared" si="101"/>
        <v>0.2</v>
      </c>
      <c r="AN150" s="1">
        <f t="shared" si="84"/>
        <v>97</v>
      </c>
      <c r="AO150" s="1">
        <f t="shared" si="85"/>
        <v>57.3</v>
      </c>
      <c r="AP150" s="1">
        <f t="shared" si="86"/>
        <v>31.6</v>
      </c>
      <c r="AQ150" s="16">
        <f t="shared" ref="AQ150:AQ181" si="102">ROUND((0.6105*(EXP((17.273*N150)/(N150+237.3))))*AP150/100,3)</f>
        <v>0.63300000000000001</v>
      </c>
      <c r="AR150" s="23">
        <f t="shared" si="87"/>
        <v>1.37</v>
      </c>
      <c r="AT150" s="18">
        <f t="shared" si="82"/>
        <v>45802</v>
      </c>
      <c r="AU150" s="19">
        <f t="shared" si="83"/>
        <v>145</v>
      </c>
      <c r="AV150" s="1">
        <f t="shared" si="88"/>
        <v>11</v>
      </c>
      <c r="AW150" s="1">
        <f t="shared" si="89"/>
        <v>17.5</v>
      </c>
      <c r="AX150" s="1">
        <f t="shared" si="90"/>
        <v>5.0999999999999996</v>
      </c>
      <c r="AY150" s="1">
        <f t="shared" si="78"/>
        <v>57.3</v>
      </c>
      <c r="AZ150" s="1">
        <f t="shared" si="79"/>
        <v>31.6</v>
      </c>
      <c r="BA150" s="1">
        <f t="shared" si="91"/>
        <v>8.8999999999999968E-2</v>
      </c>
      <c r="BB150" s="5">
        <f t="shared" si="92"/>
        <v>0.2</v>
      </c>
      <c r="BC150" s="1">
        <f>ROUND(AC150,1)</f>
        <v>1.5</v>
      </c>
      <c r="BD150" s="1">
        <f>ROUND(AD150,1)</f>
        <v>3.9</v>
      </c>
      <c r="BE150" s="1">
        <f>ROUND(AE150,1)</f>
        <v>0.1</v>
      </c>
      <c r="BF150" s="5">
        <f t="shared" si="93"/>
        <v>0.2</v>
      </c>
      <c r="BG150" s="5">
        <f t="shared" si="94"/>
        <v>0.4</v>
      </c>
      <c r="BH150" s="5">
        <f t="shared" si="95"/>
        <v>0.9</v>
      </c>
      <c r="BI150" s="5">
        <f t="shared" si="96"/>
        <v>0.28599999999999998</v>
      </c>
      <c r="BJ150" s="9">
        <f t="shared" si="97"/>
        <v>0.63300000000000001</v>
      </c>
      <c r="BK150" s="9">
        <f t="shared" si="97"/>
        <v>1.37</v>
      </c>
      <c r="BM150" s="1">
        <f t="shared" si="98"/>
        <v>-13.631</v>
      </c>
      <c r="BN150" s="1">
        <f t="shared" si="99"/>
        <v>-5.024</v>
      </c>
    </row>
    <row r="151" spans="1:66" x14ac:dyDescent="0.2">
      <c r="A151" s="4">
        <f t="shared" si="100"/>
        <v>45803</v>
      </c>
      <c r="B151" s="1">
        <v>146</v>
      </c>
      <c r="C151" s="1">
        <v>12</v>
      </c>
      <c r="D151" s="5">
        <v>13.03</v>
      </c>
      <c r="E151" s="5">
        <v>8.99</v>
      </c>
      <c r="F151" s="5">
        <v>2.0760000000000001</v>
      </c>
      <c r="G151" s="5">
        <v>5.3780000000000001</v>
      </c>
      <c r="H151" s="5">
        <v>87.5</v>
      </c>
      <c r="I151" s="5">
        <v>1.4850000000000001</v>
      </c>
      <c r="J151" s="5">
        <v>4.5250000000000004</v>
      </c>
      <c r="K151" s="5">
        <v>0.253</v>
      </c>
      <c r="L151" s="5">
        <v>0.46500000000000002</v>
      </c>
      <c r="M151" s="5">
        <v>0.875</v>
      </c>
      <c r="N151" s="5">
        <v>9.2899999999999991</v>
      </c>
      <c r="O151" s="5">
        <v>98.8</v>
      </c>
      <c r="P151" s="5">
        <v>9.4499999999999993</v>
      </c>
      <c r="Q151" s="5">
        <v>9.91</v>
      </c>
      <c r="R151" s="5">
        <v>0.48499999999999999</v>
      </c>
      <c r="S151" s="5">
        <v>0.72299999999999998</v>
      </c>
      <c r="T151" s="5">
        <v>0.96399999999999997</v>
      </c>
      <c r="U151" s="5">
        <v>1.7709999999999999</v>
      </c>
      <c r="V151" s="5">
        <v>59.66</v>
      </c>
      <c r="W151" s="5">
        <v>4.1000000000000002E-2</v>
      </c>
      <c r="X151" s="5">
        <v>0.93799999999999994</v>
      </c>
      <c r="Y151" s="5">
        <v>0.12</v>
      </c>
      <c r="Z151" s="5">
        <v>0.33200000000000002</v>
      </c>
      <c r="AA151" s="5">
        <v>0.76800000000000002</v>
      </c>
      <c r="AB151" s="5">
        <v>2.238</v>
      </c>
      <c r="AC151" s="5">
        <v>2.5609999999999999</v>
      </c>
      <c r="AD151" s="5">
        <v>8.49</v>
      </c>
      <c r="AE151" s="5">
        <v>0.28999999999999998</v>
      </c>
      <c r="AF151" s="5">
        <v>8.4</v>
      </c>
      <c r="AG151" s="5">
        <v>1.5680000000000001</v>
      </c>
      <c r="AH151" s="5">
        <v>2.23</v>
      </c>
      <c r="AI151" s="5">
        <v>0.27300000000000002</v>
      </c>
      <c r="AK151" s="5">
        <f t="shared" si="80"/>
        <v>3.6999999999999922E-2</v>
      </c>
      <c r="AL151" s="7">
        <f t="shared" si="101"/>
        <v>0.3</v>
      </c>
      <c r="AN151" s="1">
        <f t="shared" si="84"/>
        <v>98.8</v>
      </c>
      <c r="AO151" s="1">
        <f t="shared" si="85"/>
        <v>87.5</v>
      </c>
      <c r="AP151" s="1">
        <f t="shared" si="86"/>
        <v>59.7</v>
      </c>
      <c r="AQ151" s="16">
        <f t="shared" si="102"/>
        <v>0.69899999999999995</v>
      </c>
      <c r="AR151" s="23">
        <f t="shared" si="87"/>
        <v>0.47199999999999998</v>
      </c>
      <c r="AT151" s="18">
        <f t="shared" si="82"/>
        <v>45803</v>
      </c>
      <c r="AU151" s="19">
        <f t="shared" si="83"/>
        <v>146</v>
      </c>
      <c r="AV151" s="1">
        <f t="shared" si="88"/>
        <v>5.4</v>
      </c>
      <c r="AW151" s="1">
        <f t="shared" si="89"/>
        <v>9.3000000000000007</v>
      </c>
      <c r="AX151" s="1">
        <f t="shared" si="90"/>
        <v>1.8</v>
      </c>
      <c r="AY151" s="1">
        <f t="shared" si="78"/>
        <v>87.5</v>
      </c>
      <c r="AZ151" s="1">
        <f t="shared" si="79"/>
        <v>59.7</v>
      </c>
      <c r="BA151" s="1">
        <f t="shared" si="91"/>
        <v>3.6999999999999922E-2</v>
      </c>
      <c r="BB151" s="5">
        <f t="shared" si="92"/>
        <v>0.3</v>
      </c>
      <c r="BC151" s="1">
        <f>ROUND(AC151,1)</f>
        <v>2.6</v>
      </c>
      <c r="BD151" s="1">
        <f>ROUND(AD151,1)</f>
        <v>8.5</v>
      </c>
      <c r="BE151" s="1">
        <f>ROUND(AE151,1)</f>
        <v>0.3</v>
      </c>
      <c r="BF151" s="5">
        <f t="shared" si="93"/>
        <v>0.3</v>
      </c>
      <c r="BG151" s="5">
        <f t="shared" si="94"/>
        <v>0.5</v>
      </c>
      <c r="BH151" s="5">
        <f t="shared" si="95"/>
        <v>0.9</v>
      </c>
      <c r="BI151" s="5">
        <f t="shared" si="96"/>
        <v>0.27300000000000002</v>
      </c>
      <c r="BJ151" s="9">
        <f t="shared" si="97"/>
        <v>0.69899999999999995</v>
      </c>
      <c r="BK151" s="9">
        <f t="shared" si="97"/>
        <v>0.47199999999999998</v>
      </c>
      <c r="BM151" s="1">
        <f t="shared" si="98"/>
        <v>-0.79999999999999893</v>
      </c>
      <c r="BN151" s="1">
        <f t="shared" si="99"/>
        <v>-1.4809999999999999</v>
      </c>
    </row>
    <row r="152" spans="1:66" x14ac:dyDescent="0.2">
      <c r="A152" s="4">
        <f t="shared" si="100"/>
        <v>45804</v>
      </c>
      <c r="B152" s="1">
        <v>147</v>
      </c>
      <c r="C152" s="1">
        <v>12</v>
      </c>
      <c r="D152" s="5">
        <v>12.97</v>
      </c>
      <c r="E152" s="5">
        <v>15.92</v>
      </c>
      <c r="F152" s="5">
        <v>1.4159999999999999</v>
      </c>
      <c r="G152" s="5">
        <v>8</v>
      </c>
      <c r="H152" s="5">
        <v>65.63</v>
      </c>
      <c r="I152" s="5">
        <v>7.3120000000000003</v>
      </c>
      <c r="J152" s="5">
        <v>7.149</v>
      </c>
      <c r="K152" s="5">
        <v>3.508</v>
      </c>
      <c r="L152" s="5">
        <v>1.462</v>
      </c>
      <c r="M152" s="5">
        <v>0.90400000000000003</v>
      </c>
      <c r="N152" s="5">
        <v>14.74</v>
      </c>
      <c r="O152" s="5">
        <v>81.8</v>
      </c>
      <c r="P152" s="5">
        <v>21.86</v>
      </c>
      <c r="Q152" s="5">
        <v>16.53</v>
      </c>
      <c r="R152" s="5">
        <v>8.44</v>
      </c>
      <c r="S152" s="5">
        <v>3.1339999999999999</v>
      </c>
      <c r="T152" s="5">
        <v>1.0469999999999999</v>
      </c>
      <c r="U152" s="5">
        <v>0.93</v>
      </c>
      <c r="V152" s="5">
        <v>44.78</v>
      </c>
      <c r="W152" s="5">
        <v>-0.105</v>
      </c>
      <c r="X152" s="5">
        <v>0.114</v>
      </c>
      <c r="Y152" s="5">
        <v>0.32600000000000001</v>
      </c>
      <c r="Z152" s="5">
        <v>0.64200000000000002</v>
      </c>
      <c r="AA152" s="5">
        <v>0.80700000000000005</v>
      </c>
      <c r="AB152" s="5">
        <v>2.2890000000000001</v>
      </c>
      <c r="AC152" s="5">
        <v>6.35</v>
      </c>
      <c r="AD152" s="5">
        <v>18.010000000000002</v>
      </c>
      <c r="AE152" s="5">
        <v>-0.11899999999999999</v>
      </c>
      <c r="AF152" s="5">
        <v>14.77</v>
      </c>
      <c r="AG152" s="5">
        <v>0.82899999999999996</v>
      </c>
      <c r="AH152" s="5">
        <v>2.2549999999999999</v>
      </c>
      <c r="AI152" s="5">
        <v>0.23899999999999999</v>
      </c>
      <c r="AK152" s="21">
        <v>0</v>
      </c>
      <c r="AL152" s="5"/>
      <c r="AN152" s="1">
        <f t="shared" si="84"/>
        <v>81.8</v>
      </c>
      <c r="AO152" s="1">
        <f t="shared" si="85"/>
        <v>65.599999999999994</v>
      </c>
      <c r="AP152" s="1">
        <f t="shared" si="86"/>
        <v>44.8</v>
      </c>
      <c r="AQ152" s="16">
        <f t="shared" si="102"/>
        <v>0.751</v>
      </c>
      <c r="AR152" s="23">
        <f t="shared" si="87"/>
        <v>0.92500000000000004</v>
      </c>
      <c r="AT152" s="18">
        <f t="shared" si="82"/>
        <v>45804</v>
      </c>
      <c r="AU152" s="19">
        <f t="shared" si="83"/>
        <v>147</v>
      </c>
      <c r="AV152" s="1">
        <f t="shared" si="88"/>
        <v>8</v>
      </c>
      <c r="AW152" s="1">
        <f t="shared" si="89"/>
        <v>14.7</v>
      </c>
      <c r="AX152" s="1">
        <f t="shared" si="90"/>
        <v>0.9</v>
      </c>
      <c r="AY152" s="1">
        <f t="shared" si="78"/>
        <v>65.599999999999994</v>
      </c>
      <c r="AZ152" s="1">
        <f t="shared" si="79"/>
        <v>44.8</v>
      </c>
      <c r="BA152" s="1">
        <f t="shared" si="91"/>
        <v>0</v>
      </c>
      <c r="BB152" s="5" t="str">
        <f t="shared" si="92"/>
        <v>NAN</v>
      </c>
      <c r="BC152" s="1">
        <f>ROUND(AC152,1)</f>
        <v>6.4</v>
      </c>
      <c r="BD152" s="1">
        <f>ROUND(AD152,1)</f>
        <v>18</v>
      </c>
      <c r="BE152" s="1">
        <f>ROUND(AE152,1)</f>
        <v>-0.1</v>
      </c>
      <c r="BF152" s="5">
        <f t="shared" si="93"/>
        <v>3.5</v>
      </c>
      <c r="BG152" s="5">
        <f t="shared" si="94"/>
        <v>1.5</v>
      </c>
      <c r="BH152" s="5">
        <f t="shared" si="95"/>
        <v>0.9</v>
      </c>
      <c r="BI152" s="5">
        <f t="shared" si="96"/>
        <v>0.23899999999999999</v>
      </c>
      <c r="BJ152" s="9">
        <f t="shared" si="97"/>
        <v>0.751</v>
      </c>
      <c r="BK152" s="9">
        <f t="shared" si="97"/>
        <v>0.92500000000000004</v>
      </c>
      <c r="BM152" s="1">
        <f t="shared" si="98"/>
        <v>3.2700000000000014</v>
      </c>
      <c r="BN152" s="1">
        <f t="shared" si="99"/>
        <v>-1.0489999999999999</v>
      </c>
    </row>
    <row r="153" spans="1:66" x14ac:dyDescent="0.2">
      <c r="A153" s="4">
        <f t="shared" si="100"/>
        <v>45805</v>
      </c>
      <c r="B153" s="1">
        <v>148</v>
      </c>
      <c r="C153" s="1">
        <v>12</v>
      </c>
      <c r="D153" s="5">
        <v>12.87</v>
      </c>
      <c r="E153" s="5">
        <v>23.64</v>
      </c>
      <c r="F153" s="5">
        <v>7.0279999999999996</v>
      </c>
      <c r="G153" s="5">
        <v>14.05</v>
      </c>
      <c r="H153" s="5">
        <v>55.39</v>
      </c>
      <c r="I153" s="5">
        <v>13.28</v>
      </c>
      <c r="J153" s="5">
        <v>12.86</v>
      </c>
      <c r="K153" s="5">
        <v>9.3000000000000007</v>
      </c>
      <c r="L153" s="5">
        <v>4.431</v>
      </c>
      <c r="M153" s="5">
        <v>1.2010000000000001</v>
      </c>
      <c r="N153" s="5">
        <v>21.95</v>
      </c>
      <c r="O153" s="5">
        <v>75.91</v>
      </c>
      <c r="P153" s="5">
        <v>33.79</v>
      </c>
      <c r="Q153" s="5">
        <v>25.83</v>
      </c>
      <c r="R153" s="5">
        <v>19.04</v>
      </c>
      <c r="S153" s="5">
        <v>6.9249999999999998</v>
      </c>
      <c r="T153" s="5">
        <v>1.58</v>
      </c>
      <c r="U153" s="5">
        <v>7.7709999999999999</v>
      </c>
      <c r="V153" s="5">
        <v>35.31</v>
      </c>
      <c r="W153" s="5">
        <v>4.8449999999999998</v>
      </c>
      <c r="X153" s="5">
        <v>5.5519999999999996</v>
      </c>
      <c r="Y153" s="5">
        <v>3.8559999999999999</v>
      </c>
      <c r="Z153" s="5">
        <v>2.9020000000000001</v>
      </c>
      <c r="AA153" s="5">
        <v>0.93700000000000006</v>
      </c>
      <c r="AB153" s="5">
        <v>2.3010000000000002</v>
      </c>
      <c r="AC153" s="5">
        <v>12.95</v>
      </c>
      <c r="AD153" s="5">
        <v>31.57</v>
      </c>
      <c r="AE153" s="5">
        <v>4.2960000000000003</v>
      </c>
      <c r="AF153" s="5">
        <v>22.51</v>
      </c>
      <c r="AG153" s="5">
        <v>7.2519999999999998</v>
      </c>
      <c r="AH153" s="5">
        <v>2.25</v>
      </c>
      <c r="AI153" s="5">
        <v>0.23100000000000001</v>
      </c>
      <c r="AK153" s="5">
        <v>0</v>
      </c>
      <c r="AL153" s="5"/>
      <c r="AN153" s="1">
        <f t="shared" si="84"/>
        <v>75.900000000000006</v>
      </c>
      <c r="AO153" s="1">
        <f t="shared" si="85"/>
        <v>55.4</v>
      </c>
      <c r="AP153" s="1">
        <f t="shared" si="86"/>
        <v>35.299999999999997</v>
      </c>
      <c r="AQ153" s="16">
        <f t="shared" si="102"/>
        <v>0.93</v>
      </c>
      <c r="AR153" s="23">
        <f t="shared" si="87"/>
        <v>1.7050000000000001</v>
      </c>
      <c r="AT153" s="18">
        <f t="shared" si="82"/>
        <v>45805</v>
      </c>
      <c r="AU153" s="19">
        <f t="shared" si="83"/>
        <v>148</v>
      </c>
      <c r="AV153" s="1">
        <f t="shared" si="88"/>
        <v>14.1</v>
      </c>
      <c r="AW153" s="1">
        <f t="shared" si="89"/>
        <v>22</v>
      </c>
      <c r="AX153" s="1">
        <f t="shared" si="90"/>
        <v>7.8</v>
      </c>
      <c r="AY153" s="1">
        <f t="shared" si="78"/>
        <v>55.4</v>
      </c>
      <c r="AZ153" s="1">
        <f t="shared" si="79"/>
        <v>35.299999999999997</v>
      </c>
      <c r="BA153" s="1">
        <f t="shared" si="91"/>
        <v>0</v>
      </c>
      <c r="BB153" s="5" t="str">
        <f t="shared" si="92"/>
        <v>NAN</v>
      </c>
      <c r="BC153" s="1">
        <f>ROUND(AC153,1)</f>
        <v>13</v>
      </c>
      <c r="BD153" s="1">
        <f>ROUND(AD153,1)</f>
        <v>31.6</v>
      </c>
      <c r="BE153" s="1">
        <f>ROUND(AE153,1)</f>
        <v>4.3</v>
      </c>
      <c r="BF153" s="5">
        <f t="shared" si="93"/>
        <v>9.3000000000000007</v>
      </c>
      <c r="BG153" s="5">
        <f t="shared" si="94"/>
        <v>4.4000000000000004</v>
      </c>
      <c r="BH153" s="5">
        <f t="shared" si="95"/>
        <v>1.2</v>
      </c>
      <c r="BI153" s="5">
        <f t="shared" si="96"/>
        <v>0.23100000000000001</v>
      </c>
      <c r="BJ153" s="9">
        <f t="shared" si="97"/>
        <v>0.93</v>
      </c>
      <c r="BK153" s="9">
        <f t="shared" si="97"/>
        <v>1.7050000000000001</v>
      </c>
      <c r="BM153" s="1">
        <f t="shared" si="98"/>
        <v>9.620000000000001</v>
      </c>
      <c r="BN153" s="1">
        <f t="shared" si="99"/>
        <v>-3.4749999999999996</v>
      </c>
    </row>
    <row r="154" spans="1:66" x14ac:dyDescent="0.2">
      <c r="A154" s="4">
        <f t="shared" si="100"/>
        <v>45806</v>
      </c>
      <c r="B154" s="1">
        <v>149</v>
      </c>
      <c r="C154" s="1">
        <v>12</v>
      </c>
      <c r="D154" s="5">
        <v>12.9</v>
      </c>
      <c r="E154" s="5">
        <v>11.91</v>
      </c>
      <c r="F154" s="5">
        <v>2.6949999999999998</v>
      </c>
      <c r="G154" s="5">
        <v>8.2899999999999991</v>
      </c>
      <c r="H154" s="5">
        <v>71.760000000000005</v>
      </c>
      <c r="I154" s="5">
        <v>7.7279999999999998</v>
      </c>
      <c r="J154" s="5">
        <v>7.5990000000000002</v>
      </c>
      <c r="K154" s="5">
        <v>8.14</v>
      </c>
      <c r="L154" s="5">
        <v>6.109</v>
      </c>
      <c r="M154" s="5">
        <v>2.0270000000000001</v>
      </c>
      <c r="N154" s="5">
        <v>12.74</v>
      </c>
      <c r="O154" s="5">
        <v>95.2</v>
      </c>
      <c r="P154" s="5">
        <v>23.12</v>
      </c>
      <c r="Q154" s="5">
        <v>16.82</v>
      </c>
      <c r="R154" s="5">
        <v>13.72</v>
      </c>
      <c r="S154" s="5">
        <v>6.7290000000000001</v>
      </c>
      <c r="T154" s="5">
        <v>2.4319999999999999</v>
      </c>
      <c r="U154" s="5">
        <v>1.94</v>
      </c>
      <c r="V154" s="5">
        <v>47.72</v>
      </c>
      <c r="W154" s="5">
        <v>1.103</v>
      </c>
      <c r="X154" s="5">
        <v>1.2629999999999999</v>
      </c>
      <c r="Y154" s="5">
        <v>4.4210000000000003</v>
      </c>
      <c r="Z154" s="5">
        <v>5.59</v>
      </c>
      <c r="AA154" s="5">
        <v>1.506</v>
      </c>
      <c r="AB154" s="5">
        <v>2.2829999999999999</v>
      </c>
      <c r="AC154" s="5">
        <v>7.6559999999999997</v>
      </c>
      <c r="AD154" s="5">
        <v>21.54</v>
      </c>
      <c r="AE154" s="5">
        <v>1.2769999999999999</v>
      </c>
      <c r="AF154" s="5">
        <v>12.35</v>
      </c>
      <c r="AG154" s="5">
        <v>1.9350000000000001</v>
      </c>
      <c r="AH154" s="5">
        <v>2.27</v>
      </c>
      <c r="AI154" s="5">
        <v>0.21299999999999999</v>
      </c>
      <c r="AK154" s="5">
        <v>0</v>
      </c>
      <c r="AL154" s="5"/>
      <c r="AN154" s="1">
        <f t="shared" si="84"/>
        <v>95.2</v>
      </c>
      <c r="AO154" s="1">
        <f t="shared" si="85"/>
        <v>71.8</v>
      </c>
      <c r="AP154" s="1">
        <f t="shared" si="86"/>
        <v>47.7</v>
      </c>
      <c r="AQ154" s="16">
        <f t="shared" si="102"/>
        <v>0.70199999999999996</v>
      </c>
      <c r="AR154" s="23">
        <f t="shared" si="87"/>
        <v>0.77</v>
      </c>
      <c r="AT154" s="18">
        <f t="shared" si="82"/>
        <v>45806</v>
      </c>
      <c r="AU154" s="19">
        <f t="shared" si="83"/>
        <v>149</v>
      </c>
      <c r="AV154" s="1">
        <f t="shared" si="88"/>
        <v>8.3000000000000007</v>
      </c>
      <c r="AW154" s="1">
        <f t="shared" si="89"/>
        <v>12.7</v>
      </c>
      <c r="AX154" s="1">
        <f t="shared" si="90"/>
        <v>1.9</v>
      </c>
      <c r="AY154" s="1">
        <f t="shared" si="78"/>
        <v>71.8</v>
      </c>
      <c r="AZ154" s="1">
        <f t="shared" si="79"/>
        <v>47.7</v>
      </c>
      <c r="BA154" s="1">
        <f t="shared" si="91"/>
        <v>0</v>
      </c>
      <c r="BB154" s="5" t="str">
        <f t="shared" si="92"/>
        <v>NAN</v>
      </c>
      <c r="BC154" s="1">
        <f>ROUND(AC154,1)</f>
        <v>7.7</v>
      </c>
      <c r="BD154" s="1">
        <f>ROUND(AD154,1)</f>
        <v>21.5</v>
      </c>
      <c r="BE154" s="1">
        <f>ROUND(AE154,1)</f>
        <v>1.3</v>
      </c>
      <c r="BF154" s="5">
        <f t="shared" si="93"/>
        <v>8.1</v>
      </c>
      <c r="BG154" s="5">
        <f t="shared" si="94"/>
        <v>6.1</v>
      </c>
      <c r="BH154" s="5">
        <f t="shared" si="95"/>
        <v>2</v>
      </c>
      <c r="BI154" s="5">
        <f t="shared" si="96"/>
        <v>0.21299999999999999</v>
      </c>
      <c r="BJ154" s="9">
        <f t="shared" si="97"/>
        <v>0.70199999999999996</v>
      </c>
      <c r="BK154" s="9">
        <f t="shared" si="97"/>
        <v>0.77</v>
      </c>
      <c r="BM154" s="1">
        <f t="shared" si="98"/>
        <v>8.7999999999999989</v>
      </c>
      <c r="BN154" s="1">
        <f t="shared" si="99"/>
        <v>-0.66300000000000003</v>
      </c>
    </row>
    <row r="155" spans="1:66" x14ac:dyDescent="0.2">
      <c r="A155" s="4">
        <f t="shared" si="100"/>
        <v>45807</v>
      </c>
      <c r="B155" s="1">
        <v>150</v>
      </c>
      <c r="C155" s="1">
        <v>12</v>
      </c>
      <c r="D155" s="5">
        <v>12.9</v>
      </c>
      <c r="E155" s="5">
        <v>20.29</v>
      </c>
      <c r="F155" s="5">
        <v>1.8839999999999999</v>
      </c>
      <c r="G155" s="5">
        <v>10.7</v>
      </c>
      <c r="H155" s="5">
        <v>51.02</v>
      </c>
      <c r="I155" s="5">
        <v>10.79</v>
      </c>
      <c r="J155" s="5">
        <v>10.25</v>
      </c>
      <c r="K155" s="5">
        <v>7.819</v>
      </c>
      <c r="L155" s="5">
        <v>5.3819999999999997</v>
      </c>
      <c r="M155" s="5">
        <v>2.6110000000000002</v>
      </c>
      <c r="N155" s="5">
        <v>19.09</v>
      </c>
      <c r="O155" s="5">
        <v>80.8</v>
      </c>
      <c r="P155" s="5">
        <v>30.5</v>
      </c>
      <c r="Q155" s="5">
        <v>21.56</v>
      </c>
      <c r="R155" s="5">
        <v>13.29</v>
      </c>
      <c r="S155" s="5">
        <v>6.6769999999999996</v>
      </c>
      <c r="T155" s="5">
        <v>2.8130000000000002</v>
      </c>
      <c r="U155" s="5">
        <v>2.0110000000000001</v>
      </c>
      <c r="V155" s="5">
        <v>27.28</v>
      </c>
      <c r="W155" s="5">
        <v>0.81399999999999995</v>
      </c>
      <c r="X155" s="5">
        <v>0.95199999999999996</v>
      </c>
      <c r="Y155" s="5">
        <v>3.286</v>
      </c>
      <c r="Z155" s="5">
        <v>4.1849999999999996</v>
      </c>
      <c r="AA155" s="5">
        <v>2.3519999999999999</v>
      </c>
      <c r="AB155" s="5">
        <v>2.29</v>
      </c>
      <c r="AC155" s="5">
        <v>9.89</v>
      </c>
      <c r="AD155" s="5">
        <v>24.32</v>
      </c>
      <c r="AE155" s="5">
        <v>0.83399999999999996</v>
      </c>
      <c r="AF155" s="5">
        <v>19.13</v>
      </c>
      <c r="AG155" s="5">
        <v>1.7230000000000001</v>
      </c>
      <c r="AH155" s="5">
        <v>2.25</v>
      </c>
      <c r="AI155" s="5">
        <v>0.20100000000000001</v>
      </c>
      <c r="AK155" s="5">
        <v>0</v>
      </c>
      <c r="AL155" s="5"/>
      <c r="AN155" s="1">
        <f t="shared" si="84"/>
        <v>80.8</v>
      </c>
      <c r="AO155" s="1">
        <f t="shared" si="85"/>
        <v>51</v>
      </c>
      <c r="AP155" s="1">
        <f t="shared" si="86"/>
        <v>27.3</v>
      </c>
      <c r="AQ155" s="16">
        <f t="shared" si="102"/>
        <v>0.60299999999999998</v>
      </c>
      <c r="AR155" s="23">
        <f t="shared" si="87"/>
        <v>1.6060000000000001</v>
      </c>
      <c r="AT155" s="18">
        <f t="shared" si="82"/>
        <v>45807</v>
      </c>
      <c r="AU155" s="19">
        <f t="shared" si="83"/>
        <v>150</v>
      </c>
      <c r="AV155" s="1">
        <f t="shared" si="88"/>
        <v>10.7</v>
      </c>
      <c r="AW155" s="1">
        <f t="shared" si="89"/>
        <v>19.100000000000001</v>
      </c>
      <c r="AX155" s="1">
        <f t="shared" si="90"/>
        <v>2</v>
      </c>
      <c r="AY155" s="1">
        <f t="shared" si="78"/>
        <v>51</v>
      </c>
      <c r="AZ155" s="1">
        <f t="shared" si="79"/>
        <v>27.3</v>
      </c>
      <c r="BA155" s="1">
        <f t="shared" si="91"/>
        <v>0</v>
      </c>
      <c r="BB155" s="5" t="str">
        <f t="shared" si="92"/>
        <v>NAN</v>
      </c>
      <c r="BC155" s="1">
        <f>ROUND(AC155,1)</f>
        <v>9.9</v>
      </c>
      <c r="BD155" s="1">
        <f>ROUND(AD155,1)</f>
        <v>24.3</v>
      </c>
      <c r="BE155" s="1">
        <f>ROUND(AE155,1)</f>
        <v>0.8</v>
      </c>
      <c r="BF155" s="5">
        <f t="shared" si="93"/>
        <v>7.8</v>
      </c>
      <c r="BG155" s="5">
        <f t="shared" si="94"/>
        <v>5.4</v>
      </c>
      <c r="BH155" s="5">
        <f t="shared" si="95"/>
        <v>2.6</v>
      </c>
      <c r="BI155" s="5">
        <f t="shared" si="96"/>
        <v>0.20100000000000001</v>
      </c>
      <c r="BJ155" s="9">
        <f t="shared" si="97"/>
        <v>0.60299999999999998</v>
      </c>
      <c r="BK155" s="9">
        <f t="shared" si="97"/>
        <v>1.6060000000000001</v>
      </c>
      <c r="BM155" s="1">
        <f t="shared" si="98"/>
        <v>5.23</v>
      </c>
      <c r="BN155" s="1">
        <f t="shared" si="99"/>
        <v>-1.177</v>
      </c>
    </row>
    <row r="156" spans="1:66" x14ac:dyDescent="0.2">
      <c r="A156" s="4">
        <f t="shared" si="100"/>
        <v>45808</v>
      </c>
      <c r="B156" s="1">
        <v>151</v>
      </c>
      <c r="C156" s="1">
        <v>12</v>
      </c>
      <c r="D156" s="5">
        <v>12.91</v>
      </c>
      <c r="E156" s="5">
        <v>21.81</v>
      </c>
      <c r="F156" s="5">
        <v>0.56499999999999995</v>
      </c>
      <c r="G156" s="5">
        <v>9.1300000000000008</v>
      </c>
      <c r="H156" s="5">
        <v>55.24</v>
      </c>
      <c r="I156" s="5">
        <v>9.73</v>
      </c>
      <c r="J156" s="5">
        <v>9.11</v>
      </c>
      <c r="K156" s="5">
        <v>8.67</v>
      </c>
      <c r="L156" s="5">
        <v>6.42</v>
      </c>
      <c r="M156" s="5">
        <v>2.9769999999999999</v>
      </c>
      <c r="N156" s="5">
        <v>19.45</v>
      </c>
      <c r="O156" s="5">
        <v>92.6</v>
      </c>
      <c r="P156" s="5">
        <v>35.270000000000003</v>
      </c>
      <c r="Q156" s="5">
        <v>25.81</v>
      </c>
      <c r="R156" s="5">
        <v>16.13</v>
      </c>
      <c r="S156" s="5">
        <v>7.3090000000000002</v>
      </c>
      <c r="T156" s="5">
        <v>3.2170000000000001</v>
      </c>
      <c r="U156" s="5">
        <v>-0.45300000000000001</v>
      </c>
      <c r="V156" s="5">
        <v>28.09</v>
      </c>
      <c r="W156" s="5">
        <v>-0.61099999999999999</v>
      </c>
      <c r="X156" s="5">
        <v>-0.6</v>
      </c>
      <c r="Y156" s="5">
        <v>4.7060000000000004</v>
      </c>
      <c r="Z156" s="5">
        <v>5.6379999999999999</v>
      </c>
      <c r="AA156" s="5">
        <v>2.6989999999999998</v>
      </c>
      <c r="AB156" s="5">
        <v>2.278</v>
      </c>
      <c r="AC156" s="5">
        <v>9.75</v>
      </c>
      <c r="AD156" s="5">
        <v>34.49</v>
      </c>
      <c r="AE156" s="5">
        <v>-0.193</v>
      </c>
      <c r="AF156" s="5">
        <v>21.21</v>
      </c>
      <c r="AG156" s="5">
        <v>-0.60599999999999998</v>
      </c>
      <c r="AH156" s="5">
        <v>2.2799999999999998</v>
      </c>
      <c r="AI156" s="5">
        <v>0.19</v>
      </c>
      <c r="AK156" s="5">
        <v>0</v>
      </c>
      <c r="AL156" s="5"/>
      <c r="AN156" s="1">
        <f t="shared" si="84"/>
        <v>92.6</v>
      </c>
      <c r="AO156" s="1">
        <f t="shared" si="85"/>
        <v>55.2</v>
      </c>
      <c r="AP156" s="1">
        <f t="shared" si="86"/>
        <v>28.1</v>
      </c>
      <c r="AQ156" s="16">
        <f t="shared" si="102"/>
        <v>0.63500000000000001</v>
      </c>
      <c r="AR156" s="23">
        <f t="shared" si="87"/>
        <v>1.625</v>
      </c>
      <c r="AT156" s="18">
        <f t="shared" si="82"/>
        <v>45808</v>
      </c>
      <c r="AU156" s="19">
        <f t="shared" si="83"/>
        <v>151</v>
      </c>
      <c r="AV156" s="1">
        <f t="shared" si="88"/>
        <v>9.1</v>
      </c>
      <c r="AW156" s="1">
        <f t="shared" si="89"/>
        <v>19.5</v>
      </c>
      <c r="AX156" s="1">
        <f t="shared" si="90"/>
        <v>-0.5</v>
      </c>
      <c r="AY156" s="1">
        <f t="shared" si="78"/>
        <v>55.2</v>
      </c>
      <c r="AZ156" s="1">
        <f t="shared" si="79"/>
        <v>28.1</v>
      </c>
      <c r="BA156" s="1">
        <f t="shared" si="91"/>
        <v>0</v>
      </c>
      <c r="BB156" s="5" t="str">
        <f t="shared" si="92"/>
        <v>NAN</v>
      </c>
      <c r="BC156" s="1">
        <f>ROUND(AC156,1)</f>
        <v>9.8000000000000007</v>
      </c>
      <c r="BD156" s="1">
        <f>ROUND(AD156,1)</f>
        <v>34.5</v>
      </c>
      <c r="BE156" s="1">
        <f>ROUND(AE156,1)</f>
        <v>-0.2</v>
      </c>
      <c r="BF156" s="5">
        <f t="shared" si="93"/>
        <v>8.6999999999999993</v>
      </c>
      <c r="BG156" s="5">
        <f t="shared" si="94"/>
        <v>6.4</v>
      </c>
      <c r="BH156" s="5">
        <f t="shared" si="95"/>
        <v>3</v>
      </c>
      <c r="BI156" s="5">
        <f t="shared" si="96"/>
        <v>0.19</v>
      </c>
      <c r="BJ156" s="9">
        <f t="shared" si="97"/>
        <v>0.63500000000000001</v>
      </c>
      <c r="BK156" s="9">
        <f t="shared" si="97"/>
        <v>1.625</v>
      </c>
      <c r="BM156" s="1">
        <f t="shared" si="98"/>
        <v>15.040000000000003</v>
      </c>
      <c r="BN156" s="1">
        <f t="shared" si="99"/>
        <v>0.26</v>
      </c>
    </row>
    <row r="157" spans="1:66" x14ac:dyDescent="0.2">
      <c r="A157" s="4">
        <f t="shared" si="100"/>
        <v>45809</v>
      </c>
      <c r="B157" s="1">
        <v>152</v>
      </c>
      <c r="C157" s="1">
        <v>12</v>
      </c>
      <c r="D157" s="5">
        <v>13</v>
      </c>
      <c r="E157" s="5">
        <v>8.6999999999999993</v>
      </c>
      <c r="F157" s="5">
        <v>-0.373</v>
      </c>
      <c r="G157" s="5">
        <v>2.238</v>
      </c>
      <c r="H157" s="5">
        <v>69.2</v>
      </c>
      <c r="I157" s="5">
        <v>3.7810000000000001</v>
      </c>
      <c r="J157" s="5">
        <v>2.875</v>
      </c>
      <c r="K157" s="5">
        <v>5.516</v>
      </c>
      <c r="L157" s="5">
        <v>5.2850000000000001</v>
      </c>
      <c r="M157" s="5">
        <v>3.3149999999999999</v>
      </c>
      <c r="N157" s="5">
        <v>7.0609999999999999</v>
      </c>
      <c r="O157" s="5">
        <v>95.1</v>
      </c>
      <c r="P157" s="5">
        <v>18.510000000000002</v>
      </c>
      <c r="Q157" s="5">
        <v>11.53</v>
      </c>
      <c r="R157" s="5">
        <v>9.25</v>
      </c>
      <c r="S157" s="5">
        <v>6.3849999999999998</v>
      </c>
      <c r="T157" s="5">
        <v>3.4350000000000001</v>
      </c>
      <c r="U157" s="5">
        <v>-0.89200000000000002</v>
      </c>
      <c r="V157" s="5">
        <v>41.96</v>
      </c>
      <c r="W157" s="5">
        <v>-0.88200000000000001</v>
      </c>
      <c r="X157" s="5">
        <v>-0.87</v>
      </c>
      <c r="Y157" s="5">
        <v>3.1890000000000001</v>
      </c>
      <c r="Z157" s="5">
        <v>4.6459999999999999</v>
      </c>
      <c r="AA157" s="5">
        <v>3.1120000000000001</v>
      </c>
      <c r="AB157" s="5">
        <v>2.2789999999999999</v>
      </c>
      <c r="AC157" s="5">
        <v>5.1150000000000002</v>
      </c>
      <c r="AD157" s="5">
        <v>23.91</v>
      </c>
      <c r="AE157" s="5">
        <v>-0.621</v>
      </c>
      <c r="AF157" s="5">
        <v>7.16</v>
      </c>
      <c r="AG157" s="5">
        <v>-0.90800000000000003</v>
      </c>
      <c r="AH157" s="5">
        <v>2.278</v>
      </c>
      <c r="AI157" s="5">
        <v>0.182</v>
      </c>
      <c r="AK157" s="5">
        <v>0</v>
      </c>
      <c r="AL157" s="5"/>
      <c r="AN157" s="1">
        <f t="shared" si="84"/>
        <v>95.1</v>
      </c>
      <c r="AO157" s="1">
        <f t="shared" si="85"/>
        <v>69.2</v>
      </c>
      <c r="AP157" s="1">
        <f t="shared" si="86"/>
        <v>42</v>
      </c>
      <c r="AQ157" s="16">
        <f t="shared" si="102"/>
        <v>0.42199999999999999</v>
      </c>
      <c r="AR157" s="23">
        <f t="shared" si="87"/>
        <v>0.58299999999999996</v>
      </c>
      <c r="AT157" s="18">
        <f t="shared" si="82"/>
        <v>45809</v>
      </c>
      <c r="AU157" s="19">
        <f t="shared" si="83"/>
        <v>152</v>
      </c>
      <c r="AV157" s="1">
        <f t="shared" si="88"/>
        <v>2.2000000000000002</v>
      </c>
      <c r="AW157" s="1">
        <f t="shared" si="89"/>
        <v>7.1</v>
      </c>
      <c r="AX157" s="1">
        <f t="shared" si="90"/>
        <v>-0.9</v>
      </c>
      <c r="AY157" s="1">
        <f t="shared" si="78"/>
        <v>69.2</v>
      </c>
      <c r="AZ157" s="1">
        <f t="shared" si="79"/>
        <v>42</v>
      </c>
      <c r="BA157" s="1">
        <f t="shared" si="91"/>
        <v>0</v>
      </c>
      <c r="BB157" s="5" t="str">
        <f t="shared" si="92"/>
        <v>NAN</v>
      </c>
      <c r="BC157" s="1">
        <f>ROUND(AC157,1)</f>
        <v>5.0999999999999996</v>
      </c>
      <c r="BD157" s="1">
        <f>ROUND(AD157,1)</f>
        <v>23.9</v>
      </c>
      <c r="BE157" s="1">
        <f>ROUND(AE157,1)</f>
        <v>-0.6</v>
      </c>
      <c r="BF157" s="5">
        <f t="shared" si="93"/>
        <v>5.5</v>
      </c>
      <c r="BG157" s="5">
        <f t="shared" si="94"/>
        <v>5.3</v>
      </c>
      <c r="BH157" s="5">
        <f t="shared" si="95"/>
        <v>3.3</v>
      </c>
      <c r="BI157" s="5">
        <f t="shared" si="96"/>
        <v>0.182</v>
      </c>
      <c r="BJ157" s="9">
        <f t="shared" si="97"/>
        <v>0.42199999999999999</v>
      </c>
      <c r="BK157" s="9">
        <f t="shared" si="97"/>
        <v>0.58299999999999996</v>
      </c>
      <c r="BM157" s="1">
        <f t="shared" si="98"/>
        <v>16.849</v>
      </c>
      <c r="BN157" s="1">
        <f t="shared" si="99"/>
        <v>0.27100000000000002</v>
      </c>
    </row>
    <row r="158" spans="1:66" x14ac:dyDescent="0.2">
      <c r="A158" s="4">
        <f t="shared" si="100"/>
        <v>45810</v>
      </c>
      <c r="B158" s="1">
        <v>153</v>
      </c>
      <c r="C158" s="1">
        <v>12</v>
      </c>
      <c r="D158" s="5">
        <v>12.98</v>
      </c>
      <c r="E158" s="5">
        <v>12.05</v>
      </c>
      <c r="F158" s="5">
        <v>-0.77700000000000002</v>
      </c>
      <c r="G158" s="5">
        <v>4.2060000000000004</v>
      </c>
      <c r="H158" s="5">
        <v>55.69</v>
      </c>
      <c r="I158" s="5">
        <v>5.5090000000000003</v>
      </c>
      <c r="J158" s="5">
        <v>4.6289999999999996</v>
      </c>
      <c r="K158" s="5">
        <v>5.5960000000000001</v>
      </c>
      <c r="L158" s="5">
        <v>4.6360000000000001</v>
      </c>
      <c r="M158" s="5">
        <v>3.339</v>
      </c>
      <c r="N158" s="5">
        <v>9.41</v>
      </c>
      <c r="O158" s="5">
        <v>77.069999999999993</v>
      </c>
      <c r="P158" s="5">
        <v>25.99</v>
      </c>
      <c r="Q158" s="5">
        <v>17.23</v>
      </c>
      <c r="R158" s="5">
        <v>13.44</v>
      </c>
      <c r="S158" s="5">
        <v>5.6459999999999999</v>
      </c>
      <c r="T158" s="5">
        <v>3.4460000000000002</v>
      </c>
      <c r="U158" s="5">
        <v>-0.45300000000000001</v>
      </c>
      <c r="V158" s="5">
        <v>32.86</v>
      </c>
      <c r="W158" s="5">
        <v>-1.351</v>
      </c>
      <c r="X158" s="5">
        <v>-1.079</v>
      </c>
      <c r="Y158" s="5">
        <v>1.8380000000000001</v>
      </c>
      <c r="Z158" s="5">
        <v>3.641</v>
      </c>
      <c r="AA158" s="5">
        <v>3.2429999999999999</v>
      </c>
      <c r="AB158" s="5">
        <v>2.286</v>
      </c>
      <c r="AC158" s="5">
        <v>6.5789999999999997</v>
      </c>
      <c r="AD158" s="5">
        <v>28.19</v>
      </c>
      <c r="AE158" s="5">
        <v>-1.4590000000000001</v>
      </c>
      <c r="AF158" s="5">
        <v>11.42</v>
      </c>
      <c r="AG158" s="5">
        <v>-0.80500000000000005</v>
      </c>
      <c r="AH158" s="5">
        <v>2.2730000000000001</v>
      </c>
      <c r="AI158" s="5">
        <v>0.17699999999999999</v>
      </c>
      <c r="AK158" s="5">
        <v>0</v>
      </c>
      <c r="AL158" s="5"/>
      <c r="AN158" s="1">
        <f t="shared" si="84"/>
        <v>77.099999999999994</v>
      </c>
      <c r="AO158" s="1">
        <f t="shared" si="85"/>
        <v>55.7</v>
      </c>
      <c r="AP158" s="1">
        <f t="shared" si="86"/>
        <v>32.9</v>
      </c>
      <c r="AQ158" s="16">
        <f t="shared" si="102"/>
        <v>0.38800000000000001</v>
      </c>
      <c r="AR158" s="23">
        <f t="shared" si="87"/>
        <v>0.79100000000000004</v>
      </c>
      <c r="AT158" s="18">
        <f t="shared" si="82"/>
        <v>45810</v>
      </c>
      <c r="AU158" s="19">
        <f t="shared" si="83"/>
        <v>153</v>
      </c>
      <c r="AV158" s="1">
        <f t="shared" si="88"/>
        <v>4.2</v>
      </c>
      <c r="AW158" s="1">
        <f t="shared" si="89"/>
        <v>9.4</v>
      </c>
      <c r="AX158" s="1">
        <f t="shared" si="90"/>
        <v>-0.5</v>
      </c>
      <c r="AY158" s="1">
        <f t="shared" si="78"/>
        <v>55.7</v>
      </c>
      <c r="AZ158" s="1">
        <f t="shared" si="79"/>
        <v>32.9</v>
      </c>
      <c r="BA158" s="1">
        <f t="shared" si="91"/>
        <v>0</v>
      </c>
      <c r="BB158" s="5" t="str">
        <f t="shared" si="92"/>
        <v>NAN</v>
      </c>
      <c r="BC158" s="1">
        <f>ROUND(AC158,1)</f>
        <v>6.6</v>
      </c>
      <c r="BD158" s="1">
        <f>ROUND(AD158,1)</f>
        <v>28.2</v>
      </c>
      <c r="BE158" s="1">
        <f>ROUND(AE158,1)</f>
        <v>-1.5</v>
      </c>
      <c r="BF158" s="5">
        <f t="shared" si="93"/>
        <v>5.6</v>
      </c>
      <c r="BG158" s="5">
        <f t="shared" si="94"/>
        <v>4.5999999999999996</v>
      </c>
      <c r="BH158" s="5">
        <f t="shared" si="95"/>
        <v>3.3</v>
      </c>
      <c r="BI158" s="5">
        <f t="shared" si="96"/>
        <v>0.17699999999999999</v>
      </c>
      <c r="BJ158" s="9">
        <f t="shared" si="97"/>
        <v>0.38800000000000001</v>
      </c>
      <c r="BK158" s="9">
        <f t="shared" si="97"/>
        <v>0.79100000000000004</v>
      </c>
      <c r="BM158" s="1">
        <f t="shared" si="98"/>
        <v>18.78</v>
      </c>
      <c r="BN158" s="1">
        <f t="shared" si="99"/>
        <v>-1.006</v>
      </c>
    </row>
    <row r="159" spans="1:66" x14ac:dyDescent="0.2">
      <c r="A159" s="4">
        <f t="shared" si="100"/>
        <v>45811</v>
      </c>
      <c r="B159" s="1">
        <v>154</v>
      </c>
      <c r="C159" s="1">
        <v>12</v>
      </c>
      <c r="D159" s="5">
        <v>12.98</v>
      </c>
      <c r="E159" s="5">
        <v>14.09</v>
      </c>
      <c r="F159" s="5">
        <v>3.2280000000000002</v>
      </c>
      <c r="G159" s="5">
        <v>7.2880000000000003</v>
      </c>
      <c r="H159" s="5">
        <v>53.9</v>
      </c>
      <c r="I159" s="5">
        <v>8.4600000000000009</v>
      </c>
      <c r="J159" s="5">
        <v>7.6989999999999998</v>
      </c>
      <c r="K159" s="5">
        <v>6.8609999999999998</v>
      </c>
      <c r="L159" s="5">
        <v>5.1779999999999999</v>
      </c>
      <c r="M159" s="5">
        <v>3.3679999999999999</v>
      </c>
      <c r="N159" s="5">
        <v>12.14</v>
      </c>
      <c r="O159" s="5">
        <v>75.97</v>
      </c>
      <c r="P159" s="5">
        <v>27.14</v>
      </c>
      <c r="Q159" s="5">
        <v>18.29</v>
      </c>
      <c r="R159" s="5">
        <v>12.41</v>
      </c>
      <c r="S159" s="5">
        <v>6.1740000000000004</v>
      </c>
      <c r="T159" s="5">
        <v>3.488</v>
      </c>
      <c r="U159" s="5">
        <v>3.0870000000000002</v>
      </c>
      <c r="V159" s="5">
        <v>32.76</v>
      </c>
      <c r="W159" s="5">
        <v>2.1070000000000002</v>
      </c>
      <c r="X159" s="5">
        <v>2.3149999999999999</v>
      </c>
      <c r="Y159" s="5">
        <v>3.9089999999999998</v>
      </c>
      <c r="Z159" s="5">
        <v>4.343</v>
      </c>
      <c r="AA159" s="5">
        <v>3.2719999999999998</v>
      </c>
      <c r="AB159" s="5">
        <v>2.2810000000000001</v>
      </c>
      <c r="AC159" s="5">
        <v>9.0299999999999994</v>
      </c>
      <c r="AD159" s="5">
        <v>30.85</v>
      </c>
      <c r="AE159" s="5">
        <v>1.982</v>
      </c>
      <c r="AF159" s="5">
        <v>13.08</v>
      </c>
      <c r="AG159" s="5">
        <v>2.9060000000000001</v>
      </c>
      <c r="AH159" s="5">
        <v>2.2559999999999998</v>
      </c>
      <c r="AI159" s="5">
        <v>0.17199999999999999</v>
      </c>
      <c r="AK159" s="5">
        <v>0</v>
      </c>
      <c r="AL159" s="5"/>
      <c r="AN159" s="1">
        <f t="shared" si="84"/>
        <v>76</v>
      </c>
      <c r="AO159" s="1">
        <f t="shared" si="85"/>
        <v>53.9</v>
      </c>
      <c r="AP159" s="1">
        <f t="shared" si="86"/>
        <v>32.799999999999997</v>
      </c>
      <c r="AQ159" s="16">
        <f t="shared" si="102"/>
        <v>0.46400000000000002</v>
      </c>
      <c r="AR159" s="23">
        <f t="shared" si="87"/>
        <v>0.95099999999999996</v>
      </c>
      <c r="AT159" s="18">
        <f t="shared" si="82"/>
        <v>45811</v>
      </c>
      <c r="AU159" s="19">
        <f t="shared" si="83"/>
        <v>154</v>
      </c>
      <c r="AV159" s="1">
        <f t="shared" si="88"/>
        <v>7.3</v>
      </c>
      <c r="AW159" s="1">
        <f t="shared" si="89"/>
        <v>12.1</v>
      </c>
      <c r="AX159" s="1">
        <f t="shared" si="90"/>
        <v>3.1</v>
      </c>
      <c r="AY159" s="1">
        <f t="shared" si="78"/>
        <v>53.9</v>
      </c>
      <c r="AZ159" s="1">
        <f t="shared" si="79"/>
        <v>32.799999999999997</v>
      </c>
      <c r="BA159" s="1">
        <f t="shared" si="91"/>
        <v>0</v>
      </c>
      <c r="BB159" s="5" t="str">
        <f t="shared" si="92"/>
        <v>NAN</v>
      </c>
      <c r="BC159" s="1">
        <f>ROUND(AC159,1)</f>
        <v>9</v>
      </c>
      <c r="BD159" s="1">
        <f>ROUND(AD159,1)</f>
        <v>30.9</v>
      </c>
      <c r="BE159" s="1">
        <f>ROUND(AE159,1)</f>
        <v>2</v>
      </c>
      <c r="BF159" s="5">
        <f t="shared" si="93"/>
        <v>6.9</v>
      </c>
      <c r="BG159" s="5">
        <f t="shared" si="94"/>
        <v>5.2</v>
      </c>
      <c r="BH159" s="5">
        <f t="shared" si="95"/>
        <v>3.4</v>
      </c>
      <c r="BI159" s="5">
        <f t="shared" si="96"/>
        <v>0.17199999999999999</v>
      </c>
      <c r="BJ159" s="9">
        <f t="shared" si="97"/>
        <v>0.46400000000000002</v>
      </c>
      <c r="BK159" s="9">
        <f t="shared" si="97"/>
        <v>0.95099999999999996</v>
      </c>
      <c r="BM159" s="1">
        <f t="shared" si="98"/>
        <v>18.71</v>
      </c>
      <c r="BN159" s="1">
        <f t="shared" si="99"/>
        <v>-1.1050000000000002</v>
      </c>
    </row>
    <row r="160" spans="1:66" x14ac:dyDescent="0.2">
      <c r="A160" s="4">
        <f t="shared" si="100"/>
        <v>45812</v>
      </c>
      <c r="B160" s="1">
        <v>155</v>
      </c>
      <c r="C160" s="1">
        <v>12</v>
      </c>
      <c r="AL160" s="5"/>
      <c r="AN160" s="1">
        <f t="shared" si="84"/>
        <v>0</v>
      </c>
      <c r="AO160" s="1">
        <f t="shared" si="85"/>
        <v>0</v>
      </c>
      <c r="AP160" s="1">
        <f t="shared" si="86"/>
        <v>0</v>
      </c>
      <c r="AQ160" s="16">
        <f t="shared" si="102"/>
        <v>0</v>
      </c>
      <c r="AR160" s="23" t="e">
        <f t="shared" si="87"/>
        <v>#DIV/0!</v>
      </c>
      <c r="AT160" s="18">
        <f t="shared" si="82"/>
        <v>45812</v>
      </c>
      <c r="AU160" s="19">
        <f t="shared" si="83"/>
        <v>155</v>
      </c>
      <c r="AV160" s="1">
        <f t="shared" si="88"/>
        <v>0</v>
      </c>
      <c r="AW160" s="1">
        <f t="shared" si="89"/>
        <v>0</v>
      </c>
      <c r="AX160" s="1">
        <f t="shared" si="90"/>
        <v>0</v>
      </c>
      <c r="AY160" s="1">
        <f t="shared" si="78"/>
        <v>0</v>
      </c>
      <c r="AZ160" s="1">
        <f t="shared" si="79"/>
        <v>0</v>
      </c>
      <c r="BA160" s="1">
        <f t="shared" si="91"/>
        <v>0</v>
      </c>
      <c r="BB160" s="5" t="str">
        <f t="shared" si="92"/>
        <v>NAN</v>
      </c>
      <c r="BC160" s="1">
        <f>ROUND(AC160,1)</f>
        <v>0</v>
      </c>
      <c r="BD160" s="1">
        <f>ROUND(AD160,1)</f>
        <v>0</v>
      </c>
      <c r="BE160" s="1">
        <f>ROUND(AE160,1)</f>
        <v>0</v>
      </c>
      <c r="BF160" s="5">
        <f t="shared" si="93"/>
        <v>0</v>
      </c>
      <c r="BG160" s="5">
        <f t="shared" si="94"/>
        <v>0</v>
      </c>
      <c r="BH160" s="5">
        <f t="shared" si="95"/>
        <v>0</v>
      </c>
      <c r="BI160" s="5">
        <f t="shared" si="96"/>
        <v>0</v>
      </c>
      <c r="BJ160" s="9">
        <f t="shared" si="97"/>
        <v>0</v>
      </c>
      <c r="BK160" s="9" t="e">
        <f t="shared" si="97"/>
        <v>#DIV/0!</v>
      </c>
      <c r="BM160" s="1">
        <f t="shared" si="98"/>
        <v>0</v>
      </c>
      <c r="BN160" s="1">
        <f t="shared" si="99"/>
        <v>0</v>
      </c>
    </row>
    <row r="161" spans="1:66" x14ac:dyDescent="0.2">
      <c r="A161" s="4">
        <f t="shared" si="100"/>
        <v>45813</v>
      </c>
      <c r="B161" s="1">
        <v>156</v>
      </c>
      <c r="C161" s="1">
        <v>12</v>
      </c>
      <c r="AL161" s="5"/>
      <c r="AN161" s="1">
        <f t="shared" si="84"/>
        <v>0</v>
      </c>
      <c r="AO161" s="1">
        <f t="shared" si="85"/>
        <v>0</v>
      </c>
      <c r="AP161" s="1">
        <f t="shared" si="86"/>
        <v>0</v>
      </c>
      <c r="AQ161" s="16">
        <f t="shared" si="102"/>
        <v>0</v>
      </c>
      <c r="AR161" s="23" t="e">
        <f t="shared" si="87"/>
        <v>#DIV/0!</v>
      </c>
      <c r="AT161" s="18">
        <f t="shared" si="82"/>
        <v>45813</v>
      </c>
      <c r="AU161" s="19">
        <f t="shared" si="83"/>
        <v>156</v>
      </c>
      <c r="AV161" s="1">
        <f t="shared" si="88"/>
        <v>0</v>
      </c>
      <c r="AW161" s="1">
        <f t="shared" si="89"/>
        <v>0</v>
      </c>
      <c r="AX161" s="1">
        <f t="shared" si="90"/>
        <v>0</v>
      </c>
      <c r="AY161" s="1">
        <f t="shared" si="78"/>
        <v>0</v>
      </c>
      <c r="AZ161" s="1">
        <f t="shared" si="79"/>
        <v>0</v>
      </c>
      <c r="BA161" s="1">
        <f t="shared" si="91"/>
        <v>0</v>
      </c>
      <c r="BB161" s="5" t="str">
        <f t="shared" si="92"/>
        <v>NAN</v>
      </c>
      <c r="BC161" s="1">
        <f>ROUND(AC161,1)</f>
        <v>0</v>
      </c>
      <c r="BD161" s="1">
        <f>ROUND(AD161,1)</f>
        <v>0</v>
      </c>
      <c r="BE161" s="1">
        <f>ROUND(AE161,1)</f>
        <v>0</v>
      </c>
      <c r="BF161" s="5">
        <f t="shared" si="93"/>
        <v>0</v>
      </c>
      <c r="BG161" s="5">
        <f t="shared" si="94"/>
        <v>0</v>
      </c>
      <c r="BH161" s="5">
        <f t="shared" si="95"/>
        <v>0</v>
      </c>
      <c r="BI161" s="5">
        <f t="shared" si="96"/>
        <v>0</v>
      </c>
      <c r="BJ161" s="9">
        <f t="shared" si="97"/>
        <v>0</v>
      </c>
      <c r="BK161" s="9" t="e">
        <f t="shared" si="97"/>
        <v>#DIV/0!</v>
      </c>
      <c r="BM161" s="1">
        <f t="shared" si="98"/>
        <v>0</v>
      </c>
      <c r="BN161" s="1">
        <f t="shared" si="99"/>
        <v>0</v>
      </c>
    </row>
    <row r="162" spans="1:66" x14ac:dyDescent="0.2">
      <c r="A162" s="4">
        <f t="shared" si="100"/>
        <v>45814</v>
      </c>
      <c r="B162" s="1">
        <v>157</v>
      </c>
      <c r="C162" s="1">
        <v>12</v>
      </c>
      <c r="AL162" s="5"/>
      <c r="AN162" s="1">
        <f t="shared" si="84"/>
        <v>0</v>
      </c>
      <c r="AO162" s="1">
        <f t="shared" si="85"/>
        <v>0</v>
      </c>
      <c r="AP162" s="1">
        <f t="shared" si="86"/>
        <v>0</v>
      </c>
      <c r="AQ162" s="16">
        <f t="shared" si="102"/>
        <v>0</v>
      </c>
      <c r="AR162" s="23" t="e">
        <f t="shared" si="87"/>
        <v>#DIV/0!</v>
      </c>
      <c r="AT162" s="18">
        <f t="shared" si="82"/>
        <v>45814</v>
      </c>
      <c r="AU162" s="19">
        <f t="shared" si="83"/>
        <v>157</v>
      </c>
      <c r="AV162" s="1">
        <f t="shared" si="88"/>
        <v>0</v>
      </c>
      <c r="AW162" s="1">
        <f t="shared" si="89"/>
        <v>0</v>
      </c>
      <c r="AX162" s="1">
        <f t="shared" si="90"/>
        <v>0</v>
      </c>
      <c r="AY162" s="1">
        <f t="shared" si="78"/>
        <v>0</v>
      </c>
      <c r="AZ162" s="1">
        <f t="shared" si="79"/>
        <v>0</v>
      </c>
      <c r="BA162" s="1">
        <f t="shared" si="91"/>
        <v>0</v>
      </c>
      <c r="BB162" s="5" t="str">
        <f t="shared" si="92"/>
        <v>NAN</v>
      </c>
      <c r="BC162" s="1">
        <f>ROUND(AC162,1)</f>
        <v>0</v>
      </c>
      <c r="BD162" s="1">
        <f>ROUND(AD162,1)</f>
        <v>0</v>
      </c>
      <c r="BE162" s="1">
        <f>ROUND(AE162,1)</f>
        <v>0</v>
      </c>
      <c r="BF162" s="5">
        <f t="shared" si="93"/>
        <v>0</v>
      </c>
      <c r="BG162" s="5">
        <f t="shared" si="94"/>
        <v>0</v>
      </c>
      <c r="BH162" s="5">
        <f t="shared" si="95"/>
        <v>0</v>
      </c>
      <c r="BI162" s="5">
        <f t="shared" si="96"/>
        <v>0</v>
      </c>
      <c r="BJ162" s="9">
        <f t="shared" si="97"/>
        <v>0</v>
      </c>
      <c r="BK162" s="9" t="e">
        <f t="shared" si="97"/>
        <v>#DIV/0!</v>
      </c>
      <c r="BM162" s="1">
        <f t="shared" si="98"/>
        <v>0</v>
      </c>
      <c r="BN162" s="1">
        <f t="shared" si="99"/>
        <v>0</v>
      </c>
    </row>
    <row r="163" spans="1:66" x14ac:dyDescent="0.2">
      <c r="A163" s="4">
        <f t="shared" si="100"/>
        <v>45815</v>
      </c>
      <c r="B163" s="1">
        <v>158</v>
      </c>
      <c r="C163" s="1">
        <v>12</v>
      </c>
      <c r="AL163" s="5"/>
      <c r="AN163" s="1">
        <f t="shared" si="84"/>
        <v>0</v>
      </c>
      <c r="AO163" s="1">
        <f t="shared" si="85"/>
        <v>0</v>
      </c>
      <c r="AP163" s="1">
        <f t="shared" si="86"/>
        <v>0</v>
      </c>
      <c r="AQ163" s="16">
        <f t="shared" si="102"/>
        <v>0</v>
      </c>
      <c r="AR163" s="23" t="e">
        <f t="shared" si="87"/>
        <v>#DIV/0!</v>
      </c>
      <c r="AT163" s="18">
        <f t="shared" si="82"/>
        <v>45815</v>
      </c>
      <c r="AU163" s="19">
        <f t="shared" si="83"/>
        <v>158</v>
      </c>
      <c r="AV163" s="1">
        <f t="shared" si="88"/>
        <v>0</v>
      </c>
      <c r="AW163" s="1">
        <f t="shared" si="89"/>
        <v>0</v>
      </c>
      <c r="AX163" s="1">
        <f t="shared" si="90"/>
        <v>0</v>
      </c>
      <c r="AY163" s="1">
        <f t="shared" si="78"/>
        <v>0</v>
      </c>
      <c r="AZ163" s="1">
        <f t="shared" si="79"/>
        <v>0</v>
      </c>
      <c r="BA163" s="1">
        <f t="shared" si="91"/>
        <v>0</v>
      </c>
      <c r="BB163" s="5" t="str">
        <f t="shared" si="92"/>
        <v>NAN</v>
      </c>
      <c r="BC163" s="1">
        <f>ROUND(AC163,1)</f>
        <v>0</v>
      </c>
      <c r="BD163" s="1">
        <f>ROUND(AD163,1)</f>
        <v>0</v>
      </c>
      <c r="BE163" s="1">
        <f>ROUND(AE163,1)</f>
        <v>0</v>
      </c>
      <c r="BF163" s="5">
        <f t="shared" si="93"/>
        <v>0</v>
      </c>
      <c r="BG163" s="5">
        <f t="shared" si="94"/>
        <v>0</v>
      </c>
      <c r="BH163" s="5">
        <f t="shared" si="95"/>
        <v>0</v>
      </c>
      <c r="BI163" s="5">
        <f t="shared" si="96"/>
        <v>0</v>
      </c>
      <c r="BJ163" s="9">
        <f t="shared" si="97"/>
        <v>0</v>
      </c>
      <c r="BK163" s="9" t="e">
        <f t="shared" si="97"/>
        <v>#DIV/0!</v>
      </c>
      <c r="BM163" s="1">
        <f t="shared" si="98"/>
        <v>0</v>
      </c>
      <c r="BN163" s="1">
        <f t="shared" si="99"/>
        <v>0</v>
      </c>
    </row>
    <row r="164" spans="1:66" x14ac:dyDescent="0.2">
      <c r="A164" s="4">
        <f t="shared" si="100"/>
        <v>45816</v>
      </c>
      <c r="B164" s="1">
        <v>159</v>
      </c>
      <c r="C164" s="1">
        <v>12</v>
      </c>
      <c r="AL164" s="5"/>
      <c r="AN164" s="1">
        <f t="shared" si="84"/>
        <v>0</v>
      </c>
      <c r="AO164" s="1">
        <f t="shared" si="85"/>
        <v>0</v>
      </c>
      <c r="AP164" s="1">
        <f t="shared" si="86"/>
        <v>0</v>
      </c>
      <c r="AQ164" s="16">
        <f t="shared" si="102"/>
        <v>0</v>
      </c>
      <c r="AR164" s="23" t="e">
        <f t="shared" si="87"/>
        <v>#DIV/0!</v>
      </c>
      <c r="AT164" s="18">
        <f t="shared" si="82"/>
        <v>45816</v>
      </c>
      <c r="AU164" s="19">
        <f t="shared" si="83"/>
        <v>159</v>
      </c>
      <c r="AV164" s="1">
        <f t="shared" si="88"/>
        <v>0</v>
      </c>
      <c r="AW164" s="1">
        <f t="shared" si="89"/>
        <v>0</v>
      </c>
      <c r="AX164" s="1">
        <f t="shared" si="90"/>
        <v>0</v>
      </c>
      <c r="AY164" s="1">
        <f t="shared" si="78"/>
        <v>0</v>
      </c>
      <c r="AZ164" s="1">
        <f t="shared" si="79"/>
        <v>0</v>
      </c>
      <c r="BA164" s="1">
        <f t="shared" si="91"/>
        <v>0</v>
      </c>
      <c r="BB164" s="5" t="str">
        <f t="shared" si="92"/>
        <v>NAN</v>
      </c>
      <c r="BC164" s="1">
        <f>ROUND(AC164,1)</f>
        <v>0</v>
      </c>
      <c r="BD164" s="1">
        <f>ROUND(AD164,1)</f>
        <v>0</v>
      </c>
      <c r="BE164" s="1">
        <f>ROUND(AE164,1)</f>
        <v>0</v>
      </c>
      <c r="BF164" s="5">
        <f t="shared" si="93"/>
        <v>0</v>
      </c>
      <c r="BG164" s="5">
        <f t="shared" si="94"/>
        <v>0</v>
      </c>
      <c r="BH164" s="5">
        <f t="shared" si="95"/>
        <v>0</v>
      </c>
      <c r="BI164" s="5">
        <f t="shared" si="96"/>
        <v>0</v>
      </c>
      <c r="BJ164" s="9">
        <f t="shared" si="97"/>
        <v>0</v>
      </c>
      <c r="BK164" s="9" t="e">
        <f t="shared" si="97"/>
        <v>#DIV/0!</v>
      </c>
      <c r="BM164" s="1">
        <f t="shared" si="98"/>
        <v>0</v>
      </c>
      <c r="BN164" s="1">
        <f t="shared" si="99"/>
        <v>0</v>
      </c>
    </row>
    <row r="165" spans="1:66" x14ac:dyDescent="0.2">
      <c r="A165" s="4">
        <f t="shared" si="100"/>
        <v>45817</v>
      </c>
      <c r="B165" s="1">
        <v>160</v>
      </c>
      <c r="C165" s="1">
        <v>12</v>
      </c>
      <c r="AL165" s="5"/>
      <c r="AN165" s="1">
        <f t="shared" si="84"/>
        <v>0</v>
      </c>
      <c r="AO165" s="1">
        <f t="shared" si="85"/>
        <v>0</v>
      </c>
      <c r="AP165" s="1">
        <f t="shared" si="86"/>
        <v>0</v>
      </c>
      <c r="AQ165" s="16">
        <f t="shared" si="102"/>
        <v>0</v>
      </c>
      <c r="AR165" s="23" t="e">
        <f t="shared" si="87"/>
        <v>#DIV/0!</v>
      </c>
      <c r="AT165" s="18">
        <f t="shared" si="82"/>
        <v>45817</v>
      </c>
      <c r="AU165" s="19">
        <f t="shared" si="83"/>
        <v>160</v>
      </c>
      <c r="AV165" s="1">
        <f t="shared" si="88"/>
        <v>0</v>
      </c>
      <c r="AW165" s="1">
        <f t="shared" si="89"/>
        <v>0</v>
      </c>
      <c r="AX165" s="1">
        <f t="shared" si="90"/>
        <v>0</v>
      </c>
      <c r="AY165" s="1">
        <f t="shared" si="78"/>
        <v>0</v>
      </c>
      <c r="AZ165" s="1">
        <f t="shared" si="79"/>
        <v>0</v>
      </c>
      <c r="BA165" s="1">
        <f t="shared" si="91"/>
        <v>0</v>
      </c>
      <c r="BB165" s="5" t="str">
        <f t="shared" si="92"/>
        <v>NAN</v>
      </c>
      <c r="BC165" s="1">
        <f>ROUND(AC165,1)</f>
        <v>0</v>
      </c>
      <c r="BD165" s="1">
        <f>ROUND(AD165,1)</f>
        <v>0</v>
      </c>
      <c r="BE165" s="1">
        <f>ROUND(AE165,1)</f>
        <v>0</v>
      </c>
      <c r="BF165" s="5">
        <f t="shared" si="93"/>
        <v>0</v>
      </c>
      <c r="BG165" s="5">
        <f t="shared" si="94"/>
        <v>0</v>
      </c>
      <c r="BH165" s="5">
        <f t="shared" si="95"/>
        <v>0</v>
      </c>
      <c r="BI165" s="5">
        <f t="shared" si="96"/>
        <v>0</v>
      </c>
      <c r="BJ165" s="9">
        <f t="shared" si="97"/>
        <v>0</v>
      </c>
      <c r="BK165" s="9" t="e">
        <f t="shared" si="97"/>
        <v>#DIV/0!</v>
      </c>
      <c r="BM165" s="1">
        <f t="shared" si="98"/>
        <v>0</v>
      </c>
      <c r="BN165" s="1">
        <f t="shared" si="99"/>
        <v>0</v>
      </c>
    </row>
    <row r="166" spans="1:66" x14ac:dyDescent="0.2">
      <c r="A166" s="4">
        <f t="shared" si="100"/>
        <v>45818</v>
      </c>
      <c r="B166" s="1">
        <v>161</v>
      </c>
      <c r="C166" s="1">
        <v>12</v>
      </c>
      <c r="AL166" s="5"/>
      <c r="AN166" s="1">
        <f t="shared" si="84"/>
        <v>0</v>
      </c>
      <c r="AO166" s="1">
        <f t="shared" si="85"/>
        <v>0</v>
      </c>
      <c r="AP166" s="1">
        <f t="shared" si="86"/>
        <v>0</v>
      </c>
      <c r="AQ166" s="16">
        <f t="shared" si="102"/>
        <v>0</v>
      </c>
      <c r="AR166" s="23" t="e">
        <f t="shared" si="87"/>
        <v>#DIV/0!</v>
      </c>
      <c r="AT166" s="18">
        <f t="shared" si="82"/>
        <v>45818</v>
      </c>
      <c r="AU166" s="19">
        <f t="shared" si="83"/>
        <v>161</v>
      </c>
      <c r="AV166" s="1">
        <f t="shared" si="88"/>
        <v>0</v>
      </c>
      <c r="AW166" s="1">
        <f t="shared" si="89"/>
        <v>0</v>
      </c>
      <c r="AX166" s="1">
        <f t="shared" si="90"/>
        <v>0</v>
      </c>
      <c r="AY166" s="1">
        <f t="shared" si="78"/>
        <v>0</v>
      </c>
      <c r="AZ166" s="1">
        <f t="shared" si="79"/>
        <v>0</v>
      </c>
      <c r="BA166" s="1">
        <f t="shared" si="91"/>
        <v>0</v>
      </c>
      <c r="BB166" s="5" t="str">
        <f t="shared" si="92"/>
        <v>NAN</v>
      </c>
      <c r="BC166" s="1">
        <f>ROUND(AC166,1)</f>
        <v>0</v>
      </c>
      <c r="BD166" s="1">
        <f>ROUND(AD166,1)</f>
        <v>0</v>
      </c>
      <c r="BE166" s="1">
        <f>ROUND(AE166,1)</f>
        <v>0</v>
      </c>
      <c r="BF166" s="5">
        <f t="shared" si="93"/>
        <v>0</v>
      </c>
      <c r="BG166" s="5">
        <f t="shared" si="94"/>
        <v>0</v>
      </c>
      <c r="BH166" s="5">
        <f t="shared" si="95"/>
        <v>0</v>
      </c>
      <c r="BI166" s="5">
        <f t="shared" si="96"/>
        <v>0</v>
      </c>
      <c r="BJ166" s="9">
        <f t="shared" si="97"/>
        <v>0</v>
      </c>
      <c r="BK166" s="9" t="e">
        <f t="shared" si="97"/>
        <v>#DIV/0!</v>
      </c>
      <c r="BM166" s="1">
        <f t="shared" si="98"/>
        <v>0</v>
      </c>
      <c r="BN166" s="1">
        <f t="shared" si="99"/>
        <v>0</v>
      </c>
    </row>
    <row r="167" spans="1:66" x14ac:dyDescent="0.2">
      <c r="A167" s="4">
        <f t="shared" si="100"/>
        <v>45819</v>
      </c>
      <c r="B167" s="1">
        <v>162</v>
      </c>
      <c r="C167" s="1">
        <v>12</v>
      </c>
      <c r="AL167" s="5"/>
      <c r="AN167" s="1">
        <f t="shared" si="84"/>
        <v>0</v>
      </c>
      <c r="AO167" s="1">
        <f t="shared" si="85"/>
        <v>0</v>
      </c>
      <c r="AP167" s="1">
        <f t="shared" si="86"/>
        <v>0</v>
      </c>
      <c r="AQ167" s="16">
        <f t="shared" si="102"/>
        <v>0</v>
      </c>
      <c r="AR167" s="23" t="e">
        <f t="shared" si="87"/>
        <v>#DIV/0!</v>
      </c>
      <c r="AT167" s="18">
        <f t="shared" si="82"/>
        <v>45819</v>
      </c>
      <c r="AU167" s="19">
        <f t="shared" si="83"/>
        <v>162</v>
      </c>
      <c r="AV167" s="1">
        <f t="shared" si="88"/>
        <v>0</v>
      </c>
      <c r="AW167" s="1">
        <f t="shared" si="89"/>
        <v>0</v>
      </c>
      <c r="AX167" s="1">
        <f t="shared" si="90"/>
        <v>0</v>
      </c>
      <c r="AY167" s="1">
        <f t="shared" si="78"/>
        <v>0</v>
      </c>
      <c r="AZ167" s="1">
        <f t="shared" si="79"/>
        <v>0</v>
      </c>
      <c r="BA167" s="1">
        <f t="shared" si="91"/>
        <v>0</v>
      </c>
      <c r="BB167" s="5" t="str">
        <f t="shared" si="92"/>
        <v>NAN</v>
      </c>
      <c r="BC167" s="1">
        <f>ROUND(AC167,1)</f>
        <v>0</v>
      </c>
      <c r="BD167" s="1">
        <f>ROUND(AD167,1)</f>
        <v>0</v>
      </c>
      <c r="BE167" s="1">
        <f>ROUND(AE167,1)</f>
        <v>0</v>
      </c>
      <c r="BF167" s="5">
        <f t="shared" si="93"/>
        <v>0</v>
      </c>
      <c r="BG167" s="5">
        <f t="shared" si="94"/>
        <v>0</v>
      </c>
      <c r="BH167" s="5">
        <f t="shared" si="95"/>
        <v>0</v>
      </c>
      <c r="BI167" s="5">
        <f t="shared" si="96"/>
        <v>0</v>
      </c>
      <c r="BJ167" s="9">
        <f t="shared" si="97"/>
        <v>0</v>
      </c>
      <c r="BK167" s="9" t="e">
        <f t="shared" si="97"/>
        <v>#DIV/0!</v>
      </c>
      <c r="BM167" s="1">
        <f t="shared" si="98"/>
        <v>0</v>
      </c>
      <c r="BN167" s="1">
        <f t="shared" si="99"/>
        <v>0</v>
      </c>
    </row>
    <row r="168" spans="1:66" x14ac:dyDescent="0.2">
      <c r="A168" s="4">
        <f t="shared" si="100"/>
        <v>45820</v>
      </c>
      <c r="B168" s="1">
        <v>163</v>
      </c>
      <c r="C168" s="1">
        <v>12</v>
      </c>
      <c r="AL168" s="5"/>
      <c r="AN168" s="1">
        <f t="shared" si="84"/>
        <v>0</v>
      </c>
      <c r="AO168" s="1">
        <f t="shared" si="85"/>
        <v>0</v>
      </c>
      <c r="AP168" s="1">
        <f t="shared" si="86"/>
        <v>0</v>
      </c>
      <c r="AQ168" s="16">
        <f t="shared" si="102"/>
        <v>0</v>
      </c>
      <c r="AR168" s="23" t="e">
        <f t="shared" si="87"/>
        <v>#DIV/0!</v>
      </c>
      <c r="AT168" s="18">
        <f t="shared" si="82"/>
        <v>45820</v>
      </c>
      <c r="AU168" s="19">
        <f t="shared" si="83"/>
        <v>163</v>
      </c>
      <c r="AV168" s="1">
        <f t="shared" si="88"/>
        <v>0</v>
      </c>
      <c r="AW168" s="1">
        <f t="shared" si="89"/>
        <v>0</v>
      </c>
      <c r="AX168" s="1">
        <f t="shared" si="90"/>
        <v>0</v>
      </c>
      <c r="AY168" s="1">
        <f t="shared" si="78"/>
        <v>0</v>
      </c>
      <c r="AZ168" s="1">
        <f t="shared" si="79"/>
        <v>0</v>
      </c>
      <c r="BA168" s="1">
        <f t="shared" si="91"/>
        <v>0</v>
      </c>
      <c r="BB168" s="5" t="str">
        <f t="shared" si="92"/>
        <v>NAN</v>
      </c>
      <c r="BC168" s="1">
        <f>ROUND(AC168,1)</f>
        <v>0</v>
      </c>
      <c r="BD168" s="1">
        <f>ROUND(AD168,1)</f>
        <v>0</v>
      </c>
      <c r="BE168" s="1">
        <f>ROUND(AE168,1)</f>
        <v>0</v>
      </c>
      <c r="BF168" s="5">
        <f t="shared" si="93"/>
        <v>0</v>
      </c>
      <c r="BG168" s="5">
        <f t="shared" si="94"/>
        <v>0</v>
      </c>
      <c r="BH168" s="5">
        <f t="shared" si="95"/>
        <v>0</v>
      </c>
      <c r="BI168" s="5">
        <f t="shared" si="96"/>
        <v>0</v>
      </c>
      <c r="BJ168" s="9">
        <f t="shared" si="97"/>
        <v>0</v>
      </c>
      <c r="BK168" s="9" t="e">
        <f t="shared" si="97"/>
        <v>#DIV/0!</v>
      </c>
      <c r="BM168" s="1">
        <f t="shared" si="98"/>
        <v>0</v>
      </c>
      <c r="BN168" s="1">
        <f t="shared" si="99"/>
        <v>0</v>
      </c>
    </row>
    <row r="169" spans="1:66" x14ac:dyDescent="0.2">
      <c r="A169" s="4">
        <f t="shared" si="100"/>
        <v>45821</v>
      </c>
      <c r="B169" s="1">
        <v>164</v>
      </c>
      <c r="C169" s="1">
        <v>12</v>
      </c>
      <c r="AL169" s="5"/>
      <c r="AN169" s="1">
        <f t="shared" si="84"/>
        <v>0</v>
      </c>
      <c r="AO169" s="1">
        <f t="shared" si="85"/>
        <v>0</v>
      </c>
      <c r="AP169" s="1">
        <f t="shared" si="86"/>
        <v>0</v>
      </c>
      <c r="AQ169" s="16">
        <f t="shared" si="102"/>
        <v>0</v>
      </c>
      <c r="AR169" s="23" t="e">
        <f t="shared" si="87"/>
        <v>#DIV/0!</v>
      </c>
      <c r="AT169" s="18">
        <f t="shared" si="82"/>
        <v>45821</v>
      </c>
      <c r="AU169" s="19">
        <f t="shared" si="83"/>
        <v>164</v>
      </c>
      <c r="AV169" s="1">
        <f t="shared" si="88"/>
        <v>0</v>
      </c>
      <c r="AW169" s="1">
        <f t="shared" si="89"/>
        <v>0</v>
      </c>
      <c r="AX169" s="1">
        <f t="shared" si="90"/>
        <v>0</v>
      </c>
      <c r="AY169" s="1">
        <f t="shared" si="78"/>
        <v>0</v>
      </c>
      <c r="AZ169" s="1">
        <f t="shared" si="79"/>
        <v>0</v>
      </c>
      <c r="BA169" s="1">
        <f t="shared" si="91"/>
        <v>0</v>
      </c>
      <c r="BB169" s="5" t="str">
        <f t="shared" si="92"/>
        <v>NAN</v>
      </c>
      <c r="BC169" s="1">
        <f>ROUND(AC169,1)</f>
        <v>0</v>
      </c>
      <c r="BD169" s="1">
        <f>ROUND(AD169,1)</f>
        <v>0</v>
      </c>
      <c r="BE169" s="1">
        <f>ROUND(AE169,1)</f>
        <v>0</v>
      </c>
      <c r="BF169" s="5">
        <f t="shared" si="93"/>
        <v>0</v>
      </c>
      <c r="BG169" s="5">
        <f t="shared" si="94"/>
        <v>0</v>
      </c>
      <c r="BH169" s="5">
        <f t="shared" si="95"/>
        <v>0</v>
      </c>
      <c r="BI169" s="5">
        <f t="shared" si="96"/>
        <v>0</v>
      </c>
      <c r="BJ169" s="9">
        <f t="shared" si="97"/>
        <v>0</v>
      </c>
      <c r="BK169" s="9" t="e">
        <f t="shared" si="97"/>
        <v>#DIV/0!</v>
      </c>
      <c r="BM169" s="1">
        <f t="shared" si="98"/>
        <v>0</v>
      </c>
      <c r="BN169" s="1">
        <f t="shared" si="99"/>
        <v>0</v>
      </c>
    </row>
    <row r="170" spans="1:66" x14ac:dyDescent="0.2">
      <c r="A170" s="4">
        <f t="shared" si="100"/>
        <v>45822</v>
      </c>
      <c r="B170" s="1">
        <v>165</v>
      </c>
      <c r="C170" s="1">
        <v>12</v>
      </c>
      <c r="AL170" s="5"/>
      <c r="AN170" s="1">
        <f t="shared" si="84"/>
        <v>0</v>
      </c>
      <c r="AO170" s="1">
        <f t="shared" si="85"/>
        <v>0</v>
      </c>
      <c r="AP170" s="1">
        <f t="shared" si="86"/>
        <v>0</v>
      </c>
      <c r="AQ170" s="16">
        <f t="shared" si="102"/>
        <v>0</v>
      </c>
      <c r="AR170" s="23" t="e">
        <f t="shared" si="87"/>
        <v>#DIV/0!</v>
      </c>
      <c r="AT170" s="18">
        <f t="shared" si="82"/>
        <v>45822</v>
      </c>
      <c r="AU170" s="19">
        <f t="shared" si="83"/>
        <v>165</v>
      </c>
      <c r="AV170" s="1">
        <f t="shared" si="88"/>
        <v>0</v>
      </c>
      <c r="AW170" s="1">
        <f t="shared" si="89"/>
        <v>0</v>
      </c>
      <c r="AX170" s="1">
        <f t="shared" si="90"/>
        <v>0</v>
      </c>
      <c r="AY170" s="1">
        <f t="shared" si="78"/>
        <v>0</v>
      </c>
      <c r="AZ170" s="1">
        <f t="shared" si="79"/>
        <v>0</v>
      </c>
      <c r="BA170" s="1">
        <f t="shared" si="91"/>
        <v>0</v>
      </c>
      <c r="BB170" s="5" t="str">
        <f t="shared" si="92"/>
        <v>NAN</v>
      </c>
      <c r="BC170" s="1">
        <f>ROUND(AC170,1)</f>
        <v>0</v>
      </c>
      <c r="BD170" s="1">
        <f>ROUND(AD170,1)</f>
        <v>0</v>
      </c>
      <c r="BE170" s="1">
        <f>ROUND(AE170,1)</f>
        <v>0</v>
      </c>
      <c r="BF170" s="5">
        <f t="shared" si="93"/>
        <v>0</v>
      </c>
      <c r="BG170" s="5">
        <f t="shared" si="94"/>
        <v>0</v>
      </c>
      <c r="BH170" s="5">
        <f t="shared" si="95"/>
        <v>0</v>
      </c>
      <c r="BI170" s="5">
        <f t="shared" si="96"/>
        <v>0</v>
      </c>
      <c r="BJ170" s="9">
        <f t="shared" si="97"/>
        <v>0</v>
      </c>
      <c r="BK170" s="9" t="e">
        <f t="shared" si="97"/>
        <v>#DIV/0!</v>
      </c>
      <c r="BM170" s="1">
        <f t="shared" si="98"/>
        <v>0</v>
      </c>
      <c r="BN170" s="1">
        <f t="shared" si="99"/>
        <v>0</v>
      </c>
    </row>
    <row r="171" spans="1:66" x14ac:dyDescent="0.2">
      <c r="A171" s="4">
        <f t="shared" si="100"/>
        <v>45823</v>
      </c>
      <c r="B171" s="1">
        <v>166</v>
      </c>
      <c r="C171" s="1">
        <v>12</v>
      </c>
      <c r="AL171" s="5"/>
      <c r="AN171" s="1">
        <f t="shared" si="84"/>
        <v>0</v>
      </c>
      <c r="AO171" s="1">
        <f t="shared" si="85"/>
        <v>0</v>
      </c>
      <c r="AP171" s="1">
        <f t="shared" si="86"/>
        <v>0</v>
      </c>
      <c r="AQ171" s="16">
        <f t="shared" si="102"/>
        <v>0</v>
      </c>
      <c r="AR171" s="23" t="e">
        <f t="shared" si="87"/>
        <v>#DIV/0!</v>
      </c>
      <c r="AT171" s="18">
        <f t="shared" si="82"/>
        <v>45823</v>
      </c>
      <c r="AU171" s="19">
        <f t="shared" si="83"/>
        <v>166</v>
      </c>
      <c r="AV171" s="1">
        <f t="shared" si="88"/>
        <v>0</v>
      </c>
      <c r="AW171" s="1">
        <f t="shared" si="89"/>
        <v>0</v>
      </c>
      <c r="AX171" s="1">
        <f t="shared" si="90"/>
        <v>0</v>
      </c>
      <c r="AY171" s="1">
        <f t="shared" si="78"/>
        <v>0</v>
      </c>
      <c r="AZ171" s="1">
        <f t="shared" si="79"/>
        <v>0</v>
      </c>
      <c r="BA171" s="1">
        <f t="shared" si="91"/>
        <v>0</v>
      </c>
      <c r="BB171" s="5" t="str">
        <f t="shared" si="92"/>
        <v>NAN</v>
      </c>
      <c r="BC171" s="1">
        <f>ROUND(AC171,1)</f>
        <v>0</v>
      </c>
      <c r="BD171" s="1">
        <f>ROUND(AD171,1)</f>
        <v>0</v>
      </c>
      <c r="BE171" s="1">
        <f>ROUND(AE171,1)</f>
        <v>0</v>
      </c>
      <c r="BF171" s="5">
        <f t="shared" si="93"/>
        <v>0</v>
      </c>
      <c r="BG171" s="5">
        <f t="shared" si="94"/>
        <v>0</v>
      </c>
      <c r="BH171" s="5">
        <f t="shared" si="95"/>
        <v>0</v>
      </c>
      <c r="BI171" s="5">
        <f t="shared" si="96"/>
        <v>0</v>
      </c>
      <c r="BJ171" s="9">
        <f t="shared" si="97"/>
        <v>0</v>
      </c>
      <c r="BK171" s="9" t="e">
        <f t="shared" si="97"/>
        <v>#DIV/0!</v>
      </c>
      <c r="BM171" s="1">
        <f t="shared" si="98"/>
        <v>0</v>
      </c>
      <c r="BN171" s="1">
        <f t="shared" si="99"/>
        <v>0</v>
      </c>
    </row>
    <row r="172" spans="1:66" x14ac:dyDescent="0.2">
      <c r="A172" s="4">
        <f t="shared" si="100"/>
        <v>45824</v>
      </c>
      <c r="B172" s="1">
        <v>167</v>
      </c>
      <c r="C172" s="1">
        <v>12</v>
      </c>
      <c r="AL172" s="5"/>
      <c r="AN172" s="1">
        <f t="shared" si="84"/>
        <v>0</v>
      </c>
      <c r="AO172" s="1">
        <f t="shared" si="85"/>
        <v>0</v>
      </c>
      <c r="AP172" s="1">
        <f t="shared" si="86"/>
        <v>0</v>
      </c>
      <c r="AQ172" s="16">
        <f t="shared" si="102"/>
        <v>0</v>
      </c>
      <c r="AR172" s="23" t="e">
        <f t="shared" si="87"/>
        <v>#DIV/0!</v>
      </c>
      <c r="AT172" s="18">
        <f t="shared" si="82"/>
        <v>45824</v>
      </c>
      <c r="AU172" s="19">
        <f t="shared" si="83"/>
        <v>167</v>
      </c>
      <c r="AV172" s="1">
        <f t="shared" si="88"/>
        <v>0</v>
      </c>
      <c r="AW172" s="1">
        <f t="shared" si="89"/>
        <v>0</v>
      </c>
      <c r="AX172" s="1">
        <f t="shared" si="90"/>
        <v>0</v>
      </c>
      <c r="AY172" s="1">
        <f t="shared" si="78"/>
        <v>0</v>
      </c>
      <c r="AZ172" s="1">
        <f t="shared" si="79"/>
        <v>0</v>
      </c>
      <c r="BA172" s="1">
        <f t="shared" si="91"/>
        <v>0</v>
      </c>
      <c r="BB172" s="5" t="str">
        <f t="shared" si="92"/>
        <v>NAN</v>
      </c>
      <c r="BC172" s="1">
        <f>ROUND(AC172,1)</f>
        <v>0</v>
      </c>
      <c r="BD172" s="1">
        <f>ROUND(AD172,1)</f>
        <v>0</v>
      </c>
      <c r="BE172" s="1">
        <f>ROUND(AE172,1)</f>
        <v>0</v>
      </c>
      <c r="BF172" s="5">
        <f t="shared" si="93"/>
        <v>0</v>
      </c>
      <c r="BG172" s="5">
        <f t="shared" si="94"/>
        <v>0</v>
      </c>
      <c r="BH172" s="5">
        <f t="shared" si="95"/>
        <v>0</v>
      </c>
      <c r="BI172" s="5">
        <f t="shared" si="96"/>
        <v>0</v>
      </c>
      <c r="BJ172" s="9">
        <f t="shared" si="97"/>
        <v>0</v>
      </c>
      <c r="BK172" s="9" t="e">
        <f t="shared" si="97"/>
        <v>#DIV/0!</v>
      </c>
      <c r="BM172" s="1">
        <f t="shared" si="98"/>
        <v>0</v>
      </c>
      <c r="BN172" s="1">
        <f t="shared" si="99"/>
        <v>0</v>
      </c>
    </row>
    <row r="173" spans="1:66" x14ac:dyDescent="0.2">
      <c r="A173" s="4">
        <f t="shared" si="100"/>
        <v>45825</v>
      </c>
      <c r="B173" s="1">
        <v>168</v>
      </c>
      <c r="C173" s="1">
        <v>12</v>
      </c>
      <c r="AL173" s="5"/>
      <c r="AN173" s="1">
        <f t="shared" si="84"/>
        <v>0</v>
      </c>
      <c r="AO173" s="1">
        <f t="shared" si="85"/>
        <v>0</v>
      </c>
      <c r="AP173" s="1">
        <f t="shared" si="86"/>
        <v>0</v>
      </c>
      <c r="AQ173" s="16">
        <f t="shared" si="102"/>
        <v>0</v>
      </c>
      <c r="AR173" s="23" t="e">
        <f t="shared" si="87"/>
        <v>#DIV/0!</v>
      </c>
      <c r="AT173" s="18">
        <f t="shared" si="82"/>
        <v>45825</v>
      </c>
      <c r="AU173" s="19">
        <f t="shared" si="83"/>
        <v>168</v>
      </c>
      <c r="AV173" s="1">
        <f t="shared" si="88"/>
        <v>0</v>
      </c>
      <c r="AW173" s="1">
        <f t="shared" si="89"/>
        <v>0</v>
      </c>
      <c r="AX173" s="1">
        <f t="shared" si="90"/>
        <v>0</v>
      </c>
      <c r="AY173" s="1">
        <f t="shared" si="78"/>
        <v>0</v>
      </c>
      <c r="AZ173" s="1">
        <f t="shared" si="79"/>
        <v>0</v>
      </c>
      <c r="BA173" s="1">
        <f t="shared" si="91"/>
        <v>0</v>
      </c>
      <c r="BB173" s="5" t="str">
        <f t="shared" si="92"/>
        <v>NAN</v>
      </c>
      <c r="BC173" s="1">
        <f>ROUND(AC173,1)</f>
        <v>0</v>
      </c>
      <c r="BD173" s="1">
        <f>ROUND(AD173,1)</f>
        <v>0</v>
      </c>
      <c r="BE173" s="1">
        <f>ROUND(AE173,1)</f>
        <v>0</v>
      </c>
      <c r="BF173" s="5">
        <f t="shared" si="93"/>
        <v>0</v>
      </c>
      <c r="BG173" s="5">
        <f t="shared" si="94"/>
        <v>0</v>
      </c>
      <c r="BH173" s="5">
        <f t="shared" si="95"/>
        <v>0</v>
      </c>
      <c r="BI173" s="5">
        <f t="shared" si="96"/>
        <v>0</v>
      </c>
      <c r="BJ173" s="9">
        <f t="shared" si="97"/>
        <v>0</v>
      </c>
      <c r="BK173" s="9" t="e">
        <f t="shared" si="97"/>
        <v>#DIV/0!</v>
      </c>
      <c r="BM173" s="1">
        <f t="shared" si="98"/>
        <v>0</v>
      </c>
      <c r="BN173" s="1">
        <f t="shared" si="99"/>
        <v>0</v>
      </c>
    </row>
    <row r="174" spans="1:66" x14ac:dyDescent="0.2">
      <c r="A174" s="4">
        <f t="shared" si="100"/>
        <v>45826</v>
      </c>
      <c r="B174" s="1">
        <v>169</v>
      </c>
      <c r="C174" s="1">
        <v>12</v>
      </c>
      <c r="AL174" s="5"/>
      <c r="AN174" s="1">
        <f t="shared" si="84"/>
        <v>0</v>
      </c>
      <c r="AO174" s="1">
        <f t="shared" si="85"/>
        <v>0</v>
      </c>
      <c r="AP174" s="1">
        <f t="shared" si="86"/>
        <v>0</v>
      </c>
      <c r="AQ174" s="16">
        <f t="shared" si="102"/>
        <v>0</v>
      </c>
      <c r="AR174" s="23" t="e">
        <f t="shared" si="87"/>
        <v>#DIV/0!</v>
      </c>
      <c r="AT174" s="18">
        <f t="shared" si="82"/>
        <v>45826</v>
      </c>
      <c r="AU174" s="19">
        <f t="shared" si="83"/>
        <v>169</v>
      </c>
      <c r="AV174" s="1">
        <f t="shared" si="88"/>
        <v>0</v>
      </c>
      <c r="AW174" s="1">
        <f t="shared" si="89"/>
        <v>0</v>
      </c>
      <c r="AX174" s="1">
        <f t="shared" si="90"/>
        <v>0</v>
      </c>
      <c r="AY174" s="1">
        <f t="shared" si="78"/>
        <v>0</v>
      </c>
      <c r="AZ174" s="1">
        <f t="shared" si="79"/>
        <v>0</v>
      </c>
      <c r="BA174" s="1">
        <f t="shared" si="91"/>
        <v>0</v>
      </c>
      <c r="BB174" s="5" t="str">
        <f t="shared" si="92"/>
        <v>NAN</v>
      </c>
      <c r="BC174" s="1">
        <f>ROUND(AC174,1)</f>
        <v>0</v>
      </c>
      <c r="BD174" s="1">
        <f>ROUND(AD174,1)</f>
        <v>0</v>
      </c>
      <c r="BE174" s="1">
        <f>ROUND(AE174,1)</f>
        <v>0</v>
      </c>
      <c r="BF174" s="5">
        <f t="shared" si="93"/>
        <v>0</v>
      </c>
      <c r="BG174" s="5">
        <f t="shared" si="94"/>
        <v>0</v>
      </c>
      <c r="BH174" s="5">
        <f t="shared" si="95"/>
        <v>0</v>
      </c>
      <c r="BI174" s="5">
        <f t="shared" si="96"/>
        <v>0</v>
      </c>
      <c r="BJ174" s="9">
        <f t="shared" si="97"/>
        <v>0</v>
      </c>
      <c r="BK174" s="9" t="e">
        <f t="shared" si="97"/>
        <v>#DIV/0!</v>
      </c>
      <c r="BM174" s="1">
        <f t="shared" si="98"/>
        <v>0</v>
      </c>
      <c r="BN174" s="1">
        <f t="shared" si="99"/>
        <v>0</v>
      </c>
    </row>
    <row r="175" spans="1:66" x14ac:dyDescent="0.2">
      <c r="A175" s="4">
        <f t="shared" si="100"/>
        <v>45827</v>
      </c>
      <c r="B175" s="1">
        <v>170</v>
      </c>
      <c r="C175" s="1">
        <v>12</v>
      </c>
      <c r="AN175" s="1">
        <f t="shared" si="84"/>
        <v>0</v>
      </c>
      <c r="AO175" s="1">
        <f t="shared" si="85"/>
        <v>0</v>
      </c>
      <c r="AP175" s="1">
        <f t="shared" si="86"/>
        <v>0</v>
      </c>
      <c r="AQ175" s="16">
        <f t="shared" si="102"/>
        <v>0</v>
      </c>
      <c r="AR175" s="23" t="e">
        <f t="shared" si="87"/>
        <v>#DIV/0!</v>
      </c>
      <c r="AT175" s="18">
        <f t="shared" si="82"/>
        <v>45827</v>
      </c>
      <c r="AU175" s="19">
        <f t="shared" si="83"/>
        <v>170</v>
      </c>
      <c r="AV175" s="1">
        <f t="shared" si="88"/>
        <v>0</v>
      </c>
      <c r="AW175" s="1">
        <f t="shared" si="89"/>
        <v>0</v>
      </c>
      <c r="AX175" s="1">
        <f t="shared" si="90"/>
        <v>0</v>
      </c>
      <c r="AY175" s="1">
        <f t="shared" si="78"/>
        <v>0</v>
      </c>
      <c r="AZ175" s="1">
        <f t="shared" si="79"/>
        <v>0</v>
      </c>
      <c r="BA175" s="1">
        <f t="shared" si="91"/>
        <v>0</v>
      </c>
      <c r="BB175" s="5" t="str">
        <f t="shared" si="92"/>
        <v>NAN</v>
      </c>
      <c r="BC175" s="1">
        <f>ROUND(AC175,1)</f>
        <v>0</v>
      </c>
      <c r="BD175" s="1">
        <f>ROUND(AD175,1)</f>
        <v>0</v>
      </c>
      <c r="BE175" s="1">
        <f>ROUND(AE175,1)</f>
        <v>0</v>
      </c>
      <c r="BF175" s="5">
        <f t="shared" si="93"/>
        <v>0</v>
      </c>
      <c r="BG175" s="5">
        <f t="shared" si="94"/>
        <v>0</v>
      </c>
      <c r="BH175" s="5">
        <f t="shared" si="95"/>
        <v>0</v>
      </c>
      <c r="BI175" s="5">
        <f t="shared" si="96"/>
        <v>0</v>
      </c>
      <c r="BJ175" s="9">
        <f t="shared" si="97"/>
        <v>0</v>
      </c>
      <c r="BK175" s="9" t="e">
        <f t="shared" si="97"/>
        <v>#DIV/0!</v>
      </c>
      <c r="BM175" s="1">
        <f t="shared" si="98"/>
        <v>0</v>
      </c>
      <c r="BN175" s="1">
        <f t="shared" si="99"/>
        <v>0</v>
      </c>
    </row>
    <row r="176" spans="1:66" x14ac:dyDescent="0.2">
      <c r="A176" s="4">
        <f t="shared" si="100"/>
        <v>45828</v>
      </c>
      <c r="B176" s="1">
        <v>171</v>
      </c>
      <c r="C176" s="1">
        <v>12</v>
      </c>
      <c r="AN176" s="1">
        <f t="shared" si="84"/>
        <v>0</v>
      </c>
      <c r="AO176" s="1">
        <f t="shared" si="85"/>
        <v>0</v>
      </c>
      <c r="AP176" s="1">
        <f t="shared" si="86"/>
        <v>0</v>
      </c>
      <c r="AQ176" s="16">
        <f t="shared" si="102"/>
        <v>0</v>
      </c>
      <c r="AR176" s="23" t="e">
        <f t="shared" si="87"/>
        <v>#DIV/0!</v>
      </c>
      <c r="AT176" s="18">
        <f t="shared" si="82"/>
        <v>45828</v>
      </c>
      <c r="AU176" s="19">
        <f t="shared" si="83"/>
        <v>171</v>
      </c>
      <c r="AV176" s="1">
        <f t="shared" si="88"/>
        <v>0</v>
      </c>
      <c r="AW176" s="1">
        <f t="shared" si="89"/>
        <v>0</v>
      </c>
      <c r="AX176" s="1">
        <f t="shared" si="90"/>
        <v>0</v>
      </c>
      <c r="AY176" s="1">
        <f t="shared" si="78"/>
        <v>0</v>
      </c>
      <c r="AZ176" s="1">
        <f t="shared" si="79"/>
        <v>0</v>
      </c>
      <c r="BA176" s="1">
        <f t="shared" si="91"/>
        <v>0</v>
      </c>
      <c r="BB176" s="5" t="str">
        <f t="shared" si="92"/>
        <v>NAN</v>
      </c>
      <c r="BC176" s="1">
        <f>ROUND(AC176,1)</f>
        <v>0</v>
      </c>
      <c r="BD176" s="1">
        <f>ROUND(AD176,1)</f>
        <v>0</v>
      </c>
      <c r="BE176" s="1">
        <f>ROUND(AE176,1)</f>
        <v>0</v>
      </c>
      <c r="BF176" s="5">
        <f t="shared" si="93"/>
        <v>0</v>
      </c>
      <c r="BG176" s="5">
        <f t="shared" si="94"/>
        <v>0</v>
      </c>
      <c r="BH176" s="5">
        <f t="shared" si="95"/>
        <v>0</v>
      </c>
      <c r="BI176" s="5">
        <f t="shared" si="96"/>
        <v>0</v>
      </c>
      <c r="BJ176" s="9">
        <f t="shared" si="97"/>
        <v>0</v>
      </c>
      <c r="BK176" s="9" t="e">
        <f t="shared" si="97"/>
        <v>#DIV/0!</v>
      </c>
      <c r="BM176" s="1">
        <f t="shared" si="98"/>
        <v>0</v>
      </c>
      <c r="BN176" s="1">
        <f t="shared" si="99"/>
        <v>0</v>
      </c>
    </row>
    <row r="177" spans="1:66" x14ac:dyDescent="0.2">
      <c r="A177" s="4">
        <f t="shared" si="100"/>
        <v>45829</v>
      </c>
      <c r="B177" s="1">
        <v>172</v>
      </c>
      <c r="C177" s="1">
        <v>12</v>
      </c>
      <c r="AN177" s="1">
        <f t="shared" si="84"/>
        <v>0</v>
      </c>
      <c r="AO177" s="1">
        <f t="shared" si="85"/>
        <v>0</v>
      </c>
      <c r="AP177" s="1">
        <f t="shared" si="86"/>
        <v>0</v>
      </c>
      <c r="AQ177" s="16">
        <f t="shared" si="102"/>
        <v>0</v>
      </c>
      <c r="AR177" s="23" t="e">
        <f t="shared" si="87"/>
        <v>#DIV/0!</v>
      </c>
      <c r="AT177" s="18">
        <f t="shared" si="82"/>
        <v>45829</v>
      </c>
      <c r="AU177" s="19">
        <f t="shared" si="83"/>
        <v>172</v>
      </c>
      <c r="AV177" s="1">
        <f t="shared" si="88"/>
        <v>0</v>
      </c>
      <c r="AW177" s="1">
        <f t="shared" si="89"/>
        <v>0</v>
      </c>
      <c r="AX177" s="1">
        <f t="shared" si="90"/>
        <v>0</v>
      </c>
      <c r="AY177" s="1">
        <f t="shared" si="78"/>
        <v>0</v>
      </c>
      <c r="AZ177" s="1">
        <f t="shared" si="79"/>
        <v>0</v>
      </c>
      <c r="BA177" s="1">
        <f t="shared" si="91"/>
        <v>0</v>
      </c>
      <c r="BB177" s="5" t="str">
        <f t="shared" si="92"/>
        <v>NAN</v>
      </c>
      <c r="BC177" s="1">
        <f>ROUND(AC177,1)</f>
        <v>0</v>
      </c>
      <c r="BD177" s="1">
        <f>ROUND(AD177,1)</f>
        <v>0</v>
      </c>
      <c r="BE177" s="1">
        <f>ROUND(AE177,1)</f>
        <v>0</v>
      </c>
      <c r="BF177" s="5">
        <f t="shared" si="93"/>
        <v>0</v>
      </c>
      <c r="BG177" s="5">
        <f t="shared" si="94"/>
        <v>0</v>
      </c>
      <c r="BH177" s="5">
        <f t="shared" si="95"/>
        <v>0</v>
      </c>
      <c r="BI177" s="5">
        <f t="shared" si="96"/>
        <v>0</v>
      </c>
      <c r="BJ177" s="9">
        <f t="shared" si="97"/>
        <v>0</v>
      </c>
      <c r="BK177" s="9" t="e">
        <f t="shared" si="97"/>
        <v>#DIV/0!</v>
      </c>
      <c r="BM177" s="1">
        <f t="shared" si="98"/>
        <v>0</v>
      </c>
      <c r="BN177" s="1">
        <f t="shared" si="99"/>
        <v>0</v>
      </c>
    </row>
    <row r="178" spans="1:66" x14ac:dyDescent="0.2">
      <c r="A178" s="4">
        <f t="shared" si="100"/>
        <v>45830</v>
      </c>
      <c r="B178" s="1">
        <v>173</v>
      </c>
      <c r="C178" s="1">
        <v>12</v>
      </c>
      <c r="AN178" s="1">
        <f t="shared" si="84"/>
        <v>0</v>
      </c>
      <c r="AO178" s="1">
        <f t="shared" si="85"/>
        <v>0</v>
      </c>
      <c r="AP178" s="1">
        <f t="shared" si="86"/>
        <v>0</v>
      </c>
      <c r="AQ178" s="16">
        <f t="shared" si="102"/>
        <v>0</v>
      </c>
      <c r="AR178" s="23" t="e">
        <f t="shared" si="87"/>
        <v>#DIV/0!</v>
      </c>
      <c r="AT178" s="18">
        <f t="shared" si="82"/>
        <v>45830</v>
      </c>
      <c r="AU178" s="19">
        <f t="shared" si="83"/>
        <v>173</v>
      </c>
      <c r="AV178" s="1">
        <f t="shared" si="88"/>
        <v>0</v>
      </c>
      <c r="AW178" s="1">
        <f t="shared" si="89"/>
        <v>0</v>
      </c>
      <c r="AX178" s="1">
        <f t="shared" si="90"/>
        <v>0</v>
      </c>
      <c r="AY178" s="1">
        <f t="shared" si="78"/>
        <v>0</v>
      </c>
      <c r="AZ178" s="1">
        <f t="shared" si="79"/>
        <v>0</v>
      </c>
      <c r="BA178" s="1">
        <f t="shared" si="91"/>
        <v>0</v>
      </c>
      <c r="BB178" s="5" t="str">
        <f t="shared" si="92"/>
        <v>NAN</v>
      </c>
      <c r="BC178" s="1">
        <f>ROUND(AC178,1)</f>
        <v>0</v>
      </c>
      <c r="BD178" s="1">
        <f>ROUND(AD178,1)</f>
        <v>0</v>
      </c>
      <c r="BE178" s="1">
        <f>ROUND(AE178,1)</f>
        <v>0</v>
      </c>
      <c r="BF178" s="5">
        <f t="shared" si="93"/>
        <v>0</v>
      </c>
      <c r="BG178" s="5">
        <f t="shared" si="94"/>
        <v>0</v>
      </c>
      <c r="BH178" s="5">
        <f t="shared" si="95"/>
        <v>0</v>
      </c>
      <c r="BI178" s="5">
        <f t="shared" si="96"/>
        <v>0</v>
      </c>
      <c r="BJ178" s="9">
        <f t="shared" si="97"/>
        <v>0</v>
      </c>
      <c r="BK178" s="9" t="e">
        <f t="shared" si="97"/>
        <v>#DIV/0!</v>
      </c>
      <c r="BM178" s="1">
        <f t="shared" si="98"/>
        <v>0</v>
      </c>
      <c r="BN178" s="1">
        <f t="shared" si="99"/>
        <v>0</v>
      </c>
    </row>
    <row r="179" spans="1:66" x14ac:dyDescent="0.2">
      <c r="A179" s="4">
        <f t="shared" si="100"/>
        <v>45831</v>
      </c>
      <c r="B179" s="1">
        <v>174</v>
      </c>
      <c r="C179" s="1">
        <v>12</v>
      </c>
      <c r="AN179" s="1">
        <f t="shared" si="84"/>
        <v>0</v>
      </c>
      <c r="AO179" s="1">
        <f t="shared" si="85"/>
        <v>0</v>
      </c>
      <c r="AP179" s="1">
        <f t="shared" si="86"/>
        <v>0</v>
      </c>
      <c r="AQ179" s="16">
        <f t="shared" si="102"/>
        <v>0</v>
      </c>
      <c r="AR179" s="23" t="e">
        <f t="shared" si="87"/>
        <v>#DIV/0!</v>
      </c>
      <c r="AT179" s="18">
        <f t="shared" si="82"/>
        <v>45831</v>
      </c>
      <c r="AU179" s="19">
        <f t="shared" si="83"/>
        <v>174</v>
      </c>
      <c r="AV179" s="1">
        <f t="shared" si="88"/>
        <v>0</v>
      </c>
      <c r="AW179" s="1">
        <f t="shared" si="89"/>
        <v>0</v>
      </c>
      <c r="AX179" s="1">
        <f t="shared" si="90"/>
        <v>0</v>
      </c>
      <c r="AY179" s="1">
        <f t="shared" si="78"/>
        <v>0</v>
      </c>
      <c r="AZ179" s="1">
        <f t="shared" si="79"/>
        <v>0</v>
      </c>
      <c r="BA179" s="1">
        <f t="shared" si="91"/>
        <v>0</v>
      </c>
      <c r="BB179" s="5" t="str">
        <f t="shared" si="92"/>
        <v>NAN</v>
      </c>
      <c r="BC179" s="1">
        <f>ROUND(AC179,1)</f>
        <v>0</v>
      </c>
      <c r="BD179" s="1">
        <f>ROUND(AD179,1)</f>
        <v>0</v>
      </c>
      <c r="BE179" s="1">
        <f>ROUND(AE179,1)</f>
        <v>0</v>
      </c>
      <c r="BF179" s="5">
        <f t="shared" si="93"/>
        <v>0</v>
      </c>
      <c r="BG179" s="5">
        <f t="shared" si="94"/>
        <v>0</v>
      </c>
      <c r="BH179" s="5">
        <f t="shared" si="95"/>
        <v>0</v>
      </c>
      <c r="BI179" s="5">
        <f t="shared" si="96"/>
        <v>0</v>
      </c>
      <c r="BJ179" s="9">
        <f t="shared" si="97"/>
        <v>0</v>
      </c>
      <c r="BK179" s="9" t="e">
        <f t="shared" si="97"/>
        <v>#DIV/0!</v>
      </c>
      <c r="BM179" s="1">
        <f t="shared" si="98"/>
        <v>0</v>
      </c>
      <c r="BN179" s="1">
        <f t="shared" si="99"/>
        <v>0</v>
      </c>
    </row>
    <row r="180" spans="1:66" x14ac:dyDescent="0.2">
      <c r="A180" s="4">
        <f t="shared" si="100"/>
        <v>45832</v>
      </c>
      <c r="B180" s="1">
        <v>175</v>
      </c>
      <c r="C180" s="1">
        <v>12</v>
      </c>
      <c r="AN180" s="1">
        <f t="shared" si="84"/>
        <v>0</v>
      </c>
      <c r="AO180" s="1">
        <f t="shared" si="85"/>
        <v>0</v>
      </c>
      <c r="AP180" s="1">
        <f t="shared" si="86"/>
        <v>0</v>
      </c>
      <c r="AQ180" s="16">
        <f t="shared" si="102"/>
        <v>0</v>
      </c>
      <c r="AR180" s="23" t="e">
        <f t="shared" si="87"/>
        <v>#DIV/0!</v>
      </c>
      <c r="AT180" s="18">
        <f t="shared" si="82"/>
        <v>45832</v>
      </c>
      <c r="AU180" s="19">
        <f t="shared" si="83"/>
        <v>175</v>
      </c>
      <c r="AV180" s="1">
        <f t="shared" si="88"/>
        <v>0</v>
      </c>
      <c r="AW180" s="1">
        <f t="shared" si="89"/>
        <v>0</v>
      </c>
      <c r="AX180" s="1">
        <f t="shared" si="90"/>
        <v>0</v>
      </c>
      <c r="AY180" s="1">
        <f t="shared" si="78"/>
        <v>0</v>
      </c>
      <c r="AZ180" s="1">
        <f t="shared" si="79"/>
        <v>0</v>
      </c>
      <c r="BA180" s="1">
        <f t="shared" si="91"/>
        <v>0</v>
      </c>
      <c r="BB180" s="5" t="str">
        <f t="shared" si="92"/>
        <v>NAN</v>
      </c>
      <c r="BC180" s="1">
        <f>ROUND(AC180,1)</f>
        <v>0</v>
      </c>
      <c r="BD180" s="1">
        <f>ROUND(AD180,1)</f>
        <v>0</v>
      </c>
      <c r="BE180" s="1">
        <f>ROUND(AE180,1)</f>
        <v>0</v>
      </c>
      <c r="BF180" s="5">
        <f t="shared" si="93"/>
        <v>0</v>
      </c>
      <c r="BG180" s="5">
        <f t="shared" si="94"/>
        <v>0</v>
      </c>
      <c r="BH180" s="5">
        <f t="shared" si="95"/>
        <v>0</v>
      </c>
      <c r="BI180" s="5">
        <f t="shared" si="96"/>
        <v>0</v>
      </c>
      <c r="BJ180" s="9">
        <f t="shared" si="97"/>
        <v>0</v>
      </c>
      <c r="BK180" s="9" t="e">
        <f t="shared" si="97"/>
        <v>#DIV/0!</v>
      </c>
      <c r="BM180" s="1">
        <f t="shared" si="98"/>
        <v>0</v>
      </c>
      <c r="BN180" s="1">
        <f t="shared" si="99"/>
        <v>0</v>
      </c>
    </row>
    <row r="181" spans="1:66" x14ac:dyDescent="0.2">
      <c r="A181" s="4">
        <f t="shared" si="100"/>
        <v>45833</v>
      </c>
      <c r="B181" s="1">
        <v>176</v>
      </c>
      <c r="C181" s="1">
        <v>12</v>
      </c>
      <c r="AN181" s="1">
        <f t="shared" si="84"/>
        <v>0</v>
      </c>
      <c r="AO181" s="1">
        <f t="shared" si="85"/>
        <v>0</v>
      </c>
      <c r="AP181" s="1">
        <f t="shared" si="86"/>
        <v>0</v>
      </c>
      <c r="AQ181" s="16">
        <f t="shared" si="102"/>
        <v>0</v>
      </c>
      <c r="AR181" s="23" t="e">
        <f t="shared" si="87"/>
        <v>#DIV/0!</v>
      </c>
      <c r="AT181" s="18">
        <f t="shared" si="82"/>
        <v>45833</v>
      </c>
      <c r="AU181" s="19">
        <f t="shared" si="83"/>
        <v>176</v>
      </c>
      <c r="AV181" s="1">
        <f t="shared" si="88"/>
        <v>0</v>
      </c>
      <c r="AW181" s="1">
        <f t="shared" si="89"/>
        <v>0</v>
      </c>
      <c r="AX181" s="1">
        <f t="shared" si="90"/>
        <v>0</v>
      </c>
      <c r="AY181" s="1">
        <f t="shared" si="78"/>
        <v>0</v>
      </c>
      <c r="AZ181" s="1">
        <f t="shared" si="79"/>
        <v>0</v>
      </c>
      <c r="BA181" s="1">
        <f t="shared" si="91"/>
        <v>0</v>
      </c>
      <c r="BB181" s="5" t="str">
        <f t="shared" si="92"/>
        <v>NAN</v>
      </c>
      <c r="BC181" s="1">
        <f>ROUND(AC181,1)</f>
        <v>0</v>
      </c>
      <c r="BD181" s="1">
        <f>ROUND(AD181,1)</f>
        <v>0</v>
      </c>
      <c r="BE181" s="1">
        <f>ROUND(AE181,1)</f>
        <v>0</v>
      </c>
      <c r="BF181" s="5">
        <f t="shared" si="93"/>
        <v>0</v>
      </c>
      <c r="BG181" s="5">
        <f t="shared" si="94"/>
        <v>0</v>
      </c>
      <c r="BH181" s="5">
        <f t="shared" si="95"/>
        <v>0</v>
      </c>
      <c r="BI181" s="5">
        <f t="shared" si="96"/>
        <v>0</v>
      </c>
      <c r="BJ181" s="9">
        <f t="shared" si="97"/>
        <v>0</v>
      </c>
      <c r="BK181" s="9" t="e">
        <f t="shared" si="97"/>
        <v>#DIV/0!</v>
      </c>
      <c r="BM181" s="1">
        <f t="shared" si="98"/>
        <v>0</v>
      </c>
      <c r="BN181" s="1">
        <f t="shared" si="99"/>
        <v>0</v>
      </c>
    </row>
    <row r="182" spans="1:66" x14ac:dyDescent="0.2">
      <c r="A182" s="4">
        <f t="shared" si="100"/>
        <v>45834</v>
      </c>
      <c r="B182" s="1">
        <v>177</v>
      </c>
      <c r="C182" s="1">
        <v>12</v>
      </c>
      <c r="AN182" s="1">
        <f t="shared" si="84"/>
        <v>0</v>
      </c>
      <c r="AO182" s="1">
        <f t="shared" si="85"/>
        <v>0</v>
      </c>
      <c r="AP182" s="1">
        <f t="shared" si="86"/>
        <v>0</v>
      </c>
      <c r="AQ182" s="16">
        <f t="shared" ref="AQ182:AQ213" si="103">ROUND((0.6105*(EXP((17.273*N182)/(N182+237.3))))*AP182/100,3)</f>
        <v>0</v>
      </c>
      <c r="AR182" s="23" t="e">
        <f t="shared" si="87"/>
        <v>#DIV/0!</v>
      </c>
      <c r="AT182" s="18">
        <f t="shared" si="82"/>
        <v>45834</v>
      </c>
      <c r="AU182" s="19">
        <f t="shared" si="83"/>
        <v>177</v>
      </c>
      <c r="AV182" s="1">
        <f t="shared" si="88"/>
        <v>0</v>
      </c>
      <c r="AW182" s="1">
        <f t="shared" si="89"/>
        <v>0</v>
      </c>
      <c r="AX182" s="1">
        <f t="shared" si="90"/>
        <v>0</v>
      </c>
      <c r="AY182" s="1">
        <f t="shared" si="78"/>
        <v>0</v>
      </c>
      <c r="AZ182" s="1">
        <f t="shared" si="79"/>
        <v>0</v>
      </c>
      <c r="BA182" s="1">
        <f t="shared" si="91"/>
        <v>0</v>
      </c>
      <c r="BB182" s="5" t="str">
        <f t="shared" si="92"/>
        <v>NAN</v>
      </c>
      <c r="BC182" s="1">
        <f>ROUND(AC182,1)</f>
        <v>0</v>
      </c>
      <c r="BD182" s="1">
        <f>ROUND(AD182,1)</f>
        <v>0</v>
      </c>
      <c r="BE182" s="1">
        <f>ROUND(AE182,1)</f>
        <v>0</v>
      </c>
      <c r="BF182" s="5">
        <f t="shared" si="93"/>
        <v>0</v>
      </c>
      <c r="BG182" s="5">
        <f t="shared" si="94"/>
        <v>0</v>
      </c>
      <c r="BH182" s="5">
        <f t="shared" si="95"/>
        <v>0</v>
      </c>
      <c r="BI182" s="5">
        <f t="shared" si="96"/>
        <v>0</v>
      </c>
      <c r="BJ182" s="9">
        <f t="shared" si="97"/>
        <v>0</v>
      </c>
      <c r="BK182" s="9" t="e">
        <f t="shared" si="97"/>
        <v>#DIV/0!</v>
      </c>
      <c r="BM182" s="1">
        <f t="shared" si="98"/>
        <v>0</v>
      </c>
      <c r="BN182" s="1">
        <f t="shared" si="99"/>
        <v>0</v>
      </c>
    </row>
    <row r="183" spans="1:66" x14ac:dyDescent="0.2">
      <c r="A183" s="4">
        <f t="shared" si="100"/>
        <v>45835</v>
      </c>
      <c r="B183" s="1">
        <v>178</v>
      </c>
      <c r="C183" s="1">
        <v>12</v>
      </c>
      <c r="AN183" s="1">
        <f t="shared" si="84"/>
        <v>0</v>
      </c>
      <c r="AO183" s="1">
        <f t="shared" si="85"/>
        <v>0</v>
      </c>
      <c r="AP183" s="1">
        <f t="shared" si="86"/>
        <v>0</v>
      </c>
      <c r="AQ183" s="16">
        <f t="shared" si="103"/>
        <v>0</v>
      </c>
      <c r="AR183" s="23" t="e">
        <f t="shared" si="87"/>
        <v>#DIV/0!</v>
      </c>
      <c r="AT183" s="18">
        <f t="shared" si="82"/>
        <v>45835</v>
      </c>
      <c r="AU183" s="19">
        <f t="shared" si="83"/>
        <v>178</v>
      </c>
      <c r="AV183" s="1">
        <f t="shared" si="88"/>
        <v>0</v>
      </c>
      <c r="AW183" s="1">
        <f t="shared" si="89"/>
        <v>0</v>
      </c>
      <c r="AX183" s="1">
        <f t="shared" si="90"/>
        <v>0</v>
      </c>
      <c r="AY183" s="1">
        <f t="shared" si="78"/>
        <v>0</v>
      </c>
      <c r="AZ183" s="1">
        <f t="shared" si="79"/>
        <v>0</v>
      </c>
      <c r="BA183" s="1">
        <f t="shared" si="91"/>
        <v>0</v>
      </c>
      <c r="BB183" s="5" t="str">
        <f t="shared" si="92"/>
        <v>NAN</v>
      </c>
      <c r="BC183" s="1">
        <f>ROUND(AC183,1)</f>
        <v>0</v>
      </c>
      <c r="BD183" s="1">
        <f>ROUND(AD183,1)</f>
        <v>0</v>
      </c>
      <c r="BE183" s="1">
        <f>ROUND(AE183,1)</f>
        <v>0</v>
      </c>
      <c r="BF183" s="5">
        <f t="shared" si="93"/>
        <v>0</v>
      </c>
      <c r="BG183" s="5">
        <f t="shared" si="94"/>
        <v>0</v>
      </c>
      <c r="BH183" s="5">
        <f t="shared" si="95"/>
        <v>0</v>
      </c>
      <c r="BI183" s="5">
        <f t="shared" si="96"/>
        <v>0</v>
      </c>
      <c r="BJ183" s="9">
        <f t="shared" si="97"/>
        <v>0</v>
      </c>
      <c r="BK183" s="9" t="e">
        <f t="shared" si="97"/>
        <v>#DIV/0!</v>
      </c>
      <c r="BM183" s="1">
        <f t="shared" si="98"/>
        <v>0</v>
      </c>
      <c r="BN183" s="1">
        <f t="shared" si="99"/>
        <v>0</v>
      </c>
    </row>
    <row r="184" spans="1:66" x14ac:dyDescent="0.2">
      <c r="A184" s="4">
        <f t="shared" si="100"/>
        <v>45836</v>
      </c>
      <c r="B184" s="1">
        <v>179</v>
      </c>
      <c r="C184" s="1">
        <v>12</v>
      </c>
      <c r="AN184" s="1">
        <f t="shared" si="84"/>
        <v>0</v>
      </c>
      <c r="AO184" s="1">
        <f t="shared" si="85"/>
        <v>0</v>
      </c>
      <c r="AP184" s="1">
        <f t="shared" si="86"/>
        <v>0</v>
      </c>
      <c r="AQ184" s="16">
        <f t="shared" si="103"/>
        <v>0</v>
      </c>
      <c r="AR184" s="23" t="e">
        <f t="shared" si="87"/>
        <v>#DIV/0!</v>
      </c>
      <c r="AT184" s="18">
        <f t="shared" si="82"/>
        <v>45836</v>
      </c>
      <c r="AU184" s="19">
        <f t="shared" si="83"/>
        <v>179</v>
      </c>
      <c r="AV184" s="1">
        <f t="shared" si="88"/>
        <v>0</v>
      </c>
      <c r="AW184" s="1">
        <f t="shared" si="89"/>
        <v>0</v>
      </c>
      <c r="AX184" s="1">
        <f t="shared" si="90"/>
        <v>0</v>
      </c>
      <c r="AY184" s="1">
        <f t="shared" si="78"/>
        <v>0</v>
      </c>
      <c r="AZ184" s="1">
        <f t="shared" si="79"/>
        <v>0</v>
      </c>
      <c r="BA184" s="1">
        <f t="shared" si="91"/>
        <v>0</v>
      </c>
      <c r="BB184" s="5" t="str">
        <f t="shared" si="92"/>
        <v>NAN</v>
      </c>
      <c r="BC184" s="1">
        <f>ROUND(AC184,1)</f>
        <v>0</v>
      </c>
      <c r="BD184" s="1">
        <f>ROUND(AD184,1)</f>
        <v>0</v>
      </c>
      <c r="BE184" s="1">
        <f>ROUND(AE184,1)</f>
        <v>0</v>
      </c>
      <c r="BF184" s="5">
        <f t="shared" si="93"/>
        <v>0</v>
      </c>
      <c r="BG184" s="5">
        <f t="shared" si="94"/>
        <v>0</v>
      </c>
      <c r="BH184" s="5">
        <f t="shared" si="95"/>
        <v>0</v>
      </c>
      <c r="BI184" s="5">
        <f t="shared" si="96"/>
        <v>0</v>
      </c>
      <c r="BJ184" s="9">
        <f t="shared" si="97"/>
        <v>0</v>
      </c>
      <c r="BK184" s="9" t="e">
        <f t="shared" si="97"/>
        <v>#DIV/0!</v>
      </c>
      <c r="BM184" s="1">
        <f t="shared" si="98"/>
        <v>0</v>
      </c>
      <c r="BN184" s="1">
        <f t="shared" si="99"/>
        <v>0</v>
      </c>
    </row>
    <row r="185" spans="1:66" x14ac:dyDescent="0.2">
      <c r="A185" s="4">
        <f t="shared" si="100"/>
        <v>45837</v>
      </c>
      <c r="B185" s="1">
        <v>180</v>
      </c>
      <c r="C185" s="1">
        <v>12</v>
      </c>
      <c r="AN185" s="1">
        <f t="shared" si="84"/>
        <v>0</v>
      </c>
      <c r="AO185" s="1">
        <f t="shared" si="85"/>
        <v>0</v>
      </c>
      <c r="AP185" s="1">
        <f t="shared" si="86"/>
        <v>0</v>
      </c>
      <c r="AQ185" s="16">
        <f t="shared" si="103"/>
        <v>0</v>
      </c>
      <c r="AR185" s="23" t="e">
        <f t="shared" si="87"/>
        <v>#DIV/0!</v>
      </c>
      <c r="AT185" s="18">
        <f t="shared" si="82"/>
        <v>45837</v>
      </c>
      <c r="AU185" s="19">
        <f t="shared" si="83"/>
        <v>180</v>
      </c>
      <c r="AV185" s="1">
        <f t="shared" si="88"/>
        <v>0</v>
      </c>
      <c r="AW185" s="1">
        <f t="shared" si="89"/>
        <v>0</v>
      </c>
      <c r="AX185" s="1">
        <f t="shared" si="90"/>
        <v>0</v>
      </c>
      <c r="AY185" s="1">
        <f t="shared" si="78"/>
        <v>0</v>
      </c>
      <c r="AZ185" s="1">
        <f t="shared" si="79"/>
        <v>0</v>
      </c>
      <c r="BA185" s="1">
        <f t="shared" si="91"/>
        <v>0</v>
      </c>
      <c r="BB185" s="5" t="str">
        <f t="shared" si="92"/>
        <v>NAN</v>
      </c>
      <c r="BC185" s="1">
        <f>ROUND(AC185,1)</f>
        <v>0</v>
      </c>
      <c r="BD185" s="1">
        <f>ROUND(AD185,1)</f>
        <v>0</v>
      </c>
      <c r="BE185" s="1">
        <f>ROUND(AE185,1)</f>
        <v>0</v>
      </c>
      <c r="BF185" s="5">
        <f t="shared" si="93"/>
        <v>0</v>
      </c>
      <c r="BG185" s="5">
        <f t="shared" si="94"/>
        <v>0</v>
      </c>
      <c r="BH185" s="5">
        <f t="shared" si="95"/>
        <v>0</v>
      </c>
      <c r="BI185" s="5">
        <f t="shared" si="96"/>
        <v>0</v>
      </c>
      <c r="BJ185" s="9">
        <f t="shared" si="97"/>
        <v>0</v>
      </c>
      <c r="BK185" s="9" t="e">
        <f t="shared" si="97"/>
        <v>#DIV/0!</v>
      </c>
      <c r="BM185" s="1">
        <f t="shared" si="98"/>
        <v>0</v>
      </c>
      <c r="BN185" s="1">
        <f t="shared" si="99"/>
        <v>0</v>
      </c>
    </row>
    <row r="186" spans="1:66" x14ac:dyDescent="0.2">
      <c r="A186" s="4">
        <f t="shared" si="100"/>
        <v>45838</v>
      </c>
      <c r="B186" s="1">
        <v>181</v>
      </c>
      <c r="C186" s="1">
        <v>12</v>
      </c>
      <c r="AN186" s="1">
        <f t="shared" si="84"/>
        <v>0</v>
      </c>
      <c r="AO186" s="1">
        <f t="shared" si="85"/>
        <v>0</v>
      </c>
      <c r="AP186" s="1">
        <f t="shared" si="86"/>
        <v>0</v>
      </c>
      <c r="AQ186" s="16">
        <f t="shared" si="103"/>
        <v>0</v>
      </c>
      <c r="AR186" s="23" t="e">
        <f t="shared" si="87"/>
        <v>#DIV/0!</v>
      </c>
      <c r="AT186" s="18">
        <f t="shared" si="82"/>
        <v>45838</v>
      </c>
      <c r="AU186" s="19">
        <f t="shared" si="83"/>
        <v>181</v>
      </c>
      <c r="AV186" s="1">
        <f t="shared" si="88"/>
        <v>0</v>
      </c>
      <c r="AW186" s="1">
        <f t="shared" si="89"/>
        <v>0</v>
      </c>
      <c r="AX186" s="1">
        <f t="shared" si="90"/>
        <v>0</v>
      </c>
      <c r="AY186" s="1">
        <f t="shared" si="78"/>
        <v>0</v>
      </c>
      <c r="AZ186" s="1">
        <f t="shared" si="79"/>
        <v>0</v>
      </c>
      <c r="BA186" s="1">
        <f t="shared" si="91"/>
        <v>0</v>
      </c>
      <c r="BB186" s="5" t="str">
        <f t="shared" si="92"/>
        <v>NAN</v>
      </c>
      <c r="BC186" s="1">
        <f>ROUND(AC186,1)</f>
        <v>0</v>
      </c>
      <c r="BD186" s="1">
        <f>ROUND(AD186,1)</f>
        <v>0</v>
      </c>
      <c r="BE186" s="1">
        <f>ROUND(AE186,1)</f>
        <v>0</v>
      </c>
      <c r="BF186" s="5">
        <f t="shared" si="93"/>
        <v>0</v>
      </c>
      <c r="BG186" s="5">
        <f t="shared" si="94"/>
        <v>0</v>
      </c>
      <c r="BH186" s="5">
        <f t="shared" si="95"/>
        <v>0</v>
      </c>
      <c r="BI186" s="5">
        <f t="shared" si="96"/>
        <v>0</v>
      </c>
      <c r="BJ186" s="9">
        <f t="shared" si="97"/>
        <v>0</v>
      </c>
      <c r="BK186" s="9" t="e">
        <f t="shared" si="97"/>
        <v>#DIV/0!</v>
      </c>
      <c r="BM186" s="1">
        <f t="shared" si="98"/>
        <v>0</v>
      </c>
      <c r="BN186" s="1">
        <f t="shared" si="99"/>
        <v>0</v>
      </c>
    </row>
    <row r="187" spans="1:66" x14ac:dyDescent="0.2">
      <c r="A187" s="4">
        <f t="shared" si="100"/>
        <v>45839</v>
      </c>
      <c r="B187" s="1">
        <v>182</v>
      </c>
      <c r="C187" s="1">
        <v>12</v>
      </c>
      <c r="AN187" s="1">
        <f t="shared" si="84"/>
        <v>0</v>
      </c>
      <c r="AO187" s="1">
        <f t="shared" si="85"/>
        <v>0</v>
      </c>
      <c r="AP187" s="1">
        <f t="shared" si="86"/>
        <v>0</v>
      </c>
      <c r="AQ187" s="16">
        <f t="shared" si="103"/>
        <v>0</v>
      </c>
      <c r="AR187" s="23" t="e">
        <f t="shared" si="87"/>
        <v>#DIV/0!</v>
      </c>
      <c r="AT187" s="18">
        <f t="shared" si="82"/>
        <v>45839</v>
      </c>
      <c r="AU187" s="19">
        <f t="shared" si="83"/>
        <v>182</v>
      </c>
      <c r="AV187" s="1">
        <f t="shared" si="88"/>
        <v>0</v>
      </c>
      <c r="AW187" s="1">
        <f t="shared" si="89"/>
        <v>0</v>
      </c>
      <c r="AX187" s="1">
        <f t="shared" si="90"/>
        <v>0</v>
      </c>
      <c r="AY187" s="1">
        <f t="shared" si="78"/>
        <v>0</v>
      </c>
      <c r="AZ187" s="1">
        <f t="shared" si="79"/>
        <v>0</v>
      </c>
      <c r="BA187" s="1">
        <f t="shared" si="91"/>
        <v>0</v>
      </c>
      <c r="BB187" s="5" t="str">
        <f t="shared" si="92"/>
        <v>NAN</v>
      </c>
      <c r="BC187" s="1">
        <f>ROUND(AC187,1)</f>
        <v>0</v>
      </c>
      <c r="BD187" s="1">
        <f>ROUND(AD187,1)</f>
        <v>0</v>
      </c>
      <c r="BE187" s="1">
        <f>ROUND(AE187,1)</f>
        <v>0</v>
      </c>
      <c r="BF187" s="5">
        <f t="shared" si="93"/>
        <v>0</v>
      </c>
      <c r="BG187" s="5">
        <f t="shared" si="94"/>
        <v>0</v>
      </c>
      <c r="BH187" s="5">
        <f t="shared" si="95"/>
        <v>0</v>
      </c>
      <c r="BI187" s="5">
        <f t="shared" si="96"/>
        <v>0</v>
      </c>
      <c r="BJ187" s="9">
        <f t="shared" si="97"/>
        <v>0</v>
      </c>
      <c r="BK187" s="9" t="e">
        <f t="shared" si="97"/>
        <v>#DIV/0!</v>
      </c>
      <c r="BM187" s="1">
        <f t="shared" si="98"/>
        <v>0</v>
      </c>
      <c r="BN187" s="1">
        <f t="shared" si="99"/>
        <v>0</v>
      </c>
    </row>
    <row r="188" spans="1:66" x14ac:dyDescent="0.2">
      <c r="A188" s="4">
        <f t="shared" si="100"/>
        <v>45840</v>
      </c>
      <c r="B188" s="1">
        <v>183</v>
      </c>
      <c r="C188" s="1">
        <v>12</v>
      </c>
      <c r="AN188" s="1">
        <f t="shared" si="84"/>
        <v>0</v>
      </c>
      <c r="AO188" s="1">
        <f t="shared" si="85"/>
        <v>0</v>
      </c>
      <c r="AP188" s="1">
        <f t="shared" si="86"/>
        <v>0</v>
      </c>
      <c r="AQ188" s="16">
        <f t="shared" si="103"/>
        <v>0</v>
      </c>
      <c r="AR188" s="23" t="e">
        <f t="shared" si="87"/>
        <v>#DIV/0!</v>
      </c>
      <c r="AT188" s="18">
        <f t="shared" si="82"/>
        <v>45840</v>
      </c>
      <c r="AU188" s="19">
        <f t="shared" si="83"/>
        <v>183</v>
      </c>
      <c r="AV188" s="1">
        <f t="shared" si="88"/>
        <v>0</v>
      </c>
      <c r="AW188" s="1">
        <f t="shared" si="89"/>
        <v>0</v>
      </c>
      <c r="AX188" s="1">
        <f t="shared" si="90"/>
        <v>0</v>
      </c>
      <c r="AY188" s="1">
        <f t="shared" si="78"/>
        <v>0</v>
      </c>
      <c r="AZ188" s="1">
        <f t="shared" si="79"/>
        <v>0</v>
      </c>
      <c r="BA188" s="1">
        <f t="shared" si="91"/>
        <v>0</v>
      </c>
      <c r="BB188" s="5" t="str">
        <f t="shared" si="92"/>
        <v>NAN</v>
      </c>
      <c r="BC188" s="1">
        <f>ROUND(AC188,1)</f>
        <v>0</v>
      </c>
      <c r="BD188" s="1">
        <f>ROUND(AD188,1)</f>
        <v>0</v>
      </c>
      <c r="BE188" s="1">
        <f>ROUND(AE188,1)</f>
        <v>0</v>
      </c>
      <c r="BF188" s="5">
        <f t="shared" si="93"/>
        <v>0</v>
      </c>
      <c r="BG188" s="5">
        <f t="shared" si="94"/>
        <v>0</v>
      </c>
      <c r="BH188" s="5">
        <f t="shared" si="95"/>
        <v>0</v>
      </c>
      <c r="BI188" s="5">
        <f t="shared" si="96"/>
        <v>0</v>
      </c>
      <c r="BJ188" s="9">
        <f t="shared" si="97"/>
        <v>0</v>
      </c>
      <c r="BK188" s="9" t="e">
        <f t="shared" si="97"/>
        <v>#DIV/0!</v>
      </c>
      <c r="BM188" s="1">
        <f t="shared" si="98"/>
        <v>0</v>
      </c>
      <c r="BN188" s="1">
        <f t="shared" si="99"/>
        <v>0</v>
      </c>
    </row>
    <row r="189" spans="1:66" x14ac:dyDescent="0.2">
      <c r="A189" s="4">
        <f t="shared" si="100"/>
        <v>45841</v>
      </c>
      <c r="B189" s="1">
        <v>184</v>
      </c>
      <c r="C189" s="1">
        <v>12</v>
      </c>
      <c r="AN189" s="1">
        <f t="shared" si="84"/>
        <v>0</v>
      </c>
      <c r="AO189" s="1">
        <f t="shared" si="85"/>
        <v>0</v>
      </c>
      <c r="AP189" s="1">
        <f t="shared" si="86"/>
        <v>0</v>
      </c>
      <c r="AQ189" s="16">
        <f t="shared" si="103"/>
        <v>0</v>
      </c>
      <c r="AR189" s="23" t="e">
        <f t="shared" si="87"/>
        <v>#DIV/0!</v>
      </c>
      <c r="AT189" s="18">
        <f t="shared" si="82"/>
        <v>45841</v>
      </c>
      <c r="AU189" s="19">
        <f t="shared" si="83"/>
        <v>184</v>
      </c>
      <c r="AV189" s="1">
        <f t="shared" si="88"/>
        <v>0</v>
      </c>
      <c r="AW189" s="1">
        <f t="shared" si="89"/>
        <v>0</v>
      </c>
      <c r="AX189" s="1">
        <f t="shared" si="90"/>
        <v>0</v>
      </c>
      <c r="AY189" s="1">
        <f t="shared" si="78"/>
        <v>0</v>
      </c>
      <c r="AZ189" s="1">
        <f t="shared" si="79"/>
        <v>0</v>
      </c>
      <c r="BA189" s="1">
        <f t="shared" si="91"/>
        <v>0</v>
      </c>
      <c r="BB189" s="5" t="str">
        <f t="shared" si="92"/>
        <v>NAN</v>
      </c>
      <c r="BC189" s="1">
        <f>ROUND(AC189,1)</f>
        <v>0</v>
      </c>
      <c r="BD189" s="1">
        <f>ROUND(AD189,1)</f>
        <v>0</v>
      </c>
      <c r="BE189" s="1">
        <f>ROUND(AE189,1)</f>
        <v>0</v>
      </c>
      <c r="BF189" s="5">
        <f t="shared" si="93"/>
        <v>0</v>
      </c>
      <c r="BG189" s="5">
        <f t="shared" si="94"/>
        <v>0</v>
      </c>
      <c r="BH189" s="5">
        <f t="shared" si="95"/>
        <v>0</v>
      </c>
      <c r="BI189" s="5">
        <f t="shared" si="96"/>
        <v>0</v>
      </c>
      <c r="BJ189" s="9">
        <f t="shared" si="97"/>
        <v>0</v>
      </c>
      <c r="BK189" s="9" t="e">
        <f t="shared" si="97"/>
        <v>#DIV/0!</v>
      </c>
      <c r="BM189" s="1">
        <f t="shared" si="98"/>
        <v>0</v>
      </c>
      <c r="BN189" s="1">
        <f t="shared" si="99"/>
        <v>0</v>
      </c>
    </row>
    <row r="190" spans="1:66" x14ac:dyDescent="0.2">
      <c r="A190" s="4">
        <f t="shared" si="100"/>
        <v>45842</v>
      </c>
      <c r="B190" s="1">
        <v>185</v>
      </c>
      <c r="C190" s="1">
        <v>12</v>
      </c>
      <c r="AN190" s="1">
        <f t="shared" si="84"/>
        <v>0</v>
      </c>
      <c r="AO190" s="1">
        <f t="shared" si="85"/>
        <v>0</v>
      </c>
      <c r="AP190" s="1">
        <f t="shared" si="86"/>
        <v>0</v>
      </c>
      <c r="AQ190" s="16">
        <f t="shared" si="103"/>
        <v>0</v>
      </c>
      <c r="AR190" s="23" t="e">
        <f t="shared" si="87"/>
        <v>#DIV/0!</v>
      </c>
      <c r="AT190" s="18">
        <f t="shared" si="82"/>
        <v>45842</v>
      </c>
      <c r="AU190" s="19">
        <f t="shared" si="83"/>
        <v>185</v>
      </c>
      <c r="AV190" s="1">
        <f t="shared" si="88"/>
        <v>0</v>
      </c>
      <c r="AW190" s="1">
        <f t="shared" si="89"/>
        <v>0</v>
      </c>
      <c r="AX190" s="1">
        <f t="shared" si="90"/>
        <v>0</v>
      </c>
      <c r="AY190" s="1">
        <f t="shared" si="78"/>
        <v>0</v>
      </c>
      <c r="AZ190" s="1">
        <f t="shared" si="79"/>
        <v>0</v>
      </c>
      <c r="BA190" s="1">
        <f t="shared" si="91"/>
        <v>0</v>
      </c>
      <c r="BB190" s="5" t="str">
        <f t="shared" si="92"/>
        <v>NAN</v>
      </c>
      <c r="BC190" s="1">
        <f>ROUND(AC190,1)</f>
        <v>0</v>
      </c>
      <c r="BD190" s="1">
        <f>ROUND(AD190,1)</f>
        <v>0</v>
      </c>
      <c r="BE190" s="1">
        <f>ROUND(AE190,1)</f>
        <v>0</v>
      </c>
      <c r="BF190" s="5">
        <f t="shared" si="93"/>
        <v>0</v>
      </c>
      <c r="BG190" s="5">
        <f t="shared" si="94"/>
        <v>0</v>
      </c>
      <c r="BH190" s="5">
        <f t="shared" si="95"/>
        <v>0</v>
      </c>
      <c r="BI190" s="5">
        <f t="shared" si="96"/>
        <v>0</v>
      </c>
      <c r="BJ190" s="9">
        <f t="shared" si="97"/>
        <v>0</v>
      </c>
      <c r="BK190" s="9" t="e">
        <f t="shared" si="97"/>
        <v>#DIV/0!</v>
      </c>
      <c r="BM190" s="1">
        <f t="shared" si="98"/>
        <v>0</v>
      </c>
      <c r="BN190" s="1">
        <f t="shared" si="99"/>
        <v>0</v>
      </c>
    </row>
    <row r="191" spans="1:66" x14ac:dyDescent="0.2">
      <c r="A191" s="4">
        <f t="shared" si="100"/>
        <v>45843</v>
      </c>
      <c r="B191" s="1">
        <v>186</v>
      </c>
      <c r="C191" s="1">
        <v>12</v>
      </c>
      <c r="AN191" s="1">
        <f t="shared" si="84"/>
        <v>0</v>
      </c>
      <c r="AO191" s="1">
        <f t="shared" si="85"/>
        <v>0</v>
      </c>
      <c r="AP191" s="1">
        <f t="shared" si="86"/>
        <v>0</v>
      </c>
      <c r="AQ191" s="16">
        <f t="shared" si="103"/>
        <v>0</v>
      </c>
      <c r="AR191" s="23" t="e">
        <f t="shared" si="87"/>
        <v>#DIV/0!</v>
      </c>
      <c r="AT191" s="18">
        <f t="shared" si="82"/>
        <v>45843</v>
      </c>
      <c r="AU191" s="19">
        <f t="shared" si="83"/>
        <v>186</v>
      </c>
      <c r="AV191" s="1">
        <f t="shared" si="88"/>
        <v>0</v>
      </c>
      <c r="AW191" s="1">
        <f t="shared" si="89"/>
        <v>0</v>
      </c>
      <c r="AX191" s="1">
        <f t="shared" si="90"/>
        <v>0</v>
      </c>
      <c r="AY191" s="1">
        <f t="shared" si="78"/>
        <v>0</v>
      </c>
      <c r="AZ191" s="1">
        <f t="shared" si="79"/>
        <v>0</v>
      </c>
      <c r="BA191" s="1">
        <f t="shared" si="91"/>
        <v>0</v>
      </c>
      <c r="BB191" s="5" t="str">
        <f t="shared" si="92"/>
        <v>NAN</v>
      </c>
      <c r="BC191" s="1">
        <f>ROUND(AC191,1)</f>
        <v>0</v>
      </c>
      <c r="BD191" s="1">
        <f>ROUND(AD191,1)</f>
        <v>0</v>
      </c>
      <c r="BE191" s="1">
        <f>ROUND(AE191,1)</f>
        <v>0</v>
      </c>
      <c r="BF191" s="5">
        <f t="shared" si="93"/>
        <v>0</v>
      </c>
      <c r="BG191" s="5">
        <f t="shared" si="94"/>
        <v>0</v>
      </c>
      <c r="BH191" s="5">
        <f t="shared" si="95"/>
        <v>0</v>
      </c>
      <c r="BI191" s="5">
        <f t="shared" si="96"/>
        <v>0</v>
      </c>
      <c r="BJ191" s="9">
        <f t="shared" si="97"/>
        <v>0</v>
      </c>
      <c r="BK191" s="9" t="e">
        <f t="shared" si="97"/>
        <v>#DIV/0!</v>
      </c>
      <c r="BM191" s="1">
        <f t="shared" si="98"/>
        <v>0</v>
      </c>
      <c r="BN191" s="1">
        <f t="shared" si="99"/>
        <v>0</v>
      </c>
    </row>
    <row r="192" spans="1:66" x14ac:dyDescent="0.2">
      <c r="A192" s="4">
        <f t="shared" si="100"/>
        <v>45844</v>
      </c>
      <c r="B192" s="1">
        <v>187</v>
      </c>
      <c r="C192" s="1">
        <v>12</v>
      </c>
      <c r="AN192" s="1">
        <f t="shared" si="84"/>
        <v>0</v>
      </c>
      <c r="AO192" s="1">
        <f t="shared" si="85"/>
        <v>0</v>
      </c>
      <c r="AP192" s="1">
        <f t="shared" si="86"/>
        <v>0</v>
      </c>
      <c r="AQ192" s="16">
        <f t="shared" si="103"/>
        <v>0</v>
      </c>
      <c r="AR192" s="23" t="e">
        <f t="shared" si="87"/>
        <v>#DIV/0!</v>
      </c>
      <c r="AT192" s="18">
        <f t="shared" si="82"/>
        <v>45844</v>
      </c>
      <c r="AU192" s="19">
        <f t="shared" si="83"/>
        <v>187</v>
      </c>
      <c r="AV192" s="1">
        <f t="shared" si="88"/>
        <v>0</v>
      </c>
      <c r="AW192" s="1">
        <f t="shared" si="89"/>
        <v>0</v>
      </c>
      <c r="AX192" s="1">
        <f t="shared" si="90"/>
        <v>0</v>
      </c>
      <c r="AY192" s="1">
        <f t="shared" si="78"/>
        <v>0</v>
      </c>
      <c r="AZ192" s="1">
        <f t="shared" si="79"/>
        <v>0</v>
      </c>
      <c r="BA192" s="1">
        <f t="shared" si="91"/>
        <v>0</v>
      </c>
      <c r="BB192" s="5" t="str">
        <f t="shared" si="92"/>
        <v>NAN</v>
      </c>
      <c r="BC192" s="1">
        <f>ROUND(AC192,1)</f>
        <v>0</v>
      </c>
      <c r="BD192" s="1">
        <f>ROUND(AD192,1)</f>
        <v>0</v>
      </c>
      <c r="BE192" s="1">
        <f>ROUND(AE192,1)</f>
        <v>0</v>
      </c>
      <c r="BF192" s="5">
        <f t="shared" si="93"/>
        <v>0</v>
      </c>
      <c r="BG192" s="5">
        <f t="shared" si="94"/>
        <v>0</v>
      </c>
      <c r="BH192" s="5">
        <f t="shared" si="95"/>
        <v>0</v>
      </c>
      <c r="BI192" s="5">
        <f t="shared" si="96"/>
        <v>0</v>
      </c>
      <c r="BJ192" s="9">
        <f t="shared" si="97"/>
        <v>0</v>
      </c>
      <c r="BK192" s="9" t="e">
        <f t="shared" si="97"/>
        <v>#DIV/0!</v>
      </c>
      <c r="BM192" s="1">
        <f t="shared" si="98"/>
        <v>0</v>
      </c>
      <c r="BN192" s="1">
        <f t="shared" si="99"/>
        <v>0</v>
      </c>
    </row>
    <row r="193" spans="1:66" x14ac:dyDescent="0.2">
      <c r="A193" s="4">
        <f t="shared" si="100"/>
        <v>45845</v>
      </c>
      <c r="B193" s="1">
        <v>188</v>
      </c>
      <c r="C193" s="1">
        <v>12</v>
      </c>
      <c r="AN193" s="1">
        <f t="shared" si="84"/>
        <v>0</v>
      </c>
      <c r="AO193" s="1">
        <f t="shared" si="85"/>
        <v>0</v>
      </c>
      <c r="AP193" s="1">
        <f t="shared" si="86"/>
        <v>0</v>
      </c>
      <c r="AQ193" s="16">
        <f t="shared" si="103"/>
        <v>0</v>
      </c>
      <c r="AR193" s="23" t="e">
        <f t="shared" si="87"/>
        <v>#DIV/0!</v>
      </c>
      <c r="AT193" s="18">
        <f t="shared" si="82"/>
        <v>45845</v>
      </c>
      <c r="AU193" s="19">
        <f t="shared" si="83"/>
        <v>188</v>
      </c>
      <c r="AV193" s="1">
        <f t="shared" si="88"/>
        <v>0</v>
      </c>
      <c r="AW193" s="1">
        <f t="shared" si="89"/>
        <v>0</v>
      </c>
      <c r="AX193" s="1">
        <f t="shared" si="90"/>
        <v>0</v>
      </c>
      <c r="AY193" s="1">
        <f t="shared" si="78"/>
        <v>0</v>
      </c>
      <c r="AZ193" s="1">
        <f t="shared" si="79"/>
        <v>0</v>
      </c>
      <c r="BA193" s="1">
        <f t="shared" si="91"/>
        <v>0</v>
      </c>
      <c r="BB193" s="5" t="str">
        <f t="shared" si="92"/>
        <v>NAN</v>
      </c>
      <c r="BC193" s="1">
        <f>ROUND(AC193,1)</f>
        <v>0</v>
      </c>
      <c r="BD193" s="1">
        <f>ROUND(AD193,1)</f>
        <v>0</v>
      </c>
      <c r="BE193" s="1">
        <f>ROUND(AE193,1)</f>
        <v>0</v>
      </c>
      <c r="BF193" s="5">
        <f t="shared" si="93"/>
        <v>0</v>
      </c>
      <c r="BG193" s="5">
        <f t="shared" si="94"/>
        <v>0</v>
      </c>
      <c r="BH193" s="5">
        <f t="shared" si="95"/>
        <v>0</v>
      </c>
      <c r="BI193" s="5">
        <f t="shared" si="96"/>
        <v>0</v>
      </c>
      <c r="BJ193" s="9">
        <f t="shared" si="97"/>
        <v>0</v>
      </c>
      <c r="BK193" s="9" t="e">
        <f t="shared" si="97"/>
        <v>#DIV/0!</v>
      </c>
      <c r="BM193" s="1">
        <f t="shared" si="98"/>
        <v>0</v>
      </c>
      <c r="BN193" s="1">
        <f t="shared" si="99"/>
        <v>0</v>
      </c>
    </row>
    <row r="194" spans="1:66" x14ac:dyDescent="0.2">
      <c r="A194" s="4">
        <f t="shared" si="100"/>
        <v>45846</v>
      </c>
      <c r="B194" s="1">
        <v>189</v>
      </c>
      <c r="C194" s="1">
        <v>12</v>
      </c>
      <c r="AN194" s="1">
        <f t="shared" si="84"/>
        <v>0</v>
      </c>
      <c r="AO194" s="1">
        <f t="shared" si="85"/>
        <v>0</v>
      </c>
      <c r="AP194" s="1">
        <f t="shared" si="86"/>
        <v>0</v>
      </c>
      <c r="AQ194" s="16">
        <f t="shared" si="103"/>
        <v>0</v>
      </c>
      <c r="AR194" s="23" t="e">
        <f t="shared" si="87"/>
        <v>#DIV/0!</v>
      </c>
      <c r="AT194" s="18">
        <f t="shared" si="82"/>
        <v>45846</v>
      </c>
      <c r="AU194" s="19">
        <f t="shared" si="83"/>
        <v>189</v>
      </c>
      <c r="AV194" s="1">
        <f t="shared" si="88"/>
        <v>0</v>
      </c>
      <c r="AW194" s="1">
        <f t="shared" si="89"/>
        <v>0</v>
      </c>
      <c r="AX194" s="1">
        <f t="shared" si="90"/>
        <v>0</v>
      </c>
      <c r="AY194" s="1">
        <f t="shared" si="78"/>
        <v>0</v>
      </c>
      <c r="AZ194" s="1">
        <f t="shared" si="79"/>
        <v>0</v>
      </c>
      <c r="BA194" s="1">
        <f t="shared" si="91"/>
        <v>0</v>
      </c>
      <c r="BB194" s="5" t="str">
        <f t="shared" si="92"/>
        <v>NAN</v>
      </c>
      <c r="BC194" s="1">
        <f>ROUND(AC194,1)</f>
        <v>0</v>
      </c>
      <c r="BD194" s="1">
        <f>ROUND(AD194,1)</f>
        <v>0</v>
      </c>
      <c r="BE194" s="1">
        <f>ROUND(AE194,1)</f>
        <v>0</v>
      </c>
      <c r="BF194" s="5">
        <f t="shared" si="93"/>
        <v>0</v>
      </c>
      <c r="BG194" s="5">
        <f t="shared" si="94"/>
        <v>0</v>
      </c>
      <c r="BH194" s="5">
        <f t="shared" si="95"/>
        <v>0</v>
      </c>
      <c r="BI194" s="5">
        <f t="shared" si="96"/>
        <v>0</v>
      </c>
      <c r="BJ194" s="9">
        <f t="shared" si="97"/>
        <v>0</v>
      </c>
      <c r="BK194" s="9" t="e">
        <f t="shared" si="97"/>
        <v>#DIV/0!</v>
      </c>
      <c r="BM194" s="1">
        <f t="shared" si="98"/>
        <v>0</v>
      </c>
      <c r="BN194" s="1">
        <f t="shared" si="99"/>
        <v>0</v>
      </c>
    </row>
    <row r="195" spans="1:66" x14ac:dyDescent="0.2">
      <c r="A195" s="4">
        <f t="shared" si="100"/>
        <v>45847</v>
      </c>
      <c r="B195" s="1">
        <v>190</v>
      </c>
      <c r="C195" s="1">
        <v>12</v>
      </c>
      <c r="AN195" s="1">
        <f t="shared" si="84"/>
        <v>0</v>
      </c>
      <c r="AO195" s="1">
        <f t="shared" si="85"/>
        <v>0</v>
      </c>
      <c r="AP195" s="1">
        <f t="shared" si="86"/>
        <v>0</v>
      </c>
      <c r="AQ195" s="16">
        <f t="shared" si="103"/>
        <v>0</v>
      </c>
      <c r="AR195" s="23" t="e">
        <f t="shared" si="87"/>
        <v>#DIV/0!</v>
      </c>
      <c r="AT195" s="18">
        <f t="shared" si="82"/>
        <v>45847</v>
      </c>
      <c r="AU195" s="19">
        <f t="shared" si="83"/>
        <v>190</v>
      </c>
      <c r="AV195" s="1">
        <f t="shared" si="88"/>
        <v>0</v>
      </c>
      <c r="AW195" s="1">
        <f t="shared" si="89"/>
        <v>0</v>
      </c>
      <c r="AX195" s="1">
        <f t="shared" si="90"/>
        <v>0</v>
      </c>
      <c r="AY195" s="1">
        <f t="shared" si="78"/>
        <v>0</v>
      </c>
      <c r="AZ195" s="1">
        <f t="shared" si="79"/>
        <v>0</v>
      </c>
      <c r="BA195" s="1">
        <f t="shared" si="91"/>
        <v>0</v>
      </c>
      <c r="BB195" s="5" t="str">
        <f t="shared" si="92"/>
        <v>NAN</v>
      </c>
      <c r="BC195" s="1">
        <f>ROUND(AC195,1)</f>
        <v>0</v>
      </c>
      <c r="BD195" s="1">
        <f>ROUND(AD195,1)</f>
        <v>0</v>
      </c>
      <c r="BE195" s="1">
        <f>ROUND(AE195,1)</f>
        <v>0</v>
      </c>
      <c r="BF195" s="5">
        <f t="shared" si="93"/>
        <v>0</v>
      </c>
      <c r="BG195" s="5">
        <f t="shared" si="94"/>
        <v>0</v>
      </c>
      <c r="BH195" s="5">
        <f t="shared" si="95"/>
        <v>0</v>
      </c>
      <c r="BI195" s="5">
        <f t="shared" si="96"/>
        <v>0</v>
      </c>
      <c r="BJ195" s="9">
        <f t="shared" si="97"/>
        <v>0</v>
      </c>
      <c r="BK195" s="9" t="e">
        <f t="shared" si="97"/>
        <v>#DIV/0!</v>
      </c>
      <c r="BM195" s="1">
        <f t="shared" si="98"/>
        <v>0</v>
      </c>
      <c r="BN195" s="1">
        <f t="shared" si="99"/>
        <v>0</v>
      </c>
    </row>
    <row r="196" spans="1:66" x14ac:dyDescent="0.2">
      <c r="A196" s="4">
        <f t="shared" si="100"/>
        <v>45848</v>
      </c>
      <c r="B196" s="1">
        <v>191</v>
      </c>
      <c r="C196" s="1">
        <v>12</v>
      </c>
      <c r="AN196" s="1">
        <f t="shared" si="84"/>
        <v>0</v>
      </c>
      <c r="AO196" s="1">
        <f t="shared" si="85"/>
        <v>0</v>
      </c>
      <c r="AP196" s="1">
        <f t="shared" si="86"/>
        <v>0</v>
      </c>
      <c r="AQ196" s="16">
        <f t="shared" si="103"/>
        <v>0</v>
      </c>
      <c r="AR196" s="23" t="e">
        <f t="shared" si="87"/>
        <v>#DIV/0!</v>
      </c>
      <c r="AT196" s="18">
        <f t="shared" si="82"/>
        <v>45848</v>
      </c>
      <c r="AU196" s="19">
        <f t="shared" si="83"/>
        <v>191</v>
      </c>
      <c r="AV196" s="1">
        <f t="shared" si="88"/>
        <v>0</v>
      </c>
      <c r="AW196" s="1">
        <f t="shared" si="89"/>
        <v>0</v>
      </c>
      <c r="AX196" s="1">
        <f t="shared" si="90"/>
        <v>0</v>
      </c>
      <c r="AY196" s="1">
        <f t="shared" si="78"/>
        <v>0</v>
      </c>
      <c r="AZ196" s="1">
        <f t="shared" si="79"/>
        <v>0</v>
      </c>
      <c r="BA196" s="1">
        <f t="shared" si="91"/>
        <v>0</v>
      </c>
      <c r="BB196" s="5" t="str">
        <f t="shared" si="92"/>
        <v>NAN</v>
      </c>
      <c r="BC196" s="1">
        <f>ROUND(AC196,1)</f>
        <v>0</v>
      </c>
      <c r="BD196" s="1">
        <f>ROUND(AD196,1)</f>
        <v>0</v>
      </c>
      <c r="BE196" s="1">
        <f>ROUND(AE196,1)</f>
        <v>0</v>
      </c>
      <c r="BF196" s="5">
        <f t="shared" si="93"/>
        <v>0</v>
      </c>
      <c r="BG196" s="5">
        <f t="shared" si="94"/>
        <v>0</v>
      </c>
      <c r="BH196" s="5">
        <f t="shared" si="95"/>
        <v>0</v>
      </c>
      <c r="BI196" s="5">
        <f t="shared" si="96"/>
        <v>0</v>
      </c>
      <c r="BJ196" s="9">
        <f t="shared" si="97"/>
        <v>0</v>
      </c>
      <c r="BK196" s="9" t="e">
        <f t="shared" si="97"/>
        <v>#DIV/0!</v>
      </c>
      <c r="BM196" s="1">
        <f t="shared" si="98"/>
        <v>0</v>
      </c>
      <c r="BN196" s="1">
        <f t="shared" si="99"/>
        <v>0</v>
      </c>
    </row>
    <row r="197" spans="1:66" x14ac:dyDescent="0.2">
      <c r="A197" s="4">
        <f t="shared" si="100"/>
        <v>45849</v>
      </c>
      <c r="B197" s="1">
        <v>192</v>
      </c>
      <c r="C197" s="1">
        <v>12</v>
      </c>
      <c r="AN197" s="1">
        <f t="shared" si="84"/>
        <v>0</v>
      </c>
      <c r="AO197" s="1">
        <f t="shared" si="85"/>
        <v>0</v>
      </c>
      <c r="AP197" s="1">
        <f t="shared" si="86"/>
        <v>0</v>
      </c>
      <c r="AQ197" s="16">
        <f t="shared" si="103"/>
        <v>0</v>
      </c>
      <c r="AR197" s="23" t="e">
        <f t="shared" si="87"/>
        <v>#DIV/0!</v>
      </c>
      <c r="AT197" s="18">
        <f t="shared" si="82"/>
        <v>45849</v>
      </c>
      <c r="AU197" s="19">
        <f t="shared" si="83"/>
        <v>192</v>
      </c>
      <c r="AV197" s="1">
        <f t="shared" si="88"/>
        <v>0</v>
      </c>
      <c r="AW197" s="1">
        <f t="shared" si="89"/>
        <v>0</v>
      </c>
      <c r="AX197" s="1">
        <f t="shared" si="90"/>
        <v>0</v>
      </c>
      <c r="AY197" s="1">
        <f t="shared" ref="AY197:AY260" si="104">AO197</f>
        <v>0</v>
      </c>
      <c r="AZ197" s="1">
        <f t="shared" ref="AZ197:AZ260" si="105">AP197</f>
        <v>0</v>
      </c>
      <c r="BA197" s="1">
        <f t="shared" si="91"/>
        <v>0</v>
      </c>
      <c r="BB197" s="5" t="str">
        <f t="shared" si="92"/>
        <v>NAN</v>
      </c>
      <c r="BC197" s="1">
        <f>ROUND(AC197,1)</f>
        <v>0</v>
      </c>
      <c r="BD197" s="1">
        <f>ROUND(AD197,1)</f>
        <v>0</v>
      </c>
      <c r="BE197" s="1">
        <f>ROUND(AE197,1)</f>
        <v>0</v>
      </c>
      <c r="BF197" s="5">
        <f t="shared" si="93"/>
        <v>0</v>
      </c>
      <c r="BG197" s="5">
        <f t="shared" si="94"/>
        <v>0</v>
      </c>
      <c r="BH197" s="5">
        <f t="shared" si="95"/>
        <v>0</v>
      </c>
      <c r="BI197" s="5">
        <f t="shared" si="96"/>
        <v>0</v>
      </c>
      <c r="BJ197" s="9">
        <f t="shared" si="97"/>
        <v>0</v>
      </c>
      <c r="BK197" s="9" t="e">
        <f t="shared" si="97"/>
        <v>#DIV/0!</v>
      </c>
      <c r="BM197" s="1">
        <f t="shared" si="98"/>
        <v>0</v>
      </c>
      <c r="BN197" s="1">
        <f t="shared" si="99"/>
        <v>0</v>
      </c>
    </row>
    <row r="198" spans="1:66" x14ac:dyDescent="0.2">
      <c r="A198" s="4">
        <f t="shared" si="100"/>
        <v>45850</v>
      </c>
      <c r="B198" s="1">
        <v>193</v>
      </c>
      <c r="C198" s="1">
        <v>12</v>
      </c>
      <c r="AN198" s="1">
        <f t="shared" si="84"/>
        <v>0</v>
      </c>
      <c r="AO198" s="1">
        <f t="shared" si="85"/>
        <v>0</v>
      </c>
      <c r="AP198" s="1">
        <f t="shared" si="86"/>
        <v>0</v>
      </c>
      <c r="AQ198" s="16">
        <f t="shared" si="103"/>
        <v>0</v>
      </c>
      <c r="AR198" s="23" t="e">
        <f t="shared" si="87"/>
        <v>#DIV/0!</v>
      </c>
      <c r="AT198" s="18">
        <f t="shared" ref="AT198:AT261" si="106">A198</f>
        <v>45850</v>
      </c>
      <c r="AU198" s="19">
        <f t="shared" ref="AU198:AU261" si="107">B198</f>
        <v>193</v>
      </c>
      <c r="AV198" s="1">
        <f t="shared" si="88"/>
        <v>0</v>
      </c>
      <c r="AW198" s="1">
        <f t="shared" si="89"/>
        <v>0</v>
      </c>
      <c r="AX198" s="1">
        <f t="shared" si="90"/>
        <v>0</v>
      </c>
      <c r="AY198" s="1">
        <f t="shared" si="104"/>
        <v>0</v>
      </c>
      <c r="AZ198" s="1">
        <f t="shared" si="105"/>
        <v>0</v>
      </c>
      <c r="BA198" s="1">
        <f t="shared" si="91"/>
        <v>0</v>
      </c>
      <c r="BB198" s="5" t="str">
        <f t="shared" si="92"/>
        <v>NAN</v>
      </c>
      <c r="BC198" s="1">
        <f>ROUND(AC198,1)</f>
        <v>0</v>
      </c>
      <c r="BD198" s="1">
        <f>ROUND(AD198,1)</f>
        <v>0</v>
      </c>
      <c r="BE198" s="1">
        <f>ROUND(AE198,1)</f>
        <v>0</v>
      </c>
      <c r="BF198" s="5">
        <f t="shared" si="93"/>
        <v>0</v>
      </c>
      <c r="BG198" s="5">
        <f t="shared" si="94"/>
        <v>0</v>
      </c>
      <c r="BH198" s="5">
        <f t="shared" si="95"/>
        <v>0</v>
      </c>
      <c r="BI198" s="5">
        <f t="shared" si="96"/>
        <v>0</v>
      </c>
      <c r="BJ198" s="9">
        <f t="shared" si="97"/>
        <v>0</v>
      </c>
      <c r="BK198" s="9" t="e">
        <f t="shared" si="97"/>
        <v>#DIV/0!</v>
      </c>
      <c r="BM198" s="1">
        <f t="shared" si="98"/>
        <v>0</v>
      </c>
      <c r="BN198" s="1">
        <f t="shared" si="99"/>
        <v>0</v>
      </c>
    </row>
    <row r="199" spans="1:66" x14ac:dyDescent="0.2">
      <c r="A199" s="4">
        <f t="shared" si="100"/>
        <v>45851</v>
      </c>
      <c r="B199" s="1">
        <v>194</v>
      </c>
      <c r="C199" s="1">
        <v>12</v>
      </c>
      <c r="AN199" s="1">
        <f t="shared" ref="AN199:AN262" si="108">ROUND(O199*AO$1,1)</f>
        <v>0</v>
      </c>
      <c r="AO199" s="1">
        <f t="shared" ref="AO199:AO262" si="109">ROUND(H199*AO$1,1)</f>
        <v>0</v>
      </c>
      <c r="AP199" s="1">
        <f t="shared" ref="AP199:AP262" si="110">ROUND(V199*AO$1,1)</f>
        <v>0</v>
      </c>
      <c r="AQ199" s="16">
        <f t="shared" si="103"/>
        <v>0</v>
      </c>
      <c r="AR199" s="23" t="e">
        <f t="shared" ref="AR199:AR262" si="111">ROUND(AQ199/AP199*(100-AP199),3)</f>
        <v>#DIV/0!</v>
      </c>
      <c r="AT199" s="18">
        <f t="shared" si="106"/>
        <v>45851</v>
      </c>
      <c r="AU199" s="19">
        <f t="shared" si="107"/>
        <v>194</v>
      </c>
      <c r="AV199" s="1">
        <f t="shared" ref="AV199:AV262" si="112">ROUND(G199,1)</f>
        <v>0</v>
      </c>
      <c r="AW199" s="1">
        <f t="shared" ref="AW199:AW262" si="113">ROUND(N199,1)</f>
        <v>0</v>
      </c>
      <c r="AX199" s="1">
        <f t="shared" ref="AX199:AX262" si="114">ROUND(U199,1)</f>
        <v>0</v>
      </c>
      <c r="AY199" s="1">
        <f t="shared" si="104"/>
        <v>0</v>
      </c>
      <c r="AZ199" s="1">
        <f t="shared" si="105"/>
        <v>0</v>
      </c>
      <c r="BA199" s="1">
        <f t="shared" ref="BA199:BA262" si="115">AK199</f>
        <v>0</v>
      </c>
      <c r="BB199" s="5" t="str">
        <f t="shared" ref="BB199:BB262" si="116">IF(AL199="","NAN",AL199)</f>
        <v>NAN</v>
      </c>
      <c r="BC199" s="1">
        <f>ROUND(AC199,1)</f>
        <v>0</v>
      </c>
      <c r="BD199" s="1">
        <f>ROUND(AD199,1)</f>
        <v>0</v>
      </c>
      <c r="BE199" s="1">
        <f>ROUND(AE199,1)</f>
        <v>0</v>
      </c>
      <c r="BF199" s="5">
        <f t="shared" ref="BF199:BF262" si="117">ROUND(K199,1)</f>
        <v>0</v>
      </c>
      <c r="BG199" s="5">
        <f t="shared" ref="BG199:BG262" si="118">ROUND(L199,1)</f>
        <v>0</v>
      </c>
      <c r="BH199" s="5">
        <f t="shared" ref="BH199:BH262" si="119">ROUND(M199,1)</f>
        <v>0</v>
      </c>
      <c r="BI199" s="5">
        <f t="shared" ref="BI199:BI262" si="120">IF(AI199="NAN",-999,ROUND(AI199,3))</f>
        <v>0</v>
      </c>
      <c r="BJ199" s="9">
        <f t="shared" ref="BJ199:BK262" si="121">AQ199</f>
        <v>0</v>
      </c>
      <c r="BK199" s="9" t="e">
        <f t="shared" si="121"/>
        <v>#DIV/0!</v>
      </c>
      <c r="BM199" s="1">
        <f t="shared" ref="BM199:BM262" si="122">AD199-N199</f>
        <v>0</v>
      </c>
      <c r="BN199" s="1">
        <f t="shared" ref="BN199:BN262" si="123">AE199-U199</f>
        <v>0</v>
      </c>
    </row>
    <row r="200" spans="1:66" x14ac:dyDescent="0.2">
      <c r="A200" s="4">
        <f t="shared" ref="A200:A263" si="124">A199+1</f>
        <v>45852</v>
      </c>
      <c r="B200" s="1">
        <v>195</v>
      </c>
      <c r="C200" s="1">
        <v>12</v>
      </c>
      <c r="AN200" s="1">
        <f t="shared" si="108"/>
        <v>0</v>
      </c>
      <c r="AO200" s="1">
        <f t="shared" si="109"/>
        <v>0</v>
      </c>
      <c r="AP200" s="1">
        <f t="shared" si="110"/>
        <v>0</v>
      </c>
      <c r="AQ200" s="16">
        <f t="shared" si="103"/>
        <v>0</v>
      </c>
      <c r="AR200" s="23" t="e">
        <f t="shared" si="111"/>
        <v>#DIV/0!</v>
      </c>
      <c r="AT200" s="18">
        <f t="shared" si="106"/>
        <v>45852</v>
      </c>
      <c r="AU200" s="19">
        <f t="shared" si="107"/>
        <v>195</v>
      </c>
      <c r="AV200" s="1">
        <f t="shared" si="112"/>
        <v>0</v>
      </c>
      <c r="AW200" s="1">
        <f t="shared" si="113"/>
        <v>0</v>
      </c>
      <c r="AX200" s="1">
        <f t="shared" si="114"/>
        <v>0</v>
      </c>
      <c r="AY200" s="1">
        <f t="shared" si="104"/>
        <v>0</v>
      </c>
      <c r="AZ200" s="1">
        <f t="shared" si="105"/>
        <v>0</v>
      </c>
      <c r="BA200" s="1">
        <f t="shared" si="115"/>
        <v>0</v>
      </c>
      <c r="BB200" s="5" t="str">
        <f t="shared" si="116"/>
        <v>NAN</v>
      </c>
      <c r="BC200" s="1">
        <f>ROUND(AC200,1)</f>
        <v>0</v>
      </c>
      <c r="BD200" s="1">
        <f>ROUND(AD200,1)</f>
        <v>0</v>
      </c>
      <c r="BE200" s="1">
        <f>ROUND(AE200,1)</f>
        <v>0</v>
      </c>
      <c r="BF200" s="5">
        <f t="shared" si="117"/>
        <v>0</v>
      </c>
      <c r="BG200" s="5">
        <f t="shared" si="118"/>
        <v>0</v>
      </c>
      <c r="BH200" s="5">
        <f t="shared" si="119"/>
        <v>0</v>
      </c>
      <c r="BI200" s="5">
        <f t="shared" si="120"/>
        <v>0</v>
      </c>
      <c r="BJ200" s="9">
        <f t="shared" si="121"/>
        <v>0</v>
      </c>
      <c r="BK200" s="9" t="e">
        <f t="shared" si="121"/>
        <v>#DIV/0!</v>
      </c>
      <c r="BM200" s="1">
        <f t="shared" si="122"/>
        <v>0</v>
      </c>
      <c r="BN200" s="1">
        <f t="shared" si="123"/>
        <v>0</v>
      </c>
    </row>
    <row r="201" spans="1:66" x14ac:dyDescent="0.2">
      <c r="A201" s="4">
        <f t="shared" si="124"/>
        <v>45853</v>
      </c>
      <c r="B201" s="1">
        <v>196</v>
      </c>
      <c r="C201" s="1">
        <v>12</v>
      </c>
      <c r="AN201" s="1">
        <f t="shared" si="108"/>
        <v>0</v>
      </c>
      <c r="AO201" s="1">
        <f t="shared" si="109"/>
        <v>0</v>
      </c>
      <c r="AP201" s="1">
        <f t="shared" si="110"/>
        <v>0</v>
      </c>
      <c r="AQ201" s="16">
        <f t="shared" si="103"/>
        <v>0</v>
      </c>
      <c r="AR201" s="23" t="e">
        <f t="shared" si="111"/>
        <v>#DIV/0!</v>
      </c>
      <c r="AT201" s="18">
        <f t="shared" si="106"/>
        <v>45853</v>
      </c>
      <c r="AU201" s="19">
        <f t="shared" si="107"/>
        <v>196</v>
      </c>
      <c r="AV201" s="1">
        <f t="shared" si="112"/>
        <v>0</v>
      </c>
      <c r="AW201" s="1">
        <f t="shared" si="113"/>
        <v>0</v>
      </c>
      <c r="AX201" s="1">
        <f t="shared" si="114"/>
        <v>0</v>
      </c>
      <c r="AY201" s="1">
        <f t="shared" si="104"/>
        <v>0</v>
      </c>
      <c r="AZ201" s="1">
        <f t="shared" si="105"/>
        <v>0</v>
      </c>
      <c r="BA201" s="1">
        <f t="shared" si="115"/>
        <v>0</v>
      </c>
      <c r="BB201" s="5" t="str">
        <f t="shared" si="116"/>
        <v>NAN</v>
      </c>
      <c r="BC201" s="1">
        <f>ROUND(AC201,1)</f>
        <v>0</v>
      </c>
      <c r="BD201" s="1">
        <f>ROUND(AD201,1)</f>
        <v>0</v>
      </c>
      <c r="BE201" s="1">
        <f>ROUND(AE201,1)</f>
        <v>0</v>
      </c>
      <c r="BF201" s="5">
        <f t="shared" si="117"/>
        <v>0</v>
      </c>
      <c r="BG201" s="5">
        <f t="shared" si="118"/>
        <v>0</v>
      </c>
      <c r="BH201" s="5">
        <f t="shared" si="119"/>
        <v>0</v>
      </c>
      <c r="BI201" s="5">
        <f t="shared" si="120"/>
        <v>0</v>
      </c>
      <c r="BJ201" s="9">
        <f t="shared" si="121"/>
        <v>0</v>
      </c>
      <c r="BK201" s="9" t="e">
        <f t="shared" si="121"/>
        <v>#DIV/0!</v>
      </c>
      <c r="BM201" s="1">
        <f t="shared" si="122"/>
        <v>0</v>
      </c>
      <c r="BN201" s="1">
        <f t="shared" si="123"/>
        <v>0</v>
      </c>
    </row>
    <row r="202" spans="1:66" x14ac:dyDescent="0.2">
      <c r="A202" s="4">
        <f t="shared" si="124"/>
        <v>45854</v>
      </c>
      <c r="B202" s="1">
        <v>197</v>
      </c>
      <c r="C202" s="1">
        <v>12</v>
      </c>
      <c r="AN202" s="1">
        <f t="shared" si="108"/>
        <v>0</v>
      </c>
      <c r="AO202" s="1">
        <f t="shared" si="109"/>
        <v>0</v>
      </c>
      <c r="AP202" s="1">
        <f t="shared" si="110"/>
        <v>0</v>
      </c>
      <c r="AQ202" s="16">
        <f t="shared" si="103"/>
        <v>0</v>
      </c>
      <c r="AR202" s="23" t="e">
        <f t="shared" si="111"/>
        <v>#DIV/0!</v>
      </c>
      <c r="AT202" s="18">
        <f t="shared" si="106"/>
        <v>45854</v>
      </c>
      <c r="AU202" s="19">
        <f t="shared" si="107"/>
        <v>197</v>
      </c>
      <c r="AV202" s="1">
        <f t="shared" si="112"/>
        <v>0</v>
      </c>
      <c r="AW202" s="1">
        <f t="shared" si="113"/>
        <v>0</v>
      </c>
      <c r="AX202" s="1">
        <f t="shared" si="114"/>
        <v>0</v>
      </c>
      <c r="AY202" s="1">
        <f t="shared" si="104"/>
        <v>0</v>
      </c>
      <c r="AZ202" s="1">
        <f t="shared" si="105"/>
        <v>0</v>
      </c>
      <c r="BA202" s="1">
        <f t="shared" si="115"/>
        <v>0</v>
      </c>
      <c r="BB202" s="5" t="str">
        <f t="shared" si="116"/>
        <v>NAN</v>
      </c>
      <c r="BC202" s="1">
        <f>ROUND(AC202,1)</f>
        <v>0</v>
      </c>
      <c r="BD202" s="1">
        <f>ROUND(AD202,1)</f>
        <v>0</v>
      </c>
      <c r="BE202" s="1">
        <f>ROUND(AE202,1)</f>
        <v>0</v>
      </c>
      <c r="BF202" s="5">
        <f t="shared" si="117"/>
        <v>0</v>
      </c>
      <c r="BG202" s="5">
        <f t="shared" si="118"/>
        <v>0</v>
      </c>
      <c r="BH202" s="5">
        <f t="shared" si="119"/>
        <v>0</v>
      </c>
      <c r="BI202" s="5">
        <f t="shared" si="120"/>
        <v>0</v>
      </c>
      <c r="BJ202" s="9">
        <f t="shared" si="121"/>
        <v>0</v>
      </c>
      <c r="BK202" s="9" t="e">
        <f t="shared" si="121"/>
        <v>#DIV/0!</v>
      </c>
      <c r="BM202" s="1">
        <f t="shared" si="122"/>
        <v>0</v>
      </c>
      <c r="BN202" s="1">
        <f t="shared" si="123"/>
        <v>0</v>
      </c>
    </row>
    <row r="203" spans="1:66" x14ac:dyDescent="0.2">
      <c r="A203" s="4">
        <f t="shared" si="124"/>
        <v>45855</v>
      </c>
      <c r="B203" s="1">
        <v>198</v>
      </c>
      <c r="C203" s="1">
        <v>12</v>
      </c>
      <c r="AN203" s="1">
        <f t="shared" si="108"/>
        <v>0</v>
      </c>
      <c r="AO203" s="1">
        <f t="shared" si="109"/>
        <v>0</v>
      </c>
      <c r="AP203" s="1">
        <f t="shared" si="110"/>
        <v>0</v>
      </c>
      <c r="AQ203" s="16">
        <f t="shared" si="103"/>
        <v>0</v>
      </c>
      <c r="AR203" s="23" t="e">
        <f t="shared" si="111"/>
        <v>#DIV/0!</v>
      </c>
      <c r="AT203" s="18">
        <f t="shared" si="106"/>
        <v>45855</v>
      </c>
      <c r="AU203" s="19">
        <f t="shared" si="107"/>
        <v>198</v>
      </c>
      <c r="AV203" s="1">
        <f t="shared" si="112"/>
        <v>0</v>
      </c>
      <c r="AW203" s="1">
        <f t="shared" si="113"/>
        <v>0</v>
      </c>
      <c r="AX203" s="1">
        <f t="shared" si="114"/>
        <v>0</v>
      </c>
      <c r="AY203" s="1">
        <f t="shared" si="104"/>
        <v>0</v>
      </c>
      <c r="AZ203" s="1">
        <f t="shared" si="105"/>
        <v>0</v>
      </c>
      <c r="BA203" s="1">
        <f t="shared" si="115"/>
        <v>0</v>
      </c>
      <c r="BB203" s="5" t="str">
        <f t="shared" si="116"/>
        <v>NAN</v>
      </c>
      <c r="BC203" s="1">
        <f>ROUND(AC203,1)</f>
        <v>0</v>
      </c>
      <c r="BD203" s="1">
        <f>ROUND(AD203,1)</f>
        <v>0</v>
      </c>
      <c r="BE203" s="1">
        <f>ROUND(AE203,1)</f>
        <v>0</v>
      </c>
      <c r="BF203" s="5">
        <f t="shared" si="117"/>
        <v>0</v>
      </c>
      <c r="BG203" s="5">
        <f t="shared" si="118"/>
        <v>0</v>
      </c>
      <c r="BH203" s="5">
        <f t="shared" si="119"/>
        <v>0</v>
      </c>
      <c r="BI203" s="5">
        <f t="shared" si="120"/>
        <v>0</v>
      </c>
      <c r="BJ203" s="9">
        <f t="shared" si="121"/>
        <v>0</v>
      </c>
      <c r="BK203" s="9" t="e">
        <f t="shared" si="121"/>
        <v>#DIV/0!</v>
      </c>
      <c r="BM203" s="1">
        <f t="shared" si="122"/>
        <v>0</v>
      </c>
      <c r="BN203" s="1">
        <f t="shared" si="123"/>
        <v>0</v>
      </c>
    </row>
    <row r="204" spans="1:66" x14ac:dyDescent="0.2">
      <c r="A204" s="4">
        <f t="shared" si="124"/>
        <v>45856</v>
      </c>
      <c r="B204" s="1">
        <v>199</v>
      </c>
      <c r="C204" s="1">
        <v>12</v>
      </c>
      <c r="AN204" s="1">
        <f t="shared" si="108"/>
        <v>0</v>
      </c>
      <c r="AO204" s="1">
        <f t="shared" si="109"/>
        <v>0</v>
      </c>
      <c r="AP204" s="1">
        <f t="shared" si="110"/>
        <v>0</v>
      </c>
      <c r="AQ204" s="16">
        <f t="shared" si="103"/>
        <v>0</v>
      </c>
      <c r="AR204" s="23" t="e">
        <f t="shared" si="111"/>
        <v>#DIV/0!</v>
      </c>
      <c r="AT204" s="18">
        <f t="shared" si="106"/>
        <v>45856</v>
      </c>
      <c r="AU204" s="19">
        <f t="shared" si="107"/>
        <v>199</v>
      </c>
      <c r="AV204" s="1">
        <f t="shared" si="112"/>
        <v>0</v>
      </c>
      <c r="AW204" s="1">
        <f t="shared" si="113"/>
        <v>0</v>
      </c>
      <c r="AX204" s="1">
        <f t="shared" si="114"/>
        <v>0</v>
      </c>
      <c r="AY204" s="1">
        <f t="shared" si="104"/>
        <v>0</v>
      </c>
      <c r="AZ204" s="1">
        <f t="shared" si="105"/>
        <v>0</v>
      </c>
      <c r="BA204" s="1">
        <f t="shared" si="115"/>
        <v>0</v>
      </c>
      <c r="BB204" s="5" t="str">
        <f t="shared" si="116"/>
        <v>NAN</v>
      </c>
      <c r="BC204" s="1">
        <f>ROUND(AC204,1)</f>
        <v>0</v>
      </c>
      <c r="BD204" s="1">
        <f>ROUND(AD204,1)</f>
        <v>0</v>
      </c>
      <c r="BE204" s="1">
        <f>ROUND(AE204,1)</f>
        <v>0</v>
      </c>
      <c r="BF204" s="5">
        <f t="shared" si="117"/>
        <v>0</v>
      </c>
      <c r="BG204" s="5">
        <f t="shared" si="118"/>
        <v>0</v>
      </c>
      <c r="BH204" s="5">
        <f t="shared" si="119"/>
        <v>0</v>
      </c>
      <c r="BI204" s="5">
        <f t="shared" si="120"/>
        <v>0</v>
      </c>
      <c r="BJ204" s="9">
        <f t="shared" si="121"/>
        <v>0</v>
      </c>
      <c r="BK204" s="9" t="e">
        <f t="shared" si="121"/>
        <v>#DIV/0!</v>
      </c>
      <c r="BM204" s="1">
        <f t="shared" si="122"/>
        <v>0</v>
      </c>
      <c r="BN204" s="1">
        <f t="shared" si="123"/>
        <v>0</v>
      </c>
    </row>
    <row r="205" spans="1:66" x14ac:dyDescent="0.2">
      <c r="A205" s="4">
        <f t="shared" si="124"/>
        <v>45857</v>
      </c>
      <c r="B205" s="1">
        <v>200</v>
      </c>
      <c r="C205" s="1">
        <v>12</v>
      </c>
      <c r="AN205" s="1">
        <f t="shared" si="108"/>
        <v>0</v>
      </c>
      <c r="AO205" s="1">
        <f t="shared" si="109"/>
        <v>0</v>
      </c>
      <c r="AP205" s="1">
        <f t="shared" si="110"/>
        <v>0</v>
      </c>
      <c r="AQ205" s="16">
        <f t="shared" si="103"/>
        <v>0</v>
      </c>
      <c r="AR205" s="23" t="e">
        <f t="shared" si="111"/>
        <v>#DIV/0!</v>
      </c>
      <c r="AT205" s="18">
        <f t="shared" si="106"/>
        <v>45857</v>
      </c>
      <c r="AU205" s="19">
        <f t="shared" si="107"/>
        <v>200</v>
      </c>
      <c r="AV205" s="1">
        <f t="shared" si="112"/>
        <v>0</v>
      </c>
      <c r="AW205" s="1">
        <f t="shared" si="113"/>
        <v>0</v>
      </c>
      <c r="AX205" s="1">
        <f t="shared" si="114"/>
        <v>0</v>
      </c>
      <c r="AY205" s="1">
        <f t="shared" si="104"/>
        <v>0</v>
      </c>
      <c r="AZ205" s="1">
        <f t="shared" si="105"/>
        <v>0</v>
      </c>
      <c r="BA205" s="1">
        <f t="shared" si="115"/>
        <v>0</v>
      </c>
      <c r="BB205" s="5" t="str">
        <f t="shared" si="116"/>
        <v>NAN</v>
      </c>
      <c r="BC205" s="1">
        <f>ROUND(AC205,1)</f>
        <v>0</v>
      </c>
      <c r="BD205" s="1">
        <f>ROUND(AD205,1)</f>
        <v>0</v>
      </c>
      <c r="BE205" s="1">
        <f>ROUND(AE205,1)</f>
        <v>0</v>
      </c>
      <c r="BF205" s="5">
        <f t="shared" si="117"/>
        <v>0</v>
      </c>
      <c r="BG205" s="5">
        <f t="shared" si="118"/>
        <v>0</v>
      </c>
      <c r="BH205" s="5">
        <f t="shared" si="119"/>
        <v>0</v>
      </c>
      <c r="BI205" s="5">
        <f t="shared" si="120"/>
        <v>0</v>
      </c>
      <c r="BJ205" s="9">
        <f t="shared" si="121"/>
        <v>0</v>
      </c>
      <c r="BK205" s="9" t="e">
        <f t="shared" si="121"/>
        <v>#DIV/0!</v>
      </c>
      <c r="BM205" s="1">
        <f t="shared" si="122"/>
        <v>0</v>
      </c>
      <c r="BN205" s="1">
        <f t="shared" si="123"/>
        <v>0</v>
      </c>
    </row>
    <row r="206" spans="1:66" x14ac:dyDescent="0.2">
      <c r="A206" s="4">
        <f t="shared" si="124"/>
        <v>45858</v>
      </c>
      <c r="B206" s="1">
        <v>201</v>
      </c>
      <c r="C206" s="1">
        <v>12</v>
      </c>
      <c r="AN206" s="1">
        <f t="shared" si="108"/>
        <v>0</v>
      </c>
      <c r="AO206" s="1">
        <f t="shared" si="109"/>
        <v>0</v>
      </c>
      <c r="AP206" s="1">
        <f t="shared" si="110"/>
        <v>0</v>
      </c>
      <c r="AQ206" s="16">
        <f t="shared" si="103"/>
        <v>0</v>
      </c>
      <c r="AR206" s="23" t="e">
        <f t="shared" si="111"/>
        <v>#DIV/0!</v>
      </c>
      <c r="AT206" s="18">
        <f t="shared" si="106"/>
        <v>45858</v>
      </c>
      <c r="AU206" s="19">
        <f t="shared" si="107"/>
        <v>201</v>
      </c>
      <c r="AV206" s="1">
        <f t="shared" si="112"/>
        <v>0</v>
      </c>
      <c r="AW206" s="1">
        <f t="shared" si="113"/>
        <v>0</v>
      </c>
      <c r="AX206" s="1">
        <f t="shared" si="114"/>
        <v>0</v>
      </c>
      <c r="AY206" s="1">
        <f t="shared" si="104"/>
        <v>0</v>
      </c>
      <c r="AZ206" s="1">
        <f t="shared" si="105"/>
        <v>0</v>
      </c>
      <c r="BA206" s="1">
        <f t="shared" si="115"/>
        <v>0</v>
      </c>
      <c r="BB206" s="5" t="str">
        <f t="shared" si="116"/>
        <v>NAN</v>
      </c>
      <c r="BC206" s="1">
        <f>ROUND(AC206,1)</f>
        <v>0</v>
      </c>
      <c r="BD206" s="1">
        <f>ROUND(AD206,1)</f>
        <v>0</v>
      </c>
      <c r="BE206" s="1">
        <f>ROUND(AE206,1)</f>
        <v>0</v>
      </c>
      <c r="BF206" s="5">
        <f t="shared" si="117"/>
        <v>0</v>
      </c>
      <c r="BG206" s="5">
        <f t="shared" si="118"/>
        <v>0</v>
      </c>
      <c r="BH206" s="5">
        <f t="shared" si="119"/>
        <v>0</v>
      </c>
      <c r="BI206" s="5">
        <f t="shared" si="120"/>
        <v>0</v>
      </c>
      <c r="BJ206" s="9">
        <f t="shared" si="121"/>
        <v>0</v>
      </c>
      <c r="BK206" s="9" t="e">
        <f t="shared" si="121"/>
        <v>#DIV/0!</v>
      </c>
      <c r="BM206" s="1">
        <f t="shared" si="122"/>
        <v>0</v>
      </c>
      <c r="BN206" s="1">
        <f t="shared" si="123"/>
        <v>0</v>
      </c>
    </row>
    <row r="207" spans="1:66" x14ac:dyDescent="0.2">
      <c r="A207" s="4">
        <f t="shared" si="124"/>
        <v>45859</v>
      </c>
      <c r="B207" s="1">
        <v>202</v>
      </c>
      <c r="C207" s="1">
        <v>12</v>
      </c>
      <c r="AN207" s="1">
        <f t="shared" si="108"/>
        <v>0</v>
      </c>
      <c r="AO207" s="1">
        <f t="shared" si="109"/>
        <v>0</v>
      </c>
      <c r="AP207" s="1">
        <f t="shared" si="110"/>
        <v>0</v>
      </c>
      <c r="AQ207" s="16">
        <f t="shared" si="103"/>
        <v>0</v>
      </c>
      <c r="AR207" s="23" t="e">
        <f t="shared" si="111"/>
        <v>#DIV/0!</v>
      </c>
      <c r="AT207" s="18">
        <f t="shared" si="106"/>
        <v>45859</v>
      </c>
      <c r="AU207" s="19">
        <f t="shared" si="107"/>
        <v>202</v>
      </c>
      <c r="AV207" s="1">
        <f t="shared" si="112"/>
        <v>0</v>
      </c>
      <c r="AW207" s="1">
        <f t="shared" si="113"/>
        <v>0</v>
      </c>
      <c r="AX207" s="1">
        <f t="shared" si="114"/>
        <v>0</v>
      </c>
      <c r="AY207" s="1">
        <f t="shared" si="104"/>
        <v>0</v>
      </c>
      <c r="AZ207" s="1">
        <f t="shared" si="105"/>
        <v>0</v>
      </c>
      <c r="BA207" s="1">
        <f t="shared" si="115"/>
        <v>0</v>
      </c>
      <c r="BB207" s="5" t="str">
        <f t="shared" si="116"/>
        <v>NAN</v>
      </c>
      <c r="BC207" s="1">
        <f>ROUND(AC207,1)</f>
        <v>0</v>
      </c>
      <c r="BD207" s="1">
        <f>ROUND(AD207,1)</f>
        <v>0</v>
      </c>
      <c r="BE207" s="1">
        <f>ROUND(AE207,1)</f>
        <v>0</v>
      </c>
      <c r="BF207" s="5">
        <f t="shared" si="117"/>
        <v>0</v>
      </c>
      <c r="BG207" s="5">
        <f t="shared" si="118"/>
        <v>0</v>
      </c>
      <c r="BH207" s="5">
        <f t="shared" si="119"/>
        <v>0</v>
      </c>
      <c r="BI207" s="5">
        <f t="shared" si="120"/>
        <v>0</v>
      </c>
      <c r="BJ207" s="9">
        <f t="shared" si="121"/>
        <v>0</v>
      </c>
      <c r="BK207" s="9" t="e">
        <f t="shared" si="121"/>
        <v>#DIV/0!</v>
      </c>
      <c r="BM207" s="1">
        <f t="shared" si="122"/>
        <v>0</v>
      </c>
      <c r="BN207" s="1">
        <f t="shared" si="123"/>
        <v>0</v>
      </c>
    </row>
    <row r="208" spans="1:66" x14ac:dyDescent="0.2">
      <c r="A208" s="4">
        <f t="shared" si="124"/>
        <v>45860</v>
      </c>
      <c r="B208" s="1">
        <v>203</v>
      </c>
      <c r="C208" s="1">
        <v>12</v>
      </c>
      <c r="AN208" s="1">
        <f t="shared" si="108"/>
        <v>0</v>
      </c>
      <c r="AO208" s="1">
        <f t="shared" si="109"/>
        <v>0</v>
      </c>
      <c r="AP208" s="1">
        <f t="shared" si="110"/>
        <v>0</v>
      </c>
      <c r="AQ208" s="16">
        <f t="shared" si="103"/>
        <v>0</v>
      </c>
      <c r="AR208" s="23" t="e">
        <f t="shared" si="111"/>
        <v>#DIV/0!</v>
      </c>
      <c r="AT208" s="18">
        <f t="shared" si="106"/>
        <v>45860</v>
      </c>
      <c r="AU208" s="19">
        <f t="shared" si="107"/>
        <v>203</v>
      </c>
      <c r="AV208" s="1">
        <f t="shared" si="112"/>
        <v>0</v>
      </c>
      <c r="AW208" s="1">
        <f t="shared" si="113"/>
        <v>0</v>
      </c>
      <c r="AX208" s="1">
        <f t="shared" si="114"/>
        <v>0</v>
      </c>
      <c r="AY208" s="1">
        <f t="shared" si="104"/>
        <v>0</v>
      </c>
      <c r="AZ208" s="1">
        <f t="shared" si="105"/>
        <v>0</v>
      </c>
      <c r="BA208" s="1">
        <f t="shared" si="115"/>
        <v>0</v>
      </c>
      <c r="BB208" s="5" t="str">
        <f t="shared" si="116"/>
        <v>NAN</v>
      </c>
      <c r="BC208" s="1">
        <f>ROUND(AC208,1)</f>
        <v>0</v>
      </c>
      <c r="BD208" s="1">
        <f>ROUND(AD208,1)</f>
        <v>0</v>
      </c>
      <c r="BE208" s="1">
        <f>ROUND(AE208,1)</f>
        <v>0</v>
      </c>
      <c r="BF208" s="5">
        <f t="shared" si="117"/>
        <v>0</v>
      </c>
      <c r="BG208" s="5">
        <f t="shared" si="118"/>
        <v>0</v>
      </c>
      <c r="BH208" s="5">
        <f t="shared" si="119"/>
        <v>0</v>
      </c>
      <c r="BI208" s="5">
        <f t="shared" si="120"/>
        <v>0</v>
      </c>
      <c r="BJ208" s="9">
        <f t="shared" si="121"/>
        <v>0</v>
      </c>
      <c r="BK208" s="9" t="e">
        <f t="shared" si="121"/>
        <v>#DIV/0!</v>
      </c>
      <c r="BM208" s="1">
        <f t="shared" si="122"/>
        <v>0</v>
      </c>
      <c r="BN208" s="1">
        <f t="shared" si="123"/>
        <v>0</v>
      </c>
    </row>
    <row r="209" spans="1:66" x14ac:dyDescent="0.2">
      <c r="A209" s="4">
        <f t="shared" si="124"/>
        <v>45861</v>
      </c>
      <c r="B209" s="1">
        <v>204</v>
      </c>
      <c r="C209" s="1">
        <v>12</v>
      </c>
      <c r="AN209" s="1">
        <f t="shared" si="108"/>
        <v>0</v>
      </c>
      <c r="AO209" s="1">
        <f t="shared" si="109"/>
        <v>0</v>
      </c>
      <c r="AP209" s="1">
        <f t="shared" si="110"/>
        <v>0</v>
      </c>
      <c r="AQ209" s="16">
        <f t="shared" si="103"/>
        <v>0</v>
      </c>
      <c r="AR209" s="23" t="e">
        <f t="shared" si="111"/>
        <v>#DIV/0!</v>
      </c>
      <c r="AT209" s="18">
        <f t="shared" si="106"/>
        <v>45861</v>
      </c>
      <c r="AU209" s="19">
        <f t="shared" si="107"/>
        <v>204</v>
      </c>
      <c r="AV209" s="1">
        <f t="shared" si="112"/>
        <v>0</v>
      </c>
      <c r="AW209" s="1">
        <f t="shared" si="113"/>
        <v>0</v>
      </c>
      <c r="AX209" s="1">
        <f t="shared" si="114"/>
        <v>0</v>
      </c>
      <c r="AY209" s="1">
        <f t="shared" si="104"/>
        <v>0</v>
      </c>
      <c r="AZ209" s="1">
        <f t="shared" si="105"/>
        <v>0</v>
      </c>
      <c r="BA209" s="1">
        <f t="shared" si="115"/>
        <v>0</v>
      </c>
      <c r="BB209" s="5" t="str">
        <f t="shared" si="116"/>
        <v>NAN</v>
      </c>
      <c r="BC209" s="1">
        <f>ROUND(AC209,1)</f>
        <v>0</v>
      </c>
      <c r="BD209" s="1">
        <f>ROUND(AD209,1)</f>
        <v>0</v>
      </c>
      <c r="BE209" s="1">
        <f>ROUND(AE209,1)</f>
        <v>0</v>
      </c>
      <c r="BF209" s="5">
        <f t="shared" si="117"/>
        <v>0</v>
      </c>
      <c r="BG209" s="5">
        <f t="shared" si="118"/>
        <v>0</v>
      </c>
      <c r="BH209" s="5">
        <f t="shared" si="119"/>
        <v>0</v>
      </c>
      <c r="BI209" s="5">
        <f t="shared" si="120"/>
        <v>0</v>
      </c>
      <c r="BJ209" s="9">
        <f t="shared" si="121"/>
        <v>0</v>
      </c>
      <c r="BK209" s="9" t="e">
        <f t="shared" si="121"/>
        <v>#DIV/0!</v>
      </c>
      <c r="BM209" s="1">
        <f t="shared" si="122"/>
        <v>0</v>
      </c>
      <c r="BN209" s="1">
        <f t="shared" si="123"/>
        <v>0</v>
      </c>
    </row>
    <row r="210" spans="1:66" x14ac:dyDescent="0.2">
      <c r="A210" s="4">
        <f t="shared" si="124"/>
        <v>45862</v>
      </c>
      <c r="B210" s="1">
        <v>205</v>
      </c>
      <c r="C210" s="1">
        <v>12</v>
      </c>
      <c r="AN210" s="1">
        <f t="shared" si="108"/>
        <v>0</v>
      </c>
      <c r="AO210" s="1">
        <f t="shared" si="109"/>
        <v>0</v>
      </c>
      <c r="AP210" s="1">
        <f t="shared" si="110"/>
        <v>0</v>
      </c>
      <c r="AQ210" s="16">
        <f t="shared" si="103"/>
        <v>0</v>
      </c>
      <c r="AR210" s="23" t="e">
        <f t="shared" si="111"/>
        <v>#DIV/0!</v>
      </c>
      <c r="AT210" s="18">
        <f t="shared" si="106"/>
        <v>45862</v>
      </c>
      <c r="AU210" s="19">
        <f t="shared" si="107"/>
        <v>205</v>
      </c>
      <c r="AV210" s="1">
        <f t="shared" si="112"/>
        <v>0</v>
      </c>
      <c r="AW210" s="1">
        <f t="shared" si="113"/>
        <v>0</v>
      </c>
      <c r="AX210" s="1">
        <f t="shared" si="114"/>
        <v>0</v>
      </c>
      <c r="AY210" s="1">
        <f t="shared" si="104"/>
        <v>0</v>
      </c>
      <c r="AZ210" s="1">
        <f t="shared" si="105"/>
        <v>0</v>
      </c>
      <c r="BA210" s="1">
        <f t="shared" si="115"/>
        <v>0</v>
      </c>
      <c r="BB210" s="5" t="str">
        <f t="shared" si="116"/>
        <v>NAN</v>
      </c>
      <c r="BC210" s="1">
        <f>ROUND(AC210,1)</f>
        <v>0</v>
      </c>
      <c r="BD210" s="1">
        <f>ROUND(AD210,1)</f>
        <v>0</v>
      </c>
      <c r="BE210" s="1">
        <f>ROUND(AE210,1)</f>
        <v>0</v>
      </c>
      <c r="BF210" s="5">
        <f t="shared" si="117"/>
        <v>0</v>
      </c>
      <c r="BG210" s="5">
        <f t="shared" si="118"/>
        <v>0</v>
      </c>
      <c r="BH210" s="5">
        <f t="shared" si="119"/>
        <v>0</v>
      </c>
      <c r="BI210" s="5">
        <f t="shared" si="120"/>
        <v>0</v>
      </c>
      <c r="BJ210" s="9">
        <f t="shared" si="121"/>
        <v>0</v>
      </c>
      <c r="BK210" s="9" t="e">
        <f t="shared" si="121"/>
        <v>#DIV/0!</v>
      </c>
      <c r="BM210" s="1">
        <f t="shared" si="122"/>
        <v>0</v>
      </c>
      <c r="BN210" s="1">
        <f t="shared" si="123"/>
        <v>0</v>
      </c>
    </row>
    <row r="211" spans="1:66" x14ac:dyDescent="0.2">
      <c r="A211" s="4">
        <f t="shared" si="124"/>
        <v>45863</v>
      </c>
      <c r="B211" s="1">
        <v>206</v>
      </c>
      <c r="C211" s="1">
        <v>12</v>
      </c>
      <c r="AN211" s="1">
        <f t="shared" si="108"/>
        <v>0</v>
      </c>
      <c r="AO211" s="1">
        <f t="shared" si="109"/>
        <v>0</v>
      </c>
      <c r="AP211" s="1">
        <f t="shared" si="110"/>
        <v>0</v>
      </c>
      <c r="AQ211" s="16">
        <f t="shared" si="103"/>
        <v>0</v>
      </c>
      <c r="AR211" s="23" t="e">
        <f t="shared" si="111"/>
        <v>#DIV/0!</v>
      </c>
      <c r="AT211" s="18">
        <f t="shared" si="106"/>
        <v>45863</v>
      </c>
      <c r="AU211" s="19">
        <f t="shared" si="107"/>
        <v>206</v>
      </c>
      <c r="AV211" s="1">
        <f t="shared" si="112"/>
        <v>0</v>
      </c>
      <c r="AW211" s="1">
        <f t="shared" si="113"/>
        <v>0</v>
      </c>
      <c r="AX211" s="1">
        <f t="shared" si="114"/>
        <v>0</v>
      </c>
      <c r="AY211" s="1">
        <f t="shared" si="104"/>
        <v>0</v>
      </c>
      <c r="AZ211" s="1">
        <f t="shared" si="105"/>
        <v>0</v>
      </c>
      <c r="BA211" s="1">
        <f t="shared" si="115"/>
        <v>0</v>
      </c>
      <c r="BB211" s="5" t="str">
        <f t="shared" si="116"/>
        <v>NAN</v>
      </c>
      <c r="BC211" s="1">
        <f>ROUND(AC211,1)</f>
        <v>0</v>
      </c>
      <c r="BD211" s="1">
        <f>ROUND(AD211,1)</f>
        <v>0</v>
      </c>
      <c r="BE211" s="1">
        <f>ROUND(AE211,1)</f>
        <v>0</v>
      </c>
      <c r="BF211" s="5">
        <f t="shared" si="117"/>
        <v>0</v>
      </c>
      <c r="BG211" s="5">
        <f t="shared" si="118"/>
        <v>0</v>
      </c>
      <c r="BH211" s="5">
        <f t="shared" si="119"/>
        <v>0</v>
      </c>
      <c r="BI211" s="5">
        <f t="shared" si="120"/>
        <v>0</v>
      </c>
      <c r="BJ211" s="9">
        <f t="shared" si="121"/>
        <v>0</v>
      </c>
      <c r="BK211" s="9" t="e">
        <f t="shared" si="121"/>
        <v>#DIV/0!</v>
      </c>
      <c r="BM211" s="1">
        <f t="shared" si="122"/>
        <v>0</v>
      </c>
      <c r="BN211" s="1">
        <f t="shared" si="123"/>
        <v>0</v>
      </c>
    </row>
    <row r="212" spans="1:66" x14ac:dyDescent="0.2">
      <c r="A212" s="4">
        <f t="shared" si="124"/>
        <v>45864</v>
      </c>
      <c r="B212" s="1">
        <v>207</v>
      </c>
      <c r="C212" s="1">
        <v>12</v>
      </c>
      <c r="AN212" s="1">
        <f t="shared" si="108"/>
        <v>0</v>
      </c>
      <c r="AO212" s="1">
        <f t="shared" si="109"/>
        <v>0</v>
      </c>
      <c r="AP212" s="1">
        <f t="shared" si="110"/>
        <v>0</v>
      </c>
      <c r="AQ212" s="16">
        <f t="shared" si="103"/>
        <v>0</v>
      </c>
      <c r="AR212" s="23" t="e">
        <f t="shared" si="111"/>
        <v>#DIV/0!</v>
      </c>
      <c r="AT212" s="18">
        <f t="shared" si="106"/>
        <v>45864</v>
      </c>
      <c r="AU212" s="19">
        <f t="shared" si="107"/>
        <v>207</v>
      </c>
      <c r="AV212" s="1">
        <f t="shared" si="112"/>
        <v>0</v>
      </c>
      <c r="AW212" s="1">
        <f t="shared" si="113"/>
        <v>0</v>
      </c>
      <c r="AX212" s="1">
        <f t="shared" si="114"/>
        <v>0</v>
      </c>
      <c r="AY212" s="1">
        <f t="shared" si="104"/>
        <v>0</v>
      </c>
      <c r="AZ212" s="1">
        <f t="shared" si="105"/>
        <v>0</v>
      </c>
      <c r="BA212" s="1">
        <f t="shared" si="115"/>
        <v>0</v>
      </c>
      <c r="BB212" s="5" t="str">
        <f t="shared" si="116"/>
        <v>NAN</v>
      </c>
      <c r="BC212" s="1">
        <f>ROUND(AC212,1)</f>
        <v>0</v>
      </c>
      <c r="BD212" s="1">
        <f>ROUND(AD212,1)</f>
        <v>0</v>
      </c>
      <c r="BE212" s="1">
        <f>ROUND(AE212,1)</f>
        <v>0</v>
      </c>
      <c r="BF212" s="5">
        <f t="shared" si="117"/>
        <v>0</v>
      </c>
      <c r="BG212" s="5">
        <f t="shared" si="118"/>
        <v>0</v>
      </c>
      <c r="BH212" s="5">
        <f t="shared" si="119"/>
        <v>0</v>
      </c>
      <c r="BI212" s="5">
        <f t="shared" si="120"/>
        <v>0</v>
      </c>
      <c r="BJ212" s="9">
        <f t="shared" si="121"/>
        <v>0</v>
      </c>
      <c r="BK212" s="9" t="e">
        <f t="shared" si="121"/>
        <v>#DIV/0!</v>
      </c>
      <c r="BM212" s="1">
        <f t="shared" si="122"/>
        <v>0</v>
      </c>
      <c r="BN212" s="1">
        <f t="shared" si="123"/>
        <v>0</v>
      </c>
    </row>
    <row r="213" spans="1:66" x14ac:dyDescent="0.2">
      <c r="A213" s="4">
        <f t="shared" si="124"/>
        <v>45865</v>
      </c>
      <c r="B213" s="1">
        <v>208</v>
      </c>
      <c r="C213" s="1">
        <v>12</v>
      </c>
      <c r="AN213" s="1">
        <f t="shared" si="108"/>
        <v>0</v>
      </c>
      <c r="AO213" s="1">
        <f t="shared" si="109"/>
        <v>0</v>
      </c>
      <c r="AP213" s="1">
        <f t="shared" si="110"/>
        <v>0</v>
      </c>
      <c r="AQ213" s="16">
        <f t="shared" si="103"/>
        <v>0</v>
      </c>
      <c r="AR213" s="23" t="e">
        <f t="shared" si="111"/>
        <v>#DIV/0!</v>
      </c>
      <c r="AT213" s="18">
        <f t="shared" si="106"/>
        <v>45865</v>
      </c>
      <c r="AU213" s="19">
        <f t="shared" si="107"/>
        <v>208</v>
      </c>
      <c r="AV213" s="1">
        <f t="shared" si="112"/>
        <v>0</v>
      </c>
      <c r="AW213" s="1">
        <f t="shared" si="113"/>
        <v>0</v>
      </c>
      <c r="AX213" s="1">
        <f t="shared" si="114"/>
        <v>0</v>
      </c>
      <c r="AY213" s="1">
        <f t="shared" si="104"/>
        <v>0</v>
      </c>
      <c r="AZ213" s="1">
        <f t="shared" si="105"/>
        <v>0</v>
      </c>
      <c r="BA213" s="1">
        <f t="shared" si="115"/>
        <v>0</v>
      </c>
      <c r="BB213" s="5" t="str">
        <f t="shared" si="116"/>
        <v>NAN</v>
      </c>
      <c r="BC213" s="1">
        <f>ROUND(AC213,1)</f>
        <v>0</v>
      </c>
      <c r="BD213" s="1">
        <f>ROUND(AD213,1)</f>
        <v>0</v>
      </c>
      <c r="BE213" s="1">
        <f>ROUND(AE213,1)</f>
        <v>0</v>
      </c>
      <c r="BF213" s="5">
        <f t="shared" si="117"/>
        <v>0</v>
      </c>
      <c r="BG213" s="5">
        <f t="shared" si="118"/>
        <v>0</v>
      </c>
      <c r="BH213" s="5">
        <f t="shared" si="119"/>
        <v>0</v>
      </c>
      <c r="BI213" s="5">
        <f t="shared" si="120"/>
        <v>0</v>
      </c>
      <c r="BJ213" s="9">
        <f t="shared" si="121"/>
        <v>0</v>
      </c>
      <c r="BK213" s="9" t="e">
        <f t="shared" si="121"/>
        <v>#DIV/0!</v>
      </c>
      <c r="BM213" s="1">
        <f t="shared" si="122"/>
        <v>0</v>
      </c>
      <c r="BN213" s="1">
        <f t="shared" si="123"/>
        <v>0</v>
      </c>
    </row>
    <row r="214" spans="1:66" x14ac:dyDescent="0.2">
      <c r="A214" s="4">
        <f t="shared" si="124"/>
        <v>45866</v>
      </c>
      <c r="B214" s="1">
        <v>209</v>
      </c>
      <c r="C214" s="1">
        <v>12</v>
      </c>
      <c r="AN214" s="1">
        <f t="shared" si="108"/>
        <v>0</v>
      </c>
      <c r="AO214" s="1">
        <f t="shared" si="109"/>
        <v>0</v>
      </c>
      <c r="AP214" s="1">
        <f t="shared" si="110"/>
        <v>0</v>
      </c>
      <c r="AQ214" s="16">
        <f t="shared" ref="AQ214:AQ245" si="125">ROUND((0.6105*(EXP((17.273*N214)/(N214+237.3))))*AP214/100,3)</f>
        <v>0</v>
      </c>
      <c r="AR214" s="23" t="e">
        <f t="shared" si="111"/>
        <v>#DIV/0!</v>
      </c>
      <c r="AT214" s="18">
        <f t="shared" si="106"/>
        <v>45866</v>
      </c>
      <c r="AU214" s="19">
        <f t="shared" si="107"/>
        <v>209</v>
      </c>
      <c r="AV214" s="1">
        <f t="shared" si="112"/>
        <v>0</v>
      </c>
      <c r="AW214" s="1">
        <f t="shared" si="113"/>
        <v>0</v>
      </c>
      <c r="AX214" s="1">
        <f t="shared" si="114"/>
        <v>0</v>
      </c>
      <c r="AY214" s="1">
        <f t="shared" si="104"/>
        <v>0</v>
      </c>
      <c r="AZ214" s="1">
        <f t="shared" si="105"/>
        <v>0</v>
      </c>
      <c r="BA214" s="1">
        <f t="shared" si="115"/>
        <v>0</v>
      </c>
      <c r="BB214" s="5" t="str">
        <f t="shared" si="116"/>
        <v>NAN</v>
      </c>
      <c r="BC214" s="1">
        <f>ROUND(AC214,1)</f>
        <v>0</v>
      </c>
      <c r="BD214" s="1">
        <f>ROUND(AD214,1)</f>
        <v>0</v>
      </c>
      <c r="BE214" s="1">
        <f>ROUND(AE214,1)</f>
        <v>0</v>
      </c>
      <c r="BF214" s="5">
        <f t="shared" si="117"/>
        <v>0</v>
      </c>
      <c r="BG214" s="5">
        <f t="shared" si="118"/>
        <v>0</v>
      </c>
      <c r="BH214" s="5">
        <f t="shared" si="119"/>
        <v>0</v>
      </c>
      <c r="BI214" s="5">
        <f t="shared" si="120"/>
        <v>0</v>
      </c>
      <c r="BJ214" s="9">
        <f t="shared" si="121"/>
        <v>0</v>
      </c>
      <c r="BK214" s="9" t="e">
        <f t="shared" si="121"/>
        <v>#DIV/0!</v>
      </c>
      <c r="BM214" s="1">
        <f t="shared" si="122"/>
        <v>0</v>
      </c>
      <c r="BN214" s="1">
        <f t="shared" si="123"/>
        <v>0</v>
      </c>
    </row>
    <row r="215" spans="1:66" x14ac:dyDescent="0.2">
      <c r="A215" s="4">
        <f t="shared" si="124"/>
        <v>45867</v>
      </c>
      <c r="B215" s="1">
        <v>210</v>
      </c>
      <c r="C215" s="1">
        <v>12</v>
      </c>
      <c r="AN215" s="1">
        <f t="shared" si="108"/>
        <v>0</v>
      </c>
      <c r="AO215" s="1">
        <f t="shared" si="109"/>
        <v>0</v>
      </c>
      <c r="AP215" s="1">
        <f t="shared" si="110"/>
        <v>0</v>
      </c>
      <c r="AQ215" s="16">
        <f t="shared" si="125"/>
        <v>0</v>
      </c>
      <c r="AR215" s="23" t="e">
        <f t="shared" si="111"/>
        <v>#DIV/0!</v>
      </c>
      <c r="AT215" s="18">
        <f t="shared" si="106"/>
        <v>45867</v>
      </c>
      <c r="AU215" s="19">
        <f t="shared" si="107"/>
        <v>210</v>
      </c>
      <c r="AV215" s="1">
        <f t="shared" si="112"/>
        <v>0</v>
      </c>
      <c r="AW215" s="1">
        <f t="shared" si="113"/>
        <v>0</v>
      </c>
      <c r="AX215" s="1">
        <f t="shared" si="114"/>
        <v>0</v>
      </c>
      <c r="AY215" s="1">
        <f t="shared" si="104"/>
        <v>0</v>
      </c>
      <c r="AZ215" s="1">
        <f t="shared" si="105"/>
        <v>0</v>
      </c>
      <c r="BA215" s="1">
        <f t="shared" si="115"/>
        <v>0</v>
      </c>
      <c r="BB215" s="5" t="str">
        <f t="shared" si="116"/>
        <v>NAN</v>
      </c>
      <c r="BC215" s="1">
        <f>ROUND(AC215,1)</f>
        <v>0</v>
      </c>
      <c r="BD215" s="1">
        <f>ROUND(AD215,1)</f>
        <v>0</v>
      </c>
      <c r="BE215" s="1">
        <f>ROUND(AE215,1)</f>
        <v>0</v>
      </c>
      <c r="BF215" s="5">
        <f t="shared" si="117"/>
        <v>0</v>
      </c>
      <c r="BG215" s="5">
        <f t="shared" si="118"/>
        <v>0</v>
      </c>
      <c r="BH215" s="5">
        <f t="shared" si="119"/>
        <v>0</v>
      </c>
      <c r="BI215" s="5">
        <f t="shared" si="120"/>
        <v>0</v>
      </c>
      <c r="BJ215" s="9">
        <f t="shared" si="121"/>
        <v>0</v>
      </c>
      <c r="BK215" s="9" t="e">
        <f t="shared" si="121"/>
        <v>#DIV/0!</v>
      </c>
      <c r="BM215" s="1">
        <f t="shared" si="122"/>
        <v>0</v>
      </c>
      <c r="BN215" s="1">
        <f t="shared" si="123"/>
        <v>0</v>
      </c>
    </row>
    <row r="216" spans="1:66" x14ac:dyDescent="0.2">
      <c r="A216" s="4">
        <f t="shared" si="124"/>
        <v>45868</v>
      </c>
      <c r="B216" s="1">
        <v>211</v>
      </c>
      <c r="C216" s="1">
        <v>12</v>
      </c>
      <c r="AN216" s="1">
        <f t="shared" si="108"/>
        <v>0</v>
      </c>
      <c r="AO216" s="1">
        <f t="shared" si="109"/>
        <v>0</v>
      </c>
      <c r="AP216" s="1">
        <f t="shared" si="110"/>
        <v>0</v>
      </c>
      <c r="AQ216" s="16">
        <f t="shared" si="125"/>
        <v>0</v>
      </c>
      <c r="AR216" s="23" t="e">
        <f t="shared" si="111"/>
        <v>#DIV/0!</v>
      </c>
      <c r="AT216" s="18">
        <f t="shared" si="106"/>
        <v>45868</v>
      </c>
      <c r="AU216" s="19">
        <f t="shared" si="107"/>
        <v>211</v>
      </c>
      <c r="AV216" s="1">
        <f t="shared" si="112"/>
        <v>0</v>
      </c>
      <c r="AW216" s="1">
        <f t="shared" si="113"/>
        <v>0</v>
      </c>
      <c r="AX216" s="1">
        <f t="shared" si="114"/>
        <v>0</v>
      </c>
      <c r="AY216" s="1">
        <f t="shared" si="104"/>
        <v>0</v>
      </c>
      <c r="AZ216" s="1">
        <f t="shared" si="105"/>
        <v>0</v>
      </c>
      <c r="BA216" s="1">
        <f t="shared" si="115"/>
        <v>0</v>
      </c>
      <c r="BB216" s="5" t="str">
        <f t="shared" si="116"/>
        <v>NAN</v>
      </c>
      <c r="BC216" s="1">
        <f>ROUND(AC216,1)</f>
        <v>0</v>
      </c>
      <c r="BD216" s="1">
        <f>ROUND(AD216,1)</f>
        <v>0</v>
      </c>
      <c r="BE216" s="1">
        <f>ROUND(AE216,1)</f>
        <v>0</v>
      </c>
      <c r="BF216" s="5">
        <f t="shared" si="117"/>
        <v>0</v>
      </c>
      <c r="BG216" s="5">
        <f t="shared" si="118"/>
        <v>0</v>
      </c>
      <c r="BH216" s="5">
        <f t="shared" si="119"/>
        <v>0</v>
      </c>
      <c r="BI216" s="5">
        <f t="shared" si="120"/>
        <v>0</v>
      </c>
      <c r="BJ216" s="9">
        <f t="shared" si="121"/>
        <v>0</v>
      </c>
      <c r="BK216" s="9" t="e">
        <f t="shared" si="121"/>
        <v>#DIV/0!</v>
      </c>
      <c r="BM216" s="1">
        <f t="shared" si="122"/>
        <v>0</v>
      </c>
      <c r="BN216" s="1">
        <f t="shared" si="123"/>
        <v>0</v>
      </c>
    </row>
    <row r="217" spans="1:66" x14ac:dyDescent="0.2">
      <c r="A217" s="4">
        <f t="shared" si="124"/>
        <v>45869</v>
      </c>
      <c r="B217" s="1">
        <v>212</v>
      </c>
      <c r="C217" s="1">
        <v>12</v>
      </c>
      <c r="AN217" s="1">
        <f t="shared" si="108"/>
        <v>0</v>
      </c>
      <c r="AO217" s="1">
        <f t="shared" si="109"/>
        <v>0</v>
      </c>
      <c r="AP217" s="1">
        <f t="shared" si="110"/>
        <v>0</v>
      </c>
      <c r="AQ217" s="16">
        <f t="shared" si="125"/>
        <v>0</v>
      </c>
      <c r="AR217" s="23" t="e">
        <f t="shared" si="111"/>
        <v>#DIV/0!</v>
      </c>
      <c r="AT217" s="18">
        <f t="shared" si="106"/>
        <v>45869</v>
      </c>
      <c r="AU217" s="19">
        <f t="shared" si="107"/>
        <v>212</v>
      </c>
      <c r="AV217" s="1">
        <f t="shared" si="112"/>
        <v>0</v>
      </c>
      <c r="AW217" s="1">
        <f t="shared" si="113"/>
        <v>0</v>
      </c>
      <c r="AX217" s="1">
        <f t="shared" si="114"/>
        <v>0</v>
      </c>
      <c r="AY217" s="1">
        <f t="shared" si="104"/>
        <v>0</v>
      </c>
      <c r="AZ217" s="1">
        <f t="shared" si="105"/>
        <v>0</v>
      </c>
      <c r="BA217" s="1">
        <f t="shared" si="115"/>
        <v>0</v>
      </c>
      <c r="BB217" s="5" t="str">
        <f t="shared" si="116"/>
        <v>NAN</v>
      </c>
      <c r="BC217" s="1">
        <f>ROUND(AC217,1)</f>
        <v>0</v>
      </c>
      <c r="BD217" s="1">
        <f>ROUND(AD217,1)</f>
        <v>0</v>
      </c>
      <c r="BE217" s="1">
        <f>ROUND(AE217,1)</f>
        <v>0</v>
      </c>
      <c r="BF217" s="5">
        <f t="shared" si="117"/>
        <v>0</v>
      </c>
      <c r="BG217" s="5">
        <f t="shared" si="118"/>
        <v>0</v>
      </c>
      <c r="BH217" s="5">
        <f t="shared" si="119"/>
        <v>0</v>
      </c>
      <c r="BI217" s="5">
        <f t="shared" si="120"/>
        <v>0</v>
      </c>
      <c r="BJ217" s="9">
        <f t="shared" si="121"/>
        <v>0</v>
      </c>
      <c r="BK217" s="9" t="e">
        <f t="shared" si="121"/>
        <v>#DIV/0!</v>
      </c>
      <c r="BM217" s="1">
        <f t="shared" si="122"/>
        <v>0</v>
      </c>
      <c r="BN217" s="1">
        <f t="shared" si="123"/>
        <v>0</v>
      </c>
    </row>
    <row r="218" spans="1:66" x14ac:dyDescent="0.2">
      <c r="A218" s="4">
        <f t="shared" si="124"/>
        <v>45870</v>
      </c>
      <c r="B218" s="1">
        <v>213</v>
      </c>
      <c r="C218" s="1">
        <v>12</v>
      </c>
      <c r="AN218" s="1">
        <f t="shared" si="108"/>
        <v>0</v>
      </c>
      <c r="AO218" s="1">
        <f t="shared" si="109"/>
        <v>0</v>
      </c>
      <c r="AP218" s="1">
        <f t="shared" si="110"/>
        <v>0</v>
      </c>
      <c r="AQ218" s="16">
        <f t="shared" si="125"/>
        <v>0</v>
      </c>
      <c r="AR218" s="23" t="e">
        <f t="shared" si="111"/>
        <v>#DIV/0!</v>
      </c>
      <c r="AT218" s="18">
        <f t="shared" si="106"/>
        <v>45870</v>
      </c>
      <c r="AU218" s="19">
        <f t="shared" si="107"/>
        <v>213</v>
      </c>
      <c r="AV218" s="1">
        <f t="shared" si="112"/>
        <v>0</v>
      </c>
      <c r="AW218" s="1">
        <f t="shared" si="113"/>
        <v>0</v>
      </c>
      <c r="AX218" s="1">
        <f t="shared" si="114"/>
        <v>0</v>
      </c>
      <c r="AY218" s="1">
        <f t="shared" si="104"/>
        <v>0</v>
      </c>
      <c r="AZ218" s="1">
        <f t="shared" si="105"/>
        <v>0</v>
      </c>
      <c r="BA218" s="1">
        <f t="shared" si="115"/>
        <v>0</v>
      </c>
      <c r="BB218" s="5" t="str">
        <f t="shared" si="116"/>
        <v>NAN</v>
      </c>
      <c r="BC218" s="1">
        <f>ROUND(AC218,1)</f>
        <v>0</v>
      </c>
      <c r="BD218" s="1">
        <f>ROUND(AD218,1)</f>
        <v>0</v>
      </c>
      <c r="BE218" s="1">
        <f>ROUND(AE218,1)</f>
        <v>0</v>
      </c>
      <c r="BF218" s="5">
        <f t="shared" si="117"/>
        <v>0</v>
      </c>
      <c r="BG218" s="5">
        <f t="shared" si="118"/>
        <v>0</v>
      </c>
      <c r="BH218" s="5">
        <f t="shared" si="119"/>
        <v>0</v>
      </c>
      <c r="BI218" s="5">
        <f t="shared" si="120"/>
        <v>0</v>
      </c>
      <c r="BJ218" s="9">
        <f t="shared" si="121"/>
        <v>0</v>
      </c>
      <c r="BK218" s="9" t="e">
        <f t="shared" si="121"/>
        <v>#DIV/0!</v>
      </c>
      <c r="BM218" s="1">
        <f t="shared" si="122"/>
        <v>0</v>
      </c>
      <c r="BN218" s="1">
        <f t="shared" si="123"/>
        <v>0</v>
      </c>
    </row>
    <row r="219" spans="1:66" x14ac:dyDescent="0.2">
      <c r="A219" s="4">
        <f t="shared" si="124"/>
        <v>45871</v>
      </c>
      <c r="B219" s="1">
        <v>214</v>
      </c>
      <c r="C219" s="1">
        <v>12</v>
      </c>
      <c r="AN219" s="1">
        <f t="shared" si="108"/>
        <v>0</v>
      </c>
      <c r="AO219" s="1">
        <f t="shared" si="109"/>
        <v>0</v>
      </c>
      <c r="AP219" s="1">
        <f t="shared" si="110"/>
        <v>0</v>
      </c>
      <c r="AQ219" s="16">
        <f t="shared" si="125"/>
        <v>0</v>
      </c>
      <c r="AR219" s="23" t="e">
        <f t="shared" si="111"/>
        <v>#DIV/0!</v>
      </c>
      <c r="AT219" s="18">
        <f t="shared" si="106"/>
        <v>45871</v>
      </c>
      <c r="AU219" s="19">
        <f t="shared" si="107"/>
        <v>214</v>
      </c>
      <c r="AV219" s="1">
        <f t="shared" si="112"/>
        <v>0</v>
      </c>
      <c r="AW219" s="1">
        <f t="shared" si="113"/>
        <v>0</v>
      </c>
      <c r="AX219" s="1">
        <f t="shared" si="114"/>
        <v>0</v>
      </c>
      <c r="AY219" s="1">
        <f t="shared" si="104"/>
        <v>0</v>
      </c>
      <c r="AZ219" s="1">
        <f t="shared" si="105"/>
        <v>0</v>
      </c>
      <c r="BA219" s="1">
        <f t="shared" si="115"/>
        <v>0</v>
      </c>
      <c r="BB219" s="5" t="str">
        <f t="shared" si="116"/>
        <v>NAN</v>
      </c>
      <c r="BC219" s="1">
        <f>ROUND(AC219,1)</f>
        <v>0</v>
      </c>
      <c r="BD219" s="1">
        <f>ROUND(AD219,1)</f>
        <v>0</v>
      </c>
      <c r="BE219" s="1">
        <f>ROUND(AE219,1)</f>
        <v>0</v>
      </c>
      <c r="BF219" s="5">
        <f t="shared" si="117"/>
        <v>0</v>
      </c>
      <c r="BG219" s="5">
        <f t="shared" si="118"/>
        <v>0</v>
      </c>
      <c r="BH219" s="5">
        <f t="shared" si="119"/>
        <v>0</v>
      </c>
      <c r="BI219" s="5">
        <f t="shared" si="120"/>
        <v>0</v>
      </c>
      <c r="BJ219" s="9">
        <f t="shared" si="121"/>
        <v>0</v>
      </c>
      <c r="BK219" s="9" t="e">
        <f t="shared" si="121"/>
        <v>#DIV/0!</v>
      </c>
      <c r="BM219" s="1">
        <f t="shared" si="122"/>
        <v>0</v>
      </c>
      <c r="BN219" s="1">
        <f t="shared" si="123"/>
        <v>0</v>
      </c>
    </row>
    <row r="220" spans="1:66" x14ac:dyDescent="0.2">
      <c r="A220" s="4">
        <f t="shared" si="124"/>
        <v>45872</v>
      </c>
      <c r="B220" s="1">
        <v>215</v>
      </c>
      <c r="C220" s="1">
        <v>12</v>
      </c>
      <c r="AN220" s="1">
        <f t="shared" si="108"/>
        <v>0</v>
      </c>
      <c r="AO220" s="1">
        <f t="shared" si="109"/>
        <v>0</v>
      </c>
      <c r="AP220" s="1">
        <f t="shared" si="110"/>
        <v>0</v>
      </c>
      <c r="AQ220" s="16">
        <f t="shared" si="125"/>
        <v>0</v>
      </c>
      <c r="AR220" s="23" t="e">
        <f t="shared" si="111"/>
        <v>#DIV/0!</v>
      </c>
      <c r="AT220" s="18">
        <f t="shared" si="106"/>
        <v>45872</v>
      </c>
      <c r="AU220" s="19">
        <f t="shared" si="107"/>
        <v>215</v>
      </c>
      <c r="AV220" s="1">
        <f t="shared" si="112"/>
        <v>0</v>
      </c>
      <c r="AW220" s="1">
        <f t="shared" si="113"/>
        <v>0</v>
      </c>
      <c r="AX220" s="1">
        <f t="shared" si="114"/>
        <v>0</v>
      </c>
      <c r="AY220" s="1">
        <f t="shared" si="104"/>
        <v>0</v>
      </c>
      <c r="AZ220" s="1">
        <f t="shared" si="105"/>
        <v>0</v>
      </c>
      <c r="BA220" s="1">
        <f t="shared" si="115"/>
        <v>0</v>
      </c>
      <c r="BB220" s="5" t="str">
        <f t="shared" si="116"/>
        <v>NAN</v>
      </c>
      <c r="BC220" s="1">
        <f>ROUND(AC220,1)</f>
        <v>0</v>
      </c>
      <c r="BD220" s="1">
        <f>ROUND(AD220,1)</f>
        <v>0</v>
      </c>
      <c r="BE220" s="1">
        <f>ROUND(AE220,1)</f>
        <v>0</v>
      </c>
      <c r="BF220" s="5">
        <f t="shared" si="117"/>
        <v>0</v>
      </c>
      <c r="BG220" s="5">
        <f t="shared" si="118"/>
        <v>0</v>
      </c>
      <c r="BH220" s="5">
        <f t="shared" si="119"/>
        <v>0</v>
      </c>
      <c r="BI220" s="5">
        <f t="shared" si="120"/>
        <v>0</v>
      </c>
      <c r="BJ220" s="9">
        <f t="shared" si="121"/>
        <v>0</v>
      </c>
      <c r="BK220" s="9" t="e">
        <f t="shared" si="121"/>
        <v>#DIV/0!</v>
      </c>
      <c r="BM220" s="1">
        <f t="shared" si="122"/>
        <v>0</v>
      </c>
      <c r="BN220" s="1">
        <f t="shared" si="123"/>
        <v>0</v>
      </c>
    </row>
    <row r="221" spans="1:66" x14ac:dyDescent="0.2">
      <c r="A221" s="4">
        <f t="shared" si="124"/>
        <v>45873</v>
      </c>
      <c r="B221" s="1">
        <v>216</v>
      </c>
      <c r="C221" s="1">
        <v>12</v>
      </c>
      <c r="AN221" s="1">
        <f t="shared" si="108"/>
        <v>0</v>
      </c>
      <c r="AO221" s="1">
        <f t="shared" si="109"/>
        <v>0</v>
      </c>
      <c r="AP221" s="1">
        <f t="shared" si="110"/>
        <v>0</v>
      </c>
      <c r="AQ221" s="16">
        <f t="shared" si="125"/>
        <v>0</v>
      </c>
      <c r="AR221" s="23" t="e">
        <f t="shared" si="111"/>
        <v>#DIV/0!</v>
      </c>
      <c r="AT221" s="18">
        <f t="shared" si="106"/>
        <v>45873</v>
      </c>
      <c r="AU221" s="19">
        <f t="shared" si="107"/>
        <v>216</v>
      </c>
      <c r="AV221" s="1">
        <f t="shared" si="112"/>
        <v>0</v>
      </c>
      <c r="AW221" s="1">
        <f t="shared" si="113"/>
        <v>0</v>
      </c>
      <c r="AX221" s="1">
        <f t="shared" si="114"/>
        <v>0</v>
      </c>
      <c r="AY221" s="1">
        <f t="shared" si="104"/>
        <v>0</v>
      </c>
      <c r="AZ221" s="1">
        <f t="shared" si="105"/>
        <v>0</v>
      </c>
      <c r="BA221" s="1">
        <f t="shared" si="115"/>
        <v>0</v>
      </c>
      <c r="BB221" s="5" t="str">
        <f t="shared" si="116"/>
        <v>NAN</v>
      </c>
      <c r="BC221" s="1">
        <f>ROUND(AC221,1)</f>
        <v>0</v>
      </c>
      <c r="BD221" s="1">
        <f>ROUND(AD221,1)</f>
        <v>0</v>
      </c>
      <c r="BE221" s="1">
        <f>ROUND(AE221,1)</f>
        <v>0</v>
      </c>
      <c r="BF221" s="5">
        <f t="shared" si="117"/>
        <v>0</v>
      </c>
      <c r="BG221" s="5">
        <f t="shared" si="118"/>
        <v>0</v>
      </c>
      <c r="BH221" s="5">
        <f t="shared" si="119"/>
        <v>0</v>
      </c>
      <c r="BI221" s="5">
        <f t="shared" si="120"/>
        <v>0</v>
      </c>
      <c r="BJ221" s="9">
        <f t="shared" si="121"/>
        <v>0</v>
      </c>
      <c r="BK221" s="9" t="e">
        <f t="shared" si="121"/>
        <v>#DIV/0!</v>
      </c>
      <c r="BM221" s="1">
        <f t="shared" si="122"/>
        <v>0</v>
      </c>
      <c r="BN221" s="1">
        <f t="shared" si="123"/>
        <v>0</v>
      </c>
    </row>
    <row r="222" spans="1:66" x14ac:dyDescent="0.2">
      <c r="A222" s="4">
        <f t="shared" si="124"/>
        <v>45874</v>
      </c>
      <c r="B222" s="1">
        <v>217</v>
      </c>
      <c r="C222" s="1">
        <v>12</v>
      </c>
      <c r="AN222" s="1">
        <f t="shared" si="108"/>
        <v>0</v>
      </c>
      <c r="AO222" s="1">
        <f t="shared" si="109"/>
        <v>0</v>
      </c>
      <c r="AP222" s="1">
        <f t="shared" si="110"/>
        <v>0</v>
      </c>
      <c r="AQ222" s="16">
        <f t="shared" si="125"/>
        <v>0</v>
      </c>
      <c r="AR222" s="23" t="e">
        <f t="shared" si="111"/>
        <v>#DIV/0!</v>
      </c>
      <c r="AT222" s="18">
        <f t="shared" si="106"/>
        <v>45874</v>
      </c>
      <c r="AU222" s="19">
        <f t="shared" si="107"/>
        <v>217</v>
      </c>
      <c r="AV222" s="1">
        <f t="shared" si="112"/>
        <v>0</v>
      </c>
      <c r="AW222" s="1">
        <f t="shared" si="113"/>
        <v>0</v>
      </c>
      <c r="AX222" s="1">
        <f t="shared" si="114"/>
        <v>0</v>
      </c>
      <c r="AY222" s="1">
        <f t="shared" si="104"/>
        <v>0</v>
      </c>
      <c r="AZ222" s="1">
        <f t="shared" si="105"/>
        <v>0</v>
      </c>
      <c r="BA222" s="1">
        <f t="shared" si="115"/>
        <v>0</v>
      </c>
      <c r="BB222" s="5" t="str">
        <f t="shared" si="116"/>
        <v>NAN</v>
      </c>
      <c r="BC222" s="1">
        <f>ROUND(AC222,1)</f>
        <v>0</v>
      </c>
      <c r="BD222" s="1">
        <f>ROUND(AD222,1)</f>
        <v>0</v>
      </c>
      <c r="BE222" s="1">
        <f>ROUND(AE222,1)</f>
        <v>0</v>
      </c>
      <c r="BF222" s="5">
        <f t="shared" si="117"/>
        <v>0</v>
      </c>
      <c r="BG222" s="5">
        <f t="shared" si="118"/>
        <v>0</v>
      </c>
      <c r="BH222" s="5">
        <f t="shared" si="119"/>
        <v>0</v>
      </c>
      <c r="BI222" s="5">
        <f t="shared" si="120"/>
        <v>0</v>
      </c>
      <c r="BJ222" s="9">
        <f t="shared" si="121"/>
        <v>0</v>
      </c>
      <c r="BK222" s="9" t="e">
        <f t="shared" si="121"/>
        <v>#DIV/0!</v>
      </c>
      <c r="BM222" s="1">
        <f t="shared" si="122"/>
        <v>0</v>
      </c>
      <c r="BN222" s="1">
        <f t="shared" si="123"/>
        <v>0</v>
      </c>
    </row>
    <row r="223" spans="1:66" x14ac:dyDescent="0.2">
      <c r="A223" s="4">
        <f t="shared" si="124"/>
        <v>45875</v>
      </c>
      <c r="B223" s="1">
        <v>218</v>
      </c>
      <c r="C223" s="1">
        <v>12</v>
      </c>
      <c r="AN223" s="1">
        <f t="shared" si="108"/>
        <v>0</v>
      </c>
      <c r="AO223" s="1">
        <f t="shared" si="109"/>
        <v>0</v>
      </c>
      <c r="AP223" s="1">
        <f t="shared" si="110"/>
        <v>0</v>
      </c>
      <c r="AQ223" s="16">
        <f t="shared" si="125"/>
        <v>0</v>
      </c>
      <c r="AR223" s="23" t="e">
        <f t="shared" si="111"/>
        <v>#DIV/0!</v>
      </c>
      <c r="AT223" s="18">
        <f t="shared" si="106"/>
        <v>45875</v>
      </c>
      <c r="AU223" s="19">
        <f t="shared" si="107"/>
        <v>218</v>
      </c>
      <c r="AV223" s="1">
        <f t="shared" si="112"/>
        <v>0</v>
      </c>
      <c r="AW223" s="1">
        <f t="shared" si="113"/>
        <v>0</v>
      </c>
      <c r="AX223" s="1">
        <f t="shared" si="114"/>
        <v>0</v>
      </c>
      <c r="AY223" s="1">
        <f t="shared" si="104"/>
        <v>0</v>
      </c>
      <c r="AZ223" s="1">
        <f t="shared" si="105"/>
        <v>0</v>
      </c>
      <c r="BA223" s="1">
        <f t="shared" si="115"/>
        <v>0</v>
      </c>
      <c r="BB223" s="5" t="str">
        <f t="shared" si="116"/>
        <v>NAN</v>
      </c>
      <c r="BC223" s="1">
        <f>ROUND(AC223,1)</f>
        <v>0</v>
      </c>
      <c r="BD223" s="1">
        <f>ROUND(AD223,1)</f>
        <v>0</v>
      </c>
      <c r="BE223" s="1">
        <f>ROUND(AE223,1)</f>
        <v>0</v>
      </c>
      <c r="BF223" s="5">
        <f t="shared" si="117"/>
        <v>0</v>
      </c>
      <c r="BG223" s="5">
        <f t="shared" si="118"/>
        <v>0</v>
      </c>
      <c r="BH223" s="5">
        <f t="shared" si="119"/>
        <v>0</v>
      </c>
      <c r="BI223" s="5">
        <f t="shared" si="120"/>
        <v>0</v>
      </c>
      <c r="BJ223" s="9">
        <f t="shared" si="121"/>
        <v>0</v>
      </c>
      <c r="BK223" s="9" t="e">
        <f t="shared" si="121"/>
        <v>#DIV/0!</v>
      </c>
      <c r="BM223" s="1">
        <f t="shared" si="122"/>
        <v>0</v>
      </c>
      <c r="BN223" s="1">
        <f t="shared" si="123"/>
        <v>0</v>
      </c>
    </row>
    <row r="224" spans="1:66" x14ac:dyDescent="0.2">
      <c r="A224" s="4">
        <f t="shared" si="124"/>
        <v>45876</v>
      </c>
      <c r="B224" s="1">
        <v>219</v>
      </c>
      <c r="C224" s="1">
        <v>12</v>
      </c>
      <c r="AN224" s="1">
        <f t="shared" si="108"/>
        <v>0</v>
      </c>
      <c r="AO224" s="1">
        <f t="shared" si="109"/>
        <v>0</v>
      </c>
      <c r="AP224" s="1">
        <f t="shared" si="110"/>
        <v>0</v>
      </c>
      <c r="AQ224" s="16">
        <f t="shared" si="125"/>
        <v>0</v>
      </c>
      <c r="AR224" s="23" t="e">
        <f t="shared" si="111"/>
        <v>#DIV/0!</v>
      </c>
      <c r="AT224" s="18">
        <f t="shared" si="106"/>
        <v>45876</v>
      </c>
      <c r="AU224" s="19">
        <f t="shared" si="107"/>
        <v>219</v>
      </c>
      <c r="AV224" s="1">
        <f t="shared" si="112"/>
        <v>0</v>
      </c>
      <c r="AW224" s="1">
        <f t="shared" si="113"/>
        <v>0</v>
      </c>
      <c r="AX224" s="1">
        <f t="shared" si="114"/>
        <v>0</v>
      </c>
      <c r="AY224" s="1">
        <f t="shared" si="104"/>
        <v>0</v>
      </c>
      <c r="AZ224" s="1">
        <f t="shared" si="105"/>
        <v>0</v>
      </c>
      <c r="BA224" s="1">
        <f t="shared" si="115"/>
        <v>0</v>
      </c>
      <c r="BB224" s="5" t="str">
        <f t="shared" si="116"/>
        <v>NAN</v>
      </c>
      <c r="BC224" s="1">
        <f>ROUND(AC224,1)</f>
        <v>0</v>
      </c>
      <c r="BD224" s="1">
        <f>ROUND(AD224,1)</f>
        <v>0</v>
      </c>
      <c r="BE224" s="1">
        <f>ROUND(AE224,1)</f>
        <v>0</v>
      </c>
      <c r="BF224" s="5">
        <f t="shared" si="117"/>
        <v>0</v>
      </c>
      <c r="BG224" s="5">
        <f t="shared" si="118"/>
        <v>0</v>
      </c>
      <c r="BH224" s="5">
        <f t="shared" si="119"/>
        <v>0</v>
      </c>
      <c r="BI224" s="5">
        <f t="shared" si="120"/>
        <v>0</v>
      </c>
      <c r="BJ224" s="9">
        <f t="shared" si="121"/>
        <v>0</v>
      </c>
      <c r="BK224" s="9" t="e">
        <f t="shared" si="121"/>
        <v>#DIV/0!</v>
      </c>
      <c r="BM224" s="1">
        <f t="shared" si="122"/>
        <v>0</v>
      </c>
      <c r="BN224" s="1">
        <f t="shared" si="123"/>
        <v>0</v>
      </c>
    </row>
    <row r="225" spans="1:66" x14ac:dyDescent="0.2">
      <c r="A225" s="4">
        <f t="shared" si="124"/>
        <v>45877</v>
      </c>
      <c r="B225" s="1">
        <v>220</v>
      </c>
      <c r="C225" s="1">
        <v>12</v>
      </c>
      <c r="AN225" s="1">
        <f t="shared" si="108"/>
        <v>0</v>
      </c>
      <c r="AO225" s="1">
        <f t="shared" si="109"/>
        <v>0</v>
      </c>
      <c r="AP225" s="1">
        <f t="shared" si="110"/>
        <v>0</v>
      </c>
      <c r="AQ225" s="16">
        <f t="shared" si="125"/>
        <v>0</v>
      </c>
      <c r="AR225" s="23" t="e">
        <f t="shared" si="111"/>
        <v>#DIV/0!</v>
      </c>
      <c r="AT225" s="18">
        <f t="shared" si="106"/>
        <v>45877</v>
      </c>
      <c r="AU225" s="19">
        <f t="shared" si="107"/>
        <v>220</v>
      </c>
      <c r="AV225" s="1">
        <f t="shared" si="112"/>
        <v>0</v>
      </c>
      <c r="AW225" s="1">
        <f t="shared" si="113"/>
        <v>0</v>
      </c>
      <c r="AX225" s="1">
        <f t="shared" si="114"/>
        <v>0</v>
      </c>
      <c r="AY225" s="1">
        <f t="shared" si="104"/>
        <v>0</v>
      </c>
      <c r="AZ225" s="1">
        <f t="shared" si="105"/>
        <v>0</v>
      </c>
      <c r="BA225" s="1">
        <f t="shared" si="115"/>
        <v>0</v>
      </c>
      <c r="BB225" s="5" t="str">
        <f t="shared" si="116"/>
        <v>NAN</v>
      </c>
      <c r="BC225" s="1">
        <f>ROUND(AC225,1)</f>
        <v>0</v>
      </c>
      <c r="BD225" s="1">
        <f>ROUND(AD225,1)</f>
        <v>0</v>
      </c>
      <c r="BE225" s="1">
        <f>ROUND(AE225,1)</f>
        <v>0</v>
      </c>
      <c r="BF225" s="5">
        <f t="shared" si="117"/>
        <v>0</v>
      </c>
      <c r="BG225" s="5">
        <f t="shared" si="118"/>
        <v>0</v>
      </c>
      <c r="BH225" s="5">
        <f t="shared" si="119"/>
        <v>0</v>
      </c>
      <c r="BI225" s="5">
        <f t="shared" si="120"/>
        <v>0</v>
      </c>
      <c r="BJ225" s="9">
        <f t="shared" si="121"/>
        <v>0</v>
      </c>
      <c r="BK225" s="9" t="e">
        <f t="shared" si="121"/>
        <v>#DIV/0!</v>
      </c>
      <c r="BM225" s="1">
        <f t="shared" si="122"/>
        <v>0</v>
      </c>
      <c r="BN225" s="1">
        <f t="shared" si="123"/>
        <v>0</v>
      </c>
    </row>
    <row r="226" spans="1:66" x14ac:dyDescent="0.2">
      <c r="A226" s="4">
        <f t="shared" si="124"/>
        <v>45878</v>
      </c>
      <c r="B226" s="1">
        <v>221</v>
      </c>
      <c r="C226" s="1">
        <v>12</v>
      </c>
      <c r="AN226" s="1">
        <f t="shared" si="108"/>
        <v>0</v>
      </c>
      <c r="AO226" s="1">
        <f t="shared" si="109"/>
        <v>0</v>
      </c>
      <c r="AP226" s="1">
        <f t="shared" si="110"/>
        <v>0</v>
      </c>
      <c r="AQ226" s="16">
        <f t="shared" si="125"/>
        <v>0</v>
      </c>
      <c r="AR226" s="23" t="e">
        <f t="shared" si="111"/>
        <v>#DIV/0!</v>
      </c>
      <c r="AT226" s="18">
        <f t="shared" si="106"/>
        <v>45878</v>
      </c>
      <c r="AU226" s="19">
        <f t="shared" si="107"/>
        <v>221</v>
      </c>
      <c r="AV226" s="1">
        <f t="shared" si="112"/>
        <v>0</v>
      </c>
      <c r="AW226" s="1">
        <f t="shared" si="113"/>
        <v>0</v>
      </c>
      <c r="AX226" s="1">
        <f t="shared" si="114"/>
        <v>0</v>
      </c>
      <c r="AY226" s="1">
        <f t="shared" si="104"/>
        <v>0</v>
      </c>
      <c r="AZ226" s="1">
        <f t="shared" si="105"/>
        <v>0</v>
      </c>
      <c r="BA226" s="1">
        <f t="shared" si="115"/>
        <v>0</v>
      </c>
      <c r="BB226" s="5" t="str">
        <f t="shared" si="116"/>
        <v>NAN</v>
      </c>
      <c r="BC226" s="1">
        <f>ROUND(AC226,1)</f>
        <v>0</v>
      </c>
      <c r="BD226" s="1">
        <f>ROUND(AD226,1)</f>
        <v>0</v>
      </c>
      <c r="BE226" s="1">
        <f>ROUND(AE226,1)</f>
        <v>0</v>
      </c>
      <c r="BF226" s="5">
        <f t="shared" si="117"/>
        <v>0</v>
      </c>
      <c r="BG226" s="5">
        <f t="shared" si="118"/>
        <v>0</v>
      </c>
      <c r="BH226" s="5">
        <f t="shared" si="119"/>
        <v>0</v>
      </c>
      <c r="BI226" s="5">
        <f t="shared" si="120"/>
        <v>0</v>
      </c>
      <c r="BJ226" s="9">
        <f t="shared" si="121"/>
        <v>0</v>
      </c>
      <c r="BK226" s="9" t="e">
        <f t="shared" si="121"/>
        <v>#DIV/0!</v>
      </c>
      <c r="BM226" s="1">
        <f t="shared" si="122"/>
        <v>0</v>
      </c>
      <c r="BN226" s="1">
        <f t="shared" si="123"/>
        <v>0</v>
      </c>
    </row>
    <row r="227" spans="1:66" x14ac:dyDescent="0.2">
      <c r="A227" s="4">
        <f t="shared" si="124"/>
        <v>45879</v>
      </c>
      <c r="B227" s="1">
        <v>222</v>
      </c>
      <c r="C227" s="1">
        <v>12</v>
      </c>
      <c r="AN227" s="1">
        <f t="shared" si="108"/>
        <v>0</v>
      </c>
      <c r="AO227" s="1">
        <f t="shared" si="109"/>
        <v>0</v>
      </c>
      <c r="AP227" s="1">
        <f t="shared" si="110"/>
        <v>0</v>
      </c>
      <c r="AQ227" s="16">
        <f t="shared" si="125"/>
        <v>0</v>
      </c>
      <c r="AR227" s="23" t="e">
        <f t="shared" si="111"/>
        <v>#DIV/0!</v>
      </c>
      <c r="AT227" s="18">
        <f t="shared" si="106"/>
        <v>45879</v>
      </c>
      <c r="AU227" s="19">
        <f t="shared" si="107"/>
        <v>222</v>
      </c>
      <c r="AV227" s="1">
        <f t="shared" si="112"/>
        <v>0</v>
      </c>
      <c r="AW227" s="1">
        <f t="shared" si="113"/>
        <v>0</v>
      </c>
      <c r="AX227" s="1">
        <f t="shared" si="114"/>
        <v>0</v>
      </c>
      <c r="AY227" s="1">
        <f t="shared" si="104"/>
        <v>0</v>
      </c>
      <c r="AZ227" s="1">
        <f t="shared" si="105"/>
        <v>0</v>
      </c>
      <c r="BA227" s="1">
        <f t="shared" si="115"/>
        <v>0</v>
      </c>
      <c r="BB227" s="5" t="str">
        <f t="shared" si="116"/>
        <v>NAN</v>
      </c>
      <c r="BC227" s="1">
        <f>ROUND(AC227,1)</f>
        <v>0</v>
      </c>
      <c r="BD227" s="1">
        <f>ROUND(AD227,1)</f>
        <v>0</v>
      </c>
      <c r="BE227" s="1">
        <f>ROUND(AE227,1)</f>
        <v>0</v>
      </c>
      <c r="BF227" s="5">
        <f t="shared" si="117"/>
        <v>0</v>
      </c>
      <c r="BG227" s="5">
        <f t="shared" si="118"/>
        <v>0</v>
      </c>
      <c r="BH227" s="5">
        <f t="shared" si="119"/>
        <v>0</v>
      </c>
      <c r="BI227" s="5">
        <f t="shared" si="120"/>
        <v>0</v>
      </c>
      <c r="BJ227" s="9">
        <f t="shared" si="121"/>
        <v>0</v>
      </c>
      <c r="BK227" s="9" t="e">
        <f t="shared" si="121"/>
        <v>#DIV/0!</v>
      </c>
      <c r="BM227" s="1">
        <f t="shared" si="122"/>
        <v>0</v>
      </c>
      <c r="BN227" s="1">
        <f t="shared" si="123"/>
        <v>0</v>
      </c>
    </row>
    <row r="228" spans="1:66" x14ac:dyDescent="0.2">
      <c r="A228" s="4">
        <f t="shared" si="124"/>
        <v>45880</v>
      </c>
      <c r="B228" s="1">
        <v>223</v>
      </c>
      <c r="C228" s="1">
        <v>12</v>
      </c>
      <c r="AN228" s="1">
        <f t="shared" si="108"/>
        <v>0</v>
      </c>
      <c r="AO228" s="1">
        <f t="shared" si="109"/>
        <v>0</v>
      </c>
      <c r="AP228" s="1">
        <f t="shared" si="110"/>
        <v>0</v>
      </c>
      <c r="AQ228" s="16">
        <f t="shared" si="125"/>
        <v>0</v>
      </c>
      <c r="AR228" s="23" t="e">
        <f t="shared" si="111"/>
        <v>#DIV/0!</v>
      </c>
      <c r="AT228" s="18">
        <f t="shared" si="106"/>
        <v>45880</v>
      </c>
      <c r="AU228" s="19">
        <f t="shared" si="107"/>
        <v>223</v>
      </c>
      <c r="AV228" s="1">
        <f t="shared" si="112"/>
        <v>0</v>
      </c>
      <c r="AW228" s="1">
        <f t="shared" si="113"/>
        <v>0</v>
      </c>
      <c r="AX228" s="1">
        <f t="shared" si="114"/>
        <v>0</v>
      </c>
      <c r="AY228" s="1">
        <f t="shared" si="104"/>
        <v>0</v>
      </c>
      <c r="AZ228" s="1">
        <f t="shared" si="105"/>
        <v>0</v>
      </c>
      <c r="BA228" s="1">
        <f t="shared" si="115"/>
        <v>0</v>
      </c>
      <c r="BB228" s="5" t="str">
        <f t="shared" si="116"/>
        <v>NAN</v>
      </c>
      <c r="BC228" s="1">
        <f>ROUND(AC228,1)</f>
        <v>0</v>
      </c>
      <c r="BD228" s="1">
        <f>ROUND(AD228,1)</f>
        <v>0</v>
      </c>
      <c r="BE228" s="1">
        <f>ROUND(AE228,1)</f>
        <v>0</v>
      </c>
      <c r="BF228" s="5">
        <f t="shared" si="117"/>
        <v>0</v>
      </c>
      <c r="BG228" s="5">
        <f t="shared" si="118"/>
        <v>0</v>
      </c>
      <c r="BH228" s="5">
        <f t="shared" si="119"/>
        <v>0</v>
      </c>
      <c r="BI228" s="5">
        <f t="shared" si="120"/>
        <v>0</v>
      </c>
      <c r="BJ228" s="9">
        <f t="shared" si="121"/>
        <v>0</v>
      </c>
      <c r="BK228" s="9" t="e">
        <f t="shared" si="121"/>
        <v>#DIV/0!</v>
      </c>
      <c r="BM228" s="1">
        <f t="shared" si="122"/>
        <v>0</v>
      </c>
      <c r="BN228" s="1">
        <f t="shared" si="123"/>
        <v>0</v>
      </c>
    </row>
    <row r="229" spans="1:66" x14ac:dyDescent="0.2">
      <c r="A229" s="4">
        <f t="shared" si="124"/>
        <v>45881</v>
      </c>
      <c r="B229" s="1">
        <v>224</v>
      </c>
      <c r="C229" s="1">
        <v>12</v>
      </c>
      <c r="AN229" s="1">
        <f t="shared" si="108"/>
        <v>0</v>
      </c>
      <c r="AO229" s="1">
        <f t="shared" si="109"/>
        <v>0</v>
      </c>
      <c r="AP229" s="1">
        <f t="shared" si="110"/>
        <v>0</v>
      </c>
      <c r="AQ229" s="16">
        <f t="shared" si="125"/>
        <v>0</v>
      </c>
      <c r="AR229" s="23" t="e">
        <f t="shared" si="111"/>
        <v>#DIV/0!</v>
      </c>
      <c r="AT229" s="18">
        <f t="shared" si="106"/>
        <v>45881</v>
      </c>
      <c r="AU229" s="19">
        <f t="shared" si="107"/>
        <v>224</v>
      </c>
      <c r="AV229" s="1">
        <f t="shared" si="112"/>
        <v>0</v>
      </c>
      <c r="AW229" s="1">
        <f t="shared" si="113"/>
        <v>0</v>
      </c>
      <c r="AX229" s="1">
        <f t="shared" si="114"/>
        <v>0</v>
      </c>
      <c r="AY229" s="1">
        <f t="shared" si="104"/>
        <v>0</v>
      </c>
      <c r="AZ229" s="1">
        <f t="shared" si="105"/>
        <v>0</v>
      </c>
      <c r="BA229" s="1">
        <f t="shared" si="115"/>
        <v>0</v>
      </c>
      <c r="BB229" s="5" t="str">
        <f t="shared" si="116"/>
        <v>NAN</v>
      </c>
      <c r="BC229" s="1">
        <f>ROUND(AC229,1)</f>
        <v>0</v>
      </c>
      <c r="BD229" s="1">
        <f>ROUND(AD229,1)</f>
        <v>0</v>
      </c>
      <c r="BE229" s="1">
        <f>ROUND(AE229,1)</f>
        <v>0</v>
      </c>
      <c r="BF229" s="5">
        <f t="shared" si="117"/>
        <v>0</v>
      </c>
      <c r="BG229" s="5">
        <f t="shared" si="118"/>
        <v>0</v>
      </c>
      <c r="BH229" s="5">
        <f t="shared" si="119"/>
        <v>0</v>
      </c>
      <c r="BI229" s="5">
        <f t="shared" si="120"/>
        <v>0</v>
      </c>
      <c r="BJ229" s="9">
        <f t="shared" si="121"/>
        <v>0</v>
      </c>
      <c r="BK229" s="9" t="e">
        <f t="shared" si="121"/>
        <v>#DIV/0!</v>
      </c>
      <c r="BM229" s="1">
        <f t="shared" si="122"/>
        <v>0</v>
      </c>
      <c r="BN229" s="1">
        <f t="shared" si="123"/>
        <v>0</v>
      </c>
    </row>
    <row r="230" spans="1:66" x14ac:dyDescent="0.2">
      <c r="A230" s="4">
        <f t="shared" si="124"/>
        <v>45882</v>
      </c>
      <c r="B230" s="1">
        <v>225</v>
      </c>
      <c r="C230" s="1">
        <v>12</v>
      </c>
      <c r="AN230" s="1">
        <f t="shared" si="108"/>
        <v>0</v>
      </c>
      <c r="AO230" s="1">
        <f t="shared" si="109"/>
        <v>0</v>
      </c>
      <c r="AP230" s="1">
        <f t="shared" si="110"/>
        <v>0</v>
      </c>
      <c r="AQ230" s="16">
        <f t="shared" si="125"/>
        <v>0</v>
      </c>
      <c r="AR230" s="23" t="e">
        <f t="shared" si="111"/>
        <v>#DIV/0!</v>
      </c>
      <c r="AT230" s="18">
        <f t="shared" si="106"/>
        <v>45882</v>
      </c>
      <c r="AU230" s="19">
        <f t="shared" si="107"/>
        <v>225</v>
      </c>
      <c r="AV230" s="1">
        <f t="shared" si="112"/>
        <v>0</v>
      </c>
      <c r="AW230" s="1">
        <f t="shared" si="113"/>
        <v>0</v>
      </c>
      <c r="AX230" s="1">
        <f t="shared" si="114"/>
        <v>0</v>
      </c>
      <c r="AY230" s="1">
        <f t="shared" si="104"/>
        <v>0</v>
      </c>
      <c r="AZ230" s="1">
        <f t="shared" si="105"/>
        <v>0</v>
      </c>
      <c r="BA230" s="1">
        <f t="shared" si="115"/>
        <v>0</v>
      </c>
      <c r="BB230" s="5" t="str">
        <f t="shared" si="116"/>
        <v>NAN</v>
      </c>
      <c r="BC230" s="1">
        <f>ROUND(AC230,1)</f>
        <v>0</v>
      </c>
      <c r="BD230" s="1">
        <f>ROUND(AD230,1)</f>
        <v>0</v>
      </c>
      <c r="BE230" s="1">
        <f>ROUND(AE230,1)</f>
        <v>0</v>
      </c>
      <c r="BF230" s="5">
        <f t="shared" si="117"/>
        <v>0</v>
      </c>
      <c r="BG230" s="5">
        <f t="shared" si="118"/>
        <v>0</v>
      </c>
      <c r="BH230" s="5">
        <f t="shared" si="119"/>
        <v>0</v>
      </c>
      <c r="BI230" s="5">
        <f t="shared" si="120"/>
        <v>0</v>
      </c>
      <c r="BJ230" s="9">
        <f t="shared" si="121"/>
        <v>0</v>
      </c>
      <c r="BK230" s="9" t="e">
        <f t="shared" si="121"/>
        <v>#DIV/0!</v>
      </c>
      <c r="BM230" s="1">
        <f t="shared" si="122"/>
        <v>0</v>
      </c>
      <c r="BN230" s="1">
        <f t="shared" si="123"/>
        <v>0</v>
      </c>
    </row>
    <row r="231" spans="1:66" x14ac:dyDescent="0.2">
      <c r="A231" s="4">
        <f t="shared" si="124"/>
        <v>45883</v>
      </c>
      <c r="B231" s="1">
        <v>226</v>
      </c>
      <c r="C231" s="1">
        <v>12</v>
      </c>
      <c r="AN231" s="1">
        <f t="shared" si="108"/>
        <v>0</v>
      </c>
      <c r="AO231" s="1">
        <f t="shared" si="109"/>
        <v>0</v>
      </c>
      <c r="AP231" s="1">
        <f t="shared" si="110"/>
        <v>0</v>
      </c>
      <c r="AQ231" s="16">
        <f t="shared" si="125"/>
        <v>0</v>
      </c>
      <c r="AR231" s="23" t="e">
        <f t="shared" si="111"/>
        <v>#DIV/0!</v>
      </c>
      <c r="AT231" s="18">
        <f t="shared" si="106"/>
        <v>45883</v>
      </c>
      <c r="AU231" s="19">
        <f t="shared" si="107"/>
        <v>226</v>
      </c>
      <c r="AV231" s="1">
        <f t="shared" si="112"/>
        <v>0</v>
      </c>
      <c r="AW231" s="1">
        <f t="shared" si="113"/>
        <v>0</v>
      </c>
      <c r="AX231" s="1">
        <f t="shared" si="114"/>
        <v>0</v>
      </c>
      <c r="AY231" s="1">
        <f t="shared" si="104"/>
        <v>0</v>
      </c>
      <c r="AZ231" s="1">
        <f t="shared" si="105"/>
        <v>0</v>
      </c>
      <c r="BA231" s="1">
        <f t="shared" si="115"/>
        <v>0</v>
      </c>
      <c r="BB231" s="5" t="str">
        <f t="shared" si="116"/>
        <v>NAN</v>
      </c>
      <c r="BC231" s="1">
        <f>ROUND(AC231,1)</f>
        <v>0</v>
      </c>
      <c r="BD231" s="1">
        <f>ROUND(AD231,1)</f>
        <v>0</v>
      </c>
      <c r="BE231" s="1">
        <f>ROUND(AE231,1)</f>
        <v>0</v>
      </c>
      <c r="BF231" s="5">
        <f t="shared" si="117"/>
        <v>0</v>
      </c>
      <c r="BG231" s="5">
        <f t="shared" si="118"/>
        <v>0</v>
      </c>
      <c r="BH231" s="5">
        <f t="shared" si="119"/>
        <v>0</v>
      </c>
      <c r="BI231" s="5">
        <f t="shared" si="120"/>
        <v>0</v>
      </c>
      <c r="BJ231" s="9">
        <f t="shared" si="121"/>
        <v>0</v>
      </c>
      <c r="BK231" s="9" t="e">
        <f t="shared" si="121"/>
        <v>#DIV/0!</v>
      </c>
      <c r="BM231" s="1">
        <f t="shared" si="122"/>
        <v>0</v>
      </c>
      <c r="BN231" s="1">
        <f t="shared" si="123"/>
        <v>0</v>
      </c>
    </row>
    <row r="232" spans="1:66" x14ac:dyDescent="0.2">
      <c r="A232" s="4">
        <f t="shared" si="124"/>
        <v>45884</v>
      </c>
      <c r="B232" s="1">
        <v>227</v>
      </c>
      <c r="C232" s="1">
        <v>12</v>
      </c>
      <c r="AN232" s="1">
        <f t="shared" si="108"/>
        <v>0</v>
      </c>
      <c r="AO232" s="1">
        <f t="shared" si="109"/>
        <v>0</v>
      </c>
      <c r="AP232" s="1">
        <f t="shared" si="110"/>
        <v>0</v>
      </c>
      <c r="AQ232" s="16">
        <f t="shared" si="125"/>
        <v>0</v>
      </c>
      <c r="AR232" s="23" t="e">
        <f t="shared" si="111"/>
        <v>#DIV/0!</v>
      </c>
      <c r="AT232" s="18">
        <f t="shared" si="106"/>
        <v>45884</v>
      </c>
      <c r="AU232" s="19">
        <f t="shared" si="107"/>
        <v>227</v>
      </c>
      <c r="AV232" s="1">
        <f t="shared" si="112"/>
        <v>0</v>
      </c>
      <c r="AW232" s="1">
        <f t="shared" si="113"/>
        <v>0</v>
      </c>
      <c r="AX232" s="1">
        <f t="shared" si="114"/>
        <v>0</v>
      </c>
      <c r="AY232" s="1">
        <f t="shared" si="104"/>
        <v>0</v>
      </c>
      <c r="AZ232" s="1">
        <f t="shared" si="105"/>
        <v>0</v>
      </c>
      <c r="BA232" s="1">
        <f t="shared" si="115"/>
        <v>0</v>
      </c>
      <c r="BB232" s="5" t="str">
        <f t="shared" si="116"/>
        <v>NAN</v>
      </c>
      <c r="BC232" s="1">
        <f>ROUND(AC232,1)</f>
        <v>0</v>
      </c>
      <c r="BD232" s="1">
        <f>ROUND(AD232,1)</f>
        <v>0</v>
      </c>
      <c r="BE232" s="1">
        <f>ROUND(AE232,1)</f>
        <v>0</v>
      </c>
      <c r="BF232" s="5">
        <f t="shared" si="117"/>
        <v>0</v>
      </c>
      <c r="BG232" s="5">
        <f t="shared" si="118"/>
        <v>0</v>
      </c>
      <c r="BH232" s="5">
        <f t="shared" si="119"/>
        <v>0</v>
      </c>
      <c r="BI232" s="5">
        <f t="shared" si="120"/>
        <v>0</v>
      </c>
      <c r="BJ232" s="9">
        <f t="shared" si="121"/>
        <v>0</v>
      </c>
      <c r="BK232" s="9" t="e">
        <f t="shared" si="121"/>
        <v>#DIV/0!</v>
      </c>
      <c r="BM232" s="1">
        <f t="shared" si="122"/>
        <v>0</v>
      </c>
      <c r="BN232" s="1">
        <f t="shared" si="123"/>
        <v>0</v>
      </c>
    </row>
    <row r="233" spans="1:66" x14ac:dyDescent="0.2">
      <c r="A233" s="4">
        <f t="shared" si="124"/>
        <v>45885</v>
      </c>
      <c r="B233" s="1">
        <v>228</v>
      </c>
      <c r="C233" s="1">
        <v>12</v>
      </c>
      <c r="AN233" s="1">
        <f t="shared" si="108"/>
        <v>0</v>
      </c>
      <c r="AO233" s="1">
        <f t="shared" si="109"/>
        <v>0</v>
      </c>
      <c r="AP233" s="1">
        <f t="shared" si="110"/>
        <v>0</v>
      </c>
      <c r="AQ233" s="16">
        <f t="shared" si="125"/>
        <v>0</v>
      </c>
      <c r="AR233" s="23" t="e">
        <f t="shared" si="111"/>
        <v>#DIV/0!</v>
      </c>
      <c r="AT233" s="18">
        <f t="shared" si="106"/>
        <v>45885</v>
      </c>
      <c r="AU233" s="19">
        <f t="shared" si="107"/>
        <v>228</v>
      </c>
      <c r="AV233" s="1">
        <f t="shared" si="112"/>
        <v>0</v>
      </c>
      <c r="AW233" s="1">
        <f t="shared" si="113"/>
        <v>0</v>
      </c>
      <c r="AX233" s="1">
        <f t="shared" si="114"/>
        <v>0</v>
      </c>
      <c r="AY233" s="1">
        <f t="shared" si="104"/>
        <v>0</v>
      </c>
      <c r="AZ233" s="1">
        <f t="shared" si="105"/>
        <v>0</v>
      </c>
      <c r="BA233" s="1">
        <f t="shared" si="115"/>
        <v>0</v>
      </c>
      <c r="BB233" s="5" t="str">
        <f t="shared" si="116"/>
        <v>NAN</v>
      </c>
      <c r="BC233" s="1">
        <f>ROUND(AC233,1)</f>
        <v>0</v>
      </c>
      <c r="BD233" s="1">
        <f>ROUND(AD233,1)</f>
        <v>0</v>
      </c>
      <c r="BE233" s="1">
        <f>ROUND(AE233,1)</f>
        <v>0</v>
      </c>
      <c r="BF233" s="5">
        <f t="shared" si="117"/>
        <v>0</v>
      </c>
      <c r="BG233" s="5">
        <f t="shared" si="118"/>
        <v>0</v>
      </c>
      <c r="BH233" s="5">
        <f t="shared" si="119"/>
        <v>0</v>
      </c>
      <c r="BI233" s="5">
        <f t="shared" si="120"/>
        <v>0</v>
      </c>
      <c r="BJ233" s="9">
        <f t="shared" si="121"/>
        <v>0</v>
      </c>
      <c r="BK233" s="9" t="e">
        <f t="shared" si="121"/>
        <v>#DIV/0!</v>
      </c>
      <c r="BM233" s="1">
        <f t="shared" si="122"/>
        <v>0</v>
      </c>
      <c r="BN233" s="1">
        <f t="shared" si="123"/>
        <v>0</v>
      </c>
    </row>
    <row r="234" spans="1:66" x14ac:dyDescent="0.2">
      <c r="A234" s="4">
        <f t="shared" si="124"/>
        <v>45886</v>
      </c>
      <c r="B234" s="1">
        <v>229</v>
      </c>
      <c r="C234" s="1">
        <v>12</v>
      </c>
      <c r="AN234" s="1">
        <f t="shared" si="108"/>
        <v>0</v>
      </c>
      <c r="AO234" s="1">
        <f t="shared" si="109"/>
        <v>0</v>
      </c>
      <c r="AP234" s="1">
        <f t="shared" si="110"/>
        <v>0</v>
      </c>
      <c r="AQ234" s="16">
        <f t="shared" si="125"/>
        <v>0</v>
      </c>
      <c r="AR234" s="23" t="e">
        <f t="shared" si="111"/>
        <v>#DIV/0!</v>
      </c>
      <c r="AT234" s="18">
        <f t="shared" si="106"/>
        <v>45886</v>
      </c>
      <c r="AU234" s="19">
        <f t="shared" si="107"/>
        <v>229</v>
      </c>
      <c r="AV234" s="1">
        <f t="shared" si="112"/>
        <v>0</v>
      </c>
      <c r="AW234" s="1">
        <f t="shared" si="113"/>
        <v>0</v>
      </c>
      <c r="AX234" s="1">
        <f t="shared" si="114"/>
        <v>0</v>
      </c>
      <c r="AY234" s="1">
        <f t="shared" si="104"/>
        <v>0</v>
      </c>
      <c r="AZ234" s="1">
        <f t="shared" si="105"/>
        <v>0</v>
      </c>
      <c r="BA234" s="1">
        <f t="shared" si="115"/>
        <v>0</v>
      </c>
      <c r="BB234" s="5" t="str">
        <f t="shared" si="116"/>
        <v>NAN</v>
      </c>
      <c r="BC234" s="1">
        <f>ROUND(AC234,1)</f>
        <v>0</v>
      </c>
      <c r="BD234" s="1">
        <f>ROUND(AD234,1)</f>
        <v>0</v>
      </c>
      <c r="BE234" s="1">
        <f>ROUND(AE234,1)</f>
        <v>0</v>
      </c>
      <c r="BF234" s="5">
        <f t="shared" si="117"/>
        <v>0</v>
      </c>
      <c r="BG234" s="5">
        <f t="shared" si="118"/>
        <v>0</v>
      </c>
      <c r="BH234" s="5">
        <f t="shared" si="119"/>
        <v>0</v>
      </c>
      <c r="BI234" s="5">
        <f t="shared" si="120"/>
        <v>0</v>
      </c>
      <c r="BJ234" s="9">
        <f t="shared" si="121"/>
        <v>0</v>
      </c>
      <c r="BK234" s="9" t="e">
        <f t="shared" si="121"/>
        <v>#DIV/0!</v>
      </c>
      <c r="BM234" s="1">
        <f t="shared" si="122"/>
        <v>0</v>
      </c>
      <c r="BN234" s="1">
        <f t="shared" si="123"/>
        <v>0</v>
      </c>
    </row>
    <row r="235" spans="1:66" x14ac:dyDescent="0.2">
      <c r="A235" s="4">
        <f t="shared" si="124"/>
        <v>45887</v>
      </c>
      <c r="B235" s="1">
        <v>230</v>
      </c>
      <c r="C235" s="1">
        <v>12</v>
      </c>
      <c r="AN235" s="1">
        <f t="shared" si="108"/>
        <v>0</v>
      </c>
      <c r="AO235" s="1">
        <f t="shared" si="109"/>
        <v>0</v>
      </c>
      <c r="AP235" s="1">
        <f t="shared" si="110"/>
        <v>0</v>
      </c>
      <c r="AQ235" s="16">
        <f t="shared" si="125"/>
        <v>0</v>
      </c>
      <c r="AR235" s="23" t="e">
        <f t="shared" si="111"/>
        <v>#DIV/0!</v>
      </c>
      <c r="AT235" s="18">
        <f t="shared" si="106"/>
        <v>45887</v>
      </c>
      <c r="AU235" s="19">
        <f t="shared" si="107"/>
        <v>230</v>
      </c>
      <c r="AV235" s="1">
        <f t="shared" si="112"/>
        <v>0</v>
      </c>
      <c r="AW235" s="1">
        <f t="shared" si="113"/>
        <v>0</v>
      </c>
      <c r="AX235" s="1">
        <f t="shared" si="114"/>
        <v>0</v>
      </c>
      <c r="AY235" s="1">
        <f t="shared" si="104"/>
        <v>0</v>
      </c>
      <c r="AZ235" s="1">
        <f t="shared" si="105"/>
        <v>0</v>
      </c>
      <c r="BA235" s="1">
        <f t="shared" si="115"/>
        <v>0</v>
      </c>
      <c r="BB235" s="5" t="str">
        <f t="shared" si="116"/>
        <v>NAN</v>
      </c>
      <c r="BC235" s="1">
        <f>ROUND(AC235,1)</f>
        <v>0</v>
      </c>
      <c r="BD235" s="1">
        <f>ROUND(AD235,1)</f>
        <v>0</v>
      </c>
      <c r="BE235" s="1">
        <f>ROUND(AE235,1)</f>
        <v>0</v>
      </c>
      <c r="BF235" s="5">
        <f t="shared" si="117"/>
        <v>0</v>
      </c>
      <c r="BG235" s="5">
        <f t="shared" si="118"/>
        <v>0</v>
      </c>
      <c r="BH235" s="5">
        <f t="shared" si="119"/>
        <v>0</v>
      </c>
      <c r="BI235" s="5">
        <f t="shared" si="120"/>
        <v>0</v>
      </c>
      <c r="BJ235" s="9">
        <f t="shared" si="121"/>
        <v>0</v>
      </c>
      <c r="BK235" s="9" t="e">
        <f t="shared" si="121"/>
        <v>#DIV/0!</v>
      </c>
      <c r="BM235" s="1">
        <f t="shared" si="122"/>
        <v>0</v>
      </c>
      <c r="BN235" s="1">
        <f t="shared" si="123"/>
        <v>0</v>
      </c>
    </row>
    <row r="236" spans="1:66" x14ac:dyDescent="0.2">
      <c r="A236" s="4">
        <f t="shared" si="124"/>
        <v>45888</v>
      </c>
      <c r="B236" s="1">
        <v>231</v>
      </c>
      <c r="C236" s="1">
        <v>12</v>
      </c>
      <c r="AN236" s="1">
        <f t="shared" si="108"/>
        <v>0</v>
      </c>
      <c r="AO236" s="1">
        <f t="shared" si="109"/>
        <v>0</v>
      </c>
      <c r="AP236" s="1">
        <f t="shared" si="110"/>
        <v>0</v>
      </c>
      <c r="AQ236" s="16">
        <f t="shared" si="125"/>
        <v>0</v>
      </c>
      <c r="AR236" s="23" t="e">
        <f t="shared" si="111"/>
        <v>#DIV/0!</v>
      </c>
      <c r="AT236" s="18">
        <f t="shared" si="106"/>
        <v>45888</v>
      </c>
      <c r="AU236" s="19">
        <f t="shared" si="107"/>
        <v>231</v>
      </c>
      <c r="AV236" s="1">
        <f t="shared" si="112"/>
        <v>0</v>
      </c>
      <c r="AW236" s="1">
        <f t="shared" si="113"/>
        <v>0</v>
      </c>
      <c r="AX236" s="1">
        <f t="shared" si="114"/>
        <v>0</v>
      </c>
      <c r="AY236" s="1">
        <f t="shared" si="104"/>
        <v>0</v>
      </c>
      <c r="AZ236" s="1">
        <f t="shared" si="105"/>
        <v>0</v>
      </c>
      <c r="BA236" s="1">
        <f t="shared" si="115"/>
        <v>0</v>
      </c>
      <c r="BB236" s="5" t="str">
        <f t="shared" si="116"/>
        <v>NAN</v>
      </c>
      <c r="BC236" s="1">
        <f>ROUND(AC236,1)</f>
        <v>0</v>
      </c>
      <c r="BD236" s="1">
        <f>ROUND(AD236,1)</f>
        <v>0</v>
      </c>
      <c r="BE236" s="1">
        <f>ROUND(AE236,1)</f>
        <v>0</v>
      </c>
      <c r="BF236" s="5">
        <f t="shared" si="117"/>
        <v>0</v>
      </c>
      <c r="BG236" s="5">
        <f t="shared" si="118"/>
        <v>0</v>
      </c>
      <c r="BH236" s="5">
        <f t="shared" si="119"/>
        <v>0</v>
      </c>
      <c r="BI236" s="5">
        <f t="shared" si="120"/>
        <v>0</v>
      </c>
      <c r="BJ236" s="9">
        <f t="shared" si="121"/>
        <v>0</v>
      </c>
      <c r="BK236" s="9" t="e">
        <f t="shared" si="121"/>
        <v>#DIV/0!</v>
      </c>
      <c r="BM236" s="1">
        <f t="shared" si="122"/>
        <v>0</v>
      </c>
      <c r="BN236" s="1">
        <f t="shared" si="123"/>
        <v>0</v>
      </c>
    </row>
    <row r="237" spans="1:66" x14ac:dyDescent="0.2">
      <c r="A237" s="4">
        <f t="shared" si="124"/>
        <v>45889</v>
      </c>
      <c r="B237" s="1">
        <v>232</v>
      </c>
      <c r="C237" s="1">
        <v>12</v>
      </c>
      <c r="AN237" s="1">
        <f t="shared" si="108"/>
        <v>0</v>
      </c>
      <c r="AO237" s="1">
        <f t="shared" si="109"/>
        <v>0</v>
      </c>
      <c r="AP237" s="1">
        <f t="shared" si="110"/>
        <v>0</v>
      </c>
      <c r="AQ237" s="16">
        <f t="shared" si="125"/>
        <v>0</v>
      </c>
      <c r="AR237" s="23" t="e">
        <f t="shared" si="111"/>
        <v>#DIV/0!</v>
      </c>
      <c r="AT237" s="18">
        <f t="shared" si="106"/>
        <v>45889</v>
      </c>
      <c r="AU237" s="19">
        <f t="shared" si="107"/>
        <v>232</v>
      </c>
      <c r="AV237" s="1">
        <f t="shared" si="112"/>
        <v>0</v>
      </c>
      <c r="AW237" s="1">
        <f t="shared" si="113"/>
        <v>0</v>
      </c>
      <c r="AX237" s="1">
        <f t="shared" si="114"/>
        <v>0</v>
      </c>
      <c r="AY237" s="1">
        <f t="shared" si="104"/>
        <v>0</v>
      </c>
      <c r="AZ237" s="1">
        <f t="shared" si="105"/>
        <v>0</v>
      </c>
      <c r="BA237" s="1">
        <f t="shared" si="115"/>
        <v>0</v>
      </c>
      <c r="BB237" s="5" t="str">
        <f t="shared" si="116"/>
        <v>NAN</v>
      </c>
      <c r="BC237" s="1">
        <f>ROUND(AC237,1)</f>
        <v>0</v>
      </c>
      <c r="BD237" s="1">
        <f>ROUND(AD237,1)</f>
        <v>0</v>
      </c>
      <c r="BE237" s="1">
        <f>ROUND(AE237,1)</f>
        <v>0</v>
      </c>
      <c r="BF237" s="5">
        <f t="shared" si="117"/>
        <v>0</v>
      </c>
      <c r="BG237" s="5">
        <f t="shared" si="118"/>
        <v>0</v>
      </c>
      <c r="BH237" s="5">
        <f t="shared" si="119"/>
        <v>0</v>
      </c>
      <c r="BI237" s="5">
        <f t="shared" si="120"/>
        <v>0</v>
      </c>
      <c r="BJ237" s="9">
        <f t="shared" si="121"/>
        <v>0</v>
      </c>
      <c r="BK237" s="9" t="e">
        <f t="shared" si="121"/>
        <v>#DIV/0!</v>
      </c>
      <c r="BM237" s="1">
        <f t="shared" si="122"/>
        <v>0</v>
      </c>
      <c r="BN237" s="1">
        <f t="shared" si="123"/>
        <v>0</v>
      </c>
    </row>
    <row r="238" spans="1:66" x14ac:dyDescent="0.2">
      <c r="A238" s="4">
        <f t="shared" si="124"/>
        <v>45890</v>
      </c>
      <c r="B238" s="1">
        <v>233</v>
      </c>
      <c r="C238" s="1">
        <v>12</v>
      </c>
      <c r="AN238" s="1">
        <f t="shared" si="108"/>
        <v>0</v>
      </c>
      <c r="AO238" s="1">
        <f t="shared" si="109"/>
        <v>0</v>
      </c>
      <c r="AP238" s="1">
        <f t="shared" si="110"/>
        <v>0</v>
      </c>
      <c r="AQ238" s="16">
        <f t="shared" si="125"/>
        <v>0</v>
      </c>
      <c r="AR238" s="23" t="e">
        <f t="shared" si="111"/>
        <v>#DIV/0!</v>
      </c>
      <c r="AT238" s="18">
        <f t="shared" si="106"/>
        <v>45890</v>
      </c>
      <c r="AU238" s="19">
        <f t="shared" si="107"/>
        <v>233</v>
      </c>
      <c r="AV238" s="1">
        <f t="shared" si="112"/>
        <v>0</v>
      </c>
      <c r="AW238" s="1">
        <f t="shared" si="113"/>
        <v>0</v>
      </c>
      <c r="AX238" s="1">
        <f t="shared" si="114"/>
        <v>0</v>
      </c>
      <c r="AY238" s="1">
        <f t="shared" si="104"/>
        <v>0</v>
      </c>
      <c r="AZ238" s="1">
        <f t="shared" si="105"/>
        <v>0</v>
      </c>
      <c r="BA238" s="1">
        <f t="shared" si="115"/>
        <v>0</v>
      </c>
      <c r="BB238" s="5" t="str">
        <f t="shared" si="116"/>
        <v>NAN</v>
      </c>
      <c r="BC238" s="1">
        <f>ROUND(AC238,1)</f>
        <v>0</v>
      </c>
      <c r="BD238" s="1">
        <f>ROUND(AD238,1)</f>
        <v>0</v>
      </c>
      <c r="BE238" s="1">
        <f>ROUND(AE238,1)</f>
        <v>0</v>
      </c>
      <c r="BF238" s="5">
        <f t="shared" si="117"/>
        <v>0</v>
      </c>
      <c r="BG238" s="5">
        <f t="shared" si="118"/>
        <v>0</v>
      </c>
      <c r="BH238" s="5">
        <f t="shared" si="119"/>
        <v>0</v>
      </c>
      <c r="BI238" s="5">
        <f t="shared" si="120"/>
        <v>0</v>
      </c>
      <c r="BJ238" s="9">
        <f t="shared" si="121"/>
        <v>0</v>
      </c>
      <c r="BK238" s="9" t="e">
        <f t="shared" si="121"/>
        <v>#DIV/0!</v>
      </c>
      <c r="BM238" s="1">
        <f t="shared" si="122"/>
        <v>0</v>
      </c>
      <c r="BN238" s="1">
        <f t="shared" si="123"/>
        <v>0</v>
      </c>
    </row>
    <row r="239" spans="1:66" x14ac:dyDescent="0.2">
      <c r="A239" s="4">
        <f t="shared" si="124"/>
        <v>45891</v>
      </c>
      <c r="B239" s="1">
        <v>234</v>
      </c>
      <c r="C239" s="1">
        <v>12</v>
      </c>
      <c r="AN239" s="1">
        <f t="shared" si="108"/>
        <v>0</v>
      </c>
      <c r="AO239" s="1">
        <f t="shared" si="109"/>
        <v>0</v>
      </c>
      <c r="AP239" s="1">
        <f t="shared" si="110"/>
        <v>0</v>
      </c>
      <c r="AQ239" s="16">
        <f t="shared" si="125"/>
        <v>0</v>
      </c>
      <c r="AR239" s="23" t="e">
        <f t="shared" si="111"/>
        <v>#DIV/0!</v>
      </c>
      <c r="AT239" s="18">
        <f t="shared" si="106"/>
        <v>45891</v>
      </c>
      <c r="AU239" s="19">
        <f t="shared" si="107"/>
        <v>234</v>
      </c>
      <c r="AV239" s="1">
        <f t="shared" si="112"/>
        <v>0</v>
      </c>
      <c r="AW239" s="1">
        <f t="shared" si="113"/>
        <v>0</v>
      </c>
      <c r="AX239" s="1">
        <f t="shared" si="114"/>
        <v>0</v>
      </c>
      <c r="AY239" s="1">
        <f t="shared" si="104"/>
        <v>0</v>
      </c>
      <c r="AZ239" s="1">
        <f t="shared" si="105"/>
        <v>0</v>
      </c>
      <c r="BA239" s="1">
        <f t="shared" si="115"/>
        <v>0</v>
      </c>
      <c r="BB239" s="5" t="str">
        <f t="shared" si="116"/>
        <v>NAN</v>
      </c>
      <c r="BC239" s="1">
        <f>ROUND(AC239,1)</f>
        <v>0</v>
      </c>
      <c r="BD239" s="1">
        <f>ROUND(AD239,1)</f>
        <v>0</v>
      </c>
      <c r="BE239" s="1">
        <f>ROUND(AE239,1)</f>
        <v>0</v>
      </c>
      <c r="BF239" s="5">
        <f t="shared" si="117"/>
        <v>0</v>
      </c>
      <c r="BG239" s="5">
        <f t="shared" si="118"/>
        <v>0</v>
      </c>
      <c r="BH239" s="5">
        <f t="shared" si="119"/>
        <v>0</v>
      </c>
      <c r="BI239" s="5">
        <f t="shared" si="120"/>
        <v>0</v>
      </c>
      <c r="BJ239" s="9">
        <f t="shared" si="121"/>
        <v>0</v>
      </c>
      <c r="BK239" s="9" t="e">
        <f t="shared" si="121"/>
        <v>#DIV/0!</v>
      </c>
      <c r="BM239" s="1">
        <f t="shared" si="122"/>
        <v>0</v>
      </c>
      <c r="BN239" s="1">
        <f t="shared" si="123"/>
        <v>0</v>
      </c>
    </row>
    <row r="240" spans="1:66" x14ac:dyDescent="0.2">
      <c r="A240" s="4">
        <f t="shared" si="124"/>
        <v>45892</v>
      </c>
      <c r="B240" s="1">
        <v>235</v>
      </c>
      <c r="C240" s="1">
        <v>12</v>
      </c>
      <c r="AN240" s="1">
        <f t="shared" si="108"/>
        <v>0</v>
      </c>
      <c r="AO240" s="1">
        <f t="shared" si="109"/>
        <v>0</v>
      </c>
      <c r="AP240" s="1">
        <f t="shared" si="110"/>
        <v>0</v>
      </c>
      <c r="AQ240" s="16">
        <f t="shared" si="125"/>
        <v>0</v>
      </c>
      <c r="AR240" s="23" t="e">
        <f t="shared" si="111"/>
        <v>#DIV/0!</v>
      </c>
      <c r="AT240" s="18">
        <f t="shared" si="106"/>
        <v>45892</v>
      </c>
      <c r="AU240" s="19">
        <f t="shared" si="107"/>
        <v>235</v>
      </c>
      <c r="AV240" s="1">
        <f t="shared" si="112"/>
        <v>0</v>
      </c>
      <c r="AW240" s="1">
        <f t="shared" si="113"/>
        <v>0</v>
      </c>
      <c r="AX240" s="1">
        <f t="shared" si="114"/>
        <v>0</v>
      </c>
      <c r="AY240" s="1">
        <f t="shared" si="104"/>
        <v>0</v>
      </c>
      <c r="AZ240" s="1">
        <f t="shared" si="105"/>
        <v>0</v>
      </c>
      <c r="BA240" s="1">
        <f t="shared" si="115"/>
        <v>0</v>
      </c>
      <c r="BB240" s="5" t="str">
        <f t="shared" si="116"/>
        <v>NAN</v>
      </c>
      <c r="BC240" s="1">
        <f>ROUND(AC240,1)</f>
        <v>0</v>
      </c>
      <c r="BD240" s="1">
        <f>ROUND(AD240,1)</f>
        <v>0</v>
      </c>
      <c r="BE240" s="1">
        <f>ROUND(AE240,1)</f>
        <v>0</v>
      </c>
      <c r="BF240" s="5">
        <f t="shared" si="117"/>
        <v>0</v>
      </c>
      <c r="BG240" s="5">
        <f t="shared" si="118"/>
        <v>0</v>
      </c>
      <c r="BH240" s="5">
        <f t="shared" si="119"/>
        <v>0</v>
      </c>
      <c r="BI240" s="5">
        <f t="shared" si="120"/>
        <v>0</v>
      </c>
      <c r="BJ240" s="9">
        <f t="shared" si="121"/>
        <v>0</v>
      </c>
      <c r="BK240" s="9" t="e">
        <f t="shared" si="121"/>
        <v>#DIV/0!</v>
      </c>
      <c r="BM240" s="1">
        <f t="shared" si="122"/>
        <v>0</v>
      </c>
      <c r="BN240" s="1">
        <f t="shared" si="123"/>
        <v>0</v>
      </c>
    </row>
    <row r="241" spans="1:66" x14ac:dyDescent="0.2">
      <c r="A241" s="4">
        <f t="shared" si="124"/>
        <v>45893</v>
      </c>
      <c r="B241" s="1">
        <v>236</v>
      </c>
      <c r="C241" s="1">
        <v>12</v>
      </c>
      <c r="AN241" s="1">
        <f t="shared" si="108"/>
        <v>0</v>
      </c>
      <c r="AO241" s="1">
        <f t="shared" si="109"/>
        <v>0</v>
      </c>
      <c r="AP241" s="1">
        <f t="shared" si="110"/>
        <v>0</v>
      </c>
      <c r="AQ241" s="16">
        <f t="shared" si="125"/>
        <v>0</v>
      </c>
      <c r="AR241" s="23" t="e">
        <f t="shared" si="111"/>
        <v>#DIV/0!</v>
      </c>
      <c r="AT241" s="18">
        <f t="shared" si="106"/>
        <v>45893</v>
      </c>
      <c r="AU241" s="19">
        <f t="shared" si="107"/>
        <v>236</v>
      </c>
      <c r="AV241" s="1">
        <f t="shared" si="112"/>
        <v>0</v>
      </c>
      <c r="AW241" s="1">
        <f t="shared" si="113"/>
        <v>0</v>
      </c>
      <c r="AX241" s="1">
        <f t="shared" si="114"/>
        <v>0</v>
      </c>
      <c r="AY241" s="1">
        <f t="shared" si="104"/>
        <v>0</v>
      </c>
      <c r="AZ241" s="1">
        <f t="shared" si="105"/>
        <v>0</v>
      </c>
      <c r="BA241" s="1">
        <f t="shared" si="115"/>
        <v>0</v>
      </c>
      <c r="BB241" s="5" t="str">
        <f t="shared" si="116"/>
        <v>NAN</v>
      </c>
      <c r="BC241" s="1">
        <f>ROUND(AC241,1)</f>
        <v>0</v>
      </c>
      <c r="BD241" s="1">
        <f>ROUND(AD241,1)</f>
        <v>0</v>
      </c>
      <c r="BE241" s="1">
        <f>ROUND(AE241,1)</f>
        <v>0</v>
      </c>
      <c r="BF241" s="5">
        <f t="shared" si="117"/>
        <v>0</v>
      </c>
      <c r="BG241" s="5">
        <f t="shared" si="118"/>
        <v>0</v>
      </c>
      <c r="BH241" s="5">
        <f t="shared" si="119"/>
        <v>0</v>
      </c>
      <c r="BI241" s="5">
        <f t="shared" si="120"/>
        <v>0</v>
      </c>
      <c r="BJ241" s="9">
        <f t="shared" si="121"/>
        <v>0</v>
      </c>
      <c r="BK241" s="9" t="e">
        <f t="shared" si="121"/>
        <v>#DIV/0!</v>
      </c>
      <c r="BM241" s="1">
        <f t="shared" si="122"/>
        <v>0</v>
      </c>
      <c r="BN241" s="1">
        <f t="shared" si="123"/>
        <v>0</v>
      </c>
    </row>
    <row r="242" spans="1:66" x14ac:dyDescent="0.2">
      <c r="A242" s="4">
        <f t="shared" si="124"/>
        <v>45894</v>
      </c>
      <c r="B242" s="1">
        <v>237</v>
      </c>
      <c r="C242" s="1">
        <v>12</v>
      </c>
      <c r="AN242" s="1">
        <f t="shared" si="108"/>
        <v>0</v>
      </c>
      <c r="AO242" s="1">
        <f t="shared" si="109"/>
        <v>0</v>
      </c>
      <c r="AP242" s="1">
        <f t="shared" si="110"/>
        <v>0</v>
      </c>
      <c r="AQ242" s="16">
        <f t="shared" si="125"/>
        <v>0</v>
      </c>
      <c r="AR242" s="23" t="e">
        <f t="shared" si="111"/>
        <v>#DIV/0!</v>
      </c>
      <c r="AT242" s="18">
        <f t="shared" si="106"/>
        <v>45894</v>
      </c>
      <c r="AU242" s="19">
        <f t="shared" si="107"/>
        <v>237</v>
      </c>
      <c r="AV242" s="1">
        <f t="shared" si="112"/>
        <v>0</v>
      </c>
      <c r="AW242" s="1">
        <f t="shared" si="113"/>
        <v>0</v>
      </c>
      <c r="AX242" s="1">
        <f t="shared" si="114"/>
        <v>0</v>
      </c>
      <c r="AY242" s="1">
        <f t="shared" si="104"/>
        <v>0</v>
      </c>
      <c r="AZ242" s="1">
        <f t="shared" si="105"/>
        <v>0</v>
      </c>
      <c r="BA242" s="1">
        <f t="shared" si="115"/>
        <v>0</v>
      </c>
      <c r="BB242" s="5" t="str">
        <f t="shared" si="116"/>
        <v>NAN</v>
      </c>
      <c r="BC242" s="1">
        <f>ROUND(AC242,1)</f>
        <v>0</v>
      </c>
      <c r="BD242" s="1">
        <f>ROUND(AD242,1)</f>
        <v>0</v>
      </c>
      <c r="BE242" s="1">
        <f>ROUND(AE242,1)</f>
        <v>0</v>
      </c>
      <c r="BF242" s="5">
        <f t="shared" si="117"/>
        <v>0</v>
      </c>
      <c r="BG242" s="5">
        <f t="shared" si="118"/>
        <v>0</v>
      </c>
      <c r="BH242" s="5">
        <f t="shared" si="119"/>
        <v>0</v>
      </c>
      <c r="BI242" s="5">
        <f t="shared" si="120"/>
        <v>0</v>
      </c>
      <c r="BJ242" s="9">
        <f t="shared" si="121"/>
        <v>0</v>
      </c>
      <c r="BK242" s="9" t="e">
        <f t="shared" si="121"/>
        <v>#DIV/0!</v>
      </c>
      <c r="BM242" s="1">
        <f t="shared" si="122"/>
        <v>0</v>
      </c>
      <c r="BN242" s="1">
        <f t="shared" si="123"/>
        <v>0</v>
      </c>
    </row>
    <row r="243" spans="1:66" x14ac:dyDescent="0.2">
      <c r="A243" s="4">
        <f t="shared" si="124"/>
        <v>45895</v>
      </c>
      <c r="B243" s="1">
        <v>238</v>
      </c>
      <c r="C243" s="1">
        <v>12</v>
      </c>
      <c r="AN243" s="1">
        <f t="shared" si="108"/>
        <v>0</v>
      </c>
      <c r="AO243" s="1">
        <f t="shared" si="109"/>
        <v>0</v>
      </c>
      <c r="AP243" s="1">
        <f t="shared" si="110"/>
        <v>0</v>
      </c>
      <c r="AQ243" s="16">
        <f t="shared" si="125"/>
        <v>0</v>
      </c>
      <c r="AR243" s="23" t="e">
        <f t="shared" si="111"/>
        <v>#DIV/0!</v>
      </c>
      <c r="AT243" s="18">
        <f t="shared" si="106"/>
        <v>45895</v>
      </c>
      <c r="AU243" s="19">
        <f t="shared" si="107"/>
        <v>238</v>
      </c>
      <c r="AV243" s="1">
        <f t="shared" si="112"/>
        <v>0</v>
      </c>
      <c r="AW243" s="1">
        <f t="shared" si="113"/>
        <v>0</v>
      </c>
      <c r="AX243" s="1">
        <f t="shared" si="114"/>
        <v>0</v>
      </c>
      <c r="AY243" s="1">
        <f t="shared" si="104"/>
        <v>0</v>
      </c>
      <c r="AZ243" s="1">
        <f t="shared" si="105"/>
        <v>0</v>
      </c>
      <c r="BA243" s="1">
        <f t="shared" si="115"/>
        <v>0</v>
      </c>
      <c r="BB243" s="5" t="str">
        <f t="shared" si="116"/>
        <v>NAN</v>
      </c>
      <c r="BC243" s="1">
        <f>ROUND(AC243,1)</f>
        <v>0</v>
      </c>
      <c r="BD243" s="1">
        <f>ROUND(AD243,1)</f>
        <v>0</v>
      </c>
      <c r="BE243" s="1">
        <f>ROUND(AE243,1)</f>
        <v>0</v>
      </c>
      <c r="BF243" s="5">
        <f t="shared" si="117"/>
        <v>0</v>
      </c>
      <c r="BG243" s="5">
        <f t="shared" si="118"/>
        <v>0</v>
      </c>
      <c r="BH243" s="5">
        <f t="shared" si="119"/>
        <v>0</v>
      </c>
      <c r="BI243" s="5">
        <f t="shared" si="120"/>
        <v>0</v>
      </c>
      <c r="BJ243" s="9">
        <f t="shared" si="121"/>
        <v>0</v>
      </c>
      <c r="BK243" s="9" t="e">
        <f t="shared" si="121"/>
        <v>#DIV/0!</v>
      </c>
      <c r="BM243" s="1">
        <f t="shared" si="122"/>
        <v>0</v>
      </c>
      <c r="BN243" s="1">
        <f t="shared" si="123"/>
        <v>0</v>
      </c>
    </row>
    <row r="244" spans="1:66" x14ac:dyDescent="0.2">
      <c r="A244" s="4">
        <f t="shared" si="124"/>
        <v>45896</v>
      </c>
      <c r="B244" s="1">
        <v>239</v>
      </c>
      <c r="C244" s="1">
        <v>12</v>
      </c>
      <c r="AN244" s="1">
        <f t="shared" si="108"/>
        <v>0</v>
      </c>
      <c r="AO244" s="1">
        <f t="shared" si="109"/>
        <v>0</v>
      </c>
      <c r="AP244" s="1">
        <f t="shared" si="110"/>
        <v>0</v>
      </c>
      <c r="AQ244" s="16">
        <f t="shared" si="125"/>
        <v>0</v>
      </c>
      <c r="AR244" s="23" t="e">
        <f t="shared" si="111"/>
        <v>#DIV/0!</v>
      </c>
      <c r="AT244" s="18">
        <f t="shared" si="106"/>
        <v>45896</v>
      </c>
      <c r="AU244" s="19">
        <f t="shared" si="107"/>
        <v>239</v>
      </c>
      <c r="AV244" s="1">
        <f t="shared" si="112"/>
        <v>0</v>
      </c>
      <c r="AW244" s="1">
        <f t="shared" si="113"/>
        <v>0</v>
      </c>
      <c r="AX244" s="1">
        <f t="shared" si="114"/>
        <v>0</v>
      </c>
      <c r="AY244" s="1">
        <f t="shared" si="104"/>
        <v>0</v>
      </c>
      <c r="AZ244" s="1">
        <f t="shared" si="105"/>
        <v>0</v>
      </c>
      <c r="BA244" s="1">
        <f t="shared" si="115"/>
        <v>0</v>
      </c>
      <c r="BB244" s="5" t="str">
        <f t="shared" si="116"/>
        <v>NAN</v>
      </c>
      <c r="BC244" s="1">
        <f>ROUND(AC244,1)</f>
        <v>0</v>
      </c>
      <c r="BD244" s="1">
        <f>ROUND(AD244,1)</f>
        <v>0</v>
      </c>
      <c r="BE244" s="1">
        <f>ROUND(AE244,1)</f>
        <v>0</v>
      </c>
      <c r="BF244" s="5">
        <f t="shared" si="117"/>
        <v>0</v>
      </c>
      <c r="BG244" s="5">
        <f t="shared" si="118"/>
        <v>0</v>
      </c>
      <c r="BH244" s="5">
        <f t="shared" si="119"/>
        <v>0</v>
      </c>
      <c r="BI244" s="5">
        <f t="shared" si="120"/>
        <v>0</v>
      </c>
      <c r="BJ244" s="9">
        <f t="shared" si="121"/>
        <v>0</v>
      </c>
      <c r="BK244" s="9" t="e">
        <f t="shared" si="121"/>
        <v>#DIV/0!</v>
      </c>
      <c r="BM244" s="1">
        <f t="shared" si="122"/>
        <v>0</v>
      </c>
      <c r="BN244" s="1">
        <f t="shared" si="123"/>
        <v>0</v>
      </c>
    </row>
    <row r="245" spans="1:66" x14ac:dyDescent="0.2">
      <c r="A245" s="4">
        <f t="shared" si="124"/>
        <v>45897</v>
      </c>
      <c r="B245" s="1">
        <v>240</v>
      </c>
      <c r="C245" s="1">
        <v>12</v>
      </c>
      <c r="AN245" s="1">
        <f t="shared" si="108"/>
        <v>0</v>
      </c>
      <c r="AO245" s="1">
        <f t="shared" si="109"/>
        <v>0</v>
      </c>
      <c r="AP245" s="1">
        <f t="shared" si="110"/>
        <v>0</v>
      </c>
      <c r="AQ245" s="16">
        <f t="shared" si="125"/>
        <v>0</v>
      </c>
      <c r="AR245" s="23" t="e">
        <f t="shared" si="111"/>
        <v>#DIV/0!</v>
      </c>
      <c r="AT245" s="18">
        <f t="shared" si="106"/>
        <v>45897</v>
      </c>
      <c r="AU245" s="19">
        <f t="shared" si="107"/>
        <v>240</v>
      </c>
      <c r="AV245" s="1">
        <f t="shared" si="112"/>
        <v>0</v>
      </c>
      <c r="AW245" s="1">
        <f t="shared" si="113"/>
        <v>0</v>
      </c>
      <c r="AX245" s="1">
        <f t="shared" si="114"/>
        <v>0</v>
      </c>
      <c r="AY245" s="1">
        <f t="shared" si="104"/>
        <v>0</v>
      </c>
      <c r="AZ245" s="1">
        <f t="shared" si="105"/>
        <v>0</v>
      </c>
      <c r="BA245" s="1">
        <f t="shared" si="115"/>
        <v>0</v>
      </c>
      <c r="BB245" s="5" t="str">
        <f t="shared" si="116"/>
        <v>NAN</v>
      </c>
      <c r="BC245" s="1">
        <f>ROUND(AC245,1)</f>
        <v>0</v>
      </c>
      <c r="BD245" s="1">
        <f>ROUND(AD245,1)</f>
        <v>0</v>
      </c>
      <c r="BE245" s="1">
        <f>ROUND(AE245,1)</f>
        <v>0</v>
      </c>
      <c r="BF245" s="5">
        <f t="shared" si="117"/>
        <v>0</v>
      </c>
      <c r="BG245" s="5">
        <f t="shared" si="118"/>
        <v>0</v>
      </c>
      <c r="BH245" s="5">
        <f t="shared" si="119"/>
        <v>0</v>
      </c>
      <c r="BI245" s="5">
        <f t="shared" si="120"/>
        <v>0</v>
      </c>
      <c r="BJ245" s="9">
        <f t="shared" si="121"/>
        <v>0</v>
      </c>
      <c r="BK245" s="9" t="e">
        <f t="shared" si="121"/>
        <v>#DIV/0!</v>
      </c>
      <c r="BM245" s="1">
        <f t="shared" si="122"/>
        <v>0</v>
      </c>
      <c r="BN245" s="1">
        <f t="shared" si="123"/>
        <v>0</v>
      </c>
    </row>
    <row r="246" spans="1:66" x14ac:dyDescent="0.2">
      <c r="A246" s="4">
        <f t="shared" si="124"/>
        <v>45898</v>
      </c>
      <c r="B246" s="1">
        <v>241</v>
      </c>
      <c r="C246" s="1">
        <v>12</v>
      </c>
      <c r="AN246" s="1">
        <f t="shared" si="108"/>
        <v>0</v>
      </c>
      <c r="AO246" s="1">
        <f t="shared" si="109"/>
        <v>0</v>
      </c>
      <c r="AP246" s="1">
        <f t="shared" si="110"/>
        <v>0</v>
      </c>
      <c r="AQ246" s="16">
        <f t="shared" ref="AQ246:AQ309" si="126">ROUND((0.6105*(EXP((17.273*N246)/(N246+237.3))))*AP246/100,3)</f>
        <v>0</v>
      </c>
      <c r="AR246" s="23" t="e">
        <f t="shared" si="111"/>
        <v>#DIV/0!</v>
      </c>
      <c r="AT246" s="18">
        <f t="shared" si="106"/>
        <v>45898</v>
      </c>
      <c r="AU246" s="19">
        <f t="shared" si="107"/>
        <v>241</v>
      </c>
      <c r="AV246" s="1">
        <f t="shared" si="112"/>
        <v>0</v>
      </c>
      <c r="AW246" s="1">
        <f t="shared" si="113"/>
        <v>0</v>
      </c>
      <c r="AX246" s="1">
        <f t="shared" si="114"/>
        <v>0</v>
      </c>
      <c r="AY246" s="1">
        <f t="shared" si="104"/>
        <v>0</v>
      </c>
      <c r="AZ246" s="1">
        <f t="shared" si="105"/>
        <v>0</v>
      </c>
      <c r="BA246" s="1">
        <f t="shared" si="115"/>
        <v>0</v>
      </c>
      <c r="BB246" s="5" t="str">
        <f t="shared" si="116"/>
        <v>NAN</v>
      </c>
      <c r="BC246" s="1">
        <f>ROUND(AC246,1)</f>
        <v>0</v>
      </c>
      <c r="BD246" s="1">
        <f>ROUND(AD246,1)</f>
        <v>0</v>
      </c>
      <c r="BE246" s="1">
        <f>ROUND(AE246,1)</f>
        <v>0</v>
      </c>
      <c r="BF246" s="5">
        <f t="shared" si="117"/>
        <v>0</v>
      </c>
      <c r="BG246" s="5">
        <f t="shared" si="118"/>
        <v>0</v>
      </c>
      <c r="BH246" s="5">
        <f t="shared" si="119"/>
        <v>0</v>
      </c>
      <c r="BI246" s="5">
        <f t="shared" si="120"/>
        <v>0</v>
      </c>
      <c r="BJ246" s="9">
        <f t="shared" si="121"/>
        <v>0</v>
      </c>
      <c r="BK246" s="9" t="e">
        <f t="shared" si="121"/>
        <v>#DIV/0!</v>
      </c>
      <c r="BM246" s="1">
        <f t="shared" si="122"/>
        <v>0</v>
      </c>
      <c r="BN246" s="1">
        <f t="shared" si="123"/>
        <v>0</v>
      </c>
    </row>
    <row r="247" spans="1:66" x14ac:dyDescent="0.2">
      <c r="A247" s="4">
        <f t="shared" si="124"/>
        <v>45899</v>
      </c>
      <c r="B247" s="1">
        <v>242</v>
      </c>
      <c r="C247" s="1">
        <v>12</v>
      </c>
      <c r="AN247" s="1">
        <f t="shared" si="108"/>
        <v>0</v>
      </c>
      <c r="AO247" s="1">
        <f t="shared" si="109"/>
        <v>0</v>
      </c>
      <c r="AP247" s="1">
        <f t="shared" si="110"/>
        <v>0</v>
      </c>
      <c r="AQ247" s="16">
        <f t="shared" si="126"/>
        <v>0</v>
      </c>
      <c r="AR247" s="23" t="e">
        <f t="shared" si="111"/>
        <v>#DIV/0!</v>
      </c>
      <c r="AT247" s="18">
        <f t="shared" si="106"/>
        <v>45899</v>
      </c>
      <c r="AU247" s="19">
        <f t="shared" si="107"/>
        <v>242</v>
      </c>
      <c r="AV247" s="1">
        <f t="shared" si="112"/>
        <v>0</v>
      </c>
      <c r="AW247" s="1">
        <f t="shared" si="113"/>
        <v>0</v>
      </c>
      <c r="AX247" s="1">
        <f t="shared" si="114"/>
        <v>0</v>
      </c>
      <c r="AY247" s="1">
        <f t="shared" si="104"/>
        <v>0</v>
      </c>
      <c r="AZ247" s="1">
        <f t="shared" si="105"/>
        <v>0</v>
      </c>
      <c r="BA247" s="1">
        <f t="shared" si="115"/>
        <v>0</v>
      </c>
      <c r="BB247" s="5" t="str">
        <f t="shared" si="116"/>
        <v>NAN</v>
      </c>
      <c r="BC247" s="1">
        <f>ROUND(AC247,1)</f>
        <v>0</v>
      </c>
      <c r="BD247" s="1">
        <f>ROUND(AD247,1)</f>
        <v>0</v>
      </c>
      <c r="BE247" s="1">
        <f>ROUND(AE247,1)</f>
        <v>0</v>
      </c>
      <c r="BF247" s="5">
        <f t="shared" si="117"/>
        <v>0</v>
      </c>
      <c r="BG247" s="5">
        <f t="shared" si="118"/>
        <v>0</v>
      </c>
      <c r="BH247" s="5">
        <f t="shared" si="119"/>
        <v>0</v>
      </c>
      <c r="BI247" s="5">
        <f t="shared" si="120"/>
        <v>0</v>
      </c>
      <c r="BJ247" s="9">
        <f t="shared" si="121"/>
        <v>0</v>
      </c>
      <c r="BK247" s="9" t="e">
        <f t="shared" si="121"/>
        <v>#DIV/0!</v>
      </c>
      <c r="BM247" s="1">
        <f t="shared" si="122"/>
        <v>0</v>
      </c>
      <c r="BN247" s="1">
        <f t="shared" si="123"/>
        <v>0</v>
      </c>
    </row>
    <row r="248" spans="1:66" x14ac:dyDescent="0.2">
      <c r="A248" s="4">
        <f t="shared" si="124"/>
        <v>45900</v>
      </c>
      <c r="B248" s="1">
        <v>243</v>
      </c>
      <c r="C248" s="1">
        <v>12</v>
      </c>
      <c r="AN248" s="1">
        <f t="shared" si="108"/>
        <v>0</v>
      </c>
      <c r="AO248" s="1">
        <f t="shared" si="109"/>
        <v>0</v>
      </c>
      <c r="AP248" s="1">
        <f t="shared" si="110"/>
        <v>0</v>
      </c>
      <c r="AQ248" s="16">
        <f t="shared" si="126"/>
        <v>0</v>
      </c>
      <c r="AR248" s="23" t="e">
        <f t="shared" si="111"/>
        <v>#DIV/0!</v>
      </c>
      <c r="AT248" s="18">
        <f t="shared" si="106"/>
        <v>45900</v>
      </c>
      <c r="AU248" s="19">
        <f t="shared" si="107"/>
        <v>243</v>
      </c>
      <c r="AV248" s="1">
        <f t="shared" si="112"/>
        <v>0</v>
      </c>
      <c r="AW248" s="1">
        <f t="shared" si="113"/>
        <v>0</v>
      </c>
      <c r="AX248" s="1">
        <f t="shared" si="114"/>
        <v>0</v>
      </c>
      <c r="AY248" s="1">
        <f t="shared" si="104"/>
        <v>0</v>
      </c>
      <c r="AZ248" s="1">
        <f t="shared" si="105"/>
        <v>0</v>
      </c>
      <c r="BA248" s="1">
        <f t="shared" si="115"/>
        <v>0</v>
      </c>
      <c r="BB248" s="5" t="str">
        <f t="shared" si="116"/>
        <v>NAN</v>
      </c>
      <c r="BC248" s="1">
        <f>ROUND(AC248,1)</f>
        <v>0</v>
      </c>
      <c r="BD248" s="1">
        <f>ROUND(AD248,1)</f>
        <v>0</v>
      </c>
      <c r="BE248" s="1">
        <f>ROUND(AE248,1)</f>
        <v>0</v>
      </c>
      <c r="BF248" s="5">
        <f t="shared" si="117"/>
        <v>0</v>
      </c>
      <c r="BG248" s="5">
        <f t="shared" si="118"/>
        <v>0</v>
      </c>
      <c r="BH248" s="5">
        <f t="shared" si="119"/>
        <v>0</v>
      </c>
      <c r="BI248" s="5">
        <f t="shared" si="120"/>
        <v>0</v>
      </c>
      <c r="BJ248" s="9">
        <f t="shared" si="121"/>
        <v>0</v>
      </c>
      <c r="BK248" s="9" t="e">
        <f t="shared" si="121"/>
        <v>#DIV/0!</v>
      </c>
      <c r="BM248" s="1">
        <f t="shared" si="122"/>
        <v>0</v>
      </c>
      <c r="BN248" s="1">
        <f t="shared" si="123"/>
        <v>0</v>
      </c>
    </row>
    <row r="249" spans="1:66" x14ac:dyDescent="0.2">
      <c r="A249" s="4">
        <f t="shared" si="124"/>
        <v>45901</v>
      </c>
      <c r="B249" s="1">
        <v>244</v>
      </c>
      <c r="C249" s="1">
        <v>12</v>
      </c>
      <c r="AN249" s="1">
        <f t="shared" si="108"/>
        <v>0</v>
      </c>
      <c r="AO249" s="1">
        <f t="shared" si="109"/>
        <v>0</v>
      </c>
      <c r="AP249" s="1">
        <f t="shared" si="110"/>
        <v>0</v>
      </c>
      <c r="AQ249" s="16">
        <f t="shared" si="126"/>
        <v>0</v>
      </c>
      <c r="AR249" s="23" t="e">
        <f t="shared" si="111"/>
        <v>#DIV/0!</v>
      </c>
      <c r="AT249" s="18">
        <f t="shared" si="106"/>
        <v>45901</v>
      </c>
      <c r="AU249" s="19">
        <f t="shared" si="107"/>
        <v>244</v>
      </c>
      <c r="AV249" s="1">
        <f t="shared" si="112"/>
        <v>0</v>
      </c>
      <c r="AW249" s="1">
        <f t="shared" si="113"/>
        <v>0</v>
      </c>
      <c r="AX249" s="1">
        <f t="shared" si="114"/>
        <v>0</v>
      </c>
      <c r="AY249" s="1">
        <f t="shared" si="104"/>
        <v>0</v>
      </c>
      <c r="AZ249" s="1">
        <f t="shared" si="105"/>
        <v>0</v>
      </c>
      <c r="BA249" s="1">
        <f t="shared" si="115"/>
        <v>0</v>
      </c>
      <c r="BB249" s="5" t="str">
        <f t="shared" si="116"/>
        <v>NAN</v>
      </c>
      <c r="BC249" s="1">
        <f>ROUND(AC249,1)</f>
        <v>0</v>
      </c>
      <c r="BD249" s="1">
        <f>ROUND(AD249,1)</f>
        <v>0</v>
      </c>
      <c r="BE249" s="1">
        <f>ROUND(AE249,1)</f>
        <v>0</v>
      </c>
      <c r="BF249" s="5">
        <f t="shared" si="117"/>
        <v>0</v>
      </c>
      <c r="BG249" s="5">
        <f t="shared" si="118"/>
        <v>0</v>
      </c>
      <c r="BH249" s="5">
        <f t="shared" si="119"/>
        <v>0</v>
      </c>
      <c r="BI249" s="5">
        <f t="shared" si="120"/>
        <v>0</v>
      </c>
      <c r="BJ249" s="9">
        <f t="shared" si="121"/>
        <v>0</v>
      </c>
      <c r="BK249" s="9" t="e">
        <f t="shared" si="121"/>
        <v>#DIV/0!</v>
      </c>
      <c r="BM249" s="1">
        <f t="shared" si="122"/>
        <v>0</v>
      </c>
      <c r="BN249" s="1">
        <f t="shared" si="123"/>
        <v>0</v>
      </c>
    </row>
    <row r="250" spans="1:66" x14ac:dyDescent="0.2">
      <c r="A250" s="4">
        <f t="shared" si="124"/>
        <v>45902</v>
      </c>
      <c r="B250" s="1">
        <v>245</v>
      </c>
      <c r="C250" s="1">
        <v>12</v>
      </c>
      <c r="AN250" s="1">
        <f t="shared" si="108"/>
        <v>0</v>
      </c>
      <c r="AO250" s="1">
        <f t="shared" si="109"/>
        <v>0</v>
      </c>
      <c r="AP250" s="1">
        <f t="shared" si="110"/>
        <v>0</v>
      </c>
      <c r="AQ250" s="16">
        <f t="shared" si="126"/>
        <v>0</v>
      </c>
      <c r="AR250" s="23" t="e">
        <f t="shared" si="111"/>
        <v>#DIV/0!</v>
      </c>
      <c r="AT250" s="18">
        <f t="shared" si="106"/>
        <v>45902</v>
      </c>
      <c r="AU250" s="19">
        <f t="shared" si="107"/>
        <v>245</v>
      </c>
      <c r="AV250" s="1">
        <f t="shared" si="112"/>
        <v>0</v>
      </c>
      <c r="AW250" s="1">
        <f t="shared" si="113"/>
        <v>0</v>
      </c>
      <c r="AX250" s="1">
        <f t="shared" si="114"/>
        <v>0</v>
      </c>
      <c r="AY250" s="1">
        <f t="shared" si="104"/>
        <v>0</v>
      </c>
      <c r="AZ250" s="1">
        <f t="shared" si="105"/>
        <v>0</v>
      </c>
      <c r="BA250" s="1">
        <f t="shared" si="115"/>
        <v>0</v>
      </c>
      <c r="BB250" s="5" t="str">
        <f t="shared" si="116"/>
        <v>NAN</v>
      </c>
      <c r="BC250" s="1">
        <f>ROUND(AC250,1)</f>
        <v>0</v>
      </c>
      <c r="BD250" s="1">
        <f>ROUND(AD250,1)</f>
        <v>0</v>
      </c>
      <c r="BE250" s="1">
        <f>ROUND(AE250,1)</f>
        <v>0</v>
      </c>
      <c r="BF250" s="5">
        <f t="shared" si="117"/>
        <v>0</v>
      </c>
      <c r="BG250" s="5">
        <f t="shared" si="118"/>
        <v>0</v>
      </c>
      <c r="BH250" s="5">
        <f t="shared" si="119"/>
        <v>0</v>
      </c>
      <c r="BI250" s="5">
        <f t="shared" si="120"/>
        <v>0</v>
      </c>
      <c r="BJ250" s="9">
        <f t="shared" si="121"/>
        <v>0</v>
      </c>
      <c r="BK250" s="9" t="e">
        <f t="shared" si="121"/>
        <v>#DIV/0!</v>
      </c>
      <c r="BM250" s="1">
        <f t="shared" si="122"/>
        <v>0</v>
      </c>
      <c r="BN250" s="1">
        <f t="shared" si="123"/>
        <v>0</v>
      </c>
    </row>
    <row r="251" spans="1:66" x14ac:dyDescent="0.2">
      <c r="A251" s="4">
        <f t="shared" si="124"/>
        <v>45903</v>
      </c>
      <c r="B251" s="1">
        <v>246</v>
      </c>
      <c r="C251" s="1">
        <v>12</v>
      </c>
      <c r="AN251" s="1">
        <f t="shared" si="108"/>
        <v>0</v>
      </c>
      <c r="AO251" s="1">
        <f t="shared" si="109"/>
        <v>0</v>
      </c>
      <c r="AP251" s="1">
        <f t="shared" si="110"/>
        <v>0</v>
      </c>
      <c r="AQ251" s="16">
        <f t="shared" si="126"/>
        <v>0</v>
      </c>
      <c r="AR251" s="23" t="e">
        <f t="shared" si="111"/>
        <v>#DIV/0!</v>
      </c>
      <c r="AT251" s="18">
        <f t="shared" si="106"/>
        <v>45903</v>
      </c>
      <c r="AU251" s="19">
        <f t="shared" si="107"/>
        <v>246</v>
      </c>
      <c r="AV251" s="1">
        <f t="shared" si="112"/>
        <v>0</v>
      </c>
      <c r="AW251" s="1">
        <f t="shared" si="113"/>
        <v>0</v>
      </c>
      <c r="AX251" s="1">
        <f t="shared" si="114"/>
        <v>0</v>
      </c>
      <c r="AY251" s="1">
        <f t="shared" si="104"/>
        <v>0</v>
      </c>
      <c r="AZ251" s="1">
        <f t="shared" si="105"/>
        <v>0</v>
      </c>
      <c r="BA251" s="1">
        <f t="shared" si="115"/>
        <v>0</v>
      </c>
      <c r="BB251" s="5" t="str">
        <f t="shared" si="116"/>
        <v>NAN</v>
      </c>
      <c r="BC251" s="1">
        <f>ROUND(AC251,1)</f>
        <v>0</v>
      </c>
      <c r="BD251" s="1">
        <f>ROUND(AD251,1)</f>
        <v>0</v>
      </c>
      <c r="BE251" s="1">
        <f>ROUND(AE251,1)</f>
        <v>0</v>
      </c>
      <c r="BF251" s="5">
        <f t="shared" si="117"/>
        <v>0</v>
      </c>
      <c r="BG251" s="5">
        <f t="shared" si="118"/>
        <v>0</v>
      </c>
      <c r="BH251" s="5">
        <f t="shared" si="119"/>
        <v>0</v>
      </c>
      <c r="BI251" s="5">
        <f t="shared" si="120"/>
        <v>0</v>
      </c>
      <c r="BJ251" s="9">
        <f t="shared" si="121"/>
        <v>0</v>
      </c>
      <c r="BK251" s="9" t="e">
        <f t="shared" si="121"/>
        <v>#DIV/0!</v>
      </c>
      <c r="BM251" s="1">
        <f t="shared" si="122"/>
        <v>0</v>
      </c>
      <c r="BN251" s="1">
        <f t="shared" si="123"/>
        <v>0</v>
      </c>
    </row>
    <row r="252" spans="1:66" x14ac:dyDescent="0.2">
      <c r="A252" s="4">
        <f t="shared" si="124"/>
        <v>45904</v>
      </c>
      <c r="B252" s="1">
        <v>247</v>
      </c>
      <c r="C252" s="1">
        <v>12</v>
      </c>
      <c r="AN252" s="1">
        <f t="shared" si="108"/>
        <v>0</v>
      </c>
      <c r="AO252" s="1">
        <f t="shared" si="109"/>
        <v>0</v>
      </c>
      <c r="AP252" s="1">
        <f t="shared" si="110"/>
        <v>0</v>
      </c>
      <c r="AQ252" s="16">
        <f t="shared" si="126"/>
        <v>0</v>
      </c>
      <c r="AR252" s="23" t="e">
        <f t="shared" si="111"/>
        <v>#DIV/0!</v>
      </c>
      <c r="AT252" s="18">
        <f t="shared" si="106"/>
        <v>45904</v>
      </c>
      <c r="AU252" s="19">
        <f t="shared" si="107"/>
        <v>247</v>
      </c>
      <c r="AV252" s="1">
        <f t="shared" si="112"/>
        <v>0</v>
      </c>
      <c r="AW252" s="1">
        <f t="shared" si="113"/>
        <v>0</v>
      </c>
      <c r="AX252" s="1">
        <f t="shared" si="114"/>
        <v>0</v>
      </c>
      <c r="AY252" s="1">
        <f t="shared" si="104"/>
        <v>0</v>
      </c>
      <c r="AZ252" s="1">
        <f t="shared" si="105"/>
        <v>0</v>
      </c>
      <c r="BA252" s="1">
        <f t="shared" si="115"/>
        <v>0</v>
      </c>
      <c r="BB252" s="5" t="str">
        <f t="shared" si="116"/>
        <v>NAN</v>
      </c>
      <c r="BC252" s="1">
        <f>ROUND(AC252,1)</f>
        <v>0</v>
      </c>
      <c r="BD252" s="1">
        <f>ROUND(AD252,1)</f>
        <v>0</v>
      </c>
      <c r="BE252" s="1">
        <f>ROUND(AE252,1)</f>
        <v>0</v>
      </c>
      <c r="BF252" s="5">
        <f t="shared" si="117"/>
        <v>0</v>
      </c>
      <c r="BG252" s="5">
        <f t="shared" si="118"/>
        <v>0</v>
      </c>
      <c r="BH252" s="5">
        <f t="shared" si="119"/>
        <v>0</v>
      </c>
      <c r="BI252" s="5">
        <f t="shared" si="120"/>
        <v>0</v>
      </c>
      <c r="BJ252" s="9">
        <f t="shared" si="121"/>
        <v>0</v>
      </c>
      <c r="BK252" s="9" t="e">
        <f t="shared" si="121"/>
        <v>#DIV/0!</v>
      </c>
      <c r="BM252" s="1">
        <f t="shared" si="122"/>
        <v>0</v>
      </c>
      <c r="BN252" s="1">
        <f t="shared" si="123"/>
        <v>0</v>
      </c>
    </row>
    <row r="253" spans="1:66" x14ac:dyDescent="0.2">
      <c r="A253" s="4">
        <f t="shared" si="124"/>
        <v>45905</v>
      </c>
      <c r="B253" s="1">
        <v>248</v>
      </c>
      <c r="C253" s="1">
        <v>12</v>
      </c>
      <c r="AN253" s="1">
        <f t="shared" si="108"/>
        <v>0</v>
      </c>
      <c r="AO253" s="1">
        <f t="shared" si="109"/>
        <v>0</v>
      </c>
      <c r="AP253" s="1">
        <f t="shared" si="110"/>
        <v>0</v>
      </c>
      <c r="AQ253" s="16">
        <f t="shared" si="126"/>
        <v>0</v>
      </c>
      <c r="AR253" s="23" t="e">
        <f t="shared" si="111"/>
        <v>#DIV/0!</v>
      </c>
      <c r="AT253" s="18">
        <f t="shared" si="106"/>
        <v>45905</v>
      </c>
      <c r="AU253" s="19">
        <f t="shared" si="107"/>
        <v>248</v>
      </c>
      <c r="AV253" s="1">
        <f t="shared" si="112"/>
        <v>0</v>
      </c>
      <c r="AW253" s="1">
        <f t="shared" si="113"/>
        <v>0</v>
      </c>
      <c r="AX253" s="1">
        <f t="shared" si="114"/>
        <v>0</v>
      </c>
      <c r="AY253" s="1">
        <f t="shared" si="104"/>
        <v>0</v>
      </c>
      <c r="AZ253" s="1">
        <f t="shared" si="105"/>
        <v>0</v>
      </c>
      <c r="BA253" s="1">
        <f t="shared" si="115"/>
        <v>0</v>
      </c>
      <c r="BB253" s="5" t="str">
        <f t="shared" si="116"/>
        <v>NAN</v>
      </c>
      <c r="BC253" s="1">
        <f>ROUND(AC253,1)</f>
        <v>0</v>
      </c>
      <c r="BD253" s="1">
        <f>ROUND(AD253,1)</f>
        <v>0</v>
      </c>
      <c r="BE253" s="1">
        <f>ROUND(AE253,1)</f>
        <v>0</v>
      </c>
      <c r="BF253" s="5">
        <f t="shared" si="117"/>
        <v>0</v>
      </c>
      <c r="BG253" s="5">
        <f t="shared" si="118"/>
        <v>0</v>
      </c>
      <c r="BH253" s="5">
        <f t="shared" si="119"/>
        <v>0</v>
      </c>
      <c r="BI253" s="5">
        <f t="shared" si="120"/>
        <v>0</v>
      </c>
      <c r="BJ253" s="9">
        <f t="shared" si="121"/>
        <v>0</v>
      </c>
      <c r="BK253" s="9" t="e">
        <f t="shared" si="121"/>
        <v>#DIV/0!</v>
      </c>
      <c r="BM253" s="1">
        <f t="shared" si="122"/>
        <v>0</v>
      </c>
      <c r="BN253" s="1">
        <f t="shared" si="123"/>
        <v>0</v>
      </c>
    </row>
    <row r="254" spans="1:66" x14ac:dyDescent="0.2">
      <c r="A254" s="4">
        <f t="shared" si="124"/>
        <v>45906</v>
      </c>
      <c r="B254" s="1">
        <v>249</v>
      </c>
      <c r="C254" s="1">
        <v>12</v>
      </c>
      <c r="AN254" s="1">
        <f t="shared" si="108"/>
        <v>0</v>
      </c>
      <c r="AO254" s="1">
        <f t="shared" si="109"/>
        <v>0</v>
      </c>
      <c r="AP254" s="1">
        <f t="shared" si="110"/>
        <v>0</v>
      </c>
      <c r="AQ254" s="16">
        <f t="shared" si="126"/>
        <v>0</v>
      </c>
      <c r="AR254" s="23" t="e">
        <f t="shared" si="111"/>
        <v>#DIV/0!</v>
      </c>
      <c r="AT254" s="18">
        <f t="shared" si="106"/>
        <v>45906</v>
      </c>
      <c r="AU254" s="19">
        <f t="shared" si="107"/>
        <v>249</v>
      </c>
      <c r="AV254" s="1">
        <f t="shared" si="112"/>
        <v>0</v>
      </c>
      <c r="AW254" s="1">
        <f t="shared" si="113"/>
        <v>0</v>
      </c>
      <c r="AX254" s="1">
        <f t="shared" si="114"/>
        <v>0</v>
      </c>
      <c r="AY254" s="1">
        <f t="shared" si="104"/>
        <v>0</v>
      </c>
      <c r="AZ254" s="1">
        <f t="shared" si="105"/>
        <v>0</v>
      </c>
      <c r="BA254" s="1">
        <f t="shared" si="115"/>
        <v>0</v>
      </c>
      <c r="BB254" s="5" t="str">
        <f t="shared" si="116"/>
        <v>NAN</v>
      </c>
      <c r="BC254" s="1">
        <f>ROUND(AC254,1)</f>
        <v>0</v>
      </c>
      <c r="BD254" s="1">
        <f>ROUND(AD254,1)</f>
        <v>0</v>
      </c>
      <c r="BE254" s="1">
        <f>ROUND(AE254,1)</f>
        <v>0</v>
      </c>
      <c r="BF254" s="5">
        <f t="shared" si="117"/>
        <v>0</v>
      </c>
      <c r="BG254" s="5">
        <f t="shared" si="118"/>
        <v>0</v>
      </c>
      <c r="BH254" s="5">
        <f t="shared" si="119"/>
        <v>0</v>
      </c>
      <c r="BI254" s="5">
        <f t="shared" si="120"/>
        <v>0</v>
      </c>
      <c r="BJ254" s="9">
        <f t="shared" si="121"/>
        <v>0</v>
      </c>
      <c r="BK254" s="9" t="e">
        <f t="shared" si="121"/>
        <v>#DIV/0!</v>
      </c>
      <c r="BM254" s="1">
        <f t="shared" si="122"/>
        <v>0</v>
      </c>
      <c r="BN254" s="1">
        <f t="shared" si="123"/>
        <v>0</v>
      </c>
    </row>
    <row r="255" spans="1:66" x14ac:dyDescent="0.2">
      <c r="A255" s="4">
        <f t="shared" si="124"/>
        <v>45907</v>
      </c>
      <c r="B255" s="1">
        <v>250</v>
      </c>
      <c r="C255" s="1">
        <v>12</v>
      </c>
      <c r="AN255" s="1">
        <f t="shared" si="108"/>
        <v>0</v>
      </c>
      <c r="AO255" s="1">
        <f t="shared" si="109"/>
        <v>0</v>
      </c>
      <c r="AP255" s="1">
        <f t="shared" si="110"/>
        <v>0</v>
      </c>
      <c r="AQ255" s="16">
        <f t="shared" si="126"/>
        <v>0</v>
      </c>
      <c r="AR255" s="23" t="e">
        <f t="shared" si="111"/>
        <v>#DIV/0!</v>
      </c>
      <c r="AT255" s="18">
        <f t="shared" si="106"/>
        <v>45907</v>
      </c>
      <c r="AU255" s="19">
        <f t="shared" si="107"/>
        <v>250</v>
      </c>
      <c r="AV255" s="1">
        <f t="shared" si="112"/>
        <v>0</v>
      </c>
      <c r="AW255" s="1">
        <f t="shared" si="113"/>
        <v>0</v>
      </c>
      <c r="AX255" s="1">
        <f t="shared" si="114"/>
        <v>0</v>
      </c>
      <c r="AY255" s="1">
        <f t="shared" si="104"/>
        <v>0</v>
      </c>
      <c r="AZ255" s="1">
        <f t="shared" si="105"/>
        <v>0</v>
      </c>
      <c r="BA255" s="1">
        <f t="shared" si="115"/>
        <v>0</v>
      </c>
      <c r="BB255" s="5" t="str">
        <f t="shared" si="116"/>
        <v>NAN</v>
      </c>
      <c r="BC255" s="1">
        <f>ROUND(AC255,1)</f>
        <v>0</v>
      </c>
      <c r="BD255" s="1">
        <f>ROUND(AD255,1)</f>
        <v>0</v>
      </c>
      <c r="BE255" s="1">
        <f>ROUND(AE255,1)</f>
        <v>0</v>
      </c>
      <c r="BF255" s="5">
        <f t="shared" si="117"/>
        <v>0</v>
      </c>
      <c r="BG255" s="5">
        <f t="shared" si="118"/>
        <v>0</v>
      </c>
      <c r="BH255" s="5">
        <f t="shared" si="119"/>
        <v>0</v>
      </c>
      <c r="BI255" s="5">
        <f t="shared" si="120"/>
        <v>0</v>
      </c>
      <c r="BJ255" s="9">
        <f t="shared" si="121"/>
        <v>0</v>
      </c>
      <c r="BK255" s="9" t="e">
        <f t="shared" si="121"/>
        <v>#DIV/0!</v>
      </c>
      <c r="BM255" s="1">
        <f t="shared" si="122"/>
        <v>0</v>
      </c>
      <c r="BN255" s="1">
        <f t="shared" si="123"/>
        <v>0</v>
      </c>
    </row>
    <row r="256" spans="1:66" x14ac:dyDescent="0.2">
      <c r="A256" s="4">
        <f t="shared" si="124"/>
        <v>45908</v>
      </c>
      <c r="B256" s="1">
        <v>251</v>
      </c>
      <c r="C256" s="1">
        <v>12</v>
      </c>
      <c r="AN256" s="1">
        <f t="shared" si="108"/>
        <v>0</v>
      </c>
      <c r="AO256" s="1">
        <f t="shared" si="109"/>
        <v>0</v>
      </c>
      <c r="AP256" s="1">
        <f t="shared" si="110"/>
        <v>0</v>
      </c>
      <c r="AQ256" s="16">
        <f t="shared" si="126"/>
        <v>0</v>
      </c>
      <c r="AR256" s="23" t="e">
        <f t="shared" si="111"/>
        <v>#DIV/0!</v>
      </c>
      <c r="AT256" s="18">
        <f t="shared" si="106"/>
        <v>45908</v>
      </c>
      <c r="AU256" s="19">
        <f t="shared" si="107"/>
        <v>251</v>
      </c>
      <c r="AV256" s="1">
        <f t="shared" si="112"/>
        <v>0</v>
      </c>
      <c r="AW256" s="1">
        <f t="shared" si="113"/>
        <v>0</v>
      </c>
      <c r="AX256" s="1">
        <f t="shared" si="114"/>
        <v>0</v>
      </c>
      <c r="AY256" s="1">
        <f t="shared" si="104"/>
        <v>0</v>
      </c>
      <c r="AZ256" s="1">
        <f t="shared" si="105"/>
        <v>0</v>
      </c>
      <c r="BA256" s="1">
        <f t="shared" si="115"/>
        <v>0</v>
      </c>
      <c r="BB256" s="5" t="str">
        <f t="shared" si="116"/>
        <v>NAN</v>
      </c>
      <c r="BC256" s="1">
        <f>ROUND(AC256,1)</f>
        <v>0</v>
      </c>
      <c r="BD256" s="1">
        <f>ROUND(AD256,1)</f>
        <v>0</v>
      </c>
      <c r="BE256" s="1">
        <f>ROUND(AE256,1)</f>
        <v>0</v>
      </c>
      <c r="BF256" s="5">
        <f t="shared" si="117"/>
        <v>0</v>
      </c>
      <c r="BG256" s="5">
        <f t="shared" si="118"/>
        <v>0</v>
      </c>
      <c r="BH256" s="5">
        <f t="shared" si="119"/>
        <v>0</v>
      </c>
      <c r="BI256" s="5">
        <f t="shared" si="120"/>
        <v>0</v>
      </c>
      <c r="BJ256" s="9">
        <f t="shared" si="121"/>
        <v>0</v>
      </c>
      <c r="BK256" s="9" t="e">
        <f t="shared" si="121"/>
        <v>#DIV/0!</v>
      </c>
      <c r="BM256" s="1">
        <f t="shared" si="122"/>
        <v>0</v>
      </c>
      <c r="BN256" s="1">
        <f t="shared" si="123"/>
        <v>0</v>
      </c>
    </row>
    <row r="257" spans="1:66" x14ac:dyDescent="0.2">
      <c r="A257" s="4">
        <f t="shared" si="124"/>
        <v>45909</v>
      </c>
      <c r="B257" s="1">
        <v>252</v>
      </c>
      <c r="C257" s="1">
        <v>12</v>
      </c>
      <c r="AN257" s="1">
        <f t="shared" si="108"/>
        <v>0</v>
      </c>
      <c r="AO257" s="1">
        <f t="shared" si="109"/>
        <v>0</v>
      </c>
      <c r="AP257" s="1">
        <f t="shared" si="110"/>
        <v>0</v>
      </c>
      <c r="AQ257" s="16">
        <f t="shared" si="126"/>
        <v>0</v>
      </c>
      <c r="AR257" s="23" t="e">
        <f t="shared" si="111"/>
        <v>#DIV/0!</v>
      </c>
      <c r="AT257" s="18">
        <f t="shared" si="106"/>
        <v>45909</v>
      </c>
      <c r="AU257" s="19">
        <f t="shared" si="107"/>
        <v>252</v>
      </c>
      <c r="AV257" s="1">
        <f t="shared" si="112"/>
        <v>0</v>
      </c>
      <c r="AW257" s="1">
        <f t="shared" si="113"/>
        <v>0</v>
      </c>
      <c r="AX257" s="1">
        <f t="shared" si="114"/>
        <v>0</v>
      </c>
      <c r="AY257" s="1">
        <f t="shared" si="104"/>
        <v>0</v>
      </c>
      <c r="AZ257" s="1">
        <f t="shared" si="105"/>
        <v>0</v>
      </c>
      <c r="BA257" s="1">
        <f t="shared" si="115"/>
        <v>0</v>
      </c>
      <c r="BB257" s="5" t="str">
        <f t="shared" si="116"/>
        <v>NAN</v>
      </c>
      <c r="BC257" s="1">
        <f>ROUND(AC257,1)</f>
        <v>0</v>
      </c>
      <c r="BD257" s="1">
        <f>ROUND(AD257,1)</f>
        <v>0</v>
      </c>
      <c r="BE257" s="1">
        <f>ROUND(AE257,1)</f>
        <v>0</v>
      </c>
      <c r="BF257" s="5">
        <f t="shared" si="117"/>
        <v>0</v>
      </c>
      <c r="BG257" s="5">
        <f t="shared" si="118"/>
        <v>0</v>
      </c>
      <c r="BH257" s="5">
        <f t="shared" si="119"/>
        <v>0</v>
      </c>
      <c r="BI257" s="5">
        <f t="shared" si="120"/>
        <v>0</v>
      </c>
      <c r="BJ257" s="9">
        <f t="shared" si="121"/>
        <v>0</v>
      </c>
      <c r="BK257" s="9" t="e">
        <f t="shared" si="121"/>
        <v>#DIV/0!</v>
      </c>
      <c r="BM257" s="1">
        <f t="shared" si="122"/>
        <v>0</v>
      </c>
      <c r="BN257" s="1">
        <f t="shared" si="123"/>
        <v>0</v>
      </c>
    </row>
    <row r="258" spans="1:66" x14ac:dyDescent="0.2">
      <c r="A258" s="4">
        <f t="shared" si="124"/>
        <v>45910</v>
      </c>
      <c r="B258" s="1">
        <v>253</v>
      </c>
      <c r="C258" s="1">
        <v>12</v>
      </c>
      <c r="AN258" s="1">
        <f t="shared" si="108"/>
        <v>0</v>
      </c>
      <c r="AO258" s="1">
        <f t="shared" si="109"/>
        <v>0</v>
      </c>
      <c r="AP258" s="1">
        <f t="shared" si="110"/>
        <v>0</v>
      </c>
      <c r="AQ258" s="16">
        <f t="shared" si="126"/>
        <v>0</v>
      </c>
      <c r="AR258" s="23" t="e">
        <f t="shared" si="111"/>
        <v>#DIV/0!</v>
      </c>
      <c r="AT258" s="18">
        <f t="shared" si="106"/>
        <v>45910</v>
      </c>
      <c r="AU258" s="19">
        <f t="shared" si="107"/>
        <v>253</v>
      </c>
      <c r="AV258" s="1">
        <f t="shared" si="112"/>
        <v>0</v>
      </c>
      <c r="AW258" s="1">
        <f t="shared" si="113"/>
        <v>0</v>
      </c>
      <c r="AX258" s="1">
        <f t="shared" si="114"/>
        <v>0</v>
      </c>
      <c r="AY258" s="1">
        <f t="shared" si="104"/>
        <v>0</v>
      </c>
      <c r="AZ258" s="1">
        <f t="shared" si="105"/>
        <v>0</v>
      </c>
      <c r="BA258" s="1">
        <f t="shared" si="115"/>
        <v>0</v>
      </c>
      <c r="BB258" s="5" t="str">
        <f t="shared" si="116"/>
        <v>NAN</v>
      </c>
      <c r="BC258" s="1">
        <f>ROUND(AC258,1)</f>
        <v>0</v>
      </c>
      <c r="BD258" s="1">
        <f>ROUND(AD258,1)</f>
        <v>0</v>
      </c>
      <c r="BE258" s="1">
        <f>ROUND(AE258,1)</f>
        <v>0</v>
      </c>
      <c r="BF258" s="5">
        <f t="shared" si="117"/>
        <v>0</v>
      </c>
      <c r="BG258" s="5">
        <f t="shared" si="118"/>
        <v>0</v>
      </c>
      <c r="BH258" s="5">
        <f t="shared" si="119"/>
        <v>0</v>
      </c>
      <c r="BI258" s="5">
        <f t="shared" si="120"/>
        <v>0</v>
      </c>
      <c r="BJ258" s="9">
        <f t="shared" si="121"/>
        <v>0</v>
      </c>
      <c r="BK258" s="9" t="e">
        <f t="shared" si="121"/>
        <v>#DIV/0!</v>
      </c>
      <c r="BM258" s="1">
        <f t="shared" si="122"/>
        <v>0</v>
      </c>
      <c r="BN258" s="1">
        <f t="shared" si="123"/>
        <v>0</v>
      </c>
    </row>
    <row r="259" spans="1:66" x14ac:dyDescent="0.2">
      <c r="A259" s="4">
        <f t="shared" si="124"/>
        <v>45911</v>
      </c>
      <c r="B259" s="1">
        <v>254</v>
      </c>
      <c r="C259" s="1">
        <v>12</v>
      </c>
      <c r="AN259" s="1">
        <f t="shared" si="108"/>
        <v>0</v>
      </c>
      <c r="AO259" s="1">
        <f t="shared" si="109"/>
        <v>0</v>
      </c>
      <c r="AP259" s="1">
        <f t="shared" si="110"/>
        <v>0</v>
      </c>
      <c r="AQ259" s="16">
        <f t="shared" si="126"/>
        <v>0</v>
      </c>
      <c r="AR259" s="23" t="e">
        <f t="shared" si="111"/>
        <v>#DIV/0!</v>
      </c>
      <c r="AT259" s="18">
        <f t="shared" si="106"/>
        <v>45911</v>
      </c>
      <c r="AU259" s="19">
        <f t="shared" si="107"/>
        <v>254</v>
      </c>
      <c r="AV259" s="1">
        <f t="shared" si="112"/>
        <v>0</v>
      </c>
      <c r="AW259" s="1">
        <f t="shared" si="113"/>
        <v>0</v>
      </c>
      <c r="AX259" s="1">
        <f t="shared" si="114"/>
        <v>0</v>
      </c>
      <c r="AY259" s="1">
        <f t="shared" si="104"/>
        <v>0</v>
      </c>
      <c r="AZ259" s="1">
        <f t="shared" si="105"/>
        <v>0</v>
      </c>
      <c r="BA259" s="1">
        <f t="shared" si="115"/>
        <v>0</v>
      </c>
      <c r="BB259" s="5" t="str">
        <f t="shared" si="116"/>
        <v>NAN</v>
      </c>
      <c r="BC259" s="1">
        <f>ROUND(AC259,1)</f>
        <v>0</v>
      </c>
      <c r="BD259" s="1">
        <f>ROUND(AD259,1)</f>
        <v>0</v>
      </c>
      <c r="BE259" s="1">
        <f>ROUND(AE259,1)</f>
        <v>0</v>
      </c>
      <c r="BF259" s="5">
        <f t="shared" si="117"/>
        <v>0</v>
      </c>
      <c r="BG259" s="5">
        <f t="shared" si="118"/>
        <v>0</v>
      </c>
      <c r="BH259" s="5">
        <f t="shared" si="119"/>
        <v>0</v>
      </c>
      <c r="BI259" s="5">
        <f t="shared" si="120"/>
        <v>0</v>
      </c>
      <c r="BJ259" s="9">
        <f t="shared" si="121"/>
        <v>0</v>
      </c>
      <c r="BK259" s="9" t="e">
        <f t="shared" si="121"/>
        <v>#DIV/0!</v>
      </c>
      <c r="BM259" s="1">
        <f t="shared" si="122"/>
        <v>0</v>
      </c>
      <c r="BN259" s="1">
        <f t="shared" si="123"/>
        <v>0</v>
      </c>
    </row>
    <row r="260" spans="1:66" x14ac:dyDescent="0.2">
      <c r="A260" s="4">
        <f t="shared" si="124"/>
        <v>45912</v>
      </c>
      <c r="B260" s="1">
        <v>255</v>
      </c>
      <c r="C260" s="1">
        <v>12</v>
      </c>
      <c r="AN260" s="1">
        <f t="shared" si="108"/>
        <v>0</v>
      </c>
      <c r="AO260" s="1">
        <f t="shared" si="109"/>
        <v>0</v>
      </c>
      <c r="AP260" s="1">
        <f t="shared" si="110"/>
        <v>0</v>
      </c>
      <c r="AQ260" s="16">
        <f t="shared" si="126"/>
        <v>0</v>
      </c>
      <c r="AR260" s="23" t="e">
        <f t="shared" si="111"/>
        <v>#DIV/0!</v>
      </c>
      <c r="AT260" s="18">
        <f t="shared" si="106"/>
        <v>45912</v>
      </c>
      <c r="AU260" s="19">
        <f t="shared" si="107"/>
        <v>255</v>
      </c>
      <c r="AV260" s="1">
        <f t="shared" si="112"/>
        <v>0</v>
      </c>
      <c r="AW260" s="1">
        <f t="shared" si="113"/>
        <v>0</v>
      </c>
      <c r="AX260" s="1">
        <f t="shared" si="114"/>
        <v>0</v>
      </c>
      <c r="AY260" s="1">
        <f t="shared" si="104"/>
        <v>0</v>
      </c>
      <c r="AZ260" s="1">
        <f t="shared" si="105"/>
        <v>0</v>
      </c>
      <c r="BA260" s="1">
        <f t="shared" si="115"/>
        <v>0</v>
      </c>
      <c r="BB260" s="5" t="str">
        <f t="shared" si="116"/>
        <v>NAN</v>
      </c>
      <c r="BC260" s="1">
        <f>ROUND(AC260,1)</f>
        <v>0</v>
      </c>
      <c r="BD260" s="1">
        <f>ROUND(AD260,1)</f>
        <v>0</v>
      </c>
      <c r="BE260" s="1">
        <f>ROUND(AE260,1)</f>
        <v>0</v>
      </c>
      <c r="BF260" s="5">
        <f t="shared" si="117"/>
        <v>0</v>
      </c>
      <c r="BG260" s="5">
        <f t="shared" si="118"/>
        <v>0</v>
      </c>
      <c r="BH260" s="5">
        <f t="shared" si="119"/>
        <v>0</v>
      </c>
      <c r="BI260" s="5">
        <f t="shared" si="120"/>
        <v>0</v>
      </c>
      <c r="BJ260" s="9">
        <f t="shared" si="121"/>
        <v>0</v>
      </c>
      <c r="BK260" s="9" t="e">
        <f t="shared" si="121"/>
        <v>#DIV/0!</v>
      </c>
      <c r="BM260" s="1">
        <f t="shared" si="122"/>
        <v>0</v>
      </c>
      <c r="BN260" s="1">
        <f t="shared" si="123"/>
        <v>0</v>
      </c>
    </row>
    <row r="261" spans="1:66" x14ac:dyDescent="0.2">
      <c r="A261" s="4">
        <f t="shared" si="124"/>
        <v>45913</v>
      </c>
      <c r="B261" s="1">
        <v>256</v>
      </c>
      <c r="C261" s="1">
        <v>12</v>
      </c>
      <c r="AN261" s="1">
        <f t="shared" si="108"/>
        <v>0</v>
      </c>
      <c r="AO261" s="1">
        <f t="shared" si="109"/>
        <v>0</v>
      </c>
      <c r="AP261" s="1">
        <f t="shared" si="110"/>
        <v>0</v>
      </c>
      <c r="AQ261" s="16">
        <f t="shared" si="126"/>
        <v>0</v>
      </c>
      <c r="AR261" s="23" t="e">
        <f t="shared" si="111"/>
        <v>#DIV/0!</v>
      </c>
      <c r="AT261" s="18">
        <f t="shared" si="106"/>
        <v>45913</v>
      </c>
      <c r="AU261" s="19">
        <f t="shared" si="107"/>
        <v>256</v>
      </c>
      <c r="AV261" s="1">
        <f t="shared" si="112"/>
        <v>0</v>
      </c>
      <c r="AW261" s="1">
        <f t="shared" si="113"/>
        <v>0</v>
      </c>
      <c r="AX261" s="1">
        <f t="shared" si="114"/>
        <v>0</v>
      </c>
      <c r="AY261" s="1">
        <f t="shared" ref="AY261:AY293" si="127">AO261</f>
        <v>0</v>
      </c>
      <c r="AZ261" s="1">
        <f t="shared" ref="AZ261:AZ293" si="128">AP261</f>
        <v>0</v>
      </c>
      <c r="BA261" s="1">
        <f t="shared" si="115"/>
        <v>0</v>
      </c>
      <c r="BB261" s="5" t="str">
        <f t="shared" si="116"/>
        <v>NAN</v>
      </c>
      <c r="BC261" s="1">
        <f>ROUND(AC261,1)</f>
        <v>0</v>
      </c>
      <c r="BD261" s="1">
        <f>ROUND(AD261,1)</f>
        <v>0</v>
      </c>
      <c r="BE261" s="1">
        <f>ROUND(AE261,1)</f>
        <v>0</v>
      </c>
      <c r="BF261" s="5">
        <f t="shared" si="117"/>
        <v>0</v>
      </c>
      <c r="BG261" s="5">
        <f t="shared" si="118"/>
        <v>0</v>
      </c>
      <c r="BH261" s="5">
        <f t="shared" si="119"/>
        <v>0</v>
      </c>
      <c r="BI261" s="5">
        <f t="shared" si="120"/>
        <v>0</v>
      </c>
      <c r="BJ261" s="9">
        <f t="shared" si="121"/>
        <v>0</v>
      </c>
      <c r="BK261" s="9" t="e">
        <f t="shared" si="121"/>
        <v>#DIV/0!</v>
      </c>
      <c r="BM261" s="1">
        <f t="shared" si="122"/>
        <v>0</v>
      </c>
      <c r="BN261" s="1">
        <f t="shared" si="123"/>
        <v>0</v>
      </c>
    </row>
    <row r="262" spans="1:66" x14ac:dyDescent="0.2">
      <c r="A262" s="4">
        <f t="shared" si="124"/>
        <v>45914</v>
      </c>
      <c r="B262" s="1">
        <v>257</v>
      </c>
      <c r="C262" s="1">
        <v>12</v>
      </c>
      <c r="AN262" s="1">
        <f t="shared" si="108"/>
        <v>0</v>
      </c>
      <c r="AO262" s="1">
        <f t="shared" si="109"/>
        <v>0</v>
      </c>
      <c r="AP262" s="1">
        <f t="shared" si="110"/>
        <v>0</v>
      </c>
      <c r="AQ262" s="16">
        <f t="shared" si="126"/>
        <v>0</v>
      </c>
      <c r="AR262" s="23" t="e">
        <f t="shared" si="111"/>
        <v>#DIV/0!</v>
      </c>
      <c r="AT262" s="18">
        <f t="shared" ref="AT262:AT325" si="129">A262</f>
        <v>45914</v>
      </c>
      <c r="AU262" s="19">
        <f t="shared" ref="AU262:AU325" si="130">B262</f>
        <v>257</v>
      </c>
      <c r="AV262" s="1">
        <f t="shared" si="112"/>
        <v>0</v>
      </c>
      <c r="AW262" s="1">
        <f t="shared" si="113"/>
        <v>0</v>
      </c>
      <c r="AX262" s="1">
        <f t="shared" si="114"/>
        <v>0</v>
      </c>
      <c r="AY262" s="1">
        <f t="shared" si="127"/>
        <v>0</v>
      </c>
      <c r="AZ262" s="1">
        <f t="shared" si="128"/>
        <v>0</v>
      </c>
      <c r="BA262" s="1">
        <f t="shared" si="115"/>
        <v>0</v>
      </c>
      <c r="BB262" s="5" t="str">
        <f t="shared" si="116"/>
        <v>NAN</v>
      </c>
      <c r="BC262" s="1">
        <f>ROUND(AC262,1)</f>
        <v>0</v>
      </c>
      <c r="BD262" s="1">
        <f>ROUND(AD262,1)</f>
        <v>0</v>
      </c>
      <c r="BE262" s="1">
        <f>ROUND(AE262,1)</f>
        <v>0</v>
      </c>
      <c r="BF262" s="5">
        <f t="shared" si="117"/>
        <v>0</v>
      </c>
      <c r="BG262" s="5">
        <f t="shared" si="118"/>
        <v>0</v>
      </c>
      <c r="BH262" s="5">
        <f t="shared" si="119"/>
        <v>0</v>
      </c>
      <c r="BI262" s="5">
        <f t="shared" si="120"/>
        <v>0</v>
      </c>
      <c r="BJ262" s="9">
        <f t="shared" si="121"/>
        <v>0</v>
      </c>
      <c r="BK262" s="9" t="e">
        <f t="shared" si="121"/>
        <v>#DIV/0!</v>
      </c>
      <c r="BM262" s="1">
        <f t="shared" si="122"/>
        <v>0</v>
      </c>
      <c r="BN262" s="1">
        <f t="shared" si="123"/>
        <v>0</v>
      </c>
    </row>
    <row r="263" spans="1:66" x14ac:dyDescent="0.2">
      <c r="A263" s="4">
        <f t="shared" si="124"/>
        <v>45915</v>
      </c>
      <c r="B263" s="1">
        <v>258</v>
      </c>
      <c r="C263" s="1">
        <v>12</v>
      </c>
      <c r="AN263" s="1">
        <f t="shared" ref="AN263:AN326" si="131">ROUND(O263*AO$1,1)</f>
        <v>0</v>
      </c>
      <c r="AO263" s="1">
        <f t="shared" ref="AO263:AO326" si="132">ROUND(H263*AO$1,1)</f>
        <v>0</v>
      </c>
      <c r="AP263" s="1">
        <f t="shared" ref="AP263:AP326" si="133">ROUND(V263*AO$1,1)</f>
        <v>0</v>
      </c>
      <c r="AQ263" s="16">
        <f t="shared" si="126"/>
        <v>0</v>
      </c>
      <c r="AR263" s="23" t="e">
        <f t="shared" ref="AR263:AR326" si="134">ROUND(AQ263/AP263*(100-AP263),3)</f>
        <v>#DIV/0!</v>
      </c>
      <c r="AT263" s="18">
        <f t="shared" si="129"/>
        <v>45915</v>
      </c>
      <c r="AU263" s="19">
        <f t="shared" si="130"/>
        <v>258</v>
      </c>
      <c r="AV263" s="1">
        <f t="shared" ref="AV263:AV293" si="135">ROUND(G263,1)</f>
        <v>0</v>
      </c>
      <c r="AW263" s="1">
        <f t="shared" ref="AW263:AW293" si="136">ROUND(N263,1)</f>
        <v>0</v>
      </c>
      <c r="AX263" s="1">
        <f t="shared" ref="AX263:AX293" si="137">ROUND(U263,1)</f>
        <v>0</v>
      </c>
      <c r="AY263" s="1">
        <f t="shared" si="127"/>
        <v>0</v>
      </c>
      <c r="AZ263" s="1">
        <f t="shared" si="128"/>
        <v>0</v>
      </c>
      <c r="BA263" s="1">
        <f t="shared" ref="BA263:BA326" si="138">AK263</f>
        <v>0</v>
      </c>
      <c r="BB263" s="5" t="str">
        <f t="shared" ref="BB263:BB326" si="139">IF(AL263="","NAN",AL263)</f>
        <v>NAN</v>
      </c>
      <c r="BC263" s="1">
        <f>ROUND(AC263,1)</f>
        <v>0</v>
      </c>
      <c r="BD263" s="1">
        <f>ROUND(AD263,1)</f>
        <v>0</v>
      </c>
      <c r="BE263" s="1">
        <f>ROUND(AE263,1)</f>
        <v>0</v>
      </c>
      <c r="BF263" s="5">
        <f t="shared" ref="BF263:BF293" si="140">ROUND(K263,1)</f>
        <v>0</v>
      </c>
      <c r="BG263" s="5">
        <f t="shared" ref="BG263:BG293" si="141">ROUND(L263,1)</f>
        <v>0</v>
      </c>
      <c r="BH263" s="5">
        <f t="shared" ref="BH263:BH293" si="142">ROUND(M263,1)</f>
        <v>0</v>
      </c>
      <c r="BI263" s="5">
        <f t="shared" ref="BI263:BI326" si="143">IF(AI263="NAN",-999,ROUND(AI263,3))</f>
        <v>0</v>
      </c>
      <c r="BJ263" s="9">
        <f t="shared" ref="BJ263:BK326" si="144">AQ263</f>
        <v>0</v>
      </c>
      <c r="BK263" s="9" t="e">
        <f t="shared" si="144"/>
        <v>#DIV/0!</v>
      </c>
      <c r="BM263" s="1">
        <f t="shared" ref="BM263:BM326" si="145">AD263-N263</f>
        <v>0</v>
      </c>
      <c r="BN263" s="1">
        <f t="shared" ref="BN263:BN326" si="146">AE263-U263</f>
        <v>0</v>
      </c>
    </row>
    <row r="264" spans="1:66" x14ac:dyDescent="0.2">
      <c r="A264" s="4">
        <f t="shared" ref="A264:A327" si="147">A263+1</f>
        <v>45916</v>
      </c>
      <c r="B264" s="1">
        <v>259</v>
      </c>
      <c r="C264" s="1">
        <v>12</v>
      </c>
      <c r="AN264" s="1">
        <f t="shared" si="131"/>
        <v>0</v>
      </c>
      <c r="AO264" s="1">
        <f t="shared" si="132"/>
        <v>0</v>
      </c>
      <c r="AP264" s="1">
        <f t="shared" si="133"/>
        <v>0</v>
      </c>
      <c r="AQ264" s="16">
        <f t="shared" si="126"/>
        <v>0</v>
      </c>
      <c r="AR264" s="23" t="e">
        <f t="shared" si="134"/>
        <v>#DIV/0!</v>
      </c>
      <c r="AT264" s="18">
        <f t="shared" si="129"/>
        <v>45916</v>
      </c>
      <c r="AU264" s="19">
        <f t="shared" si="130"/>
        <v>259</v>
      </c>
      <c r="AV264" s="1">
        <f t="shared" si="135"/>
        <v>0</v>
      </c>
      <c r="AW264" s="1">
        <f t="shared" si="136"/>
        <v>0</v>
      </c>
      <c r="AX264" s="1">
        <f t="shared" si="137"/>
        <v>0</v>
      </c>
      <c r="AY264" s="1">
        <f t="shared" si="127"/>
        <v>0</v>
      </c>
      <c r="AZ264" s="1">
        <f t="shared" si="128"/>
        <v>0</v>
      </c>
      <c r="BA264" s="1">
        <f t="shared" si="138"/>
        <v>0</v>
      </c>
      <c r="BB264" s="5" t="str">
        <f t="shared" si="139"/>
        <v>NAN</v>
      </c>
      <c r="BC264" s="1">
        <f>ROUND(AC264,1)</f>
        <v>0</v>
      </c>
      <c r="BD264" s="1">
        <f>ROUND(AD264,1)</f>
        <v>0</v>
      </c>
      <c r="BE264" s="1">
        <f>ROUND(AE264,1)</f>
        <v>0</v>
      </c>
      <c r="BF264" s="5">
        <f t="shared" si="140"/>
        <v>0</v>
      </c>
      <c r="BG264" s="5">
        <f t="shared" si="141"/>
        <v>0</v>
      </c>
      <c r="BH264" s="5">
        <f t="shared" si="142"/>
        <v>0</v>
      </c>
      <c r="BI264" s="5">
        <f t="shared" si="143"/>
        <v>0</v>
      </c>
      <c r="BJ264" s="9">
        <f t="shared" si="144"/>
        <v>0</v>
      </c>
      <c r="BK264" s="9" t="e">
        <f t="shared" si="144"/>
        <v>#DIV/0!</v>
      </c>
      <c r="BM264" s="1">
        <f t="shared" si="145"/>
        <v>0</v>
      </c>
      <c r="BN264" s="1">
        <f t="shared" si="146"/>
        <v>0</v>
      </c>
    </row>
    <row r="265" spans="1:66" x14ac:dyDescent="0.2">
      <c r="A265" s="4">
        <f t="shared" si="147"/>
        <v>45917</v>
      </c>
      <c r="B265" s="1">
        <v>260</v>
      </c>
      <c r="C265" s="1">
        <v>12</v>
      </c>
      <c r="AN265" s="1">
        <f t="shared" si="131"/>
        <v>0</v>
      </c>
      <c r="AO265" s="1">
        <f t="shared" si="132"/>
        <v>0</v>
      </c>
      <c r="AP265" s="1">
        <f t="shared" si="133"/>
        <v>0</v>
      </c>
      <c r="AQ265" s="16">
        <f t="shared" si="126"/>
        <v>0</v>
      </c>
      <c r="AR265" s="23" t="e">
        <f t="shared" si="134"/>
        <v>#DIV/0!</v>
      </c>
      <c r="AT265" s="18">
        <f t="shared" si="129"/>
        <v>45917</v>
      </c>
      <c r="AU265" s="19">
        <f t="shared" si="130"/>
        <v>260</v>
      </c>
      <c r="AV265" s="1">
        <f t="shared" si="135"/>
        <v>0</v>
      </c>
      <c r="AW265" s="1">
        <f t="shared" si="136"/>
        <v>0</v>
      </c>
      <c r="AX265" s="1">
        <f t="shared" si="137"/>
        <v>0</v>
      </c>
      <c r="AY265" s="1">
        <f t="shared" si="127"/>
        <v>0</v>
      </c>
      <c r="AZ265" s="1">
        <f t="shared" si="128"/>
        <v>0</v>
      </c>
      <c r="BA265" s="1">
        <f t="shared" si="138"/>
        <v>0</v>
      </c>
      <c r="BB265" s="5" t="str">
        <f t="shared" si="139"/>
        <v>NAN</v>
      </c>
      <c r="BC265" s="1">
        <f>ROUND(AC265,1)</f>
        <v>0</v>
      </c>
      <c r="BD265" s="1">
        <f>ROUND(AD265,1)</f>
        <v>0</v>
      </c>
      <c r="BE265" s="1">
        <f>ROUND(AE265,1)</f>
        <v>0</v>
      </c>
      <c r="BF265" s="5">
        <f t="shared" si="140"/>
        <v>0</v>
      </c>
      <c r="BG265" s="5">
        <f t="shared" si="141"/>
        <v>0</v>
      </c>
      <c r="BH265" s="5">
        <f t="shared" si="142"/>
        <v>0</v>
      </c>
      <c r="BI265" s="5">
        <f t="shared" si="143"/>
        <v>0</v>
      </c>
      <c r="BJ265" s="9">
        <f t="shared" si="144"/>
        <v>0</v>
      </c>
      <c r="BK265" s="9" t="e">
        <f t="shared" si="144"/>
        <v>#DIV/0!</v>
      </c>
      <c r="BM265" s="1">
        <f t="shared" si="145"/>
        <v>0</v>
      </c>
      <c r="BN265" s="1">
        <f t="shared" si="146"/>
        <v>0</v>
      </c>
    </row>
    <row r="266" spans="1:66" x14ac:dyDescent="0.2">
      <c r="A266" s="4">
        <f t="shared" si="147"/>
        <v>45918</v>
      </c>
      <c r="B266" s="1">
        <v>261</v>
      </c>
      <c r="C266" s="1">
        <v>12</v>
      </c>
      <c r="AN266" s="1">
        <f t="shared" si="131"/>
        <v>0</v>
      </c>
      <c r="AO266" s="1">
        <f t="shared" si="132"/>
        <v>0</v>
      </c>
      <c r="AP266" s="1">
        <f t="shared" si="133"/>
        <v>0</v>
      </c>
      <c r="AQ266" s="16">
        <f t="shared" si="126"/>
        <v>0</v>
      </c>
      <c r="AR266" s="23" t="e">
        <f t="shared" si="134"/>
        <v>#DIV/0!</v>
      </c>
      <c r="AT266" s="18">
        <f t="shared" si="129"/>
        <v>45918</v>
      </c>
      <c r="AU266" s="19">
        <f t="shared" si="130"/>
        <v>261</v>
      </c>
      <c r="AV266" s="1">
        <f t="shared" si="135"/>
        <v>0</v>
      </c>
      <c r="AW266" s="1">
        <f t="shared" si="136"/>
        <v>0</v>
      </c>
      <c r="AX266" s="1">
        <f t="shared" si="137"/>
        <v>0</v>
      </c>
      <c r="AY266" s="1">
        <f t="shared" si="127"/>
        <v>0</v>
      </c>
      <c r="AZ266" s="1">
        <f t="shared" si="128"/>
        <v>0</v>
      </c>
      <c r="BA266" s="1">
        <f t="shared" si="138"/>
        <v>0</v>
      </c>
      <c r="BB266" s="5" t="str">
        <f t="shared" si="139"/>
        <v>NAN</v>
      </c>
      <c r="BC266" s="1">
        <f>ROUND(AC266,1)</f>
        <v>0</v>
      </c>
      <c r="BD266" s="1">
        <f>ROUND(AD266,1)</f>
        <v>0</v>
      </c>
      <c r="BE266" s="1">
        <f>ROUND(AE266,1)</f>
        <v>0</v>
      </c>
      <c r="BF266" s="5">
        <f t="shared" si="140"/>
        <v>0</v>
      </c>
      <c r="BG266" s="5">
        <f t="shared" si="141"/>
        <v>0</v>
      </c>
      <c r="BH266" s="5">
        <f t="shared" si="142"/>
        <v>0</v>
      </c>
      <c r="BI266" s="5">
        <f t="shared" si="143"/>
        <v>0</v>
      </c>
      <c r="BJ266" s="9">
        <f t="shared" si="144"/>
        <v>0</v>
      </c>
      <c r="BK266" s="9" t="e">
        <f t="shared" si="144"/>
        <v>#DIV/0!</v>
      </c>
      <c r="BM266" s="1">
        <f t="shared" si="145"/>
        <v>0</v>
      </c>
      <c r="BN266" s="1">
        <f t="shared" si="146"/>
        <v>0</v>
      </c>
    </row>
    <row r="267" spans="1:66" x14ac:dyDescent="0.2">
      <c r="A267" s="4">
        <f t="shared" si="147"/>
        <v>45919</v>
      </c>
      <c r="B267" s="1">
        <v>262</v>
      </c>
      <c r="C267" s="1">
        <v>12</v>
      </c>
      <c r="AN267" s="1">
        <f t="shared" si="131"/>
        <v>0</v>
      </c>
      <c r="AO267" s="1">
        <f t="shared" si="132"/>
        <v>0</v>
      </c>
      <c r="AP267" s="1">
        <f t="shared" si="133"/>
        <v>0</v>
      </c>
      <c r="AQ267" s="16">
        <f t="shared" si="126"/>
        <v>0</v>
      </c>
      <c r="AR267" s="23" t="e">
        <f t="shared" si="134"/>
        <v>#DIV/0!</v>
      </c>
      <c r="AT267" s="18">
        <f t="shared" si="129"/>
        <v>45919</v>
      </c>
      <c r="AU267" s="19">
        <f t="shared" si="130"/>
        <v>262</v>
      </c>
      <c r="AV267" s="1">
        <f t="shared" si="135"/>
        <v>0</v>
      </c>
      <c r="AW267" s="1">
        <f t="shared" si="136"/>
        <v>0</v>
      </c>
      <c r="AX267" s="1">
        <f t="shared" si="137"/>
        <v>0</v>
      </c>
      <c r="AY267" s="1">
        <f t="shared" si="127"/>
        <v>0</v>
      </c>
      <c r="AZ267" s="1">
        <f t="shared" si="128"/>
        <v>0</v>
      </c>
      <c r="BA267" s="1">
        <f t="shared" si="138"/>
        <v>0</v>
      </c>
      <c r="BB267" s="5" t="str">
        <f t="shared" si="139"/>
        <v>NAN</v>
      </c>
      <c r="BC267" s="1">
        <f>ROUND(AC267,1)</f>
        <v>0</v>
      </c>
      <c r="BD267" s="1">
        <f>ROUND(AD267,1)</f>
        <v>0</v>
      </c>
      <c r="BE267" s="1">
        <f>ROUND(AE267,1)</f>
        <v>0</v>
      </c>
      <c r="BF267" s="5">
        <f t="shared" si="140"/>
        <v>0</v>
      </c>
      <c r="BG267" s="5">
        <f t="shared" si="141"/>
        <v>0</v>
      </c>
      <c r="BH267" s="5">
        <f t="shared" si="142"/>
        <v>0</v>
      </c>
      <c r="BI267" s="5">
        <f t="shared" si="143"/>
        <v>0</v>
      </c>
      <c r="BJ267" s="9">
        <f t="shared" si="144"/>
        <v>0</v>
      </c>
      <c r="BK267" s="9" t="e">
        <f t="shared" si="144"/>
        <v>#DIV/0!</v>
      </c>
      <c r="BM267" s="1">
        <f t="shared" si="145"/>
        <v>0</v>
      </c>
      <c r="BN267" s="1">
        <f t="shared" si="146"/>
        <v>0</v>
      </c>
    </row>
    <row r="268" spans="1:66" x14ac:dyDescent="0.2">
      <c r="A268" s="4">
        <f t="shared" si="147"/>
        <v>45920</v>
      </c>
      <c r="B268" s="1">
        <v>263</v>
      </c>
      <c r="C268" s="1">
        <v>12</v>
      </c>
      <c r="AN268" s="1">
        <f t="shared" si="131"/>
        <v>0</v>
      </c>
      <c r="AO268" s="1">
        <f t="shared" si="132"/>
        <v>0</v>
      </c>
      <c r="AP268" s="1">
        <f t="shared" si="133"/>
        <v>0</v>
      </c>
      <c r="AQ268" s="16">
        <f t="shared" si="126"/>
        <v>0</v>
      </c>
      <c r="AR268" s="23" t="e">
        <f t="shared" si="134"/>
        <v>#DIV/0!</v>
      </c>
      <c r="AT268" s="18">
        <f t="shared" si="129"/>
        <v>45920</v>
      </c>
      <c r="AU268" s="19">
        <f t="shared" si="130"/>
        <v>263</v>
      </c>
      <c r="AV268" s="1">
        <f t="shared" si="135"/>
        <v>0</v>
      </c>
      <c r="AW268" s="1">
        <f t="shared" si="136"/>
        <v>0</v>
      </c>
      <c r="AX268" s="1">
        <f t="shared" si="137"/>
        <v>0</v>
      </c>
      <c r="AY268" s="1">
        <f t="shared" si="127"/>
        <v>0</v>
      </c>
      <c r="AZ268" s="1">
        <f t="shared" si="128"/>
        <v>0</v>
      </c>
      <c r="BA268" s="1">
        <f t="shared" si="138"/>
        <v>0</v>
      </c>
      <c r="BB268" s="5" t="str">
        <f t="shared" si="139"/>
        <v>NAN</v>
      </c>
      <c r="BC268" s="1">
        <f>ROUND(AC268,1)</f>
        <v>0</v>
      </c>
      <c r="BD268" s="1">
        <f>ROUND(AD268,1)</f>
        <v>0</v>
      </c>
      <c r="BE268" s="1">
        <f>ROUND(AE268,1)</f>
        <v>0</v>
      </c>
      <c r="BF268" s="5">
        <f t="shared" si="140"/>
        <v>0</v>
      </c>
      <c r="BG268" s="5">
        <f t="shared" si="141"/>
        <v>0</v>
      </c>
      <c r="BH268" s="5">
        <f t="shared" si="142"/>
        <v>0</v>
      </c>
      <c r="BI268" s="5">
        <f t="shared" si="143"/>
        <v>0</v>
      </c>
      <c r="BJ268" s="9">
        <f t="shared" si="144"/>
        <v>0</v>
      </c>
      <c r="BK268" s="9" t="e">
        <f t="shared" si="144"/>
        <v>#DIV/0!</v>
      </c>
      <c r="BM268" s="1">
        <f t="shared" si="145"/>
        <v>0</v>
      </c>
      <c r="BN268" s="1">
        <f t="shared" si="146"/>
        <v>0</v>
      </c>
    </row>
    <row r="269" spans="1:66" x14ac:dyDescent="0.2">
      <c r="A269" s="4">
        <f t="shared" si="147"/>
        <v>45921</v>
      </c>
      <c r="B269" s="1">
        <v>264</v>
      </c>
      <c r="C269" s="1">
        <v>12</v>
      </c>
      <c r="AN269" s="1">
        <f t="shared" si="131"/>
        <v>0</v>
      </c>
      <c r="AO269" s="1">
        <f t="shared" si="132"/>
        <v>0</v>
      </c>
      <c r="AP269" s="1">
        <f t="shared" si="133"/>
        <v>0</v>
      </c>
      <c r="AQ269" s="16">
        <f t="shared" si="126"/>
        <v>0</v>
      </c>
      <c r="AR269" s="23" t="e">
        <f t="shared" si="134"/>
        <v>#DIV/0!</v>
      </c>
      <c r="AT269" s="18">
        <f t="shared" si="129"/>
        <v>45921</v>
      </c>
      <c r="AU269" s="19">
        <f t="shared" si="130"/>
        <v>264</v>
      </c>
      <c r="AV269" s="1">
        <f t="shared" si="135"/>
        <v>0</v>
      </c>
      <c r="AW269" s="1">
        <f t="shared" si="136"/>
        <v>0</v>
      </c>
      <c r="AX269" s="1">
        <f t="shared" si="137"/>
        <v>0</v>
      </c>
      <c r="AY269" s="1">
        <f t="shared" si="127"/>
        <v>0</v>
      </c>
      <c r="AZ269" s="1">
        <f t="shared" si="128"/>
        <v>0</v>
      </c>
      <c r="BA269" s="1">
        <f t="shared" si="138"/>
        <v>0</v>
      </c>
      <c r="BB269" s="5" t="str">
        <f t="shared" si="139"/>
        <v>NAN</v>
      </c>
      <c r="BC269" s="1">
        <f>ROUND(AC269,1)</f>
        <v>0</v>
      </c>
      <c r="BD269" s="1">
        <f>ROUND(AD269,1)</f>
        <v>0</v>
      </c>
      <c r="BE269" s="1">
        <f>ROUND(AE269,1)</f>
        <v>0</v>
      </c>
      <c r="BF269" s="5">
        <f t="shared" si="140"/>
        <v>0</v>
      </c>
      <c r="BG269" s="5">
        <f t="shared" si="141"/>
        <v>0</v>
      </c>
      <c r="BH269" s="5">
        <f t="shared" si="142"/>
        <v>0</v>
      </c>
      <c r="BI269" s="5">
        <f t="shared" si="143"/>
        <v>0</v>
      </c>
      <c r="BJ269" s="9">
        <f t="shared" si="144"/>
        <v>0</v>
      </c>
      <c r="BK269" s="9" t="e">
        <f t="shared" si="144"/>
        <v>#DIV/0!</v>
      </c>
      <c r="BM269" s="1">
        <f t="shared" si="145"/>
        <v>0</v>
      </c>
      <c r="BN269" s="1">
        <f t="shared" si="146"/>
        <v>0</v>
      </c>
    </row>
    <row r="270" spans="1:66" x14ac:dyDescent="0.2">
      <c r="A270" s="4">
        <f t="shared" si="147"/>
        <v>45922</v>
      </c>
      <c r="B270" s="1">
        <v>265</v>
      </c>
      <c r="C270" s="1">
        <v>12</v>
      </c>
      <c r="AN270" s="1">
        <f t="shared" si="131"/>
        <v>0</v>
      </c>
      <c r="AO270" s="1">
        <f t="shared" si="132"/>
        <v>0</v>
      </c>
      <c r="AP270" s="1">
        <f t="shared" si="133"/>
        <v>0</v>
      </c>
      <c r="AQ270" s="16">
        <f t="shared" si="126"/>
        <v>0</v>
      </c>
      <c r="AR270" s="23" t="e">
        <f t="shared" si="134"/>
        <v>#DIV/0!</v>
      </c>
      <c r="AT270" s="18">
        <f t="shared" si="129"/>
        <v>45922</v>
      </c>
      <c r="AU270" s="19">
        <f t="shared" si="130"/>
        <v>265</v>
      </c>
      <c r="AV270" s="1">
        <f t="shared" si="135"/>
        <v>0</v>
      </c>
      <c r="AW270" s="1">
        <f t="shared" si="136"/>
        <v>0</v>
      </c>
      <c r="AX270" s="1">
        <f t="shared" si="137"/>
        <v>0</v>
      </c>
      <c r="AY270" s="1">
        <f t="shared" si="127"/>
        <v>0</v>
      </c>
      <c r="AZ270" s="1">
        <f t="shared" si="128"/>
        <v>0</v>
      </c>
      <c r="BA270" s="1">
        <f t="shared" si="138"/>
        <v>0</v>
      </c>
      <c r="BB270" s="5" t="str">
        <f t="shared" si="139"/>
        <v>NAN</v>
      </c>
      <c r="BC270" s="1">
        <f>ROUND(AC270,1)</f>
        <v>0</v>
      </c>
      <c r="BD270" s="1">
        <f>ROUND(AD270,1)</f>
        <v>0</v>
      </c>
      <c r="BE270" s="1">
        <f>ROUND(AE270,1)</f>
        <v>0</v>
      </c>
      <c r="BF270" s="5">
        <f t="shared" si="140"/>
        <v>0</v>
      </c>
      <c r="BG270" s="5">
        <f t="shared" si="141"/>
        <v>0</v>
      </c>
      <c r="BH270" s="5">
        <f t="shared" si="142"/>
        <v>0</v>
      </c>
      <c r="BI270" s="5">
        <f t="shared" si="143"/>
        <v>0</v>
      </c>
      <c r="BJ270" s="9">
        <f t="shared" si="144"/>
        <v>0</v>
      </c>
      <c r="BK270" s="9" t="e">
        <f t="shared" si="144"/>
        <v>#DIV/0!</v>
      </c>
      <c r="BM270" s="1">
        <f t="shared" si="145"/>
        <v>0</v>
      </c>
      <c r="BN270" s="1">
        <f t="shared" si="146"/>
        <v>0</v>
      </c>
    </row>
    <row r="271" spans="1:66" x14ac:dyDescent="0.2">
      <c r="A271" s="4">
        <f t="shared" si="147"/>
        <v>45923</v>
      </c>
      <c r="B271" s="1">
        <v>266</v>
      </c>
      <c r="C271" s="1">
        <v>12</v>
      </c>
      <c r="AN271" s="1">
        <f t="shared" si="131"/>
        <v>0</v>
      </c>
      <c r="AO271" s="1">
        <f t="shared" si="132"/>
        <v>0</v>
      </c>
      <c r="AP271" s="1">
        <f t="shared" si="133"/>
        <v>0</v>
      </c>
      <c r="AQ271" s="16">
        <f t="shared" si="126"/>
        <v>0</v>
      </c>
      <c r="AR271" s="23" t="e">
        <f t="shared" si="134"/>
        <v>#DIV/0!</v>
      </c>
      <c r="AT271" s="18">
        <f t="shared" si="129"/>
        <v>45923</v>
      </c>
      <c r="AU271" s="19">
        <f t="shared" si="130"/>
        <v>266</v>
      </c>
      <c r="AV271" s="1">
        <f t="shared" si="135"/>
        <v>0</v>
      </c>
      <c r="AW271" s="1">
        <f t="shared" si="136"/>
        <v>0</v>
      </c>
      <c r="AX271" s="1">
        <f t="shared" si="137"/>
        <v>0</v>
      </c>
      <c r="AY271" s="1">
        <f t="shared" si="127"/>
        <v>0</v>
      </c>
      <c r="AZ271" s="1">
        <f t="shared" si="128"/>
        <v>0</v>
      </c>
      <c r="BA271" s="1">
        <f t="shared" si="138"/>
        <v>0</v>
      </c>
      <c r="BB271" s="5" t="str">
        <f t="shared" si="139"/>
        <v>NAN</v>
      </c>
      <c r="BC271" s="1">
        <f>ROUND(AC271,1)</f>
        <v>0</v>
      </c>
      <c r="BD271" s="1">
        <f>ROUND(AD271,1)</f>
        <v>0</v>
      </c>
      <c r="BE271" s="1">
        <f>ROUND(AE271,1)</f>
        <v>0</v>
      </c>
      <c r="BF271" s="5">
        <f t="shared" si="140"/>
        <v>0</v>
      </c>
      <c r="BG271" s="5">
        <f t="shared" si="141"/>
        <v>0</v>
      </c>
      <c r="BH271" s="5">
        <f t="shared" si="142"/>
        <v>0</v>
      </c>
      <c r="BI271" s="5">
        <f t="shared" si="143"/>
        <v>0</v>
      </c>
      <c r="BJ271" s="9">
        <f t="shared" si="144"/>
        <v>0</v>
      </c>
      <c r="BK271" s="9" t="e">
        <f t="shared" si="144"/>
        <v>#DIV/0!</v>
      </c>
      <c r="BM271" s="1">
        <f t="shared" si="145"/>
        <v>0</v>
      </c>
      <c r="BN271" s="1">
        <f t="shared" si="146"/>
        <v>0</v>
      </c>
    </row>
    <row r="272" spans="1:66" x14ac:dyDescent="0.2">
      <c r="A272" s="4">
        <f t="shared" si="147"/>
        <v>45924</v>
      </c>
      <c r="B272" s="1">
        <v>267</v>
      </c>
      <c r="C272" s="1">
        <v>12</v>
      </c>
      <c r="AN272" s="1">
        <f t="shared" si="131"/>
        <v>0</v>
      </c>
      <c r="AO272" s="1">
        <f t="shared" si="132"/>
        <v>0</v>
      </c>
      <c r="AP272" s="1">
        <f t="shared" si="133"/>
        <v>0</v>
      </c>
      <c r="AQ272" s="16">
        <f t="shared" si="126"/>
        <v>0</v>
      </c>
      <c r="AR272" s="23" t="e">
        <f t="shared" si="134"/>
        <v>#DIV/0!</v>
      </c>
      <c r="AT272" s="18">
        <f t="shared" si="129"/>
        <v>45924</v>
      </c>
      <c r="AU272" s="19">
        <f t="shared" si="130"/>
        <v>267</v>
      </c>
      <c r="AV272" s="1">
        <f t="shared" si="135"/>
        <v>0</v>
      </c>
      <c r="AW272" s="1">
        <f t="shared" si="136"/>
        <v>0</v>
      </c>
      <c r="AX272" s="1">
        <f t="shared" si="137"/>
        <v>0</v>
      </c>
      <c r="AY272" s="1">
        <f t="shared" si="127"/>
        <v>0</v>
      </c>
      <c r="AZ272" s="1">
        <f t="shared" si="128"/>
        <v>0</v>
      </c>
      <c r="BA272" s="1">
        <f t="shared" si="138"/>
        <v>0</v>
      </c>
      <c r="BB272" s="5" t="str">
        <f t="shared" si="139"/>
        <v>NAN</v>
      </c>
      <c r="BC272" s="1">
        <f>ROUND(AC272,1)</f>
        <v>0</v>
      </c>
      <c r="BD272" s="1">
        <f>ROUND(AD272,1)</f>
        <v>0</v>
      </c>
      <c r="BE272" s="1">
        <f>ROUND(AE272,1)</f>
        <v>0</v>
      </c>
      <c r="BF272" s="5">
        <f t="shared" si="140"/>
        <v>0</v>
      </c>
      <c r="BG272" s="5">
        <f t="shared" si="141"/>
        <v>0</v>
      </c>
      <c r="BH272" s="5">
        <f t="shared" si="142"/>
        <v>0</v>
      </c>
      <c r="BI272" s="5">
        <f t="shared" si="143"/>
        <v>0</v>
      </c>
      <c r="BJ272" s="9">
        <f t="shared" si="144"/>
        <v>0</v>
      </c>
      <c r="BK272" s="9" t="e">
        <f t="shared" si="144"/>
        <v>#DIV/0!</v>
      </c>
      <c r="BM272" s="1">
        <f t="shared" si="145"/>
        <v>0</v>
      </c>
      <c r="BN272" s="1">
        <f t="shared" si="146"/>
        <v>0</v>
      </c>
    </row>
    <row r="273" spans="1:66" x14ac:dyDescent="0.2">
      <c r="A273" s="4">
        <f t="shared" si="147"/>
        <v>45925</v>
      </c>
      <c r="B273" s="1">
        <v>268</v>
      </c>
      <c r="C273" s="1">
        <v>12</v>
      </c>
      <c r="AN273" s="1">
        <f t="shared" si="131"/>
        <v>0</v>
      </c>
      <c r="AO273" s="1">
        <f t="shared" si="132"/>
        <v>0</v>
      </c>
      <c r="AP273" s="1">
        <f t="shared" si="133"/>
        <v>0</v>
      </c>
      <c r="AQ273" s="16">
        <f t="shared" si="126"/>
        <v>0</v>
      </c>
      <c r="AR273" s="23" t="e">
        <f t="shared" si="134"/>
        <v>#DIV/0!</v>
      </c>
      <c r="AT273" s="18">
        <f t="shared" si="129"/>
        <v>45925</v>
      </c>
      <c r="AU273" s="19">
        <f t="shared" si="130"/>
        <v>268</v>
      </c>
      <c r="AV273" s="1">
        <f t="shared" si="135"/>
        <v>0</v>
      </c>
      <c r="AW273" s="1">
        <f t="shared" si="136"/>
        <v>0</v>
      </c>
      <c r="AX273" s="1">
        <f t="shared" si="137"/>
        <v>0</v>
      </c>
      <c r="AY273" s="1">
        <f t="shared" si="127"/>
        <v>0</v>
      </c>
      <c r="AZ273" s="1">
        <f t="shared" si="128"/>
        <v>0</v>
      </c>
      <c r="BA273" s="1">
        <f t="shared" si="138"/>
        <v>0</v>
      </c>
      <c r="BB273" s="5" t="str">
        <f t="shared" si="139"/>
        <v>NAN</v>
      </c>
      <c r="BC273" s="1">
        <f>ROUND(AC273,1)</f>
        <v>0</v>
      </c>
      <c r="BD273" s="1">
        <f>ROUND(AD273,1)</f>
        <v>0</v>
      </c>
      <c r="BE273" s="1">
        <f>ROUND(AE273,1)</f>
        <v>0</v>
      </c>
      <c r="BF273" s="5">
        <f t="shared" si="140"/>
        <v>0</v>
      </c>
      <c r="BG273" s="5">
        <f t="shared" si="141"/>
        <v>0</v>
      </c>
      <c r="BH273" s="5">
        <f t="shared" si="142"/>
        <v>0</v>
      </c>
      <c r="BI273" s="5">
        <f t="shared" si="143"/>
        <v>0</v>
      </c>
      <c r="BJ273" s="9">
        <f t="shared" si="144"/>
        <v>0</v>
      </c>
      <c r="BK273" s="9" t="e">
        <f t="shared" si="144"/>
        <v>#DIV/0!</v>
      </c>
      <c r="BM273" s="1">
        <f t="shared" si="145"/>
        <v>0</v>
      </c>
      <c r="BN273" s="1">
        <f t="shared" si="146"/>
        <v>0</v>
      </c>
    </row>
    <row r="274" spans="1:66" x14ac:dyDescent="0.2">
      <c r="A274" s="4">
        <f t="shared" si="147"/>
        <v>45926</v>
      </c>
      <c r="B274" s="1">
        <v>269</v>
      </c>
      <c r="C274" s="1">
        <v>12</v>
      </c>
      <c r="AN274" s="1">
        <f t="shared" si="131"/>
        <v>0</v>
      </c>
      <c r="AO274" s="1">
        <f t="shared" si="132"/>
        <v>0</v>
      </c>
      <c r="AP274" s="1">
        <f t="shared" si="133"/>
        <v>0</v>
      </c>
      <c r="AQ274" s="16">
        <f t="shared" si="126"/>
        <v>0</v>
      </c>
      <c r="AR274" s="23" t="e">
        <f t="shared" si="134"/>
        <v>#DIV/0!</v>
      </c>
      <c r="AT274" s="18">
        <f t="shared" si="129"/>
        <v>45926</v>
      </c>
      <c r="AU274" s="19">
        <f t="shared" si="130"/>
        <v>269</v>
      </c>
      <c r="AV274" s="1">
        <f t="shared" si="135"/>
        <v>0</v>
      </c>
      <c r="AW274" s="1">
        <f t="shared" si="136"/>
        <v>0</v>
      </c>
      <c r="AX274" s="1">
        <f t="shared" si="137"/>
        <v>0</v>
      </c>
      <c r="AY274" s="1">
        <f t="shared" si="127"/>
        <v>0</v>
      </c>
      <c r="AZ274" s="1">
        <f t="shared" si="128"/>
        <v>0</v>
      </c>
      <c r="BA274" s="1">
        <f t="shared" si="138"/>
        <v>0</v>
      </c>
      <c r="BB274" s="5" t="str">
        <f t="shared" si="139"/>
        <v>NAN</v>
      </c>
      <c r="BC274" s="1">
        <f>ROUND(AC274,1)</f>
        <v>0</v>
      </c>
      <c r="BD274" s="1">
        <f>ROUND(AD274,1)</f>
        <v>0</v>
      </c>
      <c r="BE274" s="1">
        <f>ROUND(AE274,1)</f>
        <v>0</v>
      </c>
      <c r="BF274" s="5">
        <f t="shared" si="140"/>
        <v>0</v>
      </c>
      <c r="BG274" s="5">
        <f t="shared" si="141"/>
        <v>0</v>
      </c>
      <c r="BH274" s="5">
        <f t="shared" si="142"/>
        <v>0</v>
      </c>
      <c r="BI274" s="5">
        <f t="shared" si="143"/>
        <v>0</v>
      </c>
      <c r="BJ274" s="9">
        <f t="shared" si="144"/>
        <v>0</v>
      </c>
      <c r="BK274" s="9" t="e">
        <f t="shared" si="144"/>
        <v>#DIV/0!</v>
      </c>
      <c r="BM274" s="1">
        <f t="shared" si="145"/>
        <v>0</v>
      </c>
      <c r="BN274" s="1">
        <f t="shared" si="146"/>
        <v>0</v>
      </c>
    </row>
    <row r="275" spans="1:66" x14ac:dyDescent="0.2">
      <c r="A275" s="4">
        <f t="shared" si="147"/>
        <v>45927</v>
      </c>
      <c r="B275" s="1">
        <v>270</v>
      </c>
      <c r="C275" s="1">
        <v>12</v>
      </c>
      <c r="AN275" s="1">
        <f t="shared" si="131"/>
        <v>0</v>
      </c>
      <c r="AO275" s="1">
        <f t="shared" si="132"/>
        <v>0</v>
      </c>
      <c r="AP275" s="1">
        <f t="shared" si="133"/>
        <v>0</v>
      </c>
      <c r="AQ275" s="16">
        <f t="shared" si="126"/>
        <v>0</v>
      </c>
      <c r="AR275" s="23" t="e">
        <f t="shared" si="134"/>
        <v>#DIV/0!</v>
      </c>
      <c r="AT275" s="18">
        <f t="shared" si="129"/>
        <v>45927</v>
      </c>
      <c r="AU275" s="19">
        <f t="shared" si="130"/>
        <v>270</v>
      </c>
      <c r="AV275" s="1">
        <f t="shared" si="135"/>
        <v>0</v>
      </c>
      <c r="AW275" s="1">
        <f t="shared" si="136"/>
        <v>0</v>
      </c>
      <c r="AX275" s="1">
        <f t="shared" si="137"/>
        <v>0</v>
      </c>
      <c r="AY275" s="1">
        <f t="shared" si="127"/>
        <v>0</v>
      </c>
      <c r="AZ275" s="1">
        <f t="shared" si="128"/>
        <v>0</v>
      </c>
      <c r="BA275" s="1">
        <f t="shared" si="138"/>
        <v>0</v>
      </c>
      <c r="BB275" s="5" t="str">
        <f t="shared" si="139"/>
        <v>NAN</v>
      </c>
      <c r="BC275" s="1">
        <f>ROUND(AC275,1)</f>
        <v>0</v>
      </c>
      <c r="BD275" s="1">
        <f>ROUND(AD275,1)</f>
        <v>0</v>
      </c>
      <c r="BE275" s="1">
        <f>ROUND(AE275,1)</f>
        <v>0</v>
      </c>
      <c r="BF275" s="5">
        <f t="shared" si="140"/>
        <v>0</v>
      </c>
      <c r="BG275" s="5">
        <f t="shared" si="141"/>
        <v>0</v>
      </c>
      <c r="BH275" s="5">
        <f t="shared" si="142"/>
        <v>0</v>
      </c>
      <c r="BI275" s="5">
        <f t="shared" si="143"/>
        <v>0</v>
      </c>
      <c r="BJ275" s="9">
        <f t="shared" si="144"/>
        <v>0</v>
      </c>
      <c r="BK275" s="9" t="e">
        <f t="shared" si="144"/>
        <v>#DIV/0!</v>
      </c>
      <c r="BM275" s="1">
        <f t="shared" si="145"/>
        <v>0</v>
      </c>
      <c r="BN275" s="1">
        <f t="shared" si="146"/>
        <v>0</v>
      </c>
    </row>
    <row r="276" spans="1:66" x14ac:dyDescent="0.2">
      <c r="A276" s="4">
        <f t="shared" si="147"/>
        <v>45928</v>
      </c>
      <c r="B276" s="1">
        <v>271</v>
      </c>
      <c r="C276" s="1">
        <v>12</v>
      </c>
      <c r="AN276" s="1">
        <f t="shared" si="131"/>
        <v>0</v>
      </c>
      <c r="AO276" s="1">
        <f t="shared" si="132"/>
        <v>0</v>
      </c>
      <c r="AP276" s="1">
        <f t="shared" si="133"/>
        <v>0</v>
      </c>
      <c r="AQ276" s="16">
        <f t="shared" si="126"/>
        <v>0</v>
      </c>
      <c r="AR276" s="23" t="e">
        <f t="shared" si="134"/>
        <v>#DIV/0!</v>
      </c>
      <c r="AT276" s="18">
        <f t="shared" si="129"/>
        <v>45928</v>
      </c>
      <c r="AU276" s="19">
        <f t="shared" si="130"/>
        <v>271</v>
      </c>
      <c r="AV276" s="1">
        <f t="shared" si="135"/>
        <v>0</v>
      </c>
      <c r="AW276" s="1">
        <f t="shared" si="136"/>
        <v>0</v>
      </c>
      <c r="AX276" s="1">
        <f t="shared" si="137"/>
        <v>0</v>
      </c>
      <c r="AY276" s="1">
        <f t="shared" si="127"/>
        <v>0</v>
      </c>
      <c r="AZ276" s="1">
        <f t="shared" si="128"/>
        <v>0</v>
      </c>
      <c r="BA276" s="1">
        <f t="shared" si="138"/>
        <v>0</v>
      </c>
      <c r="BB276" s="5" t="str">
        <f t="shared" si="139"/>
        <v>NAN</v>
      </c>
      <c r="BC276" s="1">
        <f>ROUND(AC276,1)</f>
        <v>0</v>
      </c>
      <c r="BD276" s="1">
        <f>ROUND(AD276,1)</f>
        <v>0</v>
      </c>
      <c r="BE276" s="1">
        <f>ROUND(AE276,1)</f>
        <v>0</v>
      </c>
      <c r="BF276" s="5">
        <f t="shared" si="140"/>
        <v>0</v>
      </c>
      <c r="BG276" s="5">
        <f t="shared" si="141"/>
        <v>0</v>
      </c>
      <c r="BH276" s="5">
        <f t="shared" si="142"/>
        <v>0</v>
      </c>
      <c r="BI276" s="5">
        <f t="shared" si="143"/>
        <v>0</v>
      </c>
      <c r="BJ276" s="9">
        <f t="shared" si="144"/>
        <v>0</v>
      </c>
      <c r="BK276" s="9" t="e">
        <f t="shared" si="144"/>
        <v>#DIV/0!</v>
      </c>
      <c r="BM276" s="1">
        <f t="shared" si="145"/>
        <v>0</v>
      </c>
      <c r="BN276" s="1">
        <f t="shared" si="146"/>
        <v>0</v>
      </c>
    </row>
    <row r="277" spans="1:66" x14ac:dyDescent="0.2">
      <c r="A277" s="4">
        <f t="shared" si="147"/>
        <v>45929</v>
      </c>
      <c r="B277" s="1">
        <v>272</v>
      </c>
      <c r="C277" s="1">
        <v>12</v>
      </c>
      <c r="AN277" s="1">
        <f t="shared" si="131"/>
        <v>0</v>
      </c>
      <c r="AO277" s="1">
        <f t="shared" si="132"/>
        <v>0</v>
      </c>
      <c r="AP277" s="1">
        <f t="shared" si="133"/>
        <v>0</v>
      </c>
      <c r="AQ277" s="16">
        <f t="shared" si="126"/>
        <v>0</v>
      </c>
      <c r="AR277" s="23" t="e">
        <f t="shared" si="134"/>
        <v>#DIV/0!</v>
      </c>
      <c r="AT277" s="18">
        <f t="shared" si="129"/>
        <v>45929</v>
      </c>
      <c r="AU277" s="19">
        <f t="shared" si="130"/>
        <v>272</v>
      </c>
      <c r="AV277" s="1">
        <f t="shared" si="135"/>
        <v>0</v>
      </c>
      <c r="AW277" s="1">
        <f t="shared" si="136"/>
        <v>0</v>
      </c>
      <c r="AX277" s="1">
        <f t="shared" si="137"/>
        <v>0</v>
      </c>
      <c r="AY277" s="1">
        <f t="shared" si="127"/>
        <v>0</v>
      </c>
      <c r="AZ277" s="1">
        <f t="shared" si="128"/>
        <v>0</v>
      </c>
      <c r="BA277" s="1">
        <f t="shared" si="138"/>
        <v>0</v>
      </c>
      <c r="BB277" s="5" t="str">
        <f t="shared" si="139"/>
        <v>NAN</v>
      </c>
      <c r="BC277" s="1">
        <f>ROUND(AC277,1)</f>
        <v>0</v>
      </c>
      <c r="BD277" s="1">
        <f>ROUND(AD277,1)</f>
        <v>0</v>
      </c>
      <c r="BE277" s="1">
        <f>ROUND(AE277,1)</f>
        <v>0</v>
      </c>
      <c r="BF277" s="5">
        <f t="shared" si="140"/>
        <v>0</v>
      </c>
      <c r="BG277" s="5">
        <f t="shared" si="141"/>
        <v>0</v>
      </c>
      <c r="BH277" s="5">
        <f t="shared" si="142"/>
        <v>0</v>
      </c>
      <c r="BI277" s="5">
        <f t="shared" si="143"/>
        <v>0</v>
      </c>
      <c r="BJ277" s="9">
        <f t="shared" si="144"/>
        <v>0</v>
      </c>
      <c r="BK277" s="9" t="e">
        <f t="shared" si="144"/>
        <v>#DIV/0!</v>
      </c>
      <c r="BM277" s="1">
        <f t="shared" si="145"/>
        <v>0</v>
      </c>
      <c r="BN277" s="1">
        <f t="shared" si="146"/>
        <v>0</v>
      </c>
    </row>
    <row r="278" spans="1:66" x14ac:dyDescent="0.2">
      <c r="A278" s="4">
        <f t="shared" si="147"/>
        <v>45930</v>
      </c>
      <c r="B278" s="1">
        <v>273</v>
      </c>
      <c r="C278" s="1">
        <v>12</v>
      </c>
      <c r="AN278" s="1">
        <f t="shared" si="131"/>
        <v>0</v>
      </c>
      <c r="AO278" s="1">
        <f t="shared" si="132"/>
        <v>0</v>
      </c>
      <c r="AP278" s="1">
        <f t="shared" si="133"/>
        <v>0</v>
      </c>
      <c r="AQ278" s="16">
        <f t="shared" si="126"/>
        <v>0</v>
      </c>
      <c r="AR278" s="23" t="e">
        <f t="shared" si="134"/>
        <v>#DIV/0!</v>
      </c>
      <c r="AT278" s="18">
        <f t="shared" si="129"/>
        <v>45930</v>
      </c>
      <c r="AU278" s="19">
        <f t="shared" si="130"/>
        <v>273</v>
      </c>
      <c r="AV278" s="1">
        <f t="shared" si="135"/>
        <v>0</v>
      </c>
      <c r="AW278" s="1">
        <f t="shared" si="136"/>
        <v>0</v>
      </c>
      <c r="AX278" s="1">
        <f t="shared" si="137"/>
        <v>0</v>
      </c>
      <c r="AY278" s="1">
        <f t="shared" si="127"/>
        <v>0</v>
      </c>
      <c r="AZ278" s="1">
        <f t="shared" si="128"/>
        <v>0</v>
      </c>
      <c r="BA278" s="1">
        <f t="shared" si="138"/>
        <v>0</v>
      </c>
      <c r="BB278" s="5" t="str">
        <f t="shared" si="139"/>
        <v>NAN</v>
      </c>
      <c r="BC278" s="1">
        <f>ROUND(AC278,1)</f>
        <v>0</v>
      </c>
      <c r="BD278" s="1">
        <f>ROUND(AD278,1)</f>
        <v>0</v>
      </c>
      <c r="BE278" s="1">
        <f>ROUND(AE278,1)</f>
        <v>0</v>
      </c>
      <c r="BF278" s="5">
        <f t="shared" si="140"/>
        <v>0</v>
      </c>
      <c r="BG278" s="5">
        <f t="shared" si="141"/>
        <v>0</v>
      </c>
      <c r="BH278" s="5">
        <f t="shared" si="142"/>
        <v>0</v>
      </c>
      <c r="BI278" s="5">
        <f t="shared" si="143"/>
        <v>0</v>
      </c>
      <c r="BJ278" s="9">
        <f t="shared" si="144"/>
        <v>0</v>
      </c>
      <c r="BK278" s="9" t="e">
        <f t="shared" si="144"/>
        <v>#DIV/0!</v>
      </c>
      <c r="BM278" s="1">
        <f t="shared" si="145"/>
        <v>0</v>
      </c>
      <c r="BN278" s="1">
        <f t="shared" si="146"/>
        <v>0</v>
      </c>
    </row>
    <row r="279" spans="1:66" x14ac:dyDescent="0.2">
      <c r="A279" s="4">
        <f t="shared" si="147"/>
        <v>45931</v>
      </c>
      <c r="B279" s="1">
        <v>274</v>
      </c>
      <c r="C279" s="1">
        <v>12</v>
      </c>
      <c r="AN279" s="1">
        <f t="shared" si="131"/>
        <v>0</v>
      </c>
      <c r="AO279" s="1">
        <f t="shared" si="132"/>
        <v>0</v>
      </c>
      <c r="AP279" s="1">
        <f t="shared" si="133"/>
        <v>0</v>
      </c>
      <c r="AQ279" s="16">
        <f t="shared" si="126"/>
        <v>0</v>
      </c>
      <c r="AR279" s="23" t="e">
        <f t="shared" si="134"/>
        <v>#DIV/0!</v>
      </c>
      <c r="AT279" s="18">
        <f t="shared" si="129"/>
        <v>45931</v>
      </c>
      <c r="AU279" s="19">
        <f t="shared" si="130"/>
        <v>274</v>
      </c>
      <c r="AV279" s="1">
        <f t="shared" si="135"/>
        <v>0</v>
      </c>
      <c r="AW279" s="1">
        <f t="shared" si="136"/>
        <v>0</v>
      </c>
      <c r="AX279" s="1">
        <f t="shared" si="137"/>
        <v>0</v>
      </c>
      <c r="AY279" s="1">
        <f t="shared" si="127"/>
        <v>0</v>
      </c>
      <c r="AZ279" s="1">
        <f t="shared" si="128"/>
        <v>0</v>
      </c>
      <c r="BA279" s="1">
        <f t="shared" si="138"/>
        <v>0</v>
      </c>
      <c r="BB279" s="5" t="str">
        <f t="shared" si="139"/>
        <v>NAN</v>
      </c>
      <c r="BC279" s="1">
        <f>ROUND(AC279,1)</f>
        <v>0</v>
      </c>
      <c r="BD279" s="1">
        <f>ROUND(AD279,1)</f>
        <v>0</v>
      </c>
      <c r="BE279" s="1">
        <f>ROUND(AE279,1)</f>
        <v>0</v>
      </c>
      <c r="BF279" s="5">
        <f t="shared" si="140"/>
        <v>0</v>
      </c>
      <c r="BG279" s="5">
        <f t="shared" si="141"/>
        <v>0</v>
      </c>
      <c r="BH279" s="5">
        <f t="shared" si="142"/>
        <v>0</v>
      </c>
      <c r="BI279" s="5">
        <f t="shared" si="143"/>
        <v>0</v>
      </c>
      <c r="BJ279" s="9">
        <f t="shared" si="144"/>
        <v>0</v>
      </c>
      <c r="BK279" s="9" t="e">
        <f t="shared" si="144"/>
        <v>#DIV/0!</v>
      </c>
      <c r="BM279" s="1">
        <f t="shared" si="145"/>
        <v>0</v>
      </c>
      <c r="BN279" s="1">
        <f t="shared" si="146"/>
        <v>0</v>
      </c>
    </row>
    <row r="280" spans="1:66" x14ac:dyDescent="0.2">
      <c r="A280" s="4">
        <f t="shared" si="147"/>
        <v>45932</v>
      </c>
      <c r="B280" s="1">
        <v>275</v>
      </c>
      <c r="C280" s="1">
        <v>12</v>
      </c>
      <c r="AN280" s="1">
        <f t="shared" si="131"/>
        <v>0</v>
      </c>
      <c r="AO280" s="1">
        <f t="shared" si="132"/>
        <v>0</v>
      </c>
      <c r="AP280" s="1">
        <f t="shared" si="133"/>
        <v>0</v>
      </c>
      <c r="AQ280" s="16">
        <f t="shared" si="126"/>
        <v>0</v>
      </c>
      <c r="AR280" s="23" t="e">
        <f t="shared" si="134"/>
        <v>#DIV/0!</v>
      </c>
      <c r="AT280" s="18">
        <f t="shared" si="129"/>
        <v>45932</v>
      </c>
      <c r="AU280" s="19">
        <f t="shared" si="130"/>
        <v>275</v>
      </c>
      <c r="AV280" s="1">
        <f t="shared" si="135"/>
        <v>0</v>
      </c>
      <c r="AW280" s="1">
        <f t="shared" si="136"/>
        <v>0</v>
      </c>
      <c r="AX280" s="1">
        <f t="shared" si="137"/>
        <v>0</v>
      </c>
      <c r="AY280" s="1">
        <f t="shared" si="127"/>
        <v>0</v>
      </c>
      <c r="AZ280" s="1">
        <f t="shared" si="128"/>
        <v>0</v>
      </c>
      <c r="BA280" s="1">
        <f t="shared" si="138"/>
        <v>0</v>
      </c>
      <c r="BB280" s="5" t="str">
        <f t="shared" si="139"/>
        <v>NAN</v>
      </c>
      <c r="BC280" s="1">
        <f>ROUND(AC280,1)</f>
        <v>0</v>
      </c>
      <c r="BD280" s="1">
        <f>ROUND(AD280,1)</f>
        <v>0</v>
      </c>
      <c r="BE280" s="1">
        <f>ROUND(AE280,1)</f>
        <v>0</v>
      </c>
      <c r="BF280" s="5">
        <f t="shared" si="140"/>
        <v>0</v>
      </c>
      <c r="BG280" s="5">
        <f t="shared" si="141"/>
        <v>0</v>
      </c>
      <c r="BH280" s="5">
        <f t="shared" si="142"/>
        <v>0</v>
      </c>
      <c r="BI280" s="5">
        <f t="shared" si="143"/>
        <v>0</v>
      </c>
      <c r="BJ280" s="9">
        <f t="shared" si="144"/>
        <v>0</v>
      </c>
      <c r="BK280" s="9" t="e">
        <f t="shared" si="144"/>
        <v>#DIV/0!</v>
      </c>
      <c r="BM280" s="1">
        <f t="shared" si="145"/>
        <v>0</v>
      </c>
      <c r="BN280" s="1">
        <f t="shared" si="146"/>
        <v>0</v>
      </c>
    </row>
    <row r="281" spans="1:66" x14ac:dyDescent="0.2">
      <c r="A281" s="4">
        <f t="shared" si="147"/>
        <v>45933</v>
      </c>
      <c r="B281" s="1">
        <v>276</v>
      </c>
      <c r="C281" s="1">
        <v>12</v>
      </c>
      <c r="AN281" s="1">
        <f t="shared" si="131"/>
        <v>0</v>
      </c>
      <c r="AO281" s="1">
        <f t="shared" si="132"/>
        <v>0</v>
      </c>
      <c r="AP281" s="1">
        <f t="shared" si="133"/>
        <v>0</v>
      </c>
      <c r="AQ281" s="16">
        <f t="shared" si="126"/>
        <v>0</v>
      </c>
      <c r="AR281" s="23" t="e">
        <f t="shared" si="134"/>
        <v>#DIV/0!</v>
      </c>
      <c r="AT281" s="18">
        <f t="shared" si="129"/>
        <v>45933</v>
      </c>
      <c r="AU281" s="19">
        <f t="shared" si="130"/>
        <v>276</v>
      </c>
      <c r="AV281" s="1">
        <f t="shared" si="135"/>
        <v>0</v>
      </c>
      <c r="AW281" s="1">
        <f t="shared" si="136"/>
        <v>0</v>
      </c>
      <c r="AX281" s="1">
        <f t="shared" si="137"/>
        <v>0</v>
      </c>
      <c r="AY281" s="1">
        <f t="shared" si="127"/>
        <v>0</v>
      </c>
      <c r="AZ281" s="1">
        <f t="shared" si="128"/>
        <v>0</v>
      </c>
      <c r="BA281" s="1">
        <f t="shared" si="138"/>
        <v>0</v>
      </c>
      <c r="BB281" s="5" t="str">
        <f t="shared" si="139"/>
        <v>NAN</v>
      </c>
      <c r="BC281" s="1">
        <f>ROUND(AC281,1)</f>
        <v>0</v>
      </c>
      <c r="BD281" s="1">
        <f>ROUND(AD281,1)</f>
        <v>0</v>
      </c>
      <c r="BE281" s="1">
        <f>ROUND(AE281,1)</f>
        <v>0</v>
      </c>
      <c r="BF281" s="5">
        <f t="shared" si="140"/>
        <v>0</v>
      </c>
      <c r="BG281" s="5">
        <f t="shared" si="141"/>
        <v>0</v>
      </c>
      <c r="BH281" s="5">
        <f t="shared" si="142"/>
        <v>0</v>
      </c>
      <c r="BI281" s="5">
        <f t="shared" si="143"/>
        <v>0</v>
      </c>
      <c r="BJ281" s="9">
        <f t="shared" si="144"/>
        <v>0</v>
      </c>
      <c r="BK281" s="9" t="e">
        <f t="shared" si="144"/>
        <v>#DIV/0!</v>
      </c>
      <c r="BM281" s="1">
        <f t="shared" si="145"/>
        <v>0</v>
      </c>
      <c r="BN281" s="1">
        <f t="shared" si="146"/>
        <v>0</v>
      </c>
    </row>
    <row r="282" spans="1:66" x14ac:dyDescent="0.2">
      <c r="A282" s="4">
        <f t="shared" si="147"/>
        <v>45934</v>
      </c>
      <c r="B282" s="1">
        <v>277</v>
      </c>
      <c r="C282" s="1">
        <v>12</v>
      </c>
      <c r="AN282" s="1">
        <f t="shared" si="131"/>
        <v>0</v>
      </c>
      <c r="AO282" s="1">
        <f t="shared" si="132"/>
        <v>0</v>
      </c>
      <c r="AP282" s="1">
        <f t="shared" si="133"/>
        <v>0</v>
      </c>
      <c r="AQ282" s="16">
        <f t="shared" si="126"/>
        <v>0</v>
      </c>
      <c r="AR282" s="23" t="e">
        <f t="shared" si="134"/>
        <v>#DIV/0!</v>
      </c>
      <c r="AT282" s="18">
        <f t="shared" si="129"/>
        <v>45934</v>
      </c>
      <c r="AU282" s="19">
        <f t="shared" si="130"/>
        <v>277</v>
      </c>
      <c r="AV282" s="1">
        <f t="shared" si="135"/>
        <v>0</v>
      </c>
      <c r="AW282" s="1">
        <f t="shared" si="136"/>
        <v>0</v>
      </c>
      <c r="AX282" s="1">
        <f t="shared" si="137"/>
        <v>0</v>
      </c>
      <c r="AY282" s="1">
        <f t="shared" si="127"/>
        <v>0</v>
      </c>
      <c r="AZ282" s="1">
        <f t="shared" si="128"/>
        <v>0</v>
      </c>
      <c r="BA282" s="1">
        <f t="shared" si="138"/>
        <v>0</v>
      </c>
      <c r="BB282" s="5" t="str">
        <f t="shared" si="139"/>
        <v>NAN</v>
      </c>
      <c r="BC282" s="1">
        <f>ROUND(AC282,1)</f>
        <v>0</v>
      </c>
      <c r="BD282" s="1">
        <f>ROUND(AD282,1)</f>
        <v>0</v>
      </c>
      <c r="BE282" s="1">
        <f>ROUND(AE282,1)</f>
        <v>0</v>
      </c>
      <c r="BF282" s="5">
        <f t="shared" si="140"/>
        <v>0</v>
      </c>
      <c r="BG282" s="5">
        <f t="shared" si="141"/>
        <v>0</v>
      </c>
      <c r="BH282" s="5">
        <f t="shared" si="142"/>
        <v>0</v>
      </c>
      <c r="BI282" s="5">
        <f t="shared" si="143"/>
        <v>0</v>
      </c>
      <c r="BJ282" s="9">
        <f t="shared" si="144"/>
        <v>0</v>
      </c>
      <c r="BK282" s="9" t="e">
        <f t="shared" si="144"/>
        <v>#DIV/0!</v>
      </c>
      <c r="BM282" s="1">
        <f t="shared" si="145"/>
        <v>0</v>
      </c>
      <c r="BN282" s="1">
        <f t="shared" si="146"/>
        <v>0</v>
      </c>
    </row>
    <row r="283" spans="1:66" x14ac:dyDescent="0.2">
      <c r="A283" s="4">
        <f t="shared" si="147"/>
        <v>45935</v>
      </c>
      <c r="B283" s="1">
        <v>278</v>
      </c>
      <c r="C283" s="1">
        <v>12</v>
      </c>
      <c r="AN283" s="1">
        <f t="shared" si="131"/>
        <v>0</v>
      </c>
      <c r="AO283" s="1">
        <f t="shared" si="132"/>
        <v>0</v>
      </c>
      <c r="AP283" s="1">
        <f t="shared" si="133"/>
        <v>0</v>
      </c>
      <c r="AQ283" s="16">
        <f t="shared" si="126"/>
        <v>0</v>
      </c>
      <c r="AR283" s="23" t="e">
        <f t="shared" si="134"/>
        <v>#DIV/0!</v>
      </c>
      <c r="AT283" s="18">
        <f t="shared" si="129"/>
        <v>45935</v>
      </c>
      <c r="AU283" s="19">
        <f t="shared" si="130"/>
        <v>278</v>
      </c>
      <c r="AV283" s="1">
        <f t="shared" si="135"/>
        <v>0</v>
      </c>
      <c r="AW283" s="1">
        <f t="shared" si="136"/>
        <v>0</v>
      </c>
      <c r="AX283" s="1">
        <f t="shared" si="137"/>
        <v>0</v>
      </c>
      <c r="AY283" s="1">
        <f t="shared" si="127"/>
        <v>0</v>
      </c>
      <c r="AZ283" s="1">
        <f t="shared" si="128"/>
        <v>0</v>
      </c>
      <c r="BA283" s="1">
        <f t="shared" si="138"/>
        <v>0</v>
      </c>
      <c r="BB283" s="5" t="str">
        <f t="shared" si="139"/>
        <v>NAN</v>
      </c>
      <c r="BC283" s="1">
        <f>ROUND(AC283,1)</f>
        <v>0</v>
      </c>
      <c r="BD283" s="1">
        <f>ROUND(AD283,1)</f>
        <v>0</v>
      </c>
      <c r="BE283" s="1">
        <f>ROUND(AE283,1)</f>
        <v>0</v>
      </c>
      <c r="BF283" s="5">
        <f t="shared" si="140"/>
        <v>0</v>
      </c>
      <c r="BG283" s="5">
        <f t="shared" si="141"/>
        <v>0</v>
      </c>
      <c r="BH283" s="5">
        <f t="shared" si="142"/>
        <v>0</v>
      </c>
      <c r="BI283" s="5">
        <f t="shared" si="143"/>
        <v>0</v>
      </c>
      <c r="BJ283" s="9">
        <f t="shared" si="144"/>
        <v>0</v>
      </c>
      <c r="BK283" s="9" t="e">
        <f t="shared" si="144"/>
        <v>#DIV/0!</v>
      </c>
      <c r="BM283" s="1">
        <f t="shared" si="145"/>
        <v>0</v>
      </c>
      <c r="BN283" s="1">
        <f t="shared" si="146"/>
        <v>0</v>
      </c>
    </row>
    <row r="284" spans="1:66" x14ac:dyDescent="0.2">
      <c r="A284" s="4">
        <f t="shared" si="147"/>
        <v>45936</v>
      </c>
      <c r="B284" s="1">
        <v>279</v>
      </c>
      <c r="C284" s="1">
        <v>12</v>
      </c>
      <c r="AN284" s="1">
        <f t="shared" si="131"/>
        <v>0</v>
      </c>
      <c r="AO284" s="1">
        <f t="shared" si="132"/>
        <v>0</v>
      </c>
      <c r="AP284" s="1">
        <f t="shared" si="133"/>
        <v>0</v>
      </c>
      <c r="AQ284" s="16">
        <f t="shared" si="126"/>
        <v>0</v>
      </c>
      <c r="AR284" s="23" t="e">
        <f t="shared" si="134"/>
        <v>#DIV/0!</v>
      </c>
      <c r="AT284" s="18">
        <f t="shared" si="129"/>
        <v>45936</v>
      </c>
      <c r="AU284" s="19">
        <f t="shared" si="130"/>
        <v>279</v>
      </c>
      <c r="AV284" s="1">
        <f t="shared" si="135"/>
        <v>0</v>
      </c>
      <c r="AW284" s="1">
        <f t="shared" si="136"/>
        <v>0</v>
      </c>
      <c r="AX284" s="1">
        <f t="shared" si="137"/>
        <v>0</v>
      </c>
      <c r="AY284" s="1">
        <f t="shared" si="127"/>
        <v>0</v>
      </c>
      <c r="AZ284" s="1">
        <f t="shared" si="128"/>
        <v>0</v>
      </c>
      <c r="BA284" s="1">
        <f t="shared" si="138"/>
        <v>0</v>
      </c>
      <c r="BB284" s="5" t="str">
        <f t="shared" si="139"/>
        <v>NAN</v>
      </c>
      <c r="BC284" s="1">
        <f>ROUND(AC284,1)</f>
        <v>0</v>
      </c>
      <c r="BD284" s="1">
        <f>ROUND(AD284,1)</f>
        <v>0</v>
      </c>
      <c r="BE284" s="1">
        <f>ROUND(AE284,1)</f>
        <v>0</v>
      </c>
      <c r="BF284" s="5">
        <f t="shared" si="140"/>
        <v>0</v>
      </c>
      <c r="BG284" s="5">
        <f t="shared" si="141"/>
        <v>0</v>
      </c>
      <c r="BH284" s="5">
        <f t="shared" si="142"/>
        <v>0</v>
      </c>
      <c r="BI284" s="5">
        <f t="shared" si="143"/>
        <v>0</v>
      </c>
      <c r="BJ284" s="9">
        <f t="shared" si="144"/>
        <v>0</v>
      </c>
      <c r="BK284" s="9" t="e">
        <f t="shared" si="144"/>
        <v>#DIV/0!</v>
      </c>
      <c r="BM284" s="1">
        <f t="shared" si="145"/>
        <v>0</v>
      </c>
      <c r="BN284" s="1">
        <f t="shared" si="146"/>
        <v>0</v>
      </c>
    </row>
    <row r="285" spans="1:66" x14ac:dyDescent="0.2">
      <c r="A285" s="4">
        <f t="shared" si="147"/>
        <v>45937</v>
      </c>
      <c r="B285" s="1">
        <v>280</v>
      </c>
      <c r="C285" s="1">
        <v>12</v>
      </c>
      <c r="AN285" s="1">
        <f t="shared" si="131"/>
        <v>0</v>
      </c>
      <c r="AO285" s="1">
        <f t="shared" si="132"/>
        <v>0</v>
      </c>
      <c r="AP285" s="1">
        <f t="shared" si="133"/>
        <v>0</v>
      </c>
      <c r="AQ285" s="16">
        <f t="shared" si="126"/>
        <v>0</v>
      </c>
      <c r="AR285" s="23" t="e">
        <f t="shared" si="134"/>
        <v>#DIV/0!</v>
      </c>
      <c r="AT285" s="18">
        <f t="shared" si="129"/>
        <v>45937</v>
      </c>
      <c r="AU285" s="19">
        <f t="shared" si="130"/>
        <v>280</v>
      </c>
      <c r="AV285" s="1">
        <f t="shared" si="135"/>
        <v>0</v>
      </c>
      <c r="AW285" s="1">
        <f t="shared" si="136"/>
        <v>0</v>
      </c>
      <c r="AX285" s="1">
        <f t="shared" si="137"/>
        <v>0</v>
      </c>
      <c r="AY285" s="1">
        <f t="shared" si="127"/>
        <v>0</v>
      </c>
      <c r="AZ285" s="1">
        <f t="shared" si="128"/>
        <v>0</v>
      </c>
      <c r="BA285" s="1">
        <f t="shared" si="138"/>
        <v>0</v>
      </c>
      <c r="BB285" s="5" t="str">
        <f t="shared" si="139"/>
        <v>NAN</v>
      </c>
      <c r="BC285" s="1">
        <f>ROUND(AC285,1)</f>
        <v>0</v>
      </c>
      <c r="BD285" s="1">
        <f>ROUND(AD285,1)</f>
        <v>0</v>
      </c>
      <c r="BE285" s="1">
        <f>ROUND(AE285,1)</f>
        <v>0</v>
      </c>
      <c r="BF285" s="5">
        <f t="shared" si="140"/>
        <v>0</v>
      </c>
      <c r="BG285" s="5">
        <f t="shared" si="141"/>
        <v>0</v>
      </c>
      <c r="BH285" s="5">
        <f t="shared" si="142"/>
        <v>0</v>
      </c>
      <c r="BI285" s="5">
        <f t="shared" si="143"/>
        <v>0</v>
      </c>
      <c r="BJ285" s="9">
        <f t="shared" si="144"/>
        <v>0</v>
      </c>
      <c r="BK285" s="9" t="e">
        <f t="shared" si="144"/>
        <v>#DIV/0!</v>
      </c>
      <c r="BM285" s="1">
        <f t="shared" si="145"/>
        <v>0</v>
      </c>
      <c r="BN285" s="1">
        <f t="shared" si="146"/>
        <v>0</v>
      </c>
    </row>
    <row r="286" spans="1:66" x14ac:dyDescent="0.2">
      <c r="A286" s="4">
        <f t="shared" si="147"/>
        <v>45938</v>
      </c>
      <c r="B286" s="1">
        <v>281</v>
      </c>
      <c r="C286" s="1">
        <v>12</v>
      </c>
      <c r="AN286" s="1">
        <f t="shared" si="131"/>
        <v>0</v>
      </c>
      <c r="AO286" s="1">
        <f t="shared" si="132"/>
        <v>0</v>
      </c>
      <c r="AP286" s="1">
        <f t="shared" si="133"/>
        <v>0</v>
      </c>
      <c r="AQ286" s="16">
        <f t="shared" si="126"/>
        <v>0</v>
      </c>
      <c r="AR286" s="23" t="e">
        <f t="shared" si="134"/>
        <v>#DIV/0!</v>
      </c>
      <c r="AT286" s="18">
        <f t="shared" si="129"/>
        <v>45938</v>
      </c>
      <c r="AU286" s="19">
        <f t="shared" si="130"/>
        <v>281</v>
      </c>
      <c r="AV286" s="1">
        <f t="shared" si="135"/>
        <v>0</v>
      </c>
      <c r="AW286" s="1">
        <f t="shared" si="136"/>
        <v>0</v>
      </c>
      <c r="AX286" s="1">
        <f t="shared" si="137"/>
        <v>0</v>
      </c>
      <c r="AY286" s="1">
        <f t="shared" si="127"/>
        <v>0</v>
      </c>
      <c r="AZ286" s="1">
        <f t="shared" si="128"/>
        <v>0</v>
      </c>
      <c r="BA286" s="1">
        <f t="shared" si="138"/>
        <v>0</v>
      </c>
      <c r="BB286" s="5" t="str">
        <f t="shared" si="139"/>
        <v>NAN</v>
      </c>
      <c r="BC286" s="1">
        <f>ROUND(AC286,1)</f>
        <v>0</v>
      </c>
      <c r="BD286" s="1">
        <f>ROUND(AD286,1)</f>
        <v>0</v>
      </c>
      <c r="BE286" s="1">
        <f>ROUND(AE286,1)</f>
        <v>0</v>
      </c>
      <c r="BF286" s="5">
        <f t="shared" si="140"/>
        <v>0</v>
      </c>
      <c r="BG286" s="5">
        <f t="shared" si="141"/>
        <v>0</v>
      </c>
      <c r="BH286" s="5">
        <f t="shared" si="142"/>
        <v>0</v>
      </c>
      <c r="BI286" s="5">
        <f t="shared" si="143"/>
        <v>0</v>
      </c>
      <c r="BJ286" s="9">
        <f t="shared" si="144"/>
        <v>0</v>
      </c>
      <c r="BK286" s="9" t="e">
        <f t="shared" si="144"/>
        <v>#DIV/0!</v>
      </c>
      <c r="BM286" s="1">
        <f t="shared" si="145"/>
        <v>0</v>
      </c>
      <c r="BN286" s="1">
        <f t="shared" si="146"/>
        <v>0</v>
      </c>
    </row>
    <row r="287" spans="1:66" x14ac:dyDescent="0.2">
      <c r="A287" s="4">
        <f t="shared" si="147"/>
        <v>45939</v>
      </c>
      <c r="B287" s="1">
        <v>282</v>
      </c>
      <c r="C287" s="1">
        <v>12</v>
      </c>
      <c r="AN287" s="1">
        <f t="shared" si="131"/>
        <v>0</v>
      </c>
      <c r="AO287" s="1">
        <f t="shared" si="132"/>
        <v>0</v>
      </c>
      <c r="AP287" s="1">
        <f t="shared" si="133"/>
        <v>0</v>
      </c>
      <c r="AQ287" s="16">
        <f t="shared" si="126"/>
        <v>0</v>
      </c>
      <c r="AR287" s="23" t="e">
        <f t="shared" si="134"/>
        <v>#DIV/0!</v>
      </c>
      <c r="AT287" s="18">
        <f t="shared" si="129"/>
        <v>45939</v>
      </c>
      <c r="AU287" s="19">
        <f t="shared" si="130"/>
        <v>282</v>
      </c>
      <c r="AV287" s="1">
        <f t="shared" si="135"/>
        <v>0</v>
      </c>
      <c r="AW287" s="1">
        <f t="shared" si="136"/>
        <v>0</v>
      </c>
      <c r="AX287" s="1">
        <f t="shared" si="137"/>
        <v>0</v>
      </c>
      <c r="AY287" s="1">
        <f t="shared" si="127"/>
        <v>0</v>
      </c>
      <c r="AZ287" s="1">
        <f t="shared" si="128"/>
        <v>0</v>
      </c>
      <c r="BA287" s="1">
        <f t="shared" si="138"/>
        <v>0</v>
      </c>
      <c r="BB287" s="5" t="str">
        <f t="shared" si="139"/>
        <v>NAN</v>
      </c>
      <c r="BC287" s="1">
        <f>ROUND(AC287,1)</f>
        <v>0</v>
      </c>
      <c r="BD287" s="1">
        <f>ROUND(AD287,1)</f>
        <v>0</v>
      </c>
      <c r="BE287" s="1">
        <f>ROUND(AE287,1)</f>
        <v>0</v>
      </c>
      <c r="BF287" s="5">
        <f t="shared" si="140"/>
        <v>0</v>
      </c>
      <c r="BG287" s="5">
        <f t="shared" si="141"/>
        <v>0</v>
      </c>
      <c r="BH287" s="5">
        <f t="shared" si="142"/>
        <v>0</v>
      </c>
      <c r="BI287" s="5">
        <f t="shared" si="143"/>
        <v>0</v>
      </c>
      <c r="BJ287" s="9">
        <f t="shared" si="144"/>
        <v>0</v>
      </c>
      <c r="BK287" s="9" t="e">
        <f t="shared" si="144"/>
        <v>#DIV/0!</v>
      </c>
      <c r="BM287" s="1">
        <f t="shared" si="145"/>
        <v>0</v>
      </c>
      <c r="BN287" s="1">
        <f t="shared" si="146"/>
        <v>0</v>
      </c>
    </row>
    <row r="288" spans="1:66" x14ac:dyDescent="0.2">
      <c r="A288" s="4">
        <f t="shared" si="147"/>
        <v>45940</v>
      </c>
      <c r="B288" s="1">
        <v>283</v>
      </c>
      <c r="C288" s="1">
        <v>12</v>
      </c>
      <c r="AN288" s="1">
        <f t="shared" si="131"/>
        <v>0</v>
      </c>
      <c r="AO288" s="1">
        <f t="shared" si="132"/>
        <v>0</v>
      </c>
      <c r="AP288" s="1">
        <f t="shared" si="133"/>
        <v>0</v>
      </c>
      <c r="AQ288" s="16">
        <f t="shared" si="126"/>
        <v>0</v>
      </c>
      <c r="AR288" s="23" t="e">
        <f t="shared" si="134"/>
        <v>#DIV/0!</v>
      </c>
      <c r="AT288" s="18">
        <f t="shared" si="129"/>
        <v>45940</v>
      </c>
      <c r="AU288" s="19">
        <f t="shared" si="130"/>
        <v>283</v>
      </c>
      <c r="AV288" s="1">
        <f t="shared" si="135"/>
        <v>0</v>
      </c>
      <c r="AW288" s="1">
        <f t="shared" si="136"/>
        <v>0</v>
      </c>
      <c r="AX288" s="1">
        <f t="shared" si="137"/>
        <v>0</v>
      </c>
      <c r="AY288" s="1">
        <f t="shared" si="127"/>
        <v>0</v>
      </c>
      <c r="AZ288" s="1">
        <f t="shared" si="128"/>
        <v>0</v>
      </c>
      <c r="BA288" s="1">
        <f t="shared" si="138"/>
        <v>0</v>
      </c>
      <c r="BB288" s="5" t="str">
        <f t="shared" si="139"/>
        <v>NAN</v>
      </c>
      <c r="BC288" s="1">
        <f>ROUND(AC288,1)</f>
        <v>0</v>
      </c>
      <c r="BD288" s="1">
        <f>ROUND(AD288,1)</f>
        <v>0</v>
      </c>
      <c r="BE288" s="1">
        <f>ROUND(AE288,1)</f>
        <v>0</v>
      </c>
      <c r="BF288" s="5">
        <f t="shared" si="140"/>
        <v>0</v>
      </c>
      <c r="BG288" s="5">
        <f t="shared" si="141"/>
        <v>0</v>
      </c>
      <c r="BH288" s="5">
        <f t="shared" si="142"/>
        <v>0</v>
      </c>
      <c r="BI288" s="5">
        <f t="shared" si="143"/>
        <v>0</v>
      </c>
      <c r="BJ288" s="9">
        <f t="shared" si="144"/>
        <v>0</v>
      </c>
      <c r="BK288" s="9" t="e">
        <f t="shared" si="144"/>
        <v>#DIV/0!</v>
      </c>
      <c r="BM288" s="1">
        <f t="shared" si="145"/>
        <v>0</v>
      </c>
      <c r="BN288" s="1">
        <f t="shared" si="146"/>
        <v>0</v>
      </c>
    </row>
    <row r="289" spans="1:66" x14ac:dyDescent="0.2">
      <c r="A289" s="4">
        <f t="shared" si="147"/>
        <v>45941</v>
      </c>
      <c r="B289" s="1">
        <v>284</v>
      </c>
      <c r="C289" s="1">
        <v>12</v>
      </c>
      <c r="AN289" s="1">
        <f t="shared" si="131"/>
        <v>0</v>
      </c>
      <c r="AO289" s="1">
        <f t="shared" si="132"/>
        <v>0</v>
      </c>
      <c r="AP289" s="1">
        <f t="shared" si="133"/>
        <v>0</v>
      </c>
      <c r="AQ289" s="16">
        <f t="shared" si="126"/>
        <v>0</v>
      </c>
      <c r="AR289" s="23" t="e">
        <f t="shared" si="134"/>
        <v>#DIV/0!</v>
      </c>
      <c r="AT289" s="18">
        <f t="shared" si="129"/>
        <v>45941</v>
      </c>
      <c r="AU289" s="19">
        <f t="shared" si="130"/>
        <v>284</v>
      </c>
      <c r="AV289" s="1">
        <f t="shared" si="135"/>
        <v>0</v>
      </c>
      <c r="AW289" s="1">
        <f t="shared" si="136"/>
        <v>0</v>
      </c>
      <c r="AX289" s="1">
        <f t="shared" si="137"/>
        <v>0</v>
      </c>
      <c r="AY289" s="1">
        <f t="shared" si="127"/>
        <v>0</v>
      </c>
      <c r="AZ289" s="1">
        <f t="shared" si="128"/>
        <v>0</v>
      </c>
      <c r="BA289" s="1">
        <f t="shared" si="138"/>
        <v>0</v>
      </c>
      <c r="BB289" s="5" t="str">
        <f t="shared" si="139"/>
        <v>NAN</v>
      </c>
      <c r="BC289" s="1">
        <f>ROUND(AC289,1)</f>
        <v>0</v>
      </c>
      <c r="BD289" s="1">
        <f>ROUND(AD289,1)</f>
        <v>0</v>
      </c>
      <c r="BE289" s="1">
        <f>ROUND(AE289,1)</f>
        <v>0</v>
      </c>
      <c r="BF289" s="5">
        <f t="shared" si="140"/>
        <v>0</v>
      </c>
      <c r="BG289" s="5">
        <f t="shared" si="141"/>
        <v>0</v>
      </c>
      <c r="BH289" s="5">
        <f t="shared" si="142"/>
        <v>0</v>
      </c>
      <c r="BI289" s="5">
        <f t="shared" si="143"/>
        <v>0</v>
      </c>
      <c r="BJ289" s="9">
        <f t="shared" si="144"/>
        <v>0</v>
      </c>
      <c r="BK289" s="9" t="e">
        <f t="shared" si="144"/>
        <v>#DIV/0!</v>
      </c>
      <c r="BM289" s="1">
        <f t="shared" si="145"/>
        <v>0</v>
      </c>
      <c r="BN289" s="1">
        <f t="shared" si="146"/>
        <v>0</v>
      </c>
    </row>
    <row r="290" spans="1:66" x14ac:dyDescent="0.2">
      <c r="A290" s="4">
        <f t="shared" si="147"/>
        <v>45942</v>
      </c>
      <c r="B290" s="1">
        <v>285</v>
      </c>
      <c r="C290" s="1">
        <v>12</v>
      </c>
      <c r="AN290" s="1">
        <f t="shared" si="131"/>
        <v>0</v>
      </c>
      <c r="AO290" s="1">
        <f t="shared" si="132"/>
        <v>0</v>
      </c>
      <c r="AP290" s="1">
        <f t="shared" si="133"/>
        <v>0</v>
      </c>
      <c r="AQ290" s="16">
        <f t="shared" si="126"/>
        <v>0</v>
      </c>
      <c r="AR290" s="23" t="e">
        <f t="shared" si="134"/>
        <v>#DIV/0!</v>
      </c>
      <c r="AT290" s="18">
        <f t="shared" si="129"/>
        <v>45942</v>
      </c>
      <c r="AU290" s="19">
        <f t="shared" si="130"/>
        <v>285</v>
      </c>
      <c r="AV290" s="1">
        <f t="shared" si="135"/>
        <v>0</v>
      </c>
      <c r="AW290" s="1">
        <f t="shared" si="136"/>
        <v>0</v>
      </c>
      <c r="AX290" s="1">
        <f t="shared" si="137"/>
        <v>0</v>
      </c>
      <c r="AY290" s="1">
        <f t="shared" si="127"/>
        <v>0</v>
      </c>
      <c r="AZ290" s="1">
        <f t="shared" si="128"/>
        <v>0</v>
      </c>
      <c r="BA290" s="1">
        <f t="shared" si="138"/>
        <v>0</v>
      </c>
      <c r="BB290" s="5" t="str">
        <f t="shared" si="139"/>
        <v>NAN</v>
      </c>
      <c r="BC290" s="1">
        <f>ROUND(AC290,1)</f>
        <v>0</v>
      </c>
      <c r="BD290" s="1">
        <f>ROUND(AD290,1)</f>
        <v>0</v>
      </c>
      <c r="BE290" s="1">
        <f>ROUND(AE290,1)</f>
        <v>0</v>
      </c>
      <c r="BF290" s="5">
        <f t="shared" si="140"/>
        <v>0</v>
      </c>
      <c r="BG290" s="5">
        <f t="shared" si="141"/>
        <v>0</v>
      </c>
      <c r="BH290" s="5">
        <f t="shared" si="142"/>
        <v>0</v>
      </c>
      <c r="BI290" s="5">
        <f t="shared" si="143"/>
        <v>0</v>
      </c>
      <c r="BJ290" s="9">
        <f t="shared" si="144"/>
        <v>0</v>
      </c>
      <c r="BK290" s="9" t="e">
        <f t="shared" si="144"/>
        <v>#DIV/0!</v>
      </c>
      <c r="BM290" s="1">
        <f t="shared" si="145"/>
        <v>0</v>
      </c>
      <c r="BN290" s="1">
        <f t="shared" si="146"/>
        <v>0</v>
      </c>
    </row>
    <row r="291" spans="1:66" x14ac:dyDescent="0.2">
      <c r="A291" s="4">
        <f t="shared" si="147"/>
        <v>45943</v>
      </c>
      <c r="B291" s="1">
        <v>286</v>
      </c>
      <c r="C291" s="1">
        <v>12</v>
      </c>
      <c r="AN291" s="1">
        <f t="shared" si="131"/>
        <v>0</v>
      </c>
      <c r="AO291" s="1">
        <f t="shared" si="132"/>
        <v>0</v>
      </c>
      <c r="AP291" s="1">
        <f t="shared" si="133"/>
        <v>0</v>
      </c>
      <c r="AQ291" s="16">
        <f t="shared" si="126"/>
        <v>0</v>
      </c>
      <c r="AR291" s="23" t="e">
        <f t="shared" si="134"/>
        <v>#DIV/0!</v>
      </c>
      <c r="AT291" s="18">
        <f t="shared" si="129"/>
        <v>45943</v>
      </c>
      <c r="AU291" s="19">
        <f t="shared" si="130"/>
        <v>286</v>
      </c>
      <c r="AV291" s="1">
        <f t="shared" si="135"/>
        <v>0</v>
      </c>
      <c r="AW291" s="1">
        <f t="shared" si="136"/>
        <v>0</v>
      </c>
      <c r="AX291" s="1">
        <f t="shared" si="137"/>
        <v>0</v>
      </c>
      <c r="AY291" s="1">
        <f t="shared" si="127"/>
        <v>0</v>
      </c>
      <c r="AZ291" s="1">
        <f t="shared" si="128"/>
        <v>0</v>
      </c>
      <c r="BA291" s="1">
        <f t="shared" si="138"/>
        <v>0</v>
      </c>
      <c r="BB291" s="5" t="str">
        <f t="shared" si="139"/>
        <v>NAN</v>
      </c>
      <c r="BC291" s="1">
        <f>ROUND(AC291,1)</f>
        <v>0</v>
      </c>
      <c r="BD291" s="1">
        <f>ROUND(AD291,1)</f>
        <v>0</v>
      </c>
      <c r="BE291" s="1">
        <f>ROUND(AE291,1)</f>
        <v>0</v>
      </c>
      <c r="BF291" s="5">
        <f t="shared" si="140"/>
        <v>0</v>
      </c>
      <c r="BG291" s="5">
        <f t="shared" si="141"/>
        <v>0</v>
      </c>
      <c r="BH291" s="5">
        <f t="shared" si="142"/>
        <v>0</v>
      </c>
      <c r="BI291" s="5">
        <f t="shared" si="143"/>
        <v>0</v>
      </c>
      <c r="BJ291" s="9">
        <f t="shared" si="144"/>
        <v>0</v>
      </c>
      <c r="BK291" s="9" t="e">
        <f t="shared" si="144"/>
        <v>#DIV/0!</v>
      </c>
      <c r="BM291" s="1">
        <f t="shared" si="145"/>
        <v>0</v>
      </c>
      <c r="BN291" s="1">
        <f t="shared" si="146"/>
        <v>0</v>
      </c>
    </row>
    <row r="292" spans="1:66" x14ac:dyDescent="0.2">
      <c r="A292" s="4">
        <f t="shared" si="147"/>
        <v>45944</v>
      </c>
      <c r="B292" s="1">
        <v>287</v>
      </c>
      <c r="C292" s="1">
        <v>12</v>
      </c>
      <c r="AN292" s="1">
        <f t="shared" si="131"/>
        <v>0</v>
      </c>
      <c r="AO292" s="1">
        <f t="shared" si="132"/>
        <v>0</v>
      </c>
      <c r="AP292" s="1">
        <f t="shared" si="133"/>
        <v>0</v>
      </c>
      <c r="AQ292" s="16">
        <f t="shared" si="126"/>
        <v>0</v>
      </c>
      <c r="AR292" s="23" t="e">
        <f t="shared" si="134"/>
        <v>#DIV/0!</v>
      </c>
      <c r="AT292" s="18">
        <f t="shared" si="129"/>
        <v>45944</v>
      </c>
      <c r="AU292" s="19">
        <f t="shared" si="130"/>
        <v>287</v>
      </c>
      <c r="AV292" s="1">
        <f t="shared" si="135"/>
        <v>0</v>
      </c>
      <c r="AW292" s="1">
        <f t="shared" si="136"/>
        <v>0</v>
      </c>
      <c r="AX292" s="1">
        <f t="shared" si="137"/>
        <v>0</v>
      </c>
      <c r="AY292" s="1">
        <f t="shared" si="127"/>
        <v>0</v>
      </c>
      <c r="AZ292" s="1">
        <f t="shared" si="128"/>
        <v>0</v>
      </c>
      <c r="BA292" s="1">
        <f t="shared" si="138"/>
        <v>0</v>
      </c>
      <c r="BB292" s="5" t="str">
        <f t="shared" si="139"/>
        <v>NAN</v>
      </c>
      <c r="BC292" s="1">
        <f>ROUND(AC292,1)</f>
        <v>0</v>
      </c>
      <c r="BD292" s="1">
        <f>ROUND(AD292,1)</f>
        <v>0</v>
      </c>
      <c r="BE292" s="1">
        <f>ROUND(AE292,1)</f>
        <v>0</v>
      </c>
      <c r="BF292" s="5">
        <f t="shared" si="140"/>
        <v>0</v>
      </c>
      <c r="BG292" s="5">
        <f t="shared" si="141"/>
        <v>0</v>
      </c>
      <c r="BH292" s="5">
        <f t="shared" si="142"/>
        <v>0</v>
      </c>
      <c r="BI292" s="5">
        <f t="shared" si="143"/>
        <v>0</v>
      </c>
      <c r="BJ292" s="9">
        <f t="shared" si="144"/>
        <v>0</v>
      </c>
      <c r="BK292" s="9" t="e">
        <f t="shared" si="144"/>
        <v>#DIV/0!</v>
      </c>
      <c r="BM292" s="1">
        <f t="shared" si="145"/>
        <v>0</v>
      </c>
      <c r="BN292" s="1">
        <f t="shared" si="146"/>
        <v>0</v>
      </c>
    </row>
    <row r="293" spans="1:66" x14ac:dyDescent="0.2">
      <c r="A293" s="4">
        <f t="shared" si="147"/>
        <v>45945</v>
      </c>
      <c r="B293" s="1">
        <v>288</v>
      </c>
      <c r="C293" s="1">
        <v>12</v>
      </c>
      <c r="AN293" s="1">
        <f t="shared" si="131"/>
        <v>0</v>
      </c>
      <c r="AO293" s="1">
        <f t="shared" si="132"/>
        <v>0</v>
      </c>
      <c r="AP293" s="1">
        <f t="shared" si="133"/>
        <v>0</v>
      </c>
      <c r="AQ293" s="16">
        <f t="shared" si="126"/>
        <v>0</v>
      </c>
      <c r="AR293" s="23" t="e">
        <f t="shared" si="134"/>
        <v>#DIV/0!</v>
      </c>
      <c r="AT293" s="18">
        <f t="shared" si="129"/>
        <v>45945</v>
      </c>
      <c r="AU293" s="19">
        <f t="shared" si="130"/>
        <v>288</v>
      </c>
      <c r="AV293" s="1">
        <f t="shared" si="135"/>
        <v>0</v>
      </c>
      <c r="AW293" s="1">
        <f t="shared" si="136"/>
        <v>0</v>
      </c>
      <c r="AX293" s="1">
        <f t="shared" si="137"/>
        <v>0</v>
      </c>
      <c r="AY293" s="1">
        <f t="shared" si="127"/>
        <v>0</v>
      </c>
      <c r="AZ293" s="1">
        <f t="shared" si="128"/>
        <v>0</v>
      </c>
      <c r="BA293" s="1">
        <f t="shared" si="138"/>
        <v>0</v>
      </c>
      <c r="BB293" s="5" t="str">
        <f t="shared" si="139"/>
        <v>NAN</v>
      </c>
      <c r="BC293" s="1">
        <f>ROUND(AC293,1)</f>
        <v>0</v>
      </c>
      <c r="BD293" s="1">
        <f>ROUND(AD293,1)</f>
        <v>0</v>
      </c>
      <c r="BE293" s="1">
        <f>ROUND(AE293,1)</f>
        <v>0</v>
      </c>
      <c r="BF293" s="5">
        <f t="shared" si="140"/>
        <v>0</v>
      </c>
      <c r="BG293" s="5">
        <f t="shared" si="141"/>
        <v>0</v>
      </c>
      <c r="BH293" s="5">
        <f t="shared" si="142"/>
        <v>0</v>
      </c>
      <c r="BI293" s="5">
        <f t="shared" si="143"/>
        <v>0</v>
      </c>
      <c r="BJ293" s="9">
        <f t="shared" si="144"/>
        <v>0</v>
      </c>
      <c r="BK293" s="9" t="e">
        <f t="shared" si="144"/>
        <v>#DIV/0!</v>
      </c>
      <c r="BM293" s="1">
        <f t="shared" si="145"/>
        <v>0</v>
      </c>
      <c r="BN293" s="1">
        <f t="shared" si="146"/>
        <v>0</v>
      </c>
    </row>
    <row r="294" spans="1:66" x14ac:dyDescent="0.2">
      <c r="A294" s="4">
        <f t="shared" si="147"/>
        <v>45946</v>
      </c>
      <c r="B294" s="1">
        <v>289</v>
      </c>
      <c r="C294" s="1">
        <v>12</v>
      </c>
      <c r="AN294" s="1">
        <f t="shared" si="131"/>
        <v>0</v>
      </c>
      <c r="AO294" s="1">
        <f t="shared" si="132"/>
        <v>0</v>
      </c>
      <c r="AP294" s="1">
        <f t="shared" si="133"/>
        <v>0</v>
      </c>
      <c r="AQ294" s="16">
        <f t="shared" si="126"/>
        <v>0</v>
      </c>
      <c r="AR294" s="23" t="e">
        <f t="shared" si="134"/>
        <v>#DIV/0!</v>
      </c>
      <c r="AT294" s="18">
        <f t="shared" si="129"/>
        <v>45946</v>
      </c>
      <c r="AU294" s="19">
        <f t="shared" si="130"/>
        <v>289</v>
      </c>
      <c r="AV294" s="1">
        <f t="shared" ref="AV294:AV338" si="148">ROUND(G294,1)</f>
        <v>0</v>
      </c>
      <c r="AW294" s="1">
        <f t="shared" ref="AW294:AW338" si="149">ROUND(N294,1)</f>
        <v>0</v>
      </c>
      <c r="AX294" s="1">
        <f t="shared" ref="AX294:AX338" si="150">ROUND(U294,1)</f>
        <v>0</v>
      </c>
      <c r="AY294" s="1">
        <f t="shared" ref="AY294:AY338" si="151">AO294</f>
        <v>0</v>
      </c>
      <c r="AZ294" s="1">
        <f t="shared" ref="AZ294:AZ338" si="152">AP294</f>
        <v>0</v>
      </c>
      <c r="BA294" s="1">
        <f t="shared" si="138"/>
        <v>0</v>
      </c>
      <c r="BB294" s="5" t="str">
        <f t="shared" si="139"/>
        <v>NAN</v>
      </c>
      <c r="BC294" s="1">
        <f>ROUND(AC294,1)</f>
        <v>0</v>
      </c>
      <c r="BD294" s="1">
        <f>ROUND(AD294,1)</f>
        <v>0</v>
      </c>
      <c r="BE294" s="1">
        <f>ROUND(AE294,1)</f>
        <v>0</v>
      </c>
      <c r="BF294" s="5">
        <f t="shared" ref="BF294:BF338" si="153">ROUND(K294,1)</f>
        <v>0</v>
      </c>
      <c r="BG294" s="5">
        <f t="shared" ref="BG294:BG338" si="154">ROUND(L294,1)</f>
        <v>0</v>
      </c>
      <c r="BH294" s="5">
        <f t="shared" ref="BH294:BH338" si="155">ROUND(M294,1)</f>
        <v>0</v>
      </c>
      <c r="BI294" s="5">
        <f t="shared" si="143"/>
        <v>0</v>
      </c>
      <c r="BJ294" s="9">
        <f t="shared" si="144"/>
        <v>0</v>
      </c>
      <c r="BK294" s="9" t="e">
        <f t="shared" si="144"/>
        <v>#DIV/0!</v>
      </c>
      <c r="BM294" s="1">
        <f t="shared" si="145"/>
        <v>0</v>
      </c>
      <c r="BN294" s="1">
        <f t="shared" si="146"/>
        <v>0</v>
      </c>
    </row>
    <row r="295" spans="1:66" x14ac:dyDescent="0.2">
      <c r="A295" s="4">
        <f t="shared" si="147"/>
        <v>45947</v>
      </c>
      <c r="B295" s="1">
        <v>290</v>
      </c>
      <c r="C295" s="1">
        <v>12</v>
      </c>
      <c r="AN295" s="1">
        <f t="shared" si="131"/>
        <v>0</v>
      </c>
      <c r="AO295" s="1">
        <f t="shared" si="132"/>
        <v>0</v>
      </c>
      <c r="AP295" s="1">
        <f t="shared" si="133"/>
        <v>0</v>
      </c>
      <c r="AQ295" s="16">
        <f t="shared" si="126"/>
        <v>0</v>
      </c>
      <c r="AR295" s="23" t="e">
        <f t="shared" si="134"/>
        <v>#DIV/0!</v>
      </c>
      <c r="AT295" s="18">
        <f t="shared" si="129"/>
        <v>45947</v>
      </c>
      <c r="AU295" s="19">
        <f t="shared" si="130"/>
        <v>290</v>
      </c>
      <c r="AV295" s="1">
        <f t="shared" si="148"/>
        <v>0</v>
      </c>
      <c r="AW295" s="1">
        <f t="shared" si="149"/>
        <v>0</v>
      </c>
      <c r="AX295" s="1">
        <f t="shared" si="150"/>
        <v>0</v>
      </c>
      <c r="AY295" s="1">
        <f t="shared" si="151"/>
        <v>0</v>
      </c>
      <c r="AZ295" s="1">
        <f t="shared" si="152"/>
        <v>0</v>
      </c>
      <c r="BA295" s="1">
        <f t="shared" si="138"/>
        <v>0</v>
      </c>
      <c r="BB295" s="5" t="str">
        <f t="shared" si="139"/>
        <v>NAN</v>
      </c>
      <c r="BC295" s="1">
        <f>ROUND(AC295,1)</f>
        <v>0</v>
      </c>
      <c r="BD295" s="1">
        <f>ROUND(AD295,1)</f>
        <v>0</v>
      </c>
      <c r="BE295" s="1">
        <f>ROUND(AE295,1)</f>
        <v>0</v>
      </c>
      <c r="BF295" s="5">
        <f t="shared" si="153"/>
        <v>0</v>
      </c>
      <c r="BG295" s="5">
        <f t="shared" si="154"/>
        <v>0</v>
      </c>
      <c r="BH295" s="5">
        <f t="shared" si="155"/>
        <v>0</v>
      </c>
      <c r="BI295" s="5">
        <f t="shared" si="143"/>
        <v>0</v>
      </c>
      <c r="BJ295" s="9">
        <f t="shared" si="144"/>
        <v>0</v>
      </c>
      <c r="BK295" s="9" t="e">
        <f t="shared" si="144"/>
        <v>#DIV/0!</v>
      </c>
      <c r="BM295" s="1">
        <f t="shared" si="145"/>
        <v>0</v>
      </c>
      <c r="BN295" s="1">
        <f t="shared" si="146"/>
        <v>0</v>
      </c>
    </row>
    <row r="296" spans="1:66" x14ac:dyDescent="0.2">
      <c r="A296" s="4">
        <f t="shared" si="147"/>
        <v>45948</v>
      </c>
      <c r="B296" s="1">
        <v>291</v>
      </c>
      <c r="C296" s="1">
        <v>12</v>
      </c>
      <c r="AL296" s="5"/>
      <c r="AN296" s="1">
        <f t="shared" si="131"/>
        <v>0</v>
      </c>
      <c r="AO296" s="1">
        <f t="shared" si="132"/>
        <v>0</v>
      </c>
      <c r="AP296" s="1">
        <f t="shared" si="133"/>
        <v>0</v>
      </c>
      <c r="AQ296" s="16">
        <f t="shared" si="126"/>
        <v>0</v>
      </c>
      <c r="AR296" s="23" t="e">
        <f t="shared" si="134"/>
        <v>#DIV/0!</v>
      </c>
      <c r="AT296" s="18">
        <f t="shared" si="129"/>
        <v>45948</v>
      </c>
      <c r="AU296" s="19">
        <f t="shared" si="130"/>
        <v>291</v>
      </c>
      <c r="AV296" s="1">
        <f t="shared" si="148"/>
        <v>0</v>
      </c>
      <c r="AW296" s="1">
        <f t="shared" si="149"/>
        <v>0</v>
      </c>
      <c r="AX296" s="1">
        <f t="shared" si="150"/>
        <v>0</v>
      </c>
      <c r="AY296" s="1">
        <f t="shared" si="151"/>
        <v>0</v>
      </c>
      <c r="AZ296" s="1">
        <f t="shared" si="152"/>
        <v>0</v>
      </c>
      <c r="BA296" s="1">
        <f t="shared" si="138"/>
        <v>0</v>
      </c>
      <c r="BB296" s="5" t="str">
        <f t="shared" si="139"/>
        <v>NAN</v>
      </c>
      <c r="BC296" s="1">
        <f>ROUND(AC296,1)</f>
        <v>0</v>
      </c>
      <c r="BD296" s="1">
        <f>ROUND(AD296,1)</f>
        <v>0</v>
      </c>
      <c r="BE296" s="1">
        <f>ROUND(AE296,1)</f>
        <v>0</v>
      </c>
      <c r="BF296" s="5">
        <f t="shared" si="153"/>
        <v>0</v>
      </c>
      <c r="BG296" s="5">
        <f t="shared" si="154"/>
        <v>0</v>
      </c>
      <c r="BH296" s="5">
        <f t="shared" si="155"/>
        <v>0</v>
      </c>
      <c r="BI296" s="5">
        <f t="shared" si="143"/>
        <v>0</v>
      </c>
      <c r="BJ296" s="9">
        <f t="shared" si="144"/>
        <v>0</v>
      </c>
      <c r="BK296" s="9" t="e">
        <f t="shared" si="144"/>
        <v>#DIV/0!</v>
      </c>
      <c r="BM296" s="1">
        <f t="shared" si="145"/>
        <v>0</v>
      </c>
      <c r="BN296" s="1">
        <f t="shared" si="146"/>
        <v>0</v>
      </c>
    </row>
    <row r="297" spans="1:66" x14ac:dyDescent="0.2">
      <c r="A297" s="4">
        <f t="shared" si="147"/>
        <v>45949</v>
      </c>
      <c r="B297" s="1">
        <v>292</v>
      </c>
      <c r="C297" s="1">
        <v>12</v>
      </c>
      <c r="AL297" s="5"/>
      <c r="AN297" s="1">
        <f t="shared" si="131"/>
        <v>0</v>
      </c>
      <c r="AO297" s="1">
        <f t="shared" si="132"/>
        <v>0</v>
      </c>
      <c r="AP297" s="1">
        <f t="shared" si="133"/>
        <v>0</v>
      </c>
      <c r="AQ297" s="16">
        <f t="shared" si="126"/>
        <v>0</v>
      </c>
      <c r="AR297" s="23" t="e">
        <f t="shared" si="134"/>
        <v>#DIV/0!</v>
      </c>
      <c r="AT297" s="18">
        <f t="shared" si="129"/>
        <v>45949</v>
      </c>
      <c r="AU297" s="19">
        <f t="shared" si="130"/>
        <v>292</v>
      </c>
      <c r="AV297" s="1">
        <f t="shared" si="148"/>
        <v>0</v>
      </c>
      <c r="AW297" s="1">
        <f t="shared" si="149"/>
        <v>0</v>
      </c>
      <c r="AX297" s="1">
        <f t="shared" si="150"/>
        <v>0</v>
      </c>
      <c r="AY297" s="1">
        <f t="shared" si="151"/>
        <v>0</v>
      </c>
      <c r="AZ297" s="1">
        <f t="shared" si="152"/>
        <v>0</v>
      </c>
      <c r="BA297" s="1">
        <f t="shared" si="138"/>
        <v>0</v>
      </c>
      <c r="BB297" s="5" t="str">
        <f t="shared" si="139"/>
        <v>NAN</v>
      </c>
      <c r="BC297" s="1">
        <f>ROUND(AC297,1)</f>
        <v>0</v>
      </c>
      <c r="BD297" s="1">
        <f>ROUND(AD297,1)</f>
        <v>0</v>
      </c>
      <c r="BE297" s="1">
        <f>ROUND(AE297,1)</f>
        <v>0</v>
      </c>
      <c r="BF297" s="5">
        <f t="shared" si="153"/>
        <v>0</v>
      </c>
      <c r="BG297" s="5">
        <f t="shared" si="154"/>
        <v>0</v>
      </c>
      <c r="BH297" s="5">
        <f t="shared" si="155"/>
        <v>0</v>
      </c>
      <c r="BI297" s="5">
        <f t="shared" si="143"/>
        <v>0</v>
      </c>
      <c r="BJ297" s="9">
        <f t="shared" si="144"/>
        <v>0</v>
      </c>
      <c r="BK297" s="9" t="e">
        <f t="shared" si="144"/>
        <v>#DIV/0!</v>
      </c>
      <c r="BM297" s="1">
        <f t="shared" si="145"/>
        <v>0</v>
      </c>
      <c r="BN297" s="1">
        <f t="shared" si="146"/>
        <v>0</v>
      </c>
    </row>
    <row r="298" spans="1:66" x14ac:dyDescent="0.2">
      <c r="A298" s="4">
        <f t="shared" si="147"/>
        <v>45950</v>
      </c>
      <c r="B298" s="1">
        <v>293</v>
      </c>
      <c r="C298" s="1">
        <v>12</v>
      </c>
      <c r="AL298" s="5"/>
      <c r="AN298" s="1">
        <f t="shared" si="131"/>
        <v>0</v>
      </c>
      <c r="AO298" s="1">
        <f t="shared" si="132"/>
        <v>0</v>
      </c>
      <c r="AP298" s="1">
        <f t="shared" si="133"/>
        <v>0</v>
      </c>
      <c r="AQ298" s="16">
        <f t="shared" si="126"/>
        <v>0</v>
      </c>
      <c r="AR298" s="23" t="e">
        <f t="shared" si="134"/>
        <v>#DIV/0!</v>
      </c>
      <c r="AT298" s="18">
        <f t="shared" si="129"/>
        <v>45950</v>
      </c>
      <c r="AU298" s="19">
        <f t="shared" si="130"/>
        <v>293</v>
      </c>
      <c r="AV298" s="1">
        <f t="shared" si="148"/>
        <v>0</v>
      </c>
      <c r="AW298" s="1">
        <f t="shared" si="149"/>
        <v>0</v>
      </c>
      <c r="AX298" s="1">
        <f t="shared" si="150"/>
        <v>0</v>
      </c>
      <c r="AY298" s="1">
        <f t="shared" si="151"/>
        <v>0</v>
      </c>
      <c r="AZ298" s="1">
        <f t="shared" si="152"/>
        <v>0</v>
      </c>
      <c r="BA298" s="1">
        <f t="shared" si="138"/>
        <v>0</v>
      </c>
      <c r="BB298" s="5" t="str">
        <f t="shared" si="139"/>
        <v>NAN</v>
      </c>
      <c r="BC298" s="1">
        <f>ROUND(AC298,1)</f>
        <v>0</v>
      </c>
      <c r="BD298" s="1">
        <f>ROUND(AD298,1)</f>
        <v>0</v>
      </c>
      <c r="BE298" s="1">
        <f>ROUND(AE298,1)</f>
        <v>0</v>
      </c>
      <c r="BF298" s="5">
        <f t="shared" si="153"/>
        <v>0</v>
      </c>
      <c r="BG298" s="5">
        <f t="shared" si="154"/>
        <v>0</v>
      </c>
      <c r="BH298" s="5">
        <f t="shared" si="155"/>
        <v>0</v>
      </c>
      <c r="BI298" s="5">
        <f t="shared" si="143"/>
        <v>0</v>
      </c>
      <c r="BJ298" s="9">
        <f t="shared" si="144"/>
        <v>0</v>
      </c>
      <c r="BK298" s="9" t="e">
        <f t="shared" si="144"/>
        <v>#DIV/0!</v>
      </c>
      <c r="BM298" s="1">
        <f t="shared" si="145"/>
        <v>0</v>
      </c>
      <c r="BN298" s="1">
        <f t="shared" si="146"/>
        <v>0</v>
      </c>
    </row>
    <row r="299" spans="1:66" x14ac:dyDescent="0.2">
      <c r="A299" s="4">
        <f t="shared" si="147"/>
        <v>45951</v>
      </c>
      <c r="B299" s="1">
        <v>294</v>
      </c>
      <c r="C299" s="1">
        <v>12</v>
      </c>
      <c r="AL299" s="5"/>
      <c r="AN299" s="1">
        <f t="shared" si="131"/>
        <v>0</v>
      </c>
      <c r="AO299" s="1">
        <f t="shared" si="132"/>
        <v>0</v>
      </c>
      <c r="AP299" s="1">
        <f t="shared" si="133"/>
        <v>0</v>
      </c>
      <c r="AQ299" s="16">
        <f t="shared" si="126"/>
        <v>0</v>
      </c>
      <c r="AR299" s="23" t="e">
        <f t="shared" si="134"/>
        <v>#DIV/0!</v>
      </c>
      <c r="AT299" s="18">
        <f t="shared" si="129"/>
        <v>45951</v>
      </c>
      <c r="AU299" s="19">
        <f t="shared" si="130"/>
        <v>294</v>
      </c>
      <c r="AV299" s="1">
        <f t="shared" si="148"/>
        <v>0</v>
      </c>
      <c r="AW299" s="1">
        <f t="shared" si="149"/>
        <v>0</v>
      </c>
      <c r="AX299" s="1">
        <f t="shared" si="150"/>
        <v>0</v>
      </c>
      <c r="AY299" s="1">
        <f t="shared" si="151"/>
        <v>0</v>
      </c>
      <c r="AZ299" s="1">
        <f t="shared" si="152"/>
        <v>0</v>
      </c>
      <c r="BA299" s="1">
        <f t="shared" si="138"/>
        <v>0</v>
      </c>
      <c r="BB299" s="5" t="str">
        <f t="shared" si="139"/>
        <v>NAN</v>
      </c>
      <c r="BC299" s="1">
        <f>ROUND(AC299,1)</f>
        <v>0</v>
      </c>
      <c r="BD299" s="1">
        <f>ROUND(AD299,1)</f>
        <v>0</v>
      </c>
      <c r="BE299" s="1">
        <f>ROUND(AE299,1)</f>
        <v>0</v>
      </c>
      <c r="BF299" s="5">
        <f t="shared" si="153"/>
        <v>0</v>
      </c>
      <c r="BG299" s="5">
        <f t="shared" si="154"/>
        <v>0</v>
      </c>
      <c r="BH299" s="5">
        <f t="shared" si="155"/>
        <v>0</v>
      </c>
      <c r="BI299" s="5">
        <f t="shared" si="143"/>
        <v>0</v>
      </c>
      <c r="BJ299" s="9">
        <f t="shared" si="144"/>
        <v>0</v>
      </c>
      <c r="BK299" s="9" t="e">
        <f t="shared" si="144"/>
        <v>#DIV/0!</v>
      </c>
      <c r="BM299" s="1">
        <f t="shared" si="145"/>
        <v>0</v>
      </c>
      <c r="BN299" s="1">
        <f t="shared" si="146"/>
        <v>0</v>
      </c>
    </row>
    <row r="300" spans="1:66" x14ac:dyDescent="0.2">
      <c r="A300" s="4">
        <f t="shared" si="147"/>
        <v>45952</v>
      </c>
      <c r="B300" s="1">
        <v>295</v>
      </c>
      <c r="C300" s="1">
        <v>12</v>
      </c>
      <c r="AL300" s="5"/>
      <c r="AN300" s="1">
        <f t="shared" si="131"/>
        <v>0</v>
      </c>
      <c r="AO300" s="1">
        <f t="shared" si="132"/>
        <v>0</v>
      </c>
      <c r="AP300" s="1">
        <f t="shared" si="133"/>
        <v>0</v>
      </c>
      <c r="AQ300" s="16">
        <f t="shared" si="126"/>
        <v>0</v>
      </c>
      <c r="AR300" s="23" t="e">
        <f t="shared" si="134"/>
        <v>#DIV/0!</v>
      </c>
      <c r="AT300" s="18">
        <f t="shared" si="129"/>
        <v>45952</v>
      </c>
      <c r="AU300" s="19">
        <f t="shared" si="130"/>
        <v>295</v>
      </c>
      <c r="AV300" s="1">
        <f t="shared" si="148"/>
        <v>0</v>
      </c>
      <c r="AW300" s="1">
        <f t="shared" si="149"/>
        <v>0</v>
      </c>
      <c r="AX300" s="1">
        <f t="shared" si="150"/>
        <v>0</v>
      </c>
      <c r="AY300" s="1">
        <f t="shared" si="151"/>
        <v>0</v>
      </c>
      <c r="AZ300" s="1">
        <f t="shared" si="152"/>
        <v>0</v>
      </c>
      <c r="BA300" s="1">
        <f t="shared" si="138"/>
        <v>0</v>
      </c>
      <c r="BB300" s="5" t="str">
        <f t="shared" si="139"/>
        <v>NAN</v>
      </c>
      <c r="BC300" s="1">
        <f>ROUND(AC300,1)</f>
        <v>0</v>
      </c>
      <c r="BD300" s="1">
        <f>ROUND(AD300,1)</f>
        <v>0</v>
      </c>
      <c r="BE300" s="1">
        <f>ROUND(AE300,1)</f>
        <v>0</v>
      </c>
      <c r="BF300" s="5">
        <f t="shared" si="153"/>
        <v>0</v>
      </c>
      <c r="BG300" s="5">
        <f t="shared" si="154"/>
        <v>0</v>
      </c>
      <c r="BH300" s="5">
        <f t="shared" si="155"/>
        <v>0</v>
      </c>
      <c r="BI300" s="5">
        <f t="shared" si="143"/>
        <v>0</v>
      </c>
      <c r="BJ300" s="9">
        <f t="shared" si="144"/>
        <v>0</v>
      </c>
      <c r="BK300" s="9" t="e">
        <f t="shared" si="144"/>
        <v>#DIV/0!</v>
      </c>
      <c r="BM300" s="1">
        <f t="shared" si="145"/>
        <v>0</v>
      </c>
      <c r="BN300" s="1">
        <f t="shared" si="146"/>
        <v>0</v>
      </c>
    </row>
    <row r="301" spans="1:66" x14ac:dyDescent="0.2">
      <c r="A301" s="4">
        <f t="shared" si="147"/>
        <v>45953</v>
      </c>
      <c r="B301" s="1">
        <v>296</v>
      </c>
      <c r="C301" s="1">
        <v>12</v>
      </c>
      <c r="AL301" s="5"/>
      <c r="AN301" s="1">
        <f t="shared" si="131"/>
        <v>0</v>
      </c>
      <c r="AO301" s="1">
        <f t="shared" si="132"/>
        <v>0</v>
      </c>
      <c r="AP301" s="1">
        <f t="shared" si="133"/>
        <v>0</v>
      </c>
      <c r="AQ301" s="16">
        <f t="shared" si="126"/>
        <v>0</v>
      </c>
      <c r="AR301" s="23" t="e">
        <f t="shared" si="134"/>
        <v>#DIV/0!</v>
      </c>
      <c r="AT301" s="18">
        <f t="shared" si="129"/>
        <v>45953</v>
      </c>
      <c r="AU301" s="19">
        <f t="shared" si="130"/>
        <v>296</v>
      </c>
      <c r="AV301" s="1">
        <f t="shared" si="148"/>
        <v>0</v>
      </c>
      <c r="AW301" s="1">
        <f t="shared" si="149"/>
        <v>0</v>
      </c>
      <c r="AX301" s="1">
        <f t="shared" si="150"/>
        <v>0</v>
      </c>
      <c r="AY301" s="1">
        <f t="shared" si="151"/>
        <v>0</v>
      </c>
      <c r="AZ301" s="1">
        <f t="shared" si="152"/>
        <v>0</v>
      </c>
      <c r="BA301" s="1">
        <f t="shared" si="138"/>
        <v>0</v>
      </c>
      <c r="BB301" s="5" t="str">
        <f t="shared" si="139"/>
        <v>NAN</v>
      </c>
      <c r="BC301" s="1">
        <f>ROUND(AC301,1)</f>
        <v>0</v>
      </c>
      <c r="BD301" s="1">
        <f>ROUND(AD301,1)</f>
        <v>0</v>
      </c>
      <c r="BE301" s="1">
        <f>ROUND(AE301,1)</f>
        <v>0</v>
      </c>
      <c r="BF301" s="5">
        <f t="shared" si="153"/>
        <v>0</v>
      </c>
      <c r="BG301" s="5">
        <f t="shared" si="154"/>
        <v>0</v>
      </c>
      <c r="BH301" s="5">
        <f t="shared" si="155"/>
        <v>0</v>
      </c>
      <c r="BI301" s="5">
        <f t="shared" si="143"/>
        <v>0</v>
      </c>
      <c r="BJ301" s="9">
        <f t="shared" si="144"/>
        <v>0</v>
      </c>
      <c r="BK301" s="9" t="e">
        <f t="shared" si="144"/>
        <v>#DIV/0!</v>
      </c>
      <c r="BM301" s="1">
        <f t="shared" si="145"/>
        <v>0</v>
      </c>
      <c r="BN301" s="1">
        <f t="shared" si="146"/>
        <v>0</v>
      </c>
    </row>
    <row r="302" spans="1:66" x14ac:dyDescent="0.2">
      <c r="A302" s="4">
        <f t="shared" si="147"/>
        <v>45954</v>
      </c>
      <c r="B302" s="1">
        <v>297</v>
      </c>
      <c r="C302" s="1">
        <v>12</v>
      </c>
      <c r="AL302" s="5"/>
      <c r="AN302" s="1">
        <f t="shared" si="131"/>
        <v>0</v>
      </c>
      <c r="AO302" s="1">
        <f t="shared" si="132"/>
        <v>0</v>
      </c>
      <c r="AP302" s="1">
        <f t="shared" si="133"/>
        <v>0</v>
      </c>
      <c r="AQ302" s="16">
        <f t="shared" si="126"/>
        <v>0</v>
      </c>
      <c r="AR302" s="23" t="e">
        <f t="shared" si="134"/>
        <v>#DIV/0!</v>
      </c>
      <c r="AT302" s="18">
        <f t="shared" si="129"/>
        <v>45954</v>
      </c>
      <c r="AU302" s="19">
        <f t="shared" si="130"/>
        <v>297</v>
      </c>
      <c r="AV302" s="1">
        <f t="shared" si="148"/>
        <v>0</v>
      </c>
      <c r="AW302" s="1">
        <f t="shared" si="149"/>
        <v>0</v>
      </c>
      <c r="AX302" s="1">
        <f t="shared" si="150"/>
        <v>0</v>
      </c>
      <c r="AY302" s="1">
        <f t="shared" si="151"/>
        <v>0</v>
      </c>
      <c r="AZ302" s="1">
        <f t="shared" si="152"/>
        <v>0</v>
      </c>
      <c r="BA302" s="1">
        <f t="shared" si="138"/>
        <v>0</v>
      </c>
      <c r="BB302" s="5" t="str">
        <f t="shared" si="139"/>
        <v>NAN</v>
      </c>
      <c r="BC302" s="1">
        <f>ROUND(AC302,1)</f>
        <v>0</v>
      </c>
      <c r="BD302" s="1">
        <f>ROUND(AD302,1)</f>
        <v>0</v>
      </c>
      <c r="BE302" s="1">
        <f>ROUND(AE302,1)</f>
        <v>0</v>
      </c>
      <c r="BF302" s="5">
        <f t="shared" si="153"/>
        <v>0</v>
      </c>
      <c r="BG302" s="5">
        <f t="shared" si="154"/>
        <v>0</v>
      </c>
      <c r="BH302" s="5">
        <f t="shared" si="155"/>
        <v>0</v>
      </c>
      <c r="BI302" s="5">
        <f t="shared" si="143"/>
        <v>0</v>
      </c>
      <c r="BJ302" s="9">
        <f t="shared" si="144"/>
        <v>0</v>
      </c>
      <c r="BK302" s="9" t="e">
        <f t="shared" si="144"/>
        <v>#DIV/0!</v>
      </c>
      <c r="BM302" s="1">
        <f t="shared" si="145"/>
        <v>0</v>
      </c>
      <c r="BN302" s="1">
        <f t="shared" si="146"/>
        <v>0</v>
      </c>
    </row>
    <row r="303" spans="1:66" x14ac:dyDescent="0.2">
      <c r="A303" s="4">
        <f t="shared" si="147"/>
        <v>45955</v>
      </c>
      <c r="B303" s="1">
        <v>298</v>
      </c>
      <c r="C303" s="1">
        <v>12</v>
      </c>
      <c r="AL303" s="5"/>
      <c r="AN303" s="1">
        <f t="shared" si="131"/>
        <v>0</v>
      </c>
      <c r="AO303" s="1">
        <f t="shared" si="132"/>
        <v>0</v>
      </c>
      <c r="AP303" s="1">
        <f t="shared" si="133"/>
        <v>0</v>
      </c>
      <c r="AQ303" s="16">
        <f t="shared" si="126"/>
        <v>0</v>
      </c>
      <c r="AR303" s="23" t="e">
        <f t="shared" si="134"/>
        <v>#DIV/0!</v>
      </c>
      <c r="AT303" s="18">
        <f t="shared" si="129"/>
        <v>45955</v>
      </c>
      <c r="AU303" s="19">
        <f t="shared" si="130"/>
        <v>298</v>
      </c>
      <c r="AV303" s="1">
        <f t="shared" si="148"/>
        <v>0</v>
      </c>
      <c r="AW303" s="1">
        <f t="shared" si="149"/>
        <v>0</v>
      </c>
      <c r="AX303" s="1">
        <f t="shared" si="150"/>
        <v>0</v>
      </c>
      <c r="AY303" s="1">
        <f t="shared" si="151"/>
        <v>0</v>
      </c>
      <c r="AZ303" s="1">
        <f t="shared" si="152"/>
        <v>0</v>
      </c>
      <c r="BA303" s="1">
        <f t="shared" si="138"/>
        <v>0</v>
      </c>
      <c r="BB303" s="5" t="str">
        <f t="shared" si="139"/>
        <v>NAN</v>
      </c>
      <c r="BC303" s="1">
        <f>ROUND(AC303,1)</f>
        <v>0</v>
      </c>
      <c r="BD303" s="1">
        <f>ROUND(AD303,1)</f>
        <v>0</v>
      </c>
      <c r="BE303" s="1">
        <f>ROUND(AE303,1)</f>
        <v>0</v>
      </c>
      <c r="BF303" s="5">
        <f t="shared" si="153"/>
        <v>0</v>
      </c>
      <c r="BG303" s="5">
        <f t="shared" si="154"/>
        <v>0</v>
      </c>
      <c r="BH303" s="5">
        <f t="shared" si="155"/>
        <v>0</v>
      </c>
      <c r="BI303" s="5">
        <f t="shared" si="143"/>
        <v>0</v>
      </c>
      <c r="BJ303" s="9">
        <f t="shared" si="144"/>
        <v>0</v>
      </c>
      <c r="BK303" s="9" t="e">
        <f t="shared" si="144"/>
        <v>#DIV/0!</v>
      </c>
      <c r="BM303" s="1">
        <f t="shared" si="145"/>
        <v>0</v>
      </c>
      <c r="BN303" s="1">
        <f t="shared" si="146"/>
        <v>0</v>
      </c>
    </row>
    <row r="304" spans="1:66" x14ac:dyDescent="0.2">
      <c r="A304" s="4">
        <f t="shared" si="147"/>
        <v>45956</v>
      </c>
      <c r="B304" s="1">
        <v>299</v>
      </c>
      <c r="C304" s="1">
        <v>12</v>
      </c>
      <c r="AL304" s="5"/>
      <c r="AN304" s="1">
        <f t="shared" si="131"/>
        <v>0</v>
      </c>
      <c r="AO304" s="1">
        <f t="shared" si="132"/>
        <v>0</v>
      </c>
      <c r="AP304" s="1">
        <f t="shared" si="133"/>
        <v>0</v>
      </c>
      <c r="AQ304" s="16">
        <f t="shared" si="126"/>
        <v>0</v>
      </c>
      <c r="AR304" s="23" t="e">
        <f t="shared" si="134"/>
        <v>#DIV/0!</v>
      </c>
      <c r="AT304" s="18">
        <f t="shared" si="129"/>
        <v>45956</v>
      </c>
      <c r="AU304" s="19">
        <f t="shared" si="130"/>
        <v>299</v>
      </c>
      <c r="AV304" s="1">
        <f t="shared" si="148"/>
        <v>0</v>
      </c>
      <c r="AW304" s="1">
        <f t="shared" si="149"/>
        <v>0</v>
      </c>
      <c r="AX304" s="1">
        <f t="shared" si="150"/>
        <v>0</v>
      </c>
      <c r="AY304" s="1">
        <f t="shared" si="151"/>
        <v>0</v>
      </c>
      <c r="AZ304" s="1">
        <f t="shared" si="152"/>
        <v>0</v>
      </c>
      <c r="BA304" s="1">
        <f t="shared" si="138"/>
        <v>0</v>
      </c>
      <c r="BB304" s="5" t="str">
        <f t="shared" si="139"/>
        <v>NAN</v>
      </c>
      <c r="BC304" s="1">
        <f>ROUND(AC304,1)</f>
        <v>0</v>
      </c>
      <c r="BD304" s="1">
        <f>ROUND(AD304,1)</f>
        <v>0</v>
      </c>
      <c r="BE304" s="1">
        <f>ROUND(AE304,1)</f>
        <v>0</v>
      </c>
      <c r="BF304" s="5">
        <f t="shared" si="153"/>
        <v>0</v>
      </c>
      <c r="BG304" s="5">
        <f t="shared" si="154"/>
        <v>0</v>
      </c>
      <c r="BH304" s="5">
        <f t="shared" si="155"/>
        <v>0</v>
      </c>
      <c r="BI304" s="5">
        <f t="shared" si="143"/>
        <v>0</v>
      </c>
      <c r="BJ304" s="9">
        <f t="shared" si="144"/>
        <v>0</v>
      </c>
      <c r="BK304" s="9" t="e">
        <f t="shared" si="144"/>
        <v>#DIV/0!</v>
      </c>
      <c r="BM304" s="1">
        <f t="shared" si="145"/>
        <v>0</v>
      </c>
      <c r="BN304" s="1">
        <f t="shared" si="146"/>
        <v>0</v>
      </c>
    </row>
    <row r="305" spans="1:66" x14ac:dyDescent="0.2">
      <c r="A305" s="4">
        <f t="shared" si="147"/>
        <v>45957</v>
      </c>
      <c r="B305" s="1">
        <v>300</v>
      </c>
      <c r="C305" s="1">
        <v>12</v>
      </c>
      <c r="AL305" s="5"/>
      <c r="AN305" s="1">
        <f t="shared" si="131"/>
        <v>0</v>
      </c>
      <c r="AO305" s="1">
        <f t="shared" si="132"/>
        <v>0</v>
      </c>
      <c r="AP305" s="1">
        <f t="shared" si="133"/>
        <v>0</v>
      </c>
      <c r="AQ305" s="16">
        <f t="shared" si="126"/>
        <v>0</v>
      </c>
      <c r="AR305" s="23" t="e">
        <f t="shared" si="134"/>
        <v>#DIV/0!</v>
      </c>
      <c r="AT305" s="18">
        <f t="shared" si="129"/>
        <v>45957</v>
      </c>
      <c r="AU305" s="19">
        <f t="shared" si="130"/>
        <v>300</v>
      </c>
      <c r="AV305" s="1">
        <f t="shared" si="148"/>
        <v>0</v>
      </c>
      <c r="AW305" s="1">
        <f t="shared" si="149"/>
        <v>0</v>
      </c>
      <c r="AX305" s="1">
        <f t="shared" si="150"/>
        <v>0</v>
      </c>
      <c r="AY305" s="1">
        <f t="shared" si="151"/>
        <v>0</v>
      </c>
      <c r="AZ305" s="1">
        <f t="shared" si="152"/>
        <v>0</v>
      </c>
      <c r="BA305" s="1">
        <f t="shared" si="138"/>
        <v>0</v>
      </c>
      <c r="BB305" s="5" t="str">
        <f t="shared" si="139"/>
        <v>NAN</v>
      </c>
      <c r="BC305" s="1">
        <f>ROUND(AC305,1)</f>
        <v>0</v>
      </c>
      <c r="BD305" s="1">
        <f>ROUND(AD305,1)</f>
        <v>0</v>
      </c>
      <c r="BE305" s="1">
        <f>ROUND(AE305,1)</f>
        <v>0</v>
      </c>
      <c r="BF305" s="5">
        <f t="shared" si="153"/>
        <v>0</v>
      </c>
      <c r="BG305" s="5">
        <f t="shared" si="154"/>
        <v>0</v>
      </c>
      <c r="BH305" s="5">
        <f t="shared" si="155"/>
        <v>0</v>
      </c>
      <c r="BI305" s="5">
        <f t="shared" si="143"/>
        <v>0</v>
      </c>
      <c r="BJ305" s="9">
        <f t="shared" si="144"/>
        <v>0</v>
      </c>
      <c r="BK305" s="9" t="e">
        <f t="shared" si="144"/>
        <v>#DIV/0!</v>
      </c>
      <c r="BM305" s="1">
        <f t="shared" si="145"/>
        <v>0</v>
      </c>
      <c r="BN305" s="1">
        <f t="shared" si="146"/>
        <v>0</v>
      </c>
    </row>
    <row r="306" spans="1:66" x14ac:dyDescent="0.2">
      <c r="A306" s="4">
        <f t="shared" si="147"/>
        <v>45958</v>
      </c>
      <c r="B306" s="1">
        <v>301</v>
      </c>
      <c r="C306" s="1">
        <v>12</v>
      </c>
      <c r="AL306" s="5"/>
      <c r="AN306" s="1">
        <f t="shared" si="131"/>
        <v>0</v>
      </c>
      <c r="AO306" s="1">
        <f t="shared" si="132"/>
        <v>0</v>
      </c>
      <c r="AP306" s="1">
        <f t="shared" si="133"/>
        <v>0</v>
      </c>
      <c r="AQ306" s="16">
        <f t="shared" si="126"/>
        <v>0</v>
      </c>
      <c r="AR306" s="23" t="e">
        <f t="shared" si="134"/>
        <v>#DIV/0!</v>
      </c>
      <c r="AT306" s="18">
        <f t="shared" si="129"/>
        <v>45958</v>
      </c>
      <c r="AU306" s="19">
        <f t="shared" si="130"/>
        <v>301</v>
      </c>
      <c r="AV306" s="1">
        <f t="shared" si="148"/>
        <v>0</v>
      </c>
      <c r="AW306" s="1">
        <f t="shared" si="149"/>
        <v>0</v>
      </c>
      <c r="AX306" s="1">
        <f t="shared" si="150"/>
        <v>0</v>
      </c>
      <c r="AY306" s="1">
        <f t="shared" si="151"/>
        <v>0</v>
      </c>
      <c r="AZ306" s="1">
        <f t="shared" si="152"/>
        <v>0</v>
      </c>
      <c r="BA306" s="1">
        <f t="shared" si="138"/>
        <v>0</v>
      </c>
      <c r="BB306" s="5" t="str">
        <f t="shared" si="139"/>
        <v>NAN</v>
      </c>
      <c r="BC306" s="1">
        <f>ROUND(AC306,1)</f>
        <v>0</v>
      </c>
      <c r="BD306" s="1">
        <f>ROUND(AD306,1)</f>
        <v>0</v>
      </c>
      <c r="BE306" s="1">
        <f>ROUND(AE306,1)</f>
        <v>0</v>
      </c>
      <c r="BF306" s="5">
        <f t="shared" si="153"/>
        <v>0</v>
      </c>
      <c r="BG306" s="5">
        <f t="shared" si="154"/>
        <v>0</v>
      </c>
      <c r="BH306" s="5">
        <f t="shared" si="155"/>
        <v>0</v>
      </c>
      <c r="BI306" s="5">
        <f t="shared" si="143"/>
        <v>0</v>
      </c>
      <c r="BJ306" s="9">
        <f t="shared" si="144"/>
        <v>0</v>
      </c>
      <c r="BK306" s="9" t="e">
        <f t="shared" si="144"/>
        <v>#DIV/0!</v>
      </c>
      <c r="BM306" s="1">
        <f t="shared" si="145"/>
        <v>0</v>
      </c>
      <c r="BN306" s="1">
        <f t="shared" si="146"/>
        <v>0</v>
      </c>
    </row>
    <row r="307" spans="1:66" x14ac:dyDescent="0.2">
      <c r="A307" s="4">
        <f t="shared" si="147"/>
        <v>45959</v>
      </c>
      <c r="B307" s="1">
        <v>302</v>
      </c>
      <c r="C307" s="1">
        <v>12</v>
      </c>
      <c r="AL307" s="5"/>
      <c r="AN307" s="1">
        <f t="shared" si="131"/>
        <v>0</v>
      </c>
      <c r="AO307" s="1">
        <f t="shared" si="132"/>
        <v>0</v>
      </c>
      <c r="AP307" s="1">
        <f t="shared" si="133"/>
        <v>0</v>
      </c>
      <c r="AQ307" s="16">
        <f t="shared" si="126"/>
        <v>0</v>
      </c>
      <c r="AR307" s="23" t="e">
        <f t="shared" si="134"/>
        <v>#DIV/0!</v>
      </c>
      <c r="AT307" s="18">
        <f t="shared" si="129"/>
        <v>45959</v>
      </c>
      <c r="AU307" s="19">
        <f t="shared" si="130"/>
        <v>302</v>
      </c>
      <c r="AV307" s="1">
        <f t="shared" si="148"/>
        <v>0</v>
      </c>
      <c r="AW307" s="1">
        <f t="shared" si="149"/>
        <v>0</v>
      </c>
      <c r="AX307" s="1">
        <f t="shared" si="150"/>
        <v>0</v>
      </c>
      <c r="AY307" s="1">
        <f t="shared" si="151"/>
        <v>0</v>
      </c>
      <c r="AZ307" s="1">
        <f t="shared" si="152"/>
        <v>0</v>
      </c>
      <c r="BA307" s="1">
        <f t="shared" si="138"/>
        <v>0</v>
      </c>
      <c r="BB307" s="5" t="str">
        <f t="shared" si="139"/>
        <v>NAN</v>
      </c>
      <c r="BC307" s="1">
        <f>ROUND(AC307,1)</f>
        <v>0</v>
      </c>
      <c r="BD307" s="1">
        <f>ROUND(AD307,1)</f>
        <v>0</v>
      </c>
      <c r="BE307" s="1">
        <f>ROUND(AE307,1)</f>
        <v>0</v>
      </c>
      <c r="BF307" s="5">
        <f t="shared" si="153"/>
        <v>0</v>
      </c>
      <c r="BG307" s="5">
        <f t="shared" si="154"/>
        <v>0</v>
      </c>
      <c r="BH307" s="5">
        <f t="shared" si="155"/>
        <v>0</v>
      </c>
      <c r="BI307" s="5">
        <f t="shared" si="143"/>
        <v>0</v>
      </c>
      <c r="BJ307" s="9">
        <f t="shared" si="144"/>
        <v>0</v>
      </c>
      <c r="BK307" s="9" t="e">
        <f t="shared" si="144"/>
        <v>#DIV/0!</v>
      </c>
      <c r="BM307" s="1">
        <f t="shared" si="145"/>
        <v>0</v>
      </c>
      <c r="BN307" s="1">
        <f t="shared" si="146"/>
        <v>0</v>
      </c>
    </row>
    <row r="308" spans="1:66" x14ac:dyDescent="0.2">
      <c r="A308" s="4">
        <f t="shared" si="147"/>
        <v>45960</v>
      </c>
      <c r="B308" s="1">
        <v>303</v>
      </c>
      <c r="C308" s="1">
        <v>12</v>
      </c>
      <c r="AL308" s="5"/>
      <c r="AN308" s="1">
        <f t="shared" si="131"/>
        <v>0</v>
      </c>
      <c r="AO308" s="1">
        <f t="shared" si="132"/>
        <v>0</v>
      </c>
      <c r="AP308" s="1">
        <f t="shared" si="133"/>
        <v>0</v>
      </c>
      <c r="AQ308" s="16">
        <f t="shared" si="126"/>
        <v>0</v>
      </c>
      <c r="AR308" s="23" t="e">
        <f t="shared" si="134"/>
        <v>#DIV/0!</v>
      </c>
      <c r="AT308" s="18">
        <f t="shared" si="129"/>
        <v>45960</v>
      </c>
      <c r="AU308" s="19">
        <f t="shared" si="130"/>
        <v>303</v>
      </c>
      <c r="AV308" s="1">
        <f t="shared" si="148"/>
        <v>0</v>
      </c>
      <c r="AW308" s="1">
        <f t="shared" si="149"/>
        <v>0</v>
      </c>
      <c r="AX308" s="1">
        <f t="shared" si="150"/>
        <v>0</v>
      </c>
      <c r="AY308" s="1">
        <f t="shared" si="151"/>
        <v>0</v>
      </c>
      <c r="AZ308" s="1">
        <f t="shared" si="152"/>
        <v>0</v>
      </c>
      <c r="BA308" s="1">
        <f t="shared" si="138"/>
        <v>0</v>
      </c>
      <c r="BB308" s="5" t="str">
        <f t="shared" si="139"/>
        <v>NAN</v>
      </c>
      <c r="BC308" s="1">
        <f>ROUND(AC308,1)</f>
        <v>0</v>
      </c>
      <c r="BD308" s="1">
        <f>ROUND(AD308,1)</f>
        <v>0</v>
      </c>
      <c r="BE308" s="1">
        <f>ROUND(AE308,1)</f>
        <v>0</v>
      </c>
      <c r="BF308" s="5">
        <f t="shared" si="153"/>
        <v>0</v>
      </c>
      <c r="BG308" s="5">
        <f t="shared" si="154"/>
        <v>0</v>
      </c>
      <c r="BH308" s="5">
        <f t="shared" si="155"/>
        <v>0</v>
      </c>
      <c r="BI308" s="5">
        <f t="shared" si="143"/>
        <v>0</v>
      </c>
      <c r="BJ308" s="9">
        <f t="shared" si="144"/>
        <v>0</v>
      </c>
      <c r="BK308" s="9" t="e">
        <f t="shared" si="144"/>
        <v>#DIV/0!</v>
      </c>
      <c r="BM308" s="1">
        <f t="shared" si="145"/>
        <v>0</v>
      </c>
      <c r="BN308" s="1">
        <f t="shared" si="146"/>
        <v>0</v>
      </c>
    </row>
    <row r="309" spans="1:66" x14ac:dyDescent="0.2">
      <c r="A309" s="4">
        <f t="shared" si="147"/>
        <v>45961</v>
      </c>
      <c r="B309" s="1">
        <v>304</v>
      </c>
      <c r="C309" s="1">
        <v>12</v>
      </c>
      <c r="AL309" s="5"/>
      <c r="AN309" s="1">
        <f t="shared" si="131"/>
        <v>0</v>
      </c>
      <c r="AO309" s="1">
        <f t="shared" si="132"/>
        <v>0</v>
      </c>
      <c r="AP309" s="1">
        <f t="shared" si="133"/>
        <v>0</v>
      </c>
      <c r="AQ309" s="16">
        <f t="shared" si="126"/>
        <v>0</v>
      </c>
      <c r="AR309" s="23" t="e">
        <f t="shared" si="134"/>
        <v>#DIV/0!</v>
      </c>
      <c r="AT309" s="18">
        <f t="shared" si="129"/>
        <v>45961</v>
      </c>
      <c r="AU309" s="19">
        <f t="shared" si="130"/>
        <v>304</v>
      </c>
      <c r="AV309" s="1">
        <f t="shared" si="148"/>
        <v>0</v>
      </c>
      <c r="AW309" s="1">
        <f t="shared" si="149"/>
        <v>0</v>
      </c>
      <c r="AX309" s="1">
        <f t="shared" si="150"/>
        <v>0</v>
      </c>
      <c r="AY309" s="1">
        <f t="shared" si="151"/>
        <v>0</v>
      </c>
      <c r="AZ309" s="1">
        <f t="shared" si="152"/>
        <v>0</v>
      </c>
      <c r="BA309" s="1">
        <f t="shared" si="138"/>
        <v>0</v>
      </c>
      <c r="BB309" s="5" t="str">
        <f t="shared" si="139"/>
        <v>NAN</v>
      </c>
      <c r="BC309" s="1">
        <f>ROUND(AC309,1)</f>
        <v>0</v>
      </c>
      <c r="BD309" s="1">
        <f>ROUND(AD309,1)</f>
        <v>0</v>
      </c>
      <c r="BE309" s="1">
        <f>ROUND(AE309,1)</f>
        <v>0</v>
      </c>
      <c r="BF309" s="5">
        <f t="shared" si="153"/>
        <v>0</v>
      </c>
      <c r="BG309" s="5">
        <f t="shared" si="154"/>
        <v>0</v>
      </c>
      <c r="BH309" s="5">
        <f t="shared" si="155"/>
        <v>0</v>
      </c>
      <c r="BI309" s="5">
        <f t="shared" si="143"/>
        <v>0</v>
      </c>
      <c r="BJ309" s="9">
        <f t="shared" si="144"/>
        <v>0</v>
      </c>
      <c r="BK309" s="9" t="e">
        <f t="shared" si="144"/>
        <v>#DIV/0!</v>
      </c>
      <c r="BM309" s="1">
        <f t="shared" si="145"/>
        <v>0</v>
      </c>
      <c r="BN309" s="1">
        <f t="shared" si="146"/>
        <v>0</v>
      </c>
    </row>
    <row r="310" spans="1:66" x14ac:dyDescent="0.2">
      <c r="A310" s="4">
        <f t="shared" si="147"/>
        <v>45962</v>
      </c>
      <c r="B310" s="1">
        <v>305</v>
      </c>
      <c r="C310" s="1">
        <v>12</v>
      </c>
      <c r="AL310" s="5"/>
      <c r="AN310" s="1">
        <f t="shared" si="131"/>
        <v>0</v>
      </c>
      <c r="AO310" s="1">
        <f t="shared" si="132"/>
        <v>0</v>
      </c>
      <c r="AP310" s="1">
        <f t="shared" si="133"/>
        <v>0</v>
      </c>
      <c r="AQ310" s="16">
        <f t="shared" ref="AQ310:AQ337" si="156">ROUND((0.6105*(EXP((17.273*N310)/(N310+237.3))))*AP310/100,3)</f>
        <v>0</v>
      </c>
      <c r="AR310" s="23" t="e">
        <f t="shared" si="134"/>
        <v>#DIV/0!</v>
      </c>
      <c r="AT310" s="18">
        <f t="shared" si="129"/>
        <v>45962</v>
      </c>
      <c r="AU310" s="19">
        <f t="shared" si="130"/>
        <v>305</v>
      </c>
      <c r="AV310" s="1">
        <f t="shared" si="148"/>
        <v>0</v>
      </c>
      <c r="AW310" s="1">
        <f t="shared" si="149"/>
        <v>0</v>
      </c>
      <c r="AX310" s="1">
        <f t="shared" si="150"/>
        <v>0</v>
      </c>
      <c r="AY310" s="1">
        <f t="shared" si="151"/>
        <v>0</v>
      </c>
      <c r="AZ310" s="1">
        <f t="shared" si="152"/>
        <v>0</v>
      </c>
      <c r="BA310" s="1">
        <f t="shared" si="138"/>
        <v>0</v>
      </c>
      <c r="BB310" s="5" t="str">
        <f t="shared" si="139"/>
        <v>NAN</v>
      </c>
      <c r="BC310" s="1">
        <f>ROUND(AC310,1)</f>
        <v>0</v>
      </c>
      <c r="BD310" s="1">
        <f>ROUND(AD310,1)</f>
        <v>0</v>
      </c>
      <c r="BE310" s="1">
        <f>ROUND(AE310,1)</f>
        <v>0</v>
      </c>
      <c r="BF310" s="5">
        <f t="shared" si="153"/>
        <v>0</v>
      </c>
      <c r="BG310" s="5">
        <f t="shared" si="154"/>
        <v>0</v>
      </c>
      <c r="BH310" s="5">
        <f t="shared" si="155"/>
        <v>0</v>
      </c>
      <c r="BI310" s="5">
        <f t="shared" si="143"/>
        <v>0</v>
      </c>
      <c r="BJ310" s="9">
        <f t="shared" si="144"/>
        <v>0</v>
      </c>
      <c r="BK310" s="9" t="e">
        <f t="shared" si="144"/>
        <v>#DIV/0!</v>
      </c>
      <c r="BM310" s="1">
        <f t="shared" si="145"/>
        <v>0</v>
      </c>
      <c r="BN310" s="1">
        <f t="shared" si="146"/>
        <v>0</v>
      </c>
    </row>
    <row r="311" spans="1:66" x14ac:dyDescent="0.2">
      <c r="A311" s="4">
        <f t="shared" si="147"/>
        <v>45963</v>
      </c>
      <c r="B311" s="1">
        <v>306</v>
      </c>
      <c r="C311" s="1">
        <v>12</v>
      </c>
      <c r="AL311" s="5"/>
      <c r="AN311" s="1">
        <f t="shared" si="131"/>
        <v>0</v>
      </c>
      <c r="AO311" s="1">
        <f t="shared" si="132"/>
        <v>0</v>
      </c>
      <c r="AP311" s="1">
        <f t="shared" si="133"/>
        <v>0</v>
      </c>
      <c r="AQ311" s="16">
        <f t="shared" si="156"/>
        <v>0</v>
      </c>
      <c r="AR311" s="23" t="e">
        <f t="shared" si="134"/>
        <v>#DIV/0!</v>
      </c>
      <c r="AT311" s="18">
        <f t="shared" si="129"/>
        <v>45963</v>
      </c>
      <c r="AU311" s="19">
        <f t="shared" si="130"/>
        <v>306</v>
      </c>
      <c r="AV311" s="1">
        <f t="shared" si="148"/>
        <v>0</v>
      </c>
      <c r="AW311" s="1">
        <f t="shared" si="149"/>
        <v>0</v>
      </c>
      <c r="AX311" s="1">
        <f t="shared" si="150"/>
        <v>0</v>
      </c>
      <c r="AY311" s="1">
        <f t="shared" si="151"/>
        <v>0</v>
      </c>
      <c r="AZ311" s="1">
        <f t="shared" si="152"/>
        <v>0</v>
      </c>
      <c r="BA311" s="1">
        <f t="shared" si="138"/>
        <v>0</v>
      </c>
      <c r="BB311" s="5" t="str">
        <f t="shared" si="139"/>
        <v>NAN</v>
      </c>
      <c r="BC311" s="1">
        <f>ROUND(AC311,1)</f>
        <v>0</v>
      </c>
      <c r="BD311" s="1">
        <f>ROUND(AD311,1)</f>
        <v>0</v>
      </c>
      <c r="BE311" s="1">
        <f>ROUND(AE311,1)</f>
        <v>0</v>
      </c>
      <c r="BF311" s="5">
        <f t="shared" si="153"/>
        <v>0</v>
      </c>
      <c r="BG311" s="5">
        <f t="shared" si="154"/>
        <v>0</v>
      </c>
      <c r="BH311" s="5">
        <f t="shared" si="155"/>
        <v>0</v>
      </c>
      <c r="BI311" s="5">
        <f t="shared" si="143"/>
        <v>0</v>
      </c>
      <c r="BJ311" s="9">
        <f t="shared" si="144"/>
        <v>0</v>
      </c>
      <c r="BK311" s="9" t="e">
        <f t="shared" si="144"/>
        <v>#DIV/0!</v>
      </c>
      <c r="BM311" s="1">
        <f t="shared" si="145"/>
        <v>0</v>
      </c>
      <c r="BN311" s="1">
        <f t="shared" si="146"/>
        <v>0</v>
      </c>
    </row>
    <row r="312" spans="1:66" x14ac:dyDescent="0.2">
      <c r="A312" s="4">
        <f t="shared" si="147"/>
        <v>45964</v>
      </c>
      <c r="B312" s="1">
        <v>307</v>
      </c>
      <c r="C312" s="1">
        <v>12</v>
      </c>
      <c r="AL312" s="5"/>
      <c r="AN312" s="1">
        <f t="shared" si="131"/>
        <v>0</v>
      </c>
      <c r="AO312" s="1">
        <f t="shared" si="132"/>
        <v>0</v>
      </c>
      <c r="AP312" s="1">
        <f t="shared" si="133"/>
        <v>0</v>
      </c>
      <c r="AQ312" s="16">
        <f t="shared" si="156"/>
        <v>0</v>
      </c>
      <c r="AR312" s="23" t="e">
        <f t="shared" si="134"/>
        <v>#DIV/0!</v>
      </c>
      <c r="AT312" s="18">
        <f t="shared" si="129"/>
        <v>45964</v>
      </c>
      <c r="AU312" s="19">
        <f t="shared" si="130"/>
        <v>307</v>
      </c>
      <c r="AV312" s="1">
        <f t="shared" si="148"/>
        <v>0</v>
      </c>
      <c r="AW312" s="1">
        <f t="shared" si="149"/>
        <v>0</v>
      </c>
      <c r="AX312" s="1">
        <f t="shared" si="150"/>
        <v>0</v>
      </c>
      <c r="AY312" s="1">
        <f t="shared" si="151"/>
        <v>0</v>
      </c>
      <c r="AZ312" s="1">
        <f t="shared" si="152"/>
        <v>0</v>
      </c>
      <c r="BA312" s="1">
        <f t="shared" si="138"/>
        <v>0</v>
      </c>
      <c r="BB312" s="5" t="str">
        <f t="shared" si="139"/>
        <v>NAN</v>
      </c>
      <c r="BC312" s="1">
        <f>ROUND(AC312,1)</f>
        <v>0</v>
      </c>
      <c r="BD312" s="1">
        <f>ROUND(AD312,1)</f>
        <v>0</v>
      </c>
      <c r="BE312" s="1">
        <f>ROUND(AE312,1)</f>
        <v>0</v>
      </c>
      <c r="BF312" s="5">
        <f t="shared" si="153"/>
        <v>0</v>
      </c>
      <c r="BG312" s="5">
        <f t="shared" si="154"/>
        <v>0</v>
      </c>
      <c r="BH312" s="5">
        <f t="shared" si="155"/>
        <v>0</v>
      </c>
      <c r="BI312" s="5">
        <f t="shared" si="143"/>
        <v>0</v>
      </c>
      <c r="BJ312" s="9">
        <f t="shared" si="144"/>
        <v>0</v>
      </c>
      <c r="BK312" s="9" t="e">
        <f t="shared" si="144"/>
        <v>#DIV/0!</v>
      </c>
      <c r="BM312" s="1">
        <f t="shared" si="145"/>
        <v>0</v>
      </c>
      <c r="BN312" s="1">
        <f t="shared" si="146"/>
        <v>0</v>
      </c>
    </row>
    <row r="313" spans="1:66" x14ac:dyDescent="0.2">
      <c r="A313" s="4">
        <f t="shared" si="147"/>
        <v>45965</v>
      </c>
      <c r="B313" s="1">
        <v>308</v>
      </c>
      <c r="C313" s="1">
        <v>12</v>
      </c>
      <c r="AL313" s="5"/>
      <c r="AN313" s="1">
        <f t="shared" si="131"/>
        <v>0</v>
      </c>
      <c r="AO313" s="1">
        <f t="shared" si="132"/>
        <v>0</v>
      </c>
      <c r="AP313" s="1">
        <f t="shared" si="133"/>
        <v>0</v>
      </c>
      <c r="AQ313" s="16">
        <f t="shared" si="156"/>
        <v>0</v>
      </c>
      <c r="AR313" s="23" t="e">
        <f t="shared" si="134"/>
        <v>#DIV/0!</v>
      </c>
      <c r="AT313" s="18">
        <f t="shared" si="129"/>
        <v>45965</v>
      </c>
      <c r="AU313" s="19">
        <f t="shared" si="130"/>
        <v>308</v>
      </c>
      <c r="AV313" s="1">
        <f t="shared" si="148"/>
        <v>0</v>
      </c>
      <c r="AW313" s="1">
        <f t="shared" si="149"/>
        <v>0</v>
      </c>
      <c r="AX313" s="1">
        <f t="shared" si="150"/>
        <v>0</v>
      </c>
      <c r="AY313" s="1">
        <f t="shared" si="151"/>
        <v>0</v>
      </c>
      <c r="AZ313" s="1">
        <f t="shared" si="152"/>
        <v>0</v>
      </c>
      <c r="BA313" s="1">
        <f t="shared" si="138"/>
        <v>0</v>
      </c>
      <c r="BB313" s="5" t="str">
        <f t="shared" si="139"/>
        <v>NAN</v>
      </c>
      <c r="BC313" s="1">
        <f>ROUND(AC313,1)</f>
        <v>0</v>
      </c>
      <c r="BD313" s="1">
        <f>ROUND(AD313,1)</f>
        <v>0</v>
      </c>
      <c r="BE313" s="1">
        <f>ROUND(AE313,1)</f>
        <v>0</v>
      </c>
      <c r="BF313" s="5">
        <f t="shared" si="153"/>
        <v>0</v>
      </c>
      <c r="BG313" s="5">
        <f t="shared" si="154"/>
        <v>0</v>
      </c>
      <c r="BH313" s="5">
        <f t="shared" si="155"/>
        <v>0</v>
      </c>
      <c r="BI313" s="5">
        <f t="shared" si="143"/>
        <v>0</v>
      </c>
      <c r="BJ313" s="9">
        <f t="shared" si="144"/>
        <v>0</v>
      </c>
      <c r="BK313" s="9" t="e">
        <f t="shared" si="144"/>
        <v>#DIV/0!</v>
      </c>
      <c r="BM313" s="1">
        <f t="shared" si="145"/>
        <v>0</v>
      </c>
      <c r="BN313" s="1">
        <f t="shared" si="146"/>
        <v>0</v>
      </c>
    </row>
    <row r="314" spans="1:66" x14ac:dyDescent="0.2">
      <c r="A314" s="4">
        <f t="shared" si="147"/>
        <v>45966</v>
      </c>
      <c r="B314" s="1">
        <v>309</v>
      </c>
      <c r="C314" s="1">
        <v>12</v>
      </c>
      <c r="AL314" s="5"/>
      <c r="AN314" s="1">
        <f t="shared" si="131"/>
        <v>0</v>
      </c>
      <c r="AO314" s="1">
        <f t="shared" si="132"/>
        <v>0</v>
      </c>
      <c r="AP314" s="1">
        <f t="shared" si="133"/>
        <v>0</v>
      </c>
      <c r="AQ314" s="16">
        <f t="shared" si="156"/>
        <v>0</v>
      </c>
      <c r="AR314" s="23" t="e">
        <f t="shared" si="134"/>
        <v>#DIV/0!</v>
      </c>
      <c r="AT314" s="18">
        <f t="shared" si="129"/>
        <v>45966</v>
      </c>
      <c r="AU314" s="19">
        <f t="shared" si="130"/>
        <v>309</v>
      </c>
      <c r="AV314" s="1">
        <f t="shared" si="148"/>
        <v>0</v>
      </c>
      <c r="AW314" s="1">
        <f t="shared" si="149"/>
        <v>0</v>
      </c>
      <c r="AX314" s="1">
        <f t="shared" si="150"/>
        <v>0</v>
      </c>
      <c r="AY314" s="1">
        <f t="shared" si="151"/>
        <v>0</v>
      </c>
      <c r="AZ314" s="1">
        <f t="shared" si="152"/>
        <v>0</v>
      </c>
      <c r="BA314" s="1">
        <f t="shared" si="138"/>
        <v>0</v>
      </c>
      <c r="BB314" s="5" t="str">
        <f t="shared" si="139"/>
        <v>NAN</v>
      </c>
      <c r="BC314" s="1">
        <f>ROUND(AC314,1)</f>
        <v>0</v>
      </c>
      <c r="BD314" s="1">
        <f>ROUND(AD314,1)</f>
        <v>0</v>
      </c>
      <c r="BE314" s="1">
        <f>ROUND(AE314,1)</f>
        <v>0</v>
      </c>
      <c r="BF314" s="5">
        <f t="shared" si="153"/>
        <v>0</v>
      </c>
      <c r="BG314" s="5">
        <f t="shared" si="154"/>
        <v>0</v>
      </c>
      <c r="BH314" s="5">
        <f t="shared" si="155"/>
        <v>0</v>
      </c>
      <c r="BI314" s="5">
        <f t="shared" si="143"/>
        <v>0</v>
      </c>
      <c r="BJ314" s="9">
        <f t="shared" si="144"/>
        <v>0</v>
      </c>
      <c r="BK314" s="9" t="e">
        <f t="shared" si="144"/>
        <v>#DIV/0!</v>
      </c>
      <c r="BM314" s="1">
        <f t="shared" si="145"/>
        <v>0</v>
      </c>
      <c r="BN314" s="1">
        <f t="shared" si="146"/>
        <v>0</v>
      </c>
    </row>
    <row r="315" spans="1:66" x14ac:dyDescent="0.2">
      <c r="A315" s="4">
        <f t="shared" si="147"/>
        <v>45967</v>
      </c>
      <c r="B315" s="1">
        <v>310</v>
      </c>
      <c r="C315" s="1">
        <v>12</v>
      </c>
      <c r="AL315" s="5"/>
      <c r="AN315" s="1">
        <f t="shared" si="131"/>
        <v>0</v>
      </c>
      <c r="AO315" s="1">
        <f t="shared" si="132"/>
        <v>0</v>
      </c>
      <c r="AP315" s="1">
        <f t="shared" si="133"/>
        <v>0</v>
      </c>
      <c r="AQ315" s="16">
        <f t="shared" si="156"/>
        <v>0</v>
      </c>
      <c r="AR315" s="23" t="e">
        <f t="shared" si="134"/>
        <v>#DIV/0!</v>
      </c>
      <c r="AT315" s="18">
        <f t="shared" si="129"/>
        <v>45967</v>
      </c>
      <c r="AU315" s="19">
        <f t="shared" si="130"/>
        <v>310</v>
      </c>
      <c r="AV315" s="1">
        <f t="shared" si="148"/>
        <v>0</v>
      </c>
      <c r="AW315" s="1">
        <f t="shared" si="149"/>
        <v>0</v>
      </c>
      <c r="AX315" s="1">
        <f t="shared" si="150"/>
        <v>0</v>
      </c>
      <c r="AY315" s="1">
        <f t="shared" si="151"/>
        <v>0</v>
      </c>
      <c r="AZ315" s="1">
        <f t="shared" si="152"/>
        <v>0</v>
      </c>
      <c r="BA315" s="1">
        <f t="shared" si="138"/>
        <v>0</v>
      </c>
      <c r="BB315" s="5" t="str">
        <f t="shared" si="139"/>
        <v>NAN</v>
      </c>
      <c r="BC315" s="1">
        <f>ROUND(AC315,1)</f>
        <v>0</v>
      </c>
      <c r="BD315" s="1">
        <f>ROUND(AD315,1)</f>
        <v>0</v>
      </c>
      <c r="BE315" s="1">
        <f>ROUND(AE315,1)</f>
        <v>0</v>
      </c>
      <c r="BF315" s="5">
        <f t="shared" si="153"/>
        <v>0</v>
      </c>
      <c r="BG315" s="5">
        <f t="shared" si="154"/>
        <v>0</v>
      </c>
      <c r="BH315" s="5">
        <f t="shared" si="155"/>
        <v>0</v>
      </c>
      <c r="BI315" s="5">
        <f t="shared" si="143"/>
        <v>0</v>
      </c>
      <c r="BJ315" s="9">
        <f t="shared" si="144"/>
        <v>0</v>
      </c>
      <c r="BK315" s="9" t="e">
        <f t="shared" si="144"/>
        <v>#DIV/0!</v>
      </c>
      <c r="BM315" s="1">
        <f t="shared" si="145"/>
        <v>0</v>
      </c>
      <c r="BN315" s="1">
        <f t="shared" si="146"/>
        <v>0</v>
      </c>
    </row>
    <row r="316" spans="1:66" x14ac:dyDescent="0.2">
      <c r="A316" s="4">
        <f t="shared" si="147"/>
        <v>45968</v>
      </c>
      <c r="B316" s="1">
        <v>311</v>
      </c>
      <c r="C316" s="1">
        <v>12</v>
      </c>
      <c r="AL316" s="5"/>
      <c r="AN316" s="1">
        <f t="shared" si="131"/>
        <v>0</v>
      </c>
      <c r="AO316" s="1">
        <f t="shared" si="132"/>
        <v>0</v>
      </c>
      <c r="AP316" s="1">
        <f t="shared" si="133"/>
        <v>0</v>
      </c>
      <c r="AQ316" s="16">
        <f t="shared" si="156"/>
        <v>0</v>
      </c>
      <c r="AR316" s="23" t="e">
        <f t="shared" si="134"/>
        <v>#DIV/0!</v>
      </c>
      <c r="AT316" s="18">
        <f t="shared" si="129"/>
        <v>45968</v>
      </c>
      <c r="AU316" s="19">
        <f t="shared" si="130"/>
        <v>311</v>
      </c>
      <c r="AV316" s="1">
        <f t="shared" si="148"/>
        <v>0</v>
      </c>
      <c r="AW316" s="1">
        <f t="shared" si="149"/>
        <v>0</v>
      </c>
      <c r="AX316" s="1">
        <f t="shared" si="150"/>
        <v>0</v>
      </c>
      <c r="AY316" s="1">
        <f t="shared" si="151"/>
        <v>0</v>
      </c>
      <c r="AZ316" s="1">
        <f t="shared" si="152"/>
        <v>0</v>
      </c>
      <c r="BA316" s="1">
        <f t="shared" si="138"/>
        <v>0</v>
      </c>
      <c r="BB316" s="5" t="str">
        <f t="shared" si="139"/>
        <v>NAN</v>
      </c>
      <c r="BC316" s="1">
        <f>ROUND(AC316,1)</f>
        <v>0</v>
      </c>
      <c r="BD316" s="1">
        <f>ROUND(AD316,1)</f>
        <v>0</v>
      </c>
      <c r="BE316" s="1">
        <f>ROUND(AE316,1)</f>
        <v>0</v>
      </c>
      <c r="BF316" s="5">
        <f t="shared" si="153"/>
        <v>0</v>
      </c>
      <c r="BG316" s="5">
        <f t="shared" si="154"/>
        <v>0</v>
      </c>
      <c r="BH316" s="5">
        <f t="shared" si="155"/>
        <v>0</v>
      </c>
      <c r="BI316" s="5">
        <f t="shared" si="143"/>
        <v>0</v>
      </c>
      <c r="BJ316" s="9">
        <f t="shared" si="144"/>
        <v>0</v>
      </c>
      <c r="BK316" s="9" t="e">
        <f t="shared" si="144"/>
        <v>#DIV/0!</v>
      </c>
      <c r="BM316" s="1">
        <f t="shared" si="145"/>
        <v>0</v>
      </c>
      <c r="BN316" s="1">
        <f t="shared" si="146"/>
        <v>0</v>
      </c>
    </row>
    <row r="317" spans="1:66" x14ac:dyDescent="0.2">
      <c r="A317" s="4">
        <f t="shared" si="147"/>
        <v>45969</v>
      </c>
      <c r="B317" s="1">
        <v>312</v>
      </c>
      <c r="C317" s="1">
        <v>12</v>
      </c>
      <c r="AL317" s="5"/>
      <c r="AN317" s="1">
        <f t="shared" si="131"/>
        <v>0</v>
      </c>
      <c r="AO317" s="1">
        <f t="shared" si="132"/>
        <v>0</v>
      </c>
      <c r="AP317" s="1">
        <f t="shared" si="133"/>
        <v>0</v>
      </c>
      <c r="AQ317" s="16">
        <f t="shared" si="156"/>
        <v>0</v>
      </c>
      <c r="AR317" s="23" t="e">
        <f t="shared" si="134"/>
        <v>#DIV/0!</v>
      </c>
      <c r="AT317" s="18">
        <f t="shared" si="129"/>
        <v>45969</v>
      </c>
      <c r="AU317" s="19">
        <f t="shared" si="130"/>
        <v>312</v>
      </c>
      <c r="AV317" s="1">
        <f t="shared" si="148"/>
        <v>0</v>
      </c>
      <c r="AW317" s="1">
        <f t="shared" si="149"/>
        <v>0</v>
      </c>
      <c r="AX317" s="1">
        <f t="shared" si="150"/>
        <v>0</v>
      </c>
      <c r="AY317" s="1">
        <f t="shared" si="151"/>
        <v>0</v>
      </c>
      <c r="AZ317" s="1">
        <f t="shared" si="152"/>
        <v>0</v>
      </c>
      <c r="BA317" s="1">
        <f t="shared" si="138"/>
        <v>0</v>
      </c>
      <c r="BB317" s="5" t="str">
        <f t="shared" si="139"/>
        <v>NAN</v>
      </c>
      <c r="BC317" s="1">
        <f>ROUND(AC317,1)</f>
        <v>0</v>
      </c>
      <c r="BD317" s="1">
        <f>ROUND(AD317,1)</f>
        <v>0</v>
      </c>
      <c r="BE317" s="1">
        <f>ROUND(AE317,1)</f>
        <v>0</v>
      </c>
      <c r="BF317" s="5">
        <f t="shared" si="153"/>
        <v>0</v>
      </c>
      <c r="BG317" s="5">
        <f t="shared" si="154"/>
        <v>0</v>
      </c>
      <c r="BH317" s="5">
        <f t="shared" si="155"/>
        <v>0</v>
      </c>
      <c r="BI317" s="5">
        <f t="shared" si="143"/>
        <v>0</v>
      </c>
      <c r="BJ317" s="9">
        <f t="shared" si="144"/>
        <v>0</v>
      </c>
      <c r="BK317" s="9" t="e">
        <f t="shared" si="144"/>
        <v>#DIV/0!</v>
      </c>
      <c r="BM317" s="1">
        <f t="shared" si="145"/>
        <v>0</v>
      </c>
      <c r="BN317" s="1">
        <f t="shared" si="146"/>
        <v>0</v>
      </c>
    </row>
    <row r="318" spans="1:66" x14ac:dyDescent="0.2">
      <c r="A318" s="4">
        <f t="shared" si="147"/>
        <v>45970</v>
      </c>
      <c r="B318" s="1">
        <v>313</v>
      </c>
      <c r="C318" s="1">
        <v>12</v>
      </c>
      <c r="AL318" s="5"/>
      <c r="AN318" s="1">
        <f t="shared" si="131"/>
        <v>0</v>
      </c>
      <c r="AO318" s="1">
        <f t="shared" si="132"/>
        <v>0</v>
      </c>
      <c r="AP318" s="1">
        <f t="shared" si="133"/>
        <v>0</v>
      </c>
      <c r="AQ318" s="16">
        <f t="shared" si="156"/>
        <v>0</v>
      </c>
      <c r="AR318" s="23" t="e">
        <f t="shared" si="134"/>
        <v>#DIV/0!</v>
      </c>
      <c r="AT318" s="18">
        <f t="shared" si="129"/>
        <v>45970</v>
      </c>
      <c r="AU318" s="19">
        <f t="shared" si="130"/>
        <v>313</v>
      </c>
      <c r="AV318" s="1">
        <f t="shared" si="148"/>
        <v>0</v>
      </c>
      <c r="AW318" s="1">
        <f t="shared" si="149"/>
        <v>0</v>
      </c>
      <c r="AX318" s="1">
        <f t="shared" si="150"/>
        <v>0</v>
      </c>
      <c r="AY318" s="1">
        <f t="shared" si="151"/>
        <v>0</v>
      </c>
      <c r="AZ318" s="1">
        <f t="shared" si="152"/>
        <v>0</v>
      </c>
      <c r="BA318" s="1">
        <f t="shared" si="138"/>
        <v>0</v>
      </c>
      <c r="BB318" s="5" t="str">
        <f t="shared" si="139"/>
        <v>NAN</v>
      </c>
      <c r="BC318" s="1">
        <f>ROUND(AC318,1)</f>
        <v>0</v>
      </c>
      <c r="BD318" s="1">
        <f>ROUND(AD318,1)</f>
        <v>0</v>
      </c>
      <c r="BE318" s="1">
        <f>ROUND(AE318,1)</f>
        <v>0</v>
      </c>
      <c r="BF318" s="5">
        <f t="shared" si="153"/>
        <v>0</v>
      </c>
      <c r="BG318" s="5">
        <f t="shared" si="154"/>
        <v>0</v>
      </c>
      <c r="BH318" s="5">
        <f t="shared" si="155"/>
        <v>0</v>
      </c>
      <c r="BI318" s="5">
        <f t="shared" si="143"/>
        <v>0</v>
      </c>
      <c r="BJ318" s="9">
        <f t="shared" si="144"/>
        <v>0</v>
      </c>
      <c r="BK318" s="9" t="e">
        <f t="shared" si="144"/>
        <v>#DIV/0!</v>
      </c>
      <c r="BM318" s="1">
        <f t="shared" si="145"/>
        <v>0</v>
      </c>
      <c r="BN318" s="1">
        <f t="shared" si="146"/>
        <v>0</v>
      </c>
    </row>
    <row r="319" spans="1:66" x14ac:dyDescent="0.2">
      <c r="A319" s="4">
        <f t="shared" si="147"/>
        <v>45971</v>
      </c>
      <c r="B319" s="1">
        <v>314</v>
      </c>
      <c r="C319" s="1">
        <v>12</v>
      </c>
      <c r="AL319" s="5"/>
      <c r="AN319" s="1">
        <f t="shared" si="131"/>
        <v>0</v>
      </c>
      <c r="AO319" s="1">
        <f t="shared" si="132"/>
        <v>0</v>
      </c>
      <c r="AP319" s="1">
        <f t="shared" si="133"/>
        <v>0</v>
      </c>
      <c r="AQ319" s="16">
        <f t="shared" si="156"/>
        <v>0</v>
      </c>
      <c r="AR319" s="23" t="e">
        <f t="shared" si="134"/>
        <v>#DIV/0!</v>
      </c>
      <c r="AT319" s="18">
        <f t="shared" si="129"/>
        <v>45971</v>
      </c>
      <c r="AU319" s="19">
        <f t="shared" si="130"/>
        <v>314</v>
      </c>
      <c r="AV319" s="1">
        <f t="shared" si="148"/>
        <v>0</v>
      </c>
      <c r="AW319" s="1">
        <f t="shared" si="149"/>
        <v>0</v>
      </c>
      <c r="AX319" s="1">
        <f t="shared" si="150"/>
        <v>0</v>
      </c>
      <c r="AY319" s="1">
        <f t="shared" si="151"/>
        <v>0</v>
      </c>
      <c r="AZ319" s="1">
        <f t="shared" si="152"/>
        <v>0</v>
      </c>
      <c r="BA319" s="1">
        <f t="shared" si="138"/>
        <v>0</v>
      </c>
      <c r="BB319" s="5" t="str">
        <f t="shared" si="139"/>
        <v>NAN</v>
      </c>
      <c r="BC319" s="1">
        <f>ROUND(AC319,1)</f>
        <v>0</v>
      </c>
      <c r="BD319" s="1">
        <f>ROUND(AD319,1)</f>
        <v>0</v>
      </c>
      <c r="BE319" s="1">
        <f>ROUND(AE319,1)</f>
        <v>0</v>
      </c>
      <c r="BF319" s="5">
        <f t="shared" si="153"/>
        <v>0</v>
      </c>
      <c r="BG319" s="5">
        <f t="shared" si="154"/>
        <v>0</v>
      </c>
      <c r="BH319" s="5">
        <f t="shared" si="155"/>
        <v>0</v>
      </c>
      <c r="BI319" s="5">
        <f t="shared" si="143"/>
        <v>0</v>
      </c>
      <c r="BJ319" s="9">
        <f t="shared" si="144"/>
        <v>0</v>
      </c>
      <c r="BK319" s="9" t="e">
        <f t="shared" si="144"/>
        <v>#DIV/0!</v>
      </c>
      <c r="BM319" s="1">
        <f t="shared" si="145"/>
        <v>0</v>
      </c>
      <c r="BN319" s="1">
        <f t="shared" si="146"/>
        <v>0</v>
      </c>
    </row>
    <row r="320" spans="1:66" x14ac:dyDescent="0.2">
      <c r="A320" s="4">
        <f t="shared" si="147"/>
        <v>45972</v>
      </c>
      <c r="B320" s="1">
        <v>315</v>
      </c>
      <c r="C320" s="1">
        <v>12</v>
      </c>
      <c r="AL320" s="5"/>
      <c r="AN320" s="1">
        <f t="shared" si="131"/>
        <v>0</v>
      </c>
      <c r="AO320" s="1">
        <f t="shared" si="132"/>
        <v>0</v>
      </c>
      <c r="AP320" s="1">
        <f t="shared" si="133"/>
        <v>0</v>
      </c>
      <c r="AQ320" s="16">
        <f t="shared" si="156"/>
        <v>0</v>
      </c>
      <c r="AR320" s="23" t="e">
        <f t="shared" si="134"/>
        <v>#DIV/0!</v>
      </c>
      <c r="AT320" s="18">
        <f t="shared" si="129"/>
        <v>45972</v>
      </c>
      <c r="AU320" s="19">
        <f t="shared" si="130"/>
        <v>315</v>
      </c>
      <c r="AV320" s="1">
        <f t="shared" si="148"/>
        <v>0</v>
      </c>
      <c r="AW320" s="1">
        <f t="shared" si="149"/>
        <v>0</v>
      </c>
      <c r="AX320" s="1">
        <f t="shared" si="150"/>
        <v>0</v>
      </c>
      <c r="AY320" s="1">
        <f t="shared" si="151"/>
        <v>0</v>
      </c>
      <c r="AZ320" s="1">
        <f t="shared" si="152"/>
        <v>0</v>
      </c>
      <c r="BA320" s="1">
        <f t="shared" si="138"/>
        <v>0</v>
      </c>
      <c r="BB320" s="5" t="str">
        <f t="shared" si="139"/>
        <v>NAN</v>
      </c>
      <c r="BC320" s="1">
        <f>ROUND(AC320,1)</f>
        <v>0</v>
      </c>
      <c r="BD320" s="1">
        <f>ROUND(AD320,1)</f>
        <v>0</v>
      </c>
      <c r="BE320" s="1">
        <f>ROUND(AE320,1)</f>
        <v>0</v>
      </c>
      <c r="BF320" s="5">
        <f t="shared" si="153"/>
        <v>0</v>
      </c>
      <c r="BG320" s="5">
        <f t="shared" si="154"/>
        <v>0</v>
      </c>
      <c r="BH320" s="5">
        <f t="shared" si="155"/>
        <v>0</v>
      </c>
      <c r="BI320" s="5">
        <f t="shared" si="143"/>
        <v>0</v>
      </c>
      <c r="BJ320" s="9">
        <f t="shared" si="144"/>
        <v>0</v>
      </c>
      <c r="BK320" s="9" t="e">
        <f t="shared" si="144"/>
        <v>#DIV/0!</v>
      </c>
      <c r="BM320" s="1">
        <f t="shared" si="145"/>
        <v>0</v>
      </c>
      <c r="BN320" s="1">
        <f t="shared" si="146"/>
        <v>0</v>
      </c>
    </row>
    <row r="321" spans="1:66" x14ac:dyDescent="0.2">
      <c r="A321" s="4">
        <f t="shared" si="147"/>
        <v>45973</v>
      </c>
      <c r="B321" s="1">
        <v>316</v>
      </c>
      <c r="C321" s="1">
        <v>12</v>
      </c>
      <c r="AL321" s="5"/>
      <c r="AN321" s="1">
        <f t="shared" si="131"/>
        <v>0</v>
      </c>
      <c r="AO321" s="1">
        <f t="shared" si="132"/>
        <v>0</v>
      </c>
      <c r="AP321" s="1">
        <f t="shared" si="133"/>
        <v>0</v>
      </c>
      <c r="AQ321" s="16">
        <f t="shared" si="156"/>
        <v>0</v>
      </c>
      <c r="AR321" s="23" t="e">
        <f t="shared" si="134"/>
        <v>#DIV/0!</v>
      </c>
      <c r="AT321" s="18">
        <f t="shared" si="129"/>
        <v>45973</v>
      </c>
      <c r="AU321" s="19">
        <f t="shared" si="130"/>
        <v>316</v>
      </c>
      <c r="AV321" s="1">
        <f t="shared" si="148"/>
        <v>0</v>
      </c>
      <c r="AW321" s="1">
        <f t="shared" si="149"/>
        <v>0</v>
      </c>
      <c r="AX321" s="1">
        <f t="shared" si="150"/>
        <v>0</v>
      </c>
      <c r="AY321" s="1">
        <f t="shared" si="151"/>
        <v>0</v>
      </c>
      <c r="AZ321" s="1">
        <f t="shared" si="152"/>
        <v>0</v>
      </c>
      <c r="BA321" s="1">
        <f t="shared" si="138"/>
        <v>0</v>
      </c>
      <c r="BB321" s="5" t="str">
        <f t="shared" si="139"/>
        <v>NAN</v>
      </c>
      <c r="BC321" s="1">
        <f>ROUND(AC321,1)</f>
        <v>0</v>
      </c>
      <c r="BD321" s="1">
        <f>ROUND(AD321,1)</f>
        <v>0</v>
      </c>
      <c r="BE321" s="1">
        <f>ROUND(AE321,1)</f>
        <v>0</v>
      </c>
      <c r="BF321" s="5">
        <f t="shared" si="153"/>
        <v>0</v>
      </c>
      <c r="BG321" s="5">
        <f t="shared" si="154"/>
        <v>0</v>
      </c>
      <c r="BH321" s="5">
        <f t="shared" si="155"/>
        <v>0</v>
      </c>
      <c r="BI321" s="5">
        <f t="shared" si="143"/>
        <v>0</v>
      </c>
      <c r="BJ321" s="9">
        <f t="shared" si="144"/>
        <v>0</v>
      </c>
      <c r="BK321" s="9" t="e">
        <f t="shared" si="144"/>
        <v>#DIV/0!</v>
      </c>
      <c r="BM321" s="1">
        <f t="shared" si="145"/>
        <v>0</v>
      </c>
      <c r="BN321" s="1">
        <f t="shared" si="146"/>
        <v>0</v>
      </c>
    </row>
    <row r="322" spans="1:66" x14ac:dyDescent="0.2">
      <c r="A322" s="4">
        <f t="shared" si="147"/>
        <v>45974</v>
      </c>
      <c r="B322" s="1">
        <v>317</v>
      </c>
      <c r="C322" s="1">
        <v>12</v>
      </c>
      <c r="AL322" s="5"/>
      <c r="AN322" s="1">
        <f t="shared" si="131"/>
        <v>0</v>
      </c>
      <c r="AO322" s="1">
        <f t="shared" si="132"/>
        <v>0</v>
      </c>
      <c r="AP322" s="1">
        <f t="shared" si="133"/>
        <v>0</v>
      </c>
      <c r="AQ322" s="16">
        <f t="shared" si="156"/>
        <v>0</v>
      </c>
      <c r="AR322" s="23" t="e">
        <f t="shared" si="134"/>
        <v>#DIV/0!</v>
      </c>
      <c r="AT322" s="18">
        <f t="shared" si="129"/>
        <v>45974</v>
      </c>
      <c r="AU322" s="19">
        <f t="shared" si="130"/>
        <v>317</v>
      </c>
      <c r="AV322" s="1">
        <f t="shared" si="148"/>
        <v>0</v>
      </c>
      <c r="AW322" s="1">
        <f t="shared" si="149"/>
        <v>0</v>
      </c>
      <c r="AX322" s="1">
        <f t="shared" si="150"/>
        <v>0</v>
      </c>
      <c r="AY322" s="1">
        <f t="shared" si="151"/>
        <v>0</v>
      </c>
      <c r="AZ322" s="1">
        <f t="shared" si="152"/>
        <v>0</v>
      </c>
      <c r="BA322" s="1">
        <f t="shared" si="138"/>
        <v>0</v>
      </c>
      <c r="BB322" s="5" t="str">
        <f t="shared" si="139"/>
        <v>NAN</v>
      </c>
      <c r="BC322" s="1">
        <f>ROUND(AC322,1)</f>
        <v>0</v>
      </c>
      <c r="BD322" s="1">
        <f>ROUND(AD322,1)</f>
        <v>0</v>
      </c>
      <c r="BE322" s="1">
        <f>ROUND(AE322,1)</f>
        <v>0</v>
      </c>
      <c r="BF322" s="5">
        <f t="shared" si="153"/>
        <v>0</v>
      </c>
      <c r="BG322" s="5">
        <f t="shared" si="154"/>
        <v>0</v>
      </c>
      <c r="BH322" s="5">
        <f t="shared" si="155"/>
        <v>0</v>
      </c>
      <c r="BI322" s="5">
        <f t="shared" si="143"/>
        <v>0</v>
      </c>
      <c r="BJ322" s="9">
        <f t="shared" si="144"/>
        <v>0</v>
      </c>
      <c r="BK322" s="9" t="e">
        <f t="shared" si="144"/>
        <v>#DIV/0!</v>
      </c>
      <c r="BM322" s="1">
        <f t="shared" si="145"/>
        <v>0</v>
      </c>
      <c r="BN322" s="1">
        <f t="shared" si="146"/>
        <v>0</v>
      </c>
    </row>
    <row r="323" spans="1:66" x14ac:dyDescent="0.2">
      <c r="A323" s="4">
        <f t="shared" si="147"/>
        <v>45975</v>
      </c>
      <c r="B323" s="1">
        <v>318</v>
      </c>
      <c r="C323" s="1">
        <v>12</v>
      </c>
      <c r="AL323" s="5"/>
      <c r="AN323" s="1">
        <f t="shared" si="131"/>
        <v>0</v>
      </c>
      <c r="AO323" s="1">
        <f t="shared" si="132"/>
        <v>0</v>
      </c>
      <c r="AP323" s="1">
        <f t="shared" si="133"/>
        <v>0</v>
      </c>
      <c r="AQ323" s="16">
        <f t="shared" si="156"/>
        <v>0</v>
      </c>
      <c r="AR323" s="23" t="e">
        <f t="shared" si="134"/>
        <v>#DIV/0!</v>
      </c>
      <c r="AT323" s="18">
        <f t="shared" si="129"/>
        <v>45975</v>
      </c>
      <c r="AU323" s="19">
        <f t="shared" si="130"/>
        <v>318</v>
      </c>
      <c r="AV323" s="1">
        <f t="shared" si="148"/>
        <v>0</v>
      </c>
      <c r="AW323" s="1">
        <f t="shared" si="149"/>
        <v>0</v>
      </c>
      <c r="AX323" s="1">
        <f t="shared" si="150"/>
        <v>0</v>
      </c>
      <c r="AY323" s="1">
        <f t="shared" si="151"/>
        <v>0</v>
      </c>
      <c r="AZ323" s="1">
        <f t="shared" si="152"/>
        <v>0</v>
      </c>
      <c r="BA323" s="1">
        <f t="shared" si="138"/>
        <v>0</v>
      </c>
      <c r="BB323" s="5" t="str">
        <f t="shared" si="139"/>
        <v>NAN</v>
      </c>
      <c r="BC323" s="1">
        <f>ROUND(AC323,1)</f>
        <v>0</v>
      </c>
      <c r="BD323" s="1">
        <f>ROUND(AD323,1)</f>
        <v>0</v>
      </c>
      <c r="BE323" s="1">
        <f>ROUND(AE323,1)</f>
        <v>0</v>
      </c>
      <c r="BF323" s="5">
        <f t="shared" si="153"/>
        <v>0</v>
      </c>
      <c r="BG323" s="5">
        <f t="shared" si="154"/>
        <v>0</v>
      </c>
      <c r="BH323" s="5">
        <f t="shared" si="155"/>
        <v>0</v>
      </c>
      <c r="BI323" s="5">
        <f t="shared" si="143"/>
        <v>0</v>
      </c>
      <c r="BJ323" s="9">
        <f t="shared" si="144"/>
        <v>0</v>
      </c>
      <c r="BK323" s="9" t="e">
        <f t="shared" si="144"/>
        <v>#DIV/0!</v>
      </c>
      <c r="BM323" s="1">
        <f t="shared" si="145"/>
        <v>0</v>
      </c>
      <c r="BN323" s="1">
        <f t="shared" si="146"/>
        <v>0</v>
      </c>
    </row>
    <row r="324" spans="1:66" x14ac:dyDescent="0.2">
      <c r="A324" s="4">
        <f t="shared" si="147"/>
        <v>45976</v>
      </c>
      <c r="B324" s="1">
        <v>319</v>
      </c>
      <c r="C324" s="1">
        <v>12</v>
      </c>
      <c r="AL324" s="5"/>
      <c r="AN324" s="1">
        <f t="shared" si="131"/>
        <v>0</v>
      </c>
      <c r="AO324" s="1">
        <f t="shared" si="132"/>
        <v>0</v>
      </c>
      <c r="AP324" s="1">
        <f t="shared" si="133"/>
        <v>0</v>
      </c>
      <c r="AQ324" s="16">
        <f t="shared" si="156"/>
        <v>0</v>
      </c>
      <c r="AR324" s="23" t="e">
        <f t="shared" si="134"/>
        <v>#DIV/0!</v>
      </c>
      <c r="AT324" s="18">
        <f t="shared" si="129"/>
        <v>45976</v>
      </c>
      <c r="AU324" s="19">
        <f t="shared" si="130"/>
        <v>319</v>
      </c>
      <c r="AV324" s="1">
        <f t="shared" si="148"/>
        <v>0</v>
      </c>
      <c r="AW324" s="1">
        <f t="shared" si="149"/>
        <v>0</v>
      </c>
      <c r="AX324" s="1">
        <f t="shared" si="150"/>
        <v>0</v>
      </c>
      <c r="AY324" s="1">
        <f t="shared" si="151"/>
        <v>0</v>
      </c>
      <c r="AZ324" s="1">
        <f t="shared" si="152"/>
        <v>0</v>
      </c>
      <c r="BA324" s="1">
        <f t="shared" si="138"/>
        <v>0</v>
      </c>
      <c r="BB324" s="5" t="str">
        <f t="shared" si="139"/>
        <v>NAN</v>
      </c>
      <c r="BC324" s="1">
        <f>ROUND(AC324,1)</f>
        <v>0</v>
      </c>
      <c r="BD324" s="1">
        <f>ROUND(AD324,1)</f>
        <v>0</v>
      </c>
      <c r="BE324" s="1">
        <f>ROUND(AE324,1)</f>
        <v>0</v>
      </c>
      <c r="BF324" s="5">
        <f t="shared" si="153"/>
        <v>0</v>
      </c>
      <c r="BG324" s="5">
        <f t="shared" si="154"/>
        <v>0</v>
      </c>
      <c r="BH324" s="5">
        <f t="shared" si="155"/>
        <v>0</v>
      </c>
      <c r="BI324" s="5">
        <f t="shared" si="143"/>
        <v>0</v>
      </c>
      <c r="BJ324" s="9">
        <f t="shared" si="144"/>
        <v>0</v>
      </c>
      <c r="BK324" s="9" t="e">
        <f t="shared" si="144"/>
        <v>#DIV/0!</v>
      </c>
      <c r="BM324" s="1">
        <f t="shared" si="145"/>
        <v>0</v>
      </c>
      <c r="BN324" s="1">
        <f t="shared" si="146"/>
        <v>0</v>
      </c>
    </row>
    <row r="325" spans="1:66" x14ac:dyDescent="0.2">
      <c r="A325" s="4">
        <f t="shared" si="147"/>
        <v>45977</v>
      </c>
      <c r="B325" s="1">
        <v>320</v>
      </c>
      <c r="C325" s="1">
        <v>12</v>
      </c>
      <c r="AL325" s="5"/>
      <c r="AN325" s="1">
        <f t="shared" si="131"/>
        <v>0</v>
      </c>
      <c r="AO325" s="1">
        <f t="shared" si="132"/>
        <v>0</v>
      </c>
      <c r="AP325" s="1">
        <f t="shared" si="133"/>
        <v>0</v>
      </c>
      <c r="AQ325" s="16">
        <f t="shared" si="156"/>
        <v>0</v>
      </c>
      <c r="AR325" s="23" t="e">
        <f t="shared" si="134"/>
        <v>#DIV/0!</v>
      </c>
      <c r="AT325" s="18">
        <f t="shared" si="129"/>
        <v>45977</v>
      </c>
      <c r="AU325" s="19">
        <f t="shared" si="130"/>
        <v>320</v>
      </c>
      <c r="AV325" s="1">
        <f t="shared" si="148"/>
        <v>0</v>
      </c>
      <c r="AW325" s="1">
        <f t="shared" si="149"/>
        <v>0</v>
      </c>
      <c r="AX325" s="1">
        <f t="shared" si="150"/>
        <v>0</v>
      </c>
      <c r="AY325" s="1">
        <f t="shared" si="151"/>
        <v>0</v>
      </c>
      <c r="AZ325" s="1">
        <f t="shared" si="152"/>
        <v>0</v>
      </c>
      <c r="BA325" s="1">
        <f t="shared" si="138"/>
        <v>0</v>
      </c>
      <c r="BB325" s="5" t="str">
        <f t="shared" si="139"/>
        <v>NAN</v>
      </c>
      <c r="BC325" s="1">
        <f>ROUND(AC325,1)</f>
        <v>0</v>
      </c>
      <c r="BD325" s="1">
        <f>ROUND(AD325,1)</f>
        <v>0</v>
      </c>
      <c r="BE325" s="1">
        <f>ROUND(AE325,1)</f>
        <v>0</v>
      </c>
      <c r="BF325" s="5">
        <f t="shared" si="153"/>
        <v>0</v>
      </c>
      <c r="BG325" s="5">
        <f t="shared" si="154"/>
        <v>0</v>
      </c>
      <c r="BH325" s="5">
        <f t="shared" si="155"/>
        <v>0</v>
      </c>
      <c r="BI325" s="5">
        <f t="shared" si="143"/>
        <v>0</v>
      </c>
      <c r="BJ325" s="9">
        <f t="shared" si="144"/>
        <v>0</v>
      </c>
      <c r="BK325" s="9" t="e">
        <f t="shared" si="144"/>
        <v>#DIV/0!</v>
      </c>
      <c r="BM325" s="1">
        <f t="shared" si="145"/>
        <v>0</v>
      </c>
      <c r="BN325" s="1">
        <f t="shared" si="146"/>
        <v>0</v>
      </c>
    </row>
    <row r="326" spans="1:66" x14ac:dyDescent="0.2">
      <c r="A326" s="4">
        <f t="shared" si="147"/>
        <v>45978</v>
      </c>
      <c r="B326" s="1">
        <v>321</v>
      </c>
      <c r="C326" s="1">
        <v>12</v>
      </c>
      <c r="AL326" s="5"/>
      <c r="AN326" s="1">
        <f t="shared" si="131"/>
        <v>0</v>
      </c>
      <c r="AO326" s="1">
        <f t="shared" si="132"/>
        <v>0</v>
      </c>
      <c r="AP326" s="1">
        <f t="shared" si="133"/>
        <v>0</v>
      </c>
      <c r="AQ326" s="16">
        <f t="shared" si="156"/>
        <v>0</v>
      </c>
      <c r="AR326" s="23" t="e">
        <f t="shared" si="134"/>
        <v>#DIV/0!</v>
      </c>
      <c r="AT326" s="18">
        <f t="shared" ref="AT326:AT370" si="157">A326</f>
        <v>45978</v>
      </c>
      <c r="AU326" s="19">
        <f t="shared" ref="AU326:AU370" si="158">B326</f>
        <v>321</v>
      </c>
      <c r="AV326" s="1">
        <f t="shared" si="148"/>
        <v>0</v>
      </c>
      <c r="AW326" s="1">
        <f t="shared" si="149"/>
        <v>0</v>
      </c>
      <c r="AX326" s="1">
        <f t="shared" si="150"/>
        <v>0</v>
      </c>
      <c r="AY326" s="1">
        <f t="shared" si="151"/>
        <v>0</v>
      </c>
      <c r="AZ326" s="1">
        <f t="shared" si="152"/>
        <v>0</v>
      </c>
      <c r="BA326" s="1">
        <f t="shared" si="138"/>
        <v>0</v>
      </c>
      <c r="BB326" s="5" t="str">
        <f t="shared" si="139"/>
        <v>NAN</v>
      </c>
      <c r="BC326" s="1">
        <f>ROUND(AC326,1)</f>
        <v>0</v>
      </c>
      <c r="BD326" s="1">
        <f>ROUND(AD326,1)</f>
        <v>0</v>
      </c>
      <c r="BE326" s="1">
        <f>ROUND(AE326,1)</f>
        <v>0</v>
      </c>
      <c r="BF326" s="5">
        <f t="shared" si="153"/>
        <v>0</v>
      </c>
      <c r="BG326" s="5">
        <f t="shared" si="154"/>
        <v>0</v>
      </c>
      <c r="BH326" s="5">
        <f t="shared" si="155"/>
        <v>0</v>
      </c>
      <c r="BI326" s="5">
        <f t="shared" si="143"/>
        <v>0</v>
      </c>
      <c r="BJ326" s="9">
        <f t="shared" si="144"/>
        <v>0</v>
      </c>
      <c r="BK326" s="9" t="e">
        <f t="shared" si="144"/>
        <v>#DIV/0!</v>
      </c>
      <c r="BM326" s="1">
        <f t="shared" si="145"/>
        <v>0</v>
      </c>
      <c r="BN326" s="1">
        <f t="shared" si="146"/>
        <v>0</v>
      </c>
    </row>
    <row r="327" spans="1:66" x14ac:dyDescent="0.2">
      <c r="A327" s="4">
        <f t="shared" si="147"/>
        <v>45979</v>
      </c>
      <c r="B327" s="1">
        <v>322</v>
      </c>
      <c r="C327" s="1">
        <v>12</v>
      </c>
      <c r="AL327" s="5"/>
      <c r="AN327" s="1">
        <f t="shared" ref="AN327:AN370" si="159">ROUND(O327*AO$1,1)</f>
        <v>0</v>
      </c>
      <c r="AO327" s="1">
        <f t="shared" ref="AO327:AO370" si="160">ROUND(H327*AO$1,1)</f>
        <v>0</v>
      </c>
      <c r="AP327" s="1">
        <f t="shared" ref="AP327:AP370" si="161">ROUND(V327*AO$1,1)</f>
        <v>0</v>
      </c>
      <c r="AQ327" s="16">
        <f t="shared" si="156"/>
        <v>0</v>
      </c>
      <c r="AR327" s="23" t="e">
        <f t="shared" ref="AR327:AR370" si="162">ROUND(AQ327/AP327*(100-AP327),3)</f>
        <v>#DIV/0!</v>
      </c>
      <c r="AT327" s="18">
        <f t="shared" si="157"/>
        <v>45979</v>
      </c>
      <c r="AU327" s="19">
        <f t="shared" si="158"/>
        <v>322</v>
      </c>
      <c r="AV327" s="1">
        <f t="shared" si="148"/>
        <v>0</v>
      </c>
      <c r="AW327" s="1">
        <f t="shared" si="149"/>
        <v>0</v>
      </c>
      <c r="AX327" s="1">
        <f t="shared" si="150"/>
        <v>0</v>
      </c>
      <c r="AY327" s="1">
        <f t="shared" si="151"/>
        <v>0</v>
      </c>
      <c r="AZ327" s="1">
        <f t="shared" si="152"/>
        <v>0</v>
      </c>
      <c r="BA327" s="1">
        <f t="shared" ref="BA327:BA370" si="163">AK327</f>
        <v>0</v>
      </c>
      <c r="BB327" s="5" t="str">
        <f t="shared" ref="BB327:BB370" si="164">IF(AL327="","NAN",AL327)</f>
        <v>NAN</v>
      </c>
      <c r="BC327" s="1">
        <f>ROUND(AC327,1)</f>
        <v>0</v>
      </c>
      <c r="BD327" s="1">
        <f>ROUND(AD327,1)</f>
        <v>0</v>
      </c>
      <c r="BE327" s="1">
        <f>ROUND(AE327,1)</f>
        <v>0</v>
      </c>
      <c r="BF327" s="5">
        <f t="shared" si="153"/>
        <v>0</v>
      </c>
      <c r="BG327" s="5">
        <f t="shared" si="154"/>
        <v>0</v>
      </c>
      <c r="BH327" s="5">
        <f t="shared" si="155"/>
        <v>0</v>
      </c>
      <c r="BI327" s="5">
        <f t="shared" ref="BI327:BI370" si="165">IF(AI327="NAN",-999,ROUND(AI327,3))</f>
        <v>0</v>
      </c>
      <c r="BJ327" s="9">
        <f t="shared" ref="BJ327:BK370" si="166">AQ327</f>
        <v>0</v>
      </c>
      <c r="BK327" s="9" t="e">
        <f t="shared" si="166"/>
        <v>#DIV/0!</v>
      </c>
      <c r="BM327" s="1">
        <f t="shared" ref="BM327:BM370" si="167">AD327-N327</f>
        <v>0</v>
      </c>
      <c r="BN327" s="1">
        <f t="shared" ref="BN327:BN370" si="168">AE327-U327</f>
        <v>0</v>
      </c>
    </row>
    <row r="328" spans="1:66" x14ac:dyDescent="0.2">
      <c r="A328" s="4">
        <f t="shared" ref="A328:A370" si="169">A327+1</f>
        <v>45980</v>
      </c>
      <c r="B328" s="1">
        <v>323</v>
      </c>
      <c r="C328" s="1">
        <v>12</v>
      </c>
      <c r="AL328" s="5"/>
      <c r="AN328" s="1">
        <f t="shared" si="159"/>
        <v>0</v>
      </c>
      <c r="AO328" s="1">
        <f t="shared" si="160"/>
        <v>0</v>
      </c>
      <c r="AP328" s="1">
        <f t="shared" si="161"/>
        <v>0</v>
      </c>
      <c r="AQ328" s="16">
        <f t="shared" si="156"/>
        <v>0</v>
      </c>
      <c r="AR328" s="23" t="e">
        <f t="shared" si="162"/>
        <v>#DIV/0!</v>
      </c>
      <c r="AT328" s="18">
        <f t="shared" si="157"/>
        <v>45980</v>
      </c>
      <c r="AU328" s="19">
        <f t="shared" si="158"/>
        <v>323</v>
      </c>
      <c r="AV328" s="1">
        <f t="shared" si="148"/>
        <v>0</v>
      </c>
      <c r="AW328" s="1">
        <f t="shared" si="149"/>
        <v>0</v>
      </c>
      <c r="AX328" s="1">
        <f t="shared" si="150"/>
        <v>0</v>
      </c>
      <c r="AY328" s="1">
        <f t="shared" si="151"/>
        <v>0</v>
      </c>
      <c r="AZ328" s="1">
        <f t="shared" si="152"/>
        <v>0</v>
      </c>
      <c r="BA328" s="1">
        <f t="shared" si="163"/>
        <v>0</v>
      </c>
      <c r="BB328" s="5" t="str">
        <f t="shared" si="164"/>
        <v>NAN</v>
      </c>
      <c r="BC328" s="1">
        <f>ROUND(AC328,1)</f>
        <v>0</v>
      </c>
      <c r="BD328" s="1">
        <f>ROUND(AD328,1)</f>
        <v>0</v>
      </c>
      <c r="BE328" s="1">
        <f>ROUND(AE328,1)</f>
        <v>0</v>
      </c>
      <c r="BF328" s="5">
        <f t="shared" si="153"/>
        <v>0</v>
      </c>
      <c r="BG328" s="5">
        <f t="shared" si="154"/>
        <v>0</v>
      </c>
      <c r="BH328" s="5">
        <f t="shared" si="155"/>
        <v>0</v>
      </c>
      <c r="BI328" s="5">
        <f t="shared" si="165"/>
        <v>0</v>
      </c>
      <c r="BJ328" s="9">
        <f t="shared" si="166"/>
        <v>0</v>
      </c>
      <c r="BK328" s="9" t="e">
        <f t="shared" si="166"/>
        <v>#DIV/0!</v>
      </c>
      <c r="BM328" s="1">
        <f t="shared" si="167"/>
        <v>0</v>
      </c>
      <c r="BN328" s="1">
        <f t="shared" si="168"/>
        <v>0</v>
      </c>
    </row>
    <row r="329" spans="1:66" x14ac:dyDescent="0.2">
      <c r="A329" s="4">
        <f t="shared" si="169"/>
        <v>45981</v>
      </c>
      <c r="B329" s="1">
        <v>324</v>
      </c>
      <c r="C329" s="1">
        <v>12</v>
      </c>
      <c r="AL329" s="5"/>
      <c r="AN329" s="1">
        <f t="shared" si="159"/>
        <v>0</v>
      </c>
      <c r="AO329" s="1">
        <f t="shared" si="160"/>
        <v>0</v>
      </c>
      <c r="AP329" s="1">
        <f t="shared" si="161"/>
        <v>0</v>
      </c>
      <c r="AQ329" s="16">
        <f t="shared" si="156"/>
        <v>0</v>
      </c>
      <c r="AR329" s="23" t="e">
        <f t="shared" si="162"/>
        <v>#DIV/0!</v>
      </c>
      <c r="AT329" s="18">
        <f t="shared" si="157"/>
        <v>45981</v>
      </c>
      <c r="AU329" s="19">
        <f t="shared" si="158"/>
        <v>324</v>
      </c>
      <c r="AV329" s="1">
        <f t="shared" si="148"/>
        <v>0</v>
      </c>
      <c r="AW329" s="1">
        <f t="shared" si="149"/>
        <v>0</v>
      </c>
      <c r="AX329" s="1">
        <f t="shared" si="150"/>
        <v>0</v>
      </c>
      <c r="AY329" s="1">
        <f t="shared" si="151"/>
        <v>0</v>
      </c>
      <c r="AZ329" s="1">
        <f t="shared" si="152"/>
        <v>0</v>
      </c>
      <c r="BA329" s="1">
        <f t="shared" si="163"/>
        <v>0</v>
      </c>
      <c r="BB329" s="5" t="str">
        <f t="shared" si="164"/>
        <v>NAN</v>
      </c>
      <c r="BC329" s="1">
        <f>ROUND(AC329,1)</f>
        <v>0</v>
      </c>
      <c r="BD329" s="1">
        <f>ROUND(AD329,1)</f>
        <v>0</v>
      </c>
      <c r="BE329" s="1">
        <f>ROUND(AE329,1)</f>
        <v>0</v>
      </c>
      <c r="BF329" s="5">
        <f t="shared" si="153"/>
        <v>0</v>
      </c>
      <c r="BG329" s="5">
        <f t="shared" si="154"/>
        <v>0</v>
      </c>
      <c r="BH329" s="5">
        <f t="shared" si="155"/>
        <v>0</v>
      </c>
      <c r="BI329" s="5">
        <f t="shared" si="165"/>
        <v>0</v>
      </c>
      <c r="BJ329" s="9">
        <f t="shared" si="166"/>
        <v>0</v>
      </c>
      <c r="BK329" s="9" t="e">
        <f t="shared" si="166"/>
        <v>#DIV/0!</v>
      </c>
      <c r="BM329" s="1">
        <f t="shared" si="167"/>
        <v>0</v>
      </c>
      <c r="BN329" s="1">
        <f t="shared" si="168"/>
        <v>0</v>
      </c>
    </row>
    <row r="330" spans="1:66" x14ac:dyDescent="0.2">
      <c r="A330" s="4">
        <f t="shared" si="169"/>
        <v>45982</v>
      </c>
      <c r="B330" s="1">
        <v>325</v>
      </c>
      <c r="C330" s="1">
        <v>12</v>
      </c>
      <c r="AL330" s="5"/>
      <c r="AN330" s="1">
        <f t="shared" si="159"/>
        <v>0</v>
      </c>
      <c r="AO330" s="1">
        <f t="shared" si="160"/>
        <v>0</v>
      </c>
      <c r="AP330" s="1">
        <f t="shared" si="161"/>
        <v>0</v>
      </c>
      <c r="AQ330" s="16">
        <f t="shared" si="156"/>
        <v>0</v>
      </c>
      <c r="AR330" s="23" t="e">
        <f t="shared" si="162"/>
        <v>#DIV/0!</v>
      </c>
      <c r="AT330" s="18">
        <f t="shared" si="157"/>
        <v>45982</v>
      </c>
      <c r="AU330" s="19">
        <f t="shared" si="158"/>
        <v>325</v>
      </c>
      <c r="AV330" s="1">
        <f t="shared" si="148"/>
        <v>0</v>
      </c>
      <c r="AW330" s="1">
        <f t="shared" si="149"/>
        <v>0</v>
      </c>
      <c r="AX330" s="1">
        <f t="shared" si="150"/>
        <v>0</v>
      </c>
      <c r="AY330" s="1">
        <f t="shared" si="151"/>
        <v>0</v>
      </c>
      <c r="AZ330" s="1">
        <f t="shared" si="152"/>
        <v>0</v>
      </c>
      <c r="BA330" s="1">
        <f t="shared" si="163"/>
        <v>0</v>
      </c>
      <c r="BB330" s="5" t="str">
        <f t="shared" si="164"/>
        <v>NAN</v>
      </c>
      <c r="BC330" s="1">
        <f>ROUND(AC330,1)</f>
        <v>0</v>
      </c>
      <c r="BD330" s="1">
        <f>ROUND(AD330,1)</f>
        <v>0</v>
      </c>
      <c r="BE330" s="1">
        <f>ROUND(AE330,1)</f>
        <v>0</v>
      </c>
      <c r="BF330" s="5">
        <f t="shared" si="153"/>
        <v>0</v>
      </c>
      <c r="BG330" s="5">
        <f t="shared" si="154"/>
        <v>0</v>
      </c>
      <c r="BH330" s="5">
        <f t="shared" si="155"/>
        <v>0</v>
      </c>
      <c r="BI330" s="5">
        <f t="shared" si="165"/>
        <v>0</v>
      </c>
      <c r="BJ330" s="9">
        <f t="shared" si="166"/>
        <v>0</v>
      </c>
      <c r="BK330" s="9" t="e">
        <f t="shared" si="166"/>
        <v>#DIV/0!</v>
      </c>
      <c r="BM330" s="1">
        <f t="shared" si="167"/>
        <v>0</v>
      </c>
      <c r="BN330" s="1">
        <f t="shared" si="168"/>
        <v>0</v>
      </c>
    </row>
    <row r="331" spans="1:66" x14ac:dyDescent="0.2">
      <c r="A331" s="4">
        <f t="shared" si="169"/>
        <v>45983</v>
      </c>
      <c r="B331" s="1">
        <v>326</v>
      </c>
      <c r="C331" s="1">
        <v>12</v>
      </c>
      <c r="AL331" s="5"/>
      <c r="AN331" s="1">
        <f t="shared" si="159"/>
        <v>0</v>
      </c>
      <c r="AO331" s="1">
        <f t="shared" si="160"/>
        <v>0</v>
      </c>
      <c r="AP331" s="1">
        <f t="shared" si="161"/>
        <v>0</v>
      </c>
      <c r="AQ331" s="16">
        <f t="shared" si="156"/>
        <v>0</v>
      </c>
      <c r="AR331" s="23" t="e">
        <f t="shared" si="162"/>
        <v>#DIV/0!</v>
      </c>
      <c r="AT331" s="18">
        <f t="shared" si="157"/>
        <v>45983</v>
      </c>
      <c r="AU331" s="19">
        <f t="shared" si="158"/>
        <v>326</v>
      </c>
      <c r="AV331" s="1">
        <f t="shared" si="148"/>
        <v>0</v>
      </c>
      <c r="AW331" s="1">
        <f t="shared" si="149"/>
        <v>0</v>
      </c>
      <c r="AX331" s="1">
        <f t="shared" si="150"/>
        <v>0</v>
      </c>
      <c r="AY331" s="1">
        <f t="shared" si="151"/>
        <v>0</v>
      </c>
      <c r="AZ331" s="1">
        <f t="shared" si="152"/>
        <v>0</v>
      </c>
      <c r="BA331" s="1">
        <f t="shared" si="163"/>
        <v>0</v>
      </c>
      <c r="BB331" s="5" t="str">
        <f t="shared" si="164"/>
        <v>NAN</v>
      </c>
      <c r="BC331" s="1">
        <f>ROUND(AC331,1)</f>
        <v>0</v>
      </c>
      <c r="BD331" s="1">
        <f>ROUND(AD331,1)</f>
        <v>0</v>
      </c>
      <c r="BE331" s="1">
        <f>ROUND(AE331,1)</f>
        <v>0</v>
      </c>
      <c r="BF331" s="5">
        <f t="shared" si="153"/>
        <v>0</v>
      </c>
      <c r="BG331" s="5">
        <f t="shared" si="154"/>
        <v>0</v>
      </c>
      <c r="BH331" s="5">
        <f t="shared" si="155"/>
        <v>0</v>
      </c>
      <c r="BI331" s="5">
        <f t="shared" si="165"/>
        <v>0</v>
      </c>
      <c r="BJ331" s="9">
        <f t="shared" si="166"/>
        <v>0</v>
      </c>
      <c r="BK331" s="9" t="e">
        <f t="shared" si="166"/>
        <v>#DIV/0!</v>
      </c>
      <c r="BM331" s="1">
        <f t="shared" si="167"/>
        <v>0</v>
      </c>
      <c r="BN331" s="1">
        <f t="shared" si="168"/>
        <v>0</v>
      </c>
    </row>
    <row r="332" spans="1:66" x14ac:dyDescent="0.2">
      <c r="A332" s="4">
        <f t="shared" si="169"/>
        <v>45984</v>
      </c>
      <c r="B332" s="1">
        <v>327</v>
      </c>
      <c r="C332" s="1">
        <v>12</v>
      </c>
      <c r="AL332" s="5"/>
      <c r="AN332" s="1">
        <f t="shared" si="159"/>
        <v>0</v>
      </c>
      <c r="AO332" s="1">
        <f t="shared" si="160"/>
        <v>0</v>
      </c>
      <c r="AP332" s="1">
        <f t="shared" si="161"/>
        <v>0</v>
      </c>
      <c r="AQ332" s="16">
        <f t="shared" si="156"/>
        <v>0</v>
      </c>
      <c r="AR332" s="23" t="e">
        <f t="shared" si="162"/>
        <v>#DIV/0!</v>
      </c>
      <c r="AT332" s="18">
        <f t="shared" si="157"/>
        <v>45984</v>
      </c>
      <c r="AU332" s="19">
        <f t="shared" si="158"/>
        <v>327</v>
      </c>
      <c r="AV332" s="1">
        <f t="shared" si="148"/>
        <v>0</v>
      </c>
      <c r="AW332" s="1">
        <f t="shared" si="149"/>
        <v>0</v>
      </c>
      <c r="AX332" s="1">
        <f t="shared" si="150"/>
        <v>0</v>
      </c>
      <c r="AY332" s="1">
        <f t="shared" si="151"/>
        <v>0</v>
      </c>
      <c r="AZ332" s="1">
        <f t="shared" si="152"/>
        <v>0</v>
      </c>
      <c r="BA332" s="1">
        <f t="shared" si="163"/>
        <v>0</v>
      </c>
      <c r="BB332" s="5" t="str">
        <f t="shared" si="164"/>
        <v>NAN</v>
      </c>
      <c r="BC332" s="1">
        <f>ROUND(AC332,1)</f>
        <v>0</v>
      </c>
      <c r="BD332" s="1">
        <f>ROUND(AD332,1)</f>
        <v>0</v>
      </c>
      <c r="BE332" s="1">
        <f>ROUND(AE332,1)</f>
        <v>0</v>
      </c>
      <c r="BF332" s="5">
        <f t="shared" si="153"/>
        <v>0</v>
      </c>
      <c r="BG332" s="5">
        <f t="shared" si="154"/>
        <v>0</v>
      </c>
      <c r="BH332" s="5">
        <f t="shared" si="155"/>
        <v>0</v>
      </c>
      <c r="BI332" s="5">
        <f t="shared" si="165"/>
        <v>0</v>
      </c>
      <c r="BJ332" s="9">
        <f t="shared" si="166"/>
        <v>0</v>
      </c>
      <c r="BK332" s="9" t="e">
        <f t="shared" si="166"/>
        <v>#DIV/0!</v>
      </c>
      <c r="BM332" s="1">
        <f t="shared" si="167"/>
        <v>0</v>
      </c>
      <c r="BN332" s="1">
        <f t="shared" si="168"/>
        <v>0</v>
      </c>
    </row>
    <row r="333" spans="1:66" x14ac:dyDescent="0.2">
      <c r="A333" s="4">
        <f t="shared" si="169"/>
        <v>45985</v>
      </c>
      <c r="B333" s="1">
        <v>328</v>
      </c>
      <c r="C333" s="1">
        <v>12</v>
      </c>
      <c r="AL333" s="5"/>
      <c r="AN333" s="1">
        <f t="shared" si="159"/>
        <v>0</v>
      </c>
      <c r="AO333" s="1">
        <f t="shared" si="160"/>
        <v>0</v>
      </c>
      <c r="AP333" s="1">
        <f t="shared" si="161"/>
        <v>0</v>
      </c>
      <c r="AQ333" s="16">
        <f t="shared" si="156"/>
        <v>0</v>
      </c>
      <c r="AR333" s="23" t="e">
        <f t="shared" si="162"/>
        <v>#DIV/0!</v>
      </c>
      <c r="AT333" s="18">
        <f t="shared" si="157"/>
        <v>45985</v>
      </c>
      <c r="AU333" s="19">
        <f t="shared" si="158"/>
        <v>328</v>
      </c>
      <c r="AV333" s="1">
        <f t="shared" si="148"/>
        <v>0</v>
      </c>
      <c r="AW333" s="1">
        <f t="shared" si="149"/>
        <v>0</v>
      </c>
      <c r="AX333" s="1">
        <f t="shared" si="150"/>
        <v>0</v>
      </c>
      <c r="AY333" s="1">
        <f t="shared" si="151"/>
        <v>0</v>
      </c>
      <c r="AZ333" s="1">
        <f t="shared" si="152"/>
        <v>0</v>
      </c>
      <c r="BA333" s="1">
        <f t="shared" si="163"/>
        <v>0</v>
      </c>
      <c r="BB333" s="5" t="str">
        <f t="shared" si="164"/>
        <v>NAN</v>
      </c>
      <c r="BC333" s="1">
        <f>ROUND(AC333,1)</f>
        <v>0</v>
      </c>
      <c r="BD333" s="1">
        <f>ROUND(AD333,1)</f>
        <v>0</v>
      </c>
      <c r="BE333" s="1">
        <f>ROUND(AE333,1)</f>
        <v>0</v>
      </c>
      <c r="BF333" s="5">
        <f t="shared" si="153"/>
        <v>0</v>
      </c>
      <c r="BG333" s="5">
        <f t="shared" si="154"/>
        <v>0</v>
      </c>
      <c r="BH333" s="5">
        <f t="shared" si="155"/>
        <v>0</v>
      </c>
      <c r="BI333" s="5">
        <f t="shared" si="165"/>
        <v>0</v>
      </c>
      <c r="BJ333" s="9">
        <f t="shared" si="166"/>
        <v>0</v>
      </c>
      <c r="BK333" s="9" t="e">
        <f t="shared" si="166"/>
        <v>#DIV/0!</v>
      </c>
      <c r="BM333" s="1">
        <f t="shared" si="167"/>
        <v>0</v>
      </c>
      <c r="BN333" s="1">
        <f t="shared" si="168"/>
        <v>0</v>
      </c>
    </row>
    <row r="334" spans="1:66" x14ac:dyDescent="0.2">
      <c r="A334" s="4">
        <f t="shared" si="169"/>
        <v>45986</v>
      </c>
      <c r="B334" s="1">
        <v>329</v>
      </c>
      <c r="C334" s="1">
        <v>12</v>
      </c>
      <c r="AL334" s="5"/>
      <c r="AN334" s="1">
        <f t="shared" si="159"/>
        <v>0</v>
      </c>
      <c r="AO334" s="1">
        <f t="shared" si="160"/>
        <v>0</v>
      </c>
      <c r="AP334" s="1">
        <f t="shared" si="161"/>
        <v>0</v>
      </c>
      <c r="AQ334" s="16">
        <f t="shared" si="156"/>
        <v>0</v>
      </c>
      <c r="AR334" s="23" t="e">
        <f t="shared" si="162"/>
        <v>#DIV/0!</v>
      </c>
      <c r="AT334" s="18">
        <f t="shared" si="157"/>
        <v>45986</v>
      </c>
      <c r="AU334" s="19">
        <f t="shared" si="158"/>
        <v>329</v>
      </c>
      <c r="AV334" s="1">
        <f t="shared" si="148"/>
        <v>0</v>
      </c>
      <c r="AW334" s="1">
        <f t="shared" si="149"/>
        <v>0</v>
      </c>
      <c r="AX334" s="1">
        <f t="shared" si="150"/>
        <v>0</v>
      </c>
      <c r="AY334" s="1">
        <f t="shared" si="151"/>
        <v>0</v>
      </c>
      <c r="AZ334" s="1">
        <f t="shared" si="152"/>
        <v>0</v>
      </c>
      <c r="BA334" s="1">
        <f t="shared" si="163"/>
        <v>0</v>
      </c>
      <c r="BB334" s="5" t="str">
        <f t="shared" si="164"/>
        <v>NAN</v>
      </c>
      <c r="BC334" s="1">
        <f>ROUND(AC334,1)</f>
        <v>0</v>
      </c>
      <c r="BD334" s="1">
        <f>ROUND(AD334,1)</f>
        <v>0</v>
      </c>
      <c r="BE334" s="1">
        <f>ROUND(AE334,1)</f>
        <v>0</v>
      </c>
      <c r="BF334" s="5">
        <f t="shared" si="153"/>
        <v>0</v>
      </c>
      <c r="BG334" s="5">
        <f t="shared" si="154"/>
        <v>0</v>
      </c>
      <c r="BH334" s="5">
        <f t="shared" si="155"/>
        <v>0</v>
      </c>
      <c r="BI334" s="5">
        <f t="shared" si="165"/>
        <v>0</v>
      </c>
      <c r="BJ334" s="9">
        <f t="shared" si="166"/>
        <v>0</v>
      </c>
      <c r="BK334" s="9" t="e">
        <f t="shared" si="166"/>
        <v>#DIV/0!</v>
      </c>
      <c r="BM334" s="1">
        <f t="shared" si="167"/>
        <v>0</v>
      </c>
      <c r="BN334" s="1">
        <f t="shared" si="168"/>
        <v>0</v>
      </c>
    </row>
    <row r="335" spans="1:66" x14ac:dyDescent="0.2">
      <c r="A335" s="4">
        <f t="shared" si="169"/>
        <v>45987</v>
      </c>
      <c r="B335" s="1">
        <v>330</v>
      </c>
      <c r="C335" s="1">
        <v>12</v>
      </c>
      <c r="AL335" s="5"/>
      <c r="AN335" s="1">
        <f t="shared" si="159"/>
        <v>0</v>
      </c>
      <c r="AO335" s="1">
        <f t="shared" si="160"/>
        <v>0</v>
      </c>
      <c r="AP335" s="1">
        <f t="shared" si="161"/>
        <v>0</v>
      </c>
      <c r="AQ335" s="16">
        <f t="shared" si="156"/>
        <v>0</v>
      </c>
      <c r="AR335" s="23" t="e">
        <f t="shared" si="162"/>
        <v>#DIV/0!</v>
      </c>
      <c r="AT335" s="18">
        <f t="shared" si="157"/>
        <v>45987</v>
      </c>
      <c r="AU335" s="19">
        <f t="shared" si="158"/>
        <v>330</v>
      </c>
      <c r="AV335" s="1">
        <f t="shared" si="148"/>
        <v>0</v>
      </c>
      <c r="AW335" s="1">
        <f t="shared" si="149"/>
        <v>0</v>
      </c>
      <c r="AX335" s="1">
        <f t="shared" si="150"/>
        <v>0</v>
      </c>
      <c r="AY335" s="1">
        <f t="shared" si="151"/>
        <v>0</v>
      </c>
      <c r="AZ335" s="1">
        <f t="shared" si="152"/>
        <v>0</v>
      </c>
      <c r="BA335" s="1">
        <f t="shared" si="163"/>
        <v>0</v>
      </c>
      <c r="BB335" s="5" t="str">
        <f t="shared" si="164"/>
        <v>NAN</v>
      </c>
      <c r="BC335" s="1">
        <f>ROUND(AC335,1)</f>
        <v>0</v>
      </c>
      <c r="BD335" s="1">
        <f>ROUND(AD335,1)</f>
        <v>0</v>
      </c>
      <c r="BE335" s="1">
        <f>ROUND(AE335,1)</f>
        <v>0</v>
      </c>
      <c r="BF335" s="5">
        <f t="shared" si="153"/>
        <v>0</v>
      </c>
      <c r="BG335" s="5">
        <f t="shared" si="154"/>
        <v>0</v>
      </c>
      <c r="BH335" s="5">
        <f t="shared" si="155"/>
        <v>0</v>
      </c>
      <c r="BI335" s="5">
        <f t="shared" si="165"/>
        <v>0</v>
      </c>
      <c r="BJ335" s="9">
        <f t="shared" si="166"/>
        <v>0</v>
      </c>
      <c r="BK335" s="9" t="e">
        <f t="shared" si="166"/>
        <v>#DIV/0!</v>
      </c>
      <c r="BM335" s="1">
        <f t="shared" si="167"/>
        <v>0</v>
      </c>
      <c r="BN335" s="1">
        <f t="shared" si="168"/>
        <v>0</v>
      </c>
    </row>
    <row r="336" spans="1:66" x14ac:dyDescent="0.2">
      <c r="A336" s="4">
        <f t="shared" si="169"/>
        <v>45988</v>
      </c>
      <c r="B336" s="1">
        <v>331</v>
      </c>
      <c r="C336" s="1">
        <v>12</v>
      </c>
      <c r="AL336" s="5"/>
      <c r="AN336" s="1">
        <f t="shared" si="159"/>
        <v>0</v>
      </c>
      <c r="AO336" s="1">
        <f t="shared" si="160"/>
        <v>0</v>
      </c>
      <c r="AP336" s="1">
        <f t="shared" si="161"/>
        <v>0</v>
      </c>
      <c r="AQ336" s="16">
        <f t="shared" si="156"/>
        <v>0</v>
      </c>
      <c r="AR336" s="23" t="e">
        <f t="shared" si="162"/>
        <v>#DIV/0!</v>
      </c>
      <c r="AT336" s="18">
        <f t="shared" si="157"/>
        <v>45988</v>
      </c>
      <c r="AU336" s="19">
        <f t="shared" si="158"/>
        <v>331</v>
      </c>
      <c r="AV336" s="1">
        <f t="shared" si="148"/>
        <v>0</v>
      </c>
      <c r="AW336" s="1">
        <f t="shared" si="149"/>
        <v>0</v>
      </c>
      <c r="AX336" s="1">
        <f t="shared" si="150"/>
        <v>0</v>
      </c>
      <c r="AY336" s="1">
        <f t="shared" si="151"/>
        <v>0</v>
      </c>
      <c r="AZ336" s="1">
        <f t="shared" si="152"/>
        <v>0</v>
      </c>
      <c r="BA336" s="1">
        <f t="shared" si="163"/>
        <v>0</v>
      </c>
      <c r="BB336" s="5" t="str">
        <f t="shared" si="164"/>
        <v>NAN</v>
      </c>
      <c r="BC336" s="1">
        <f>ROUND(AC336,1)</f>
        <v>0</v>
      </c>
      <c r="BD336" s="1">
        <f>ROUND(AD336,1)</f>
        <v>0</v>
      </c>
      <c r="BE336" s="1">
        <f>ROUND(AE336,1)</f>
        <v>0</v>
      </c>
      <c r="BF336" s="5">
        <f t="shared" si="153"/>
        <v>0</v>
      </c>
      <c r="BG336" s="5">
        <f t="shared" si="154"/>
        <v>0</v>
      </c>
      <c r="BH336" s="5">
        <f t="shared" si="155"/>
        <v>0</v>
      </c>
      <c r="BI336" s="5">
        <f t="shared" si="165"/>
        <v>0</v>
      </c>
      <c r="BJ336" s="9">
        <f t="shared" si="166"/>
        <v>0</v>
      </c>
      <c r="BK336" s="9" t="e">
        <f t="shared" si="166"/>
        <v>#DIV/0!</v>
      </c>
      <c r="BM336" s="1">
        <f t="shared" si="167"/>
        <v>0</v>
      </c>
      <c r="BN336" s="1">
        <f t="shared" si="168"/>
        <v>0</v>
      </c>
    </row>
    <row r="337" spans="1:66" x14ac:dyDescent="0.2">
      <c r="A337" s="4">
        <f t="shared" si="169"/>
        <v>45989</v>
      </c>
      <c r="B337" s="1">
        <v>332</v>
      </c>
      <c r="C337" s="1">
        <v>12</v>
      </c>
      <c r="AL337" s="5"/>
      <c r="AN337" s="1">
        <f t="shared" si="159"/>
        <v>0</v>
      </c>
      <c r="AO337" s="1">
        <f t="shared" si="160"/>
        <v>0</v>
      </c>
      <c r="AP337" s="1">
        <f t="shared" si="161"/>
        <v>0</v>
      </c>
      <c r="AQ337" s="16">
        <f t="shared" si="156"/>
        <v>0</v>
      </c>
      <c r="AR337" s="23" t="e">
        <f t="shared" si="162"/>
        <v>#DIV/0!</v>
      </c>
      <c r="AT337" s="18">
        <f t="shared" si="157"/>
        <v>45989</v>
      </c>
      <c r="AU337" s="19">
        <f t="shared" si="158"/>
        <v>332</v>
      </c>
      <c r="AV337" s="1">
        <f t="shared" si="148"/>
        <v>0</v>
      </c>
      <c r="AW337" s="1">
        <f t="shared" si="149"/>
        <v>0</v>
      </c>
      <c r="AX337" s="1">
        <f t="shared" si="150"/>
        <v>0</v>
      </c>
      <c r="AY337" s="1">
        <f t="shared" si="151"/>
        <v>0</v>
      </c>
      <c r="AZ337" s="1">
        <f t="shared" si="152"/>
        <v>0</v>
      </c>
      <c r="BA337" s="1">
        <f t="shared" si="163"/>
        <v>0</v>
      </c>
      <c r="BB337" s="5" t="str">
        <f t="shared" si="164"/>
        <v>NAN</v>
      </c>
      <c r="BC337" s="1">
        <f>ROUND(AC337,1)</f>
        <v>0</v>
      </c>
      <c r="BD337" s="1">
        <f>ROUND(AD337,1)</f>
        <v>0</v>
      </c>
      <c r="BE337" s="1">
        <f>ROUND(AE337,1)</f>
        <v>0</v>
      </c>
      <c r="BF337" s="5">
        <f t="shared" si="153"/>
        <v>0</v>
      </c>
      <c r="BG337" s="5">
        <f t="shared" si="154"/>
        <v>0</v>
      </c>
      <c r="BH337" s="5">
        <f t="shared" si="155"/>
        <v>0</v>
      </c>
      <c r="BI337" s="5">
        <f t="shared" si="165"/>
        <v>0</v>
      </c>
      <c r="BJ337" s="9">
        <f t="shared" si="166"/>
        <v>0</v>
      </c>
      <c r="BK337" s="9" t="e">
        <f t="shared" si="166"/>
        <v>#DIV/0!</v>
      </c>
      <c r="BM337" s="1">
        <f t="shared" si="167"/>
        <v>0</v>
      </c>
      <c r="BN337" s="1">
        <f t="shared" si="168"/>
        <v>0</v>
      </c>
    </row>
    <row r="338" spans="1:66" x14ac:dyDescent="0.2">
      <c r="A338" s="4">
        <f t="shared" si="169"/>
        <v>45990</v>
      </c>
      <c r="B338" s="1">
        <v>333</v>
      </c>
      <c r="C338" s="1">
        <v>12</v>
      </c>
      <c r="AL338" s="5"/>
      <c r="AN338" s="1">
        <f t="shared" si="159"/>
        <v>0</v>
      </c>
      <c r="AO338" s="1">
        <f t="shared" si="160"/>
        <v>0</v>
      </c>
      <c r="AP338" s="1">
        <f t="shared" si="161"/>
        <v>0</v>
      </c>
      <c r="AQ338" s="16">
        <f t="shared" ref="AQ338:AQ370" si="170">ROUND((0.6105*(EXP((17.273*N338)/(N338+237.3))))*AP338/100,3)</f>
        <v>0</v>
      </c>
      <c r="AR338" s="23" t="e">
        <f t="shared" si="162"/>
        <v>#DIV/0!</v>
      </c>
      <c r="AT338" s="18">
        <f t="shared" si="157"/>
        <v>45990</v>
      </c>
      <c r="AU338" s="19">
        <f t="shared" si="158"/>
        <v>333</v>
      </c>
      <c r="AV338" s="1">
        <f t="shared" si="148"/>
        <v>0</v>
      </c>
      <c r="AW338" s="1">
        <f t="shared" si="149"/>
        <v>0</v>
      </c>
      <c r="AX338" s="1">
        <f t="shared" si="150"/>
        <v>0</v>
      </c>
      <c r="AY338" s="1">
        <f t="shared" si="151"/>
        <v>0</v>
      </c>
      <c r="AZ338" s="1">
        <f t="shared" si="152"/>
        <v>0</v>
      </c>
      <c r="BA338" s="1">
        <f t="shared" si="163"/>
        <v>0</v>
      </c>
      <c r="BB338" s="5" t="str">
        <f t="shared" si="164"/>
        <v>NAN</v>
      </c>
      <c r="BC338" s="1">
        <f>ROUND(AC338,1)</f>
        <v>0</v>
      </c>
      <c r="BD338" s="1">
        <f>ROUND(AD338,1)</f>
        <v>0</v>
      </c>
      <c r="BE338" s="1">
        <f>ROUND(AE338,1)</f>
        <v>0</v>
      </c>
      <c r="BF338" s="5">
        <f t="shared" si="153"/>
        <v>0</v>
      </c>
      <c r="BG338" s="5">
        <f t="shared" si="154"/>
        <v>0</v>
      </c>
      <c r="BH338" s="5">
        <f t="shared" si="155"/>
        <v>0</v>
      </c>
      <c r="BI338" s="5">
        <f t="shared" si="165"/>
        <v>0</v>
      </c>
      <c r="BJ338" s="9">
        <f t="shared" si="166"/>
        <v>0</v>
      </c>
      <c r="BK338" s="9" t="e">
        <f t="shared" si="166"/>
        <v>#DIV/0!</v>
      </c>
      <c r="BM338" s="1">
        <f t="shared" si="167"/>
        <v>0</v>
      </c>
      <c r="BN338" s="1">
        <f t="shared" si="168"/>
        <v>0</v>
      </c>
    </row>
    <row r="339" spans="1:66" x14ac:dyDescent="0.2">
      <c r="A339" s="4">
        <f t="shared" si="169"/>
        <v>45991</v>
      </c>
      <c r="B339" s="1">
        <v>334</v>
      </c>
      <c r="C339" s="1">
        <v>12</v>
      </c>
      <c r="AL339" s="5"/>
      <c r="AN339" s="1">
        <f t="shared" si="159"/>
        <v>0</v>
      </c>
      <c r="AO339" s="1">
        <f t="shared" si="160"/>
        <v>0</v>
      </c>
      <c r="AP339" s="1">
        <f t="shared" si="161"/>
        <v>0</v>
      </c>
      <c r="AQ339" s="16">
        <f t="shared" si="170"/>
        <v>0</v>
      </c>
      <c r="AR339" s="23" t="e">
        <f t="shared" si="162"/>
        <v>#DIV/0!</v>
      </c>
      <c r="AT339" s="18">
        <f t="shared" si="157"/>
        <v>45991</v>
      </c>
      <c r="AU339" s="19">
        <f t="shared" si="158"/>
        <v>334</v>
      </c>
      <c r="AV339" s="1">
        <f t="shared" ref="AV339:AV370" si="171">ROUND(G339,1)</f>
        <v>0</v>
      </c>
      <c r="AW339" s="1">
        <f t="shared" ref="AW339:AW370" si="172">ROUND(N339,1)</f>
        <v>0</v>
      </c>
      <c r="AX339" s="1">
        <f t="shared" ref="AX339:AX370" si="173">ROUND(U339,1)</f>
        <v>0</v>
      </c>
      <c r="AY339" s="1">
        <f t="shared" ref="AY339:AY370" si="174">AO339</f>
        <v>0</v>
      </c>
      <c r="AZ339" s="1">
        <f t="shared" ref="AZ339:AZ370" si="175">AP339</f>
        <v>0</v>
      </c>
      <c r="BA339" s="1">
        <f t="shared" si="163"/>
        <v>0</v>
      </c>
      <c r="BB339" s="5" t="str">
        <f t="shared" si="164"/>
        <v>NAN</v>
      </c>
      <c r="BC339" s="1">
        <f>ROUND(AC339,1)</f>
        <v>0</v>
      </c>
      <c r="BD339" s="1">
        <f>ROUND(AD339,1)</f>
        <v>0</v>
      </c>
      <c r="BE339" s="1">
        <f>ROUND(AE339,1)</f>
        <v>0</v>
      </c>
      <c r="BF339" s="5">
        <f t="shared" ref="BF339:BF370" si="176">ROUND(K339,1)</f>
        <v>0</v>
      </c>
      <c r="BG339" s="5">
        <f t="shared" ref="BG339:BG370" si="177">ROUND(L339,1)</f>
        <v>0</v>
      </c>
      <c r="BH339" s="5">
        <f t="shared" ref="BH339:BH370" si="178">ROUND(M339,1)</f>
        <v>0</v>
      </c>
      <c r="BI339" s="5">
        <f t="shared" si="165"/>
        <v>0</v>
      </c>
      <c r="BJ339" s="9">
        <f t="shared" si="166"/>
        <v>0</v>
      </c>
      <c r="BK339" s="9" t="e">
        <f t="shared" si="166"/>
        <v>#DIV/0!</v>
      </c>
      <c r="BM339" s="1">
        <f t="shared" si="167"/>
        <v>0</v>
      </c>
      <c r="BN339" s="1">
        <f t="shared" si="168"/>
        <v>0</v>
      </c>
    </row>
    <row r="340" spans="1:66" x14ac:dyDescent="0.2">
      <c r="A340" s="4">
        <f t="shared" si="169"/>
        <v>45992</v>
      </c>
      <c r="B340" s="1">
        <v>335</v>
      </c>
      <c r="C340" s="1">
        <v>12</v>
      </c>
      <c r="AL340" s="5"/>
      <c r="AN340" s="1">
        <f t="shared" si="159"/>
        <v>0</v>
      </c>
      <c r="AO340" s="1">
        <f t="shared" si="160"/>
        <v>0</v>
      </c>
      <c r="AP340" s="1">
        <f t="shared" si="161"/>
        <v>0</v>
      </c>
      <c r="AQ340" s="16">
        <f t="shared" si="170"/>
        <v>0</v>
      </c>
      <c r="AR340" s="23" t="e">
        <f t="shared" si="162"/>
        <v>#DIV/0!</v>
      </c>
      <c r="AT340" s="18">
        <f t="shared" si="157"/>
        <v>45992</v>
      </c>
      <c r="AU340" s="19">
        <f t="shared" si="158"/>
        <v>335</v>
      </c>
      <c r="AV340" s="1">
        <f t="shared" si="171"/>
        <v>0</v>
      </c>
      <c r="AW340" s="1">
        <f t="shared" si="172"/>
        <v>0</v>
      </c>
      <c r="AX340" s="1">
        <f t="shared" si="173"/>
        <v>0</v>
      </c>
      <c r="AY340" s="1">
        <f t="shared" si="174"/>
        <v>0</v>
      </c>
      <c r="AZ340" s="1">
        <f t="shared" si="175"/>
        <v>0</v>
      </c>
      <c r="BA340" s="1">
        <f t="shared" si="163"/>
        <v>0</v>
      </c>
      <c r="BB340" s="5" t="str">
        <f t="shared" si="164"/>
        <v>NAN</v>
      </c>
      <c r="BC340" s="1">
        <f>ROUND(AC340,1)</f>
        <v>0</v>
      </c>
      <c r="BD340" s="1">
        <f>ROUND(AD340,1)</f>
        <v>0</v>
      </c>
      <c r="BE340" s="1">
        <f>ROUND(AE340,1)</f>
        <v>0</v>
      </c>
      <c r="BF340" s="5">
        <f t="shared" si="176"/>
        <v>0</v>
      </c>
      <c r="BG340" s="5">
        <f t="shared" si="177"/>
        <v>0</v>
      </c>
      <c r="BH340" s="5">
        <f t="shared" si="178"/>
        <v>0</v>
      </c>
      <c r="BI340" s="5">
        <f t="shared" si="165"/>
        <v>0</v>
      </c>
      <c r="BJ340" s="9">
        <f t="shared" si="166"/>
        <v>0</v>
      </c>
      <c r="BK340" s="9" t="e">
        <f t="shared" si="166"/>
        <v>#DIV/0!</v>
      </c>
      <c r="BM340" s="1">
        <f t="shared" si="167"/>
        <v>0</v>
      </c>
      <c r="BN340" s="1">
        <f t="shared" si="168"/>
        <v>0</v>
      </c>
    </row>
    <row r="341" spans="1:66" x14ac:dyDescent="0.2">
      <c r="A341" s="4">
        <f t="shared" si="169"/>
        <v>45993</v>
      </c>
      <c r="B341" s="1">
        <v>336</v>
      </c>
      <c r="C341" s="1">
        <v>12</v>
      </c>
      <c r="AL341" s="5"/>
      <c r="AN341" s="1">
        <f t="shared" si="159"/>
        <v>0</v>
      </c>
      <c r="AO341" s="1">
        <f t="shared" si="160"/>
        <v>0</v>
      </c>
      <c r="AP341" s="1">
        <f t="shared" si="161"/>
        <v>0</v>
      </c>
      <c r="AQ341" s="16">
        <f t="shared" si="170"/>
        <v>0</v>
      </c>
      <c r="AR341" s="23" t="e">
        <f t="shared" si="162"/>
        <v>#DIV/0!</v>
      </c>
      <c r="AT341" s="18">
        <f t="shared" si="157"/>
        <v>45993</v>
      </c>
      <c r="AU341" s="19">
        <f t="shared" si="158"/>
        <v>336</v>
      </c>
      <c r="AV341" s="1">
        <f t="shared" si="171"/>
        <v>0</v>
      </c>
      <c r="AW341" s="1">
        <f t="shared" si="172"/>
        <v>0</v>
      </c>
      <c r="AX341" s="1">
        <f t="shared" si="173"/>
        <v>0</v>
      </c>
      <c r="AY341" s="1">
        <f t="shared" si="174"/>
        <v>0</v>
      </c>
      <c r="AZ341" s="1">
        <f t="shared" si="175"/>
        <v>0</v>
      </c>
      <c r="BA341" s="1">
        <f t="shared" si="163"/>
        <v>0</v>
      </c>
      <c r="BB341" s="5" t="str">
        <f t="shared" si="164"/>
        <v>NAN</v>
      </c>
      <c r="BC341" s="1">
        <f>ROUND(AC341,1)</f>
        <v>0</v>
      </c>
      <c r="BD341" s="1">
        <f>ROUND(AD341,1)</f>
        <v>0</v>
      </c>
      <c r="BE341" s="1">
        <f>ROUND(AE341,1)</f>
        <v>0</v>
      </c>
      <c r="BF341" s="5">
        <f t="shared" si="176"/>
        <v>0</v>
      </c>
      <c r="BG341" s="5">
        <f t="shared" si="177"/>
        <v>0</v>
      </c>
      <c r="BH341" s="5">
        <f t="shared" si="178"/>
        <v>0</v>
      </c>
      <c r="BI341" s="5">
        <f t="shared" si="165"/>
        <v>0</v>
      </c>
      <c r="BJ341" s="9">
        <f t="shared" si="166"/>
        <v>0</v>
      </c>
      <c r="BK341" s="9" t="e">
        <f t="shared" si="166"/>
        <v>#DIV/0!</v>
      </c>
      <c r="BM341" s="1">
        <f t="shared" si="167"/>
        <v>0</v>
      </c>
      <c r="BN341" s="1">
        <f t="shared" si="168"/>
        <v>0</v>
      </c>
    </row>
    <row r="342" spans="1:66" x14ac:dyDescent="0.2">
      <c r="A342" s="4">
        <f t="shared" si="169"/>
        <v>45994</v>
      </c>
      <c r="B342" s="1">
        <v>337</v>
      </c>
      <c r="C342" s="1">
        <v>12</v>
      </c>
      <c r="AL342" s="5"/>
      <c r="AN342" s="1">
        <f t="shared" si="159"/>
        <v>0</v>
      </c>
      <c r="AO342" s="1">
        <f t="shared" si="160"/>
        <v>0</v>
      </c>
      <c r="AP342" s="1">
        <f t="shared" si="161"/>
        <v>0</v>
      </c>
      <c r="AQ342" s="16">
        <f t="shared" si="170"/>
        <v>0</v>
      </c>
      <c r="AR342" s="23" t="e">
        <f t="shared" si="162"/>
        <v>#DIV/0!</v>
      </c>
      <c r="AT342" s="18">
        <f t="shared" si="157"/>
        <v>45994</v>
      </c>
      <c r="AU342" s="19">
        <f t="shared" si="158"/>
        <v>337</v>
      </c>
      <c r="AV342" s="1">
        <f t="shared" si="171"/>
        <v>0</v>
      </c>
      <c r="AW342" s="1">
        <f t="shared" si="172"/>
        <v>0</v>
      </c>
      <c r="AX342" s="1">
        <f t="shared" si="173"/>
        <v>0</v>
      </c>
      <c r="AY342" s="1">
        <f t="shared" si="174"/>
        <v>0</v>
      </c>
      <c r="AZ342" s="1">
        <f t="shared" si="175"/>
        <v>0</v>
      </c>
      <c r="BA342" s="1">
        <f t="shared" si="163"/>
        <v>0</v>
      </c>
      <c r="BB342" s="5" t="str">
        <f t="shared" si="164"/>
        <v>NAN</v>
      </c>
      <c r="BC342" s="1">
        <f>ROUND(AC342,1)</f>
        <v>0</v>
      </c>
      <c r="BD342" s="1">
        <f>ROUND(AD342,1)</f>
        <v>0</v>
      </c>
      <c r="BE342" s="1">
        <f>ROUND(AE342,1)</f>
        <v>0</v>
      </c>
      <c r="BF342" s="5">
        <f t="shared" si="176"/>
        <v>0</v>
      </c>
      <c r="BG342" s="5">
        <f t="shared" si="177"/>
        <v>0</v>
      </c>
      <c r="BH342" s="5">
        <f t="shared" si="178"/>
        <v>0</v>
      </c>
      <c r="BI342" s="5">
        <f t="shared" si="165"/>
        <v>0</v>
      </c>
      <c r="BJ342" s="9">
        <f t="shared" si="166"/>
        <v>0</v>
      </c>
      <c r="BK342" s="9" t="e">
        <f t="shared" si="166"/>
        <v>#DIV/0!</v>
      </c>
      <c r="BM342" s="1">
        <f t="shared" si="167"/>
        <v>0</v>
      </c>
      <c r="BN342" s="1">
        <f t="shared" si="168"/>
        <v>0</v>
      </c>
    </row>
    <row r="343" spans="1:66" x14ac:dyDescent="0.2">
      <c r="A343" s="4">
        <f t="shared" si="169"/>
        <v>45995</v>
      </c>
      <c r="B343" s="1">
        <v>338</v>
      </c>
      <c r="C343" s="1">
        <v>12</v>
      </c>
      <c r="AL343" s="5"/>
      <c r="AN343" s="1">
        <f t="shared" si="159"/>
        <v>0</v>
      </c>
      <c r="AO343" s="1">
        <f t="shared" si="160"/>
        <v>0</v>
      </c>
      <c r="AP343" s="1">
        <f t="shared" si="161"/>
        <v>0</v>
      </c>
      <c r="AQ343" s="16">
        <f t="shared" si="170"/>
        <v>0</v>
      </c>
      <c r="AR343" s="23" t="e">
        <f t="shared" si="162"/>
        <v>#DIV/0!</v>
      </c>
      <c r="AT343" s="18">
        <f t="shared" si="157"/>
        <v>45995</v>
      </c>
      <c r="AU343" s="19">
        <f t="shared" si="158"/>
        <v>338</v>
      </c>
      <c r="AV343" s="1">
        <f t="shared" si="171"/>
        <v>0</v>
      </c>
      <c r="AW343" s="1">
        <f t="shared" si="172"/>
        <v>0</v>
      </c>
      <c r="AX343" s="1">
        <f t="shared" si="173"/>
        <v>0</v>
      </c>
      <c r="AY343" s="1">
        <f t="shared" si="174"/>
        <v>0</v>
      </c>
      <c r="AZ343" s="1">
        <f t="shared" si="175"/>
        <v>0</v>
      </c>
      <c r="BA343" s="1">
        <f t="shared" si="163"/>
        <v>0</v>
      </c>
      <c r="BB343" s="5" t="str">
        <f t="shared" si="164"/>
        <v>NAN</v>
      </c>
      <c r="BC343" s="1">
        <f>ROUND(AC343,1)</f>
        <v>0</v>
      </c>
      <c r="BD343" s="1">
        <f>ROUND(AD343,1)</f>
        <v>0</v>
      </c>
      <c r="BE343" s="1">
        <f>ROUND(AE343,1)</f>
        <v>0</v>
      </c>
      <c r="BF343" s="5">
        <f t="shared" si="176"/>
        <v>0</v>
      </c>
      <c r="BG343" s="5">
        <f t="shared" si="177"/>
        <v>0</v>
      </c>
      <c r="BH343" s="5">
        <f t="shared" si="178"/>
        <v>0</v>
      </c>
      <c r="BI343" s="5">
        <f t="shared" si="165"/>
        <v>0</v>
      </c>
      <c r="BJ343" s="9">
        <f t="shared" si="166"/>
        <v>0</v>
      </c>
      <c r="BK343" s="9" t="e">
        <f t="shared" si="166"/>
        <v>#DIV/0!</v>
      </c>
      <c r="BM343" s="1">
        <f t="shared" si="167"/>
        <v>0</v>
      </c>
      <c r="BN343" s="1">
        <f t="shared" si="168"/>
        <v>0</v>
      </c>
    </row>
    <row r="344" spans="1:66" x14ac:dyDescent="0.2">
      <c r="A344" s="4">
        <f t="shared" si="169"/>
        <v>45996</v>
      </c>
      <c r="B344" s="1">
        <v>339</v>
      </c>
      <c r="C344" s="1">
        <v>12</v>
      </c>
      <c r="AL344" s="5"/>
      <c r="AN344" s="1">
        <f t="shared" si="159"/>
        <v>0</v>
      </c>
      <c r="AO344" s="1">
        <f t="shared" si="160"/>
        <v>0</v>
      </c>
      <c r="AP344" s="1">
        <f t="shared" si="161"/>
        <v>0</v>
      </c>
      <c r="AQ344" s="16">
        <f t="shared" si="170"/>
        <v>0</v>
      </c>
      <c r="AR344" s="23" t="e">
        <f t="shared" si="162"/>
        <v>#DIV/0!</v>
      </c>
      <c r="AT344" s="18">
        <f t="shared" si="157"/>
        <v>45996</v>
      </c>
      <c r="AU344" s="19">
        <f t="shared" si="158"/>
        <v>339</v>
      </c>
      <c r="AV344" s="1">
        <f t="shared" si="171"/>
        <v>0</v>
      </c>
      <c r="AW344" s="1">
        <f t="shared" si="172"/>
        <v>0</v>
      </c>
      <c r="AX344" s="1">
        <f t="shared" si="173"/>
        <v>0</v>
      </c>
      <c r="AY344" s="1">
        <f t="shared" si="174"/>
        <v>0</v>
      </c>
      <c r="AZ344" s="1">
        <f t="shared" si="175"/>
        <v>0</v>
      </c>
      <c r="BA344" s="1">
        <f t="shared" si="163"/>
        <v>0</v>
      </c>
      <c r="BB344" s="5" t="str">
        <f t="shared" si="164"/>
        <v>NAN</v>
      </c>
      <c r="BC344" s="1">
        <f>ROUND(AC344,1)</f>
        <v>0</v>
      </c>
      <c r="BD344" s="1">
        <f>ROUND(AD344,1)</f>
        <v>0</v>
      </c>
      <c r="BE344" s="1">
        <f>ROUND(AE344,1)</f>
        <v>0</v>
      </c>
      <c r="BF344" s="5">
        <f t="shared" si="176"/>
        <v>0</v>
      </c>
      <c r="BG344" s="5">
        <f t="shared" si="177"/>
        <v>0</v>
      </c>
      <c r="BH344" s="5">
        <f t="shared" si="178"/>
        <v>0</v>
      </c>
      <c r="BI344" s="5">
        <f t="shared" si="165"/>
        <v>0</v>
      </c>
      <c r="BJ344" s="9">
        <f t="shared" si="166"/>
        <v>0</v>
      </c>
      <c r="BK344" s="9" t="e">
        <f t="shared" si="166"/>
        <v>#DIV/0!</v>
      </c>
      <c r="BM344" s="1">
        <f t="shared" si="167"/>
        <v>0</v>
      </c>
      <c r="BN344" s="1">
        <f t="shared" si="168"/>
        <v>0</v>
      </c>
    </row>
    <row r="345" spans="1:66" x14ac:dyDescent="0.2">
      <c r="A345" s="4">
        <f t="shared" si="169"/>
        <v>45997</v>
      </c>
      <c r="B345" s="1">
        <v>340</v>
      </c>
      <c r="C345" s="1">
        <v>12</v>
      </c>
      <c r="AL345" s="5"/>
      <c r="AN345" s="1">
        <f t="shared" si="159"/>
        <v>0</v>
      </c>
      <c r="AO345" s="1">
        <f t="shared" si="160"/>
        <v>0</v>
      </c>
      <c r="AP345" s="1">
        <f t="shared" si="161"/>
        <v>0</v>
      </c>
      <c r="AQ345" s="16">
        <f t="shared" si="170"/>
        <v>0</v>
      </c>
      <c r="AR345" s="23" t="e">
        <f t="shared" si="162"/>
        <v>#DIV/0!</v>
      </c>
      <c r="AT345" s="18">
        <f t="shared" si="157"/>
        <v>45997</v>
      </c>
      <c r="AU345" s="19">
        <f t="shared" si="158"/>
        <v>340</v>
      </c>
      <c r="AV345" s="1">
        <f t="shared" si="171"/>
        <v>0</v>
      </c>
      <c r="AW345" s="1">
        <f t="shared" si="172"/>
        <v>0</v>
      </c>
      <c r="AX345" s="1">
        <f t="shared" si="173"/>
        <v>0</v>
      </c>
      <c r="AY345" s="1">
        <f t="shared" si="174"/>
        <v>0</v>
      </c>
      <c r="AZ345" s="1">
        <f t="shared" si="175"/>
        <v>0</v>
      </c>
      <c r="BA345" s="1">
        <f t="shared" si="163"/>
        <v>0</v>
      </c>
      <c r="BB345" s="5" t="str">
        <f t="shared" si="164"/>
        <v>NAN</v>
      </c>
      <c r="BC345" s="1">
        <f>ROUND(AC345,1)</f>
        <v>0</v>
      </c>
      <c r="BD345" s="1">
        <f>ROUND(AD345,1)</f>
        <v>0</v>
      </c>
      <c r="BE345" s="1">
        <f>ROUND(AE345,1)</f>
        <v>0</v>
      </c>
      <c r="BF345" s="5">
        <f t="shared" si="176"/>
        <v>0</v>
      </c>
      <c r="BG345" s="5">
        <f t="shared" si="177"/>
        <v>0</v>
      </c>
      <c r="BH345" s="5">
        <f t="shared" si="178"/>
        <v>0</v>
      </c>
      <c r="BI345" s="5">
        <f t="shared" si="165"/>
        <v>0</v>
      </c>
      <c r="BJ345" s="9">
        <f t="shared" si="166"/>
        <v>0</v>
      </c>
      <c r="BK345" s="9" t="e">
        <f t="shared" si="166"/>
        <v>#DIV/0!</v>
      </c>
      <c r="BM345" s="1">
        <f t="shared" si="167"/>
        <v>0</v>
      </c>
      <c r="BN345" s="1">
        <f t="shared" si="168"/>
        <v>0</v>
      </c>
    </row>
    <row r="346" spans="1:66" x14ac:dyDescent="0.2">
      <c r="A346" s="4">
        <f t="shared" si="169"/>
        <v>45998</v>
      </c>
      <c r="B346" s="1">
        <v>341</v>
      </c>
      <c r="C346" s="1">
        <v>12</v>
      </c>
      <c r="AL346" s="5"/>
      <c r="AN346" s="1">
        <f t="shared" si="159"/>
        <v>0</v>
      </c>
      <c r="AO346" s="1">
        <f t="shared" si="160"/>
        <v>0</v>
      </c>
      <c r="AP346" s="1">
        <f t="shared" si="161"/>
        <v>0</v>
      </c>
      <c r="AQ346" s="16">
        <f t="shared" si="170"/>
        <v>0</v>
      </c>
      <c r="AR346" s="23" t="e">
        <f t="shared" si="162"/>
        <v>#DIV/0!</v>
      </c>
      <c r="AT346" s="18">
        <f t="shared" si="157"/>
        <v>45998</v>
      </c>
      <c r="AU346" s="19">
        <f t="shared" si="158"/>
        <v>341</v>
      </c>
      <c r="AV346" s="1">
        <f t="shared" si="171"/>
        <v>0</v>
      </c>
      <c r="AW346" s="1">
        <f t="shared" si="172"/>
        <v>0</v>
      </c>
      <c r="AX346" s="1">
        <f t="shared" si="173"/>
        <v>0</v>
      </c>
      <c r="AY346" s="1">
        <f t="shared" si="174"/>
        <v>0</v>
      </c>
      <c r="AZ346" s="1">
        <f t="shared" si="175"/>
        <v>0</v>
      </c>
      <c r="BA346" s="1">
        <f t="shared" si="163"/>
        <v>0</v>
      </c>
      <c r="BB346" s="5" t="str">
        <f t="shared" si="164"/>
        <v>NAN</v>
      </c>
      <c r="BC346" s="1">
        <f>ROUND(AC346,1)</f>
        <v>0</v>
      </c>
      <c r="BD346" s="1">
        <f>ROUND(AD346,1)</f>
        <v>0</v>
      </c>
      <c r="BE346" s="1">
        <f>ROUND(AE346,1)</f>
        <v>0</v>
      </c>
      <c r="BF346" s="5">
        <f t="shared" si="176"/>
        <v>0</v>
      </c>
      <c r="BG346" s="5">
        <f t="shared" si="177"/>
        <v>0</v>
      </c>
      <c r="BH346" s="5">
        <f t="shared" si="178"/>
        <v>0</v>
      </c>
      <c r="BI346" s="5">
        <f t="shared" si="165"/>
        <v>0</v>
      </c>
      <c r="BJ346" s="9">
        <f t="shared" si="166"/>
        <v>0</v>
      </c>
      <c r="BK346" s="9" t="e">
        <f t="shared" si="166"/>
        <v>#DIV/0!</v>
      </c>
      <c r="BM346" s="1">
        <f t="shared" si="167"/>
        <v>0</v>
      </c>
      <c r="BN346" s="1">
        <f t="shared" si="168"/>
        <v>0</v>
      </c>
    </row>
    <row r="347" spans="1:66" x14ac:dyDescent="0.2">
      <c r="A347" s="4">
        <f t="shared" si="169"/>
        <v>45999</v>
      </c>
      <c r="B347" s="1">
        <v>342</v>
      </c>
      <c r="C347" s="1">
        <v>12</v>
      </c>
      <c r="AL347" s="5"/>
      <c r="AN347" s="1">
        <f t="shared" si="159"/>
        <v>0</v>
      </c>
      <c r="AO347" s="1">
        <f t="shared" si="160"/>
        <v>0</v>
      </c>
      <c r="AP347" s="1">
        <f t="shared" si="161"/>
        <v>0</v>
      </c>
      <c r="AQ347" s="16">
        <f t="shared" si="170"/>
        <v>0</v>
      </c>
      <c r="AR347" s="23" t="e">
        <f t="shared" si="162"/>
        <v>#DIV/0!</v>
      </c>
      <c r="AT347" s="18">
        <f t="shared" si="157"/>
        <v>45999</v>
      </c>
      <c r="AU347" s="19">
        <f t="shared" si="158"/>
        <v>342</v>
      </c>
      <c r="AV347" s="1">
        <f t="shared" si="171"/>
        <v>0</v>
      </c>
      <c r="AW347" s="1">
        <f t="shared" si="172"/>
        <v>0</v>
      </c>
      <c r="AX347" s="1">
        <f t="shared" si="173"/>
        <v>0</v>
      </c>
      <c r="AY347" s="1">
        <f t="shared" si="174"/>
        <v>0</v>
      </c>
      <c r="AZ347" s="1">
        <f t="shared" si="175"/>
        <v>0</v>
      </c>
      <c r="BA347" s="1">
        <f t="shared" si="163"/>
        <v>0</v>
      </c>
      <c r="BB347" s="5" t="str">
        <f t="shared" si="164"/>
        <v>NAN</v>
      </c>
      <c r="BC347" s="1">
        <f>ROUND(AC347,1)</f>
        <v>0</v>
      </c>
      <c r="BD347" s="1">
        <f>ROUND(AD347,1)</f>
        <v>0</v>
      </c>
      <c r="BE347" s="1">
        <f>ROUND(AE347,1)</f>
        <v>0</v>
      </c>
      <c r="BF347" s="5">
        <f t="shared" si="176"/>
        <v>0</v>
      </c>
      <c r="BG347" s="5">
        <f t="shared" si="177"/>
        <v>0</v>
      </c>
      <c r="BH347" s="5">
        <f t="shared" si="178"/>
        <v>0</v>
      </c>
      <c r="BI347" s="5">
        <f t="shared" si="165"/>
        <v>0</v>
      </c>
      <c r="BJ347" s="9">
        <f t="shared" si="166"/>
        <v>0</v>
      </c>
      <c r="BK347" s="9" t="e">
        <f t="shared" si="166"/>
        <v>#DIV/0!</v>
      </c>
      <c r="BM347" s="1">
        <f t="shared" si="167"/>
        <v>0</v>
      </c>
      <c r="BN347" s="1">
        <f t="shared" si="168"/>
        <v>0</v>
      </c>
    </row>
    <row r="348" spans="1:66" x14ac:dyDescent="0.2">
      <c r="A348" s="4">
        <f t="shared" si="169"/>
        <v>46000</v>
      </c>
      <c r="B348" s="1">
        <v>343</v>
      </c>
      <c r="C348" s="1">
        <v>12</v>
      </c>
      <c r="AL348" s="5"/>
      <c r="AN348" s="1">
        <f t="shared" si="159"/>
        <v>0</v>
      </c>
      <c r="AO348" s="1">
        <f t="shared" si="160"/>
        <v>0</v>
      </c>
      <c r="AP348" s="1">
        <f t="shared" si="161"/>
        <v>0</v>
      </c>
      <c r="AQ348" s="16">
        <f t="shared" si="170"/>
        <v>0</v>
      </c>
      <c r="AR348" s="23" t="e">
        <f t="shared" si="162"/>
        <v>#DIV/0!</v>
      </c>
      <c r="AT348" s="18">
        <f t="shared" si="157"/>
        <v>46000</v>
      </c>
      <c r="AU348" s="19">
        <f t="shared" si="158"/>
        <v>343</v>
      </c>
      <c r="AV348" s="1">
        <f t="shared" si="171"/>
        <v>0</v>
      </c>
      <c r="AW348" s="1">
        <f t="shared" si="172"/>
        <v>0</v>
      </c>
      <c r="AX348" s="1">
        <f t="shared" si="173"/>
        <v>0</v>
      </c>
      <c r="AY348" s="1">
        <f t="shared" si="174"/>
        <v>0</v>
      </c>
      <c r="AZ348" s="1">
        <f t="shared" si="175"/>
        <v>0</v>
      </c>
      <c r="BA348" s="1">
        <f t="shared" si="163"/>
        <v>0</v>
      </c>
      <c r="BB348" s="5" t="str">
        <f t="shared" si="164"/>
        <v>NAN</v>
      </c>
      <c r="BC348" s="1">
        <f>ROUND(AC348,1)</f>
        <v>0</v>
      </c>
      <c r="BD348" s="1">
        <f>ROUND(AD348,1)</f>
        <v>0</v>
      </c>
      <c r="BE348" s="1">
        <f>ROUND(AE348,1)</f>
        <v>0</v>
      </c>
      <c r="BF348" s="5">
        <f t="shared" si="176"/>
        <v>0</v>
      </c>
      <c r="BG348" s="5">
        <f t="shared" si="177"/>
        <v>0</v>
      </c>
      <c r="BH348" s="5">
        <f t="shared" si="178"/>
        <v>0</v>
      </c>
      <c r="BI348" s="5">
        <f t="shared" si="165"/>
        <v>0</v>
      </c>
      <c r="BJ348" s="9">
        <f t="shared" si="166"/>
        <v>0</v>
      </c>
      <c r="BK348" s="9" t="e">
        <f t="shared" si="166"/>
        <v>#DIV/0!</v>
      </c>
      <c r="BM348" s="1">
        <f t="shared" si="167"/>
        <v>0</v>
      </c>
      <c r="BN348" s="1">
        <f t="shared" si="168"/>
        <v>0</v>
      </c>
    </row>
    <row r="349" spans="1:66" x14ac:dyDescent="0.2">
      <c r="A349" s="4">
        <f t="shared" si="169"/>
        <v>46001</v>
      </c>
      <c r="B349" s="1">
        <v>344</v>
      </c>
      <c r="C349" s="1">
        <v>12</v>
      </c>
      <c r="AL349" s="5"/>
      <c r="AN349" s="1">
        <f t="shared" si="159"/>
        <v>0</v>
      </c>
      <c r="AO349" s="1">
        <f t="shared" si="160"/>
        <v>0</v>
      </c>
      <c r="AP349" s="1">
        <f t="shared" si="161"/>
        <v>0</v>
      </c>
      <c r="AQ349" s="16">
        <f t="shared" si="170"/>
        <v>0</v>
      </c>
      <c r="AR349" s="23" t="e">
        <f t="shared" si="162"/>
        <v>#DIV/0!</v>
      </c>
      <c r="AT349" s="18">
        <f t="shared" si="157"/>
        <v>46001</v>
      </c>
      <c r="AU349" s="19">
        <f t="shared" si="158"/>
        <v>344</v>
      </c>
      <c r="AV349" s="1">
        <f t="shared" si="171"/>
        <v>0</v>
      </c>
      <c r="AW349" s="1">
        <f t="shared" si="172"/>
        <v>0</v>
      </c>
      <c r="AX349" s="1">
        <f t="shared" si="173"/>
        <v>0</v>
      </c>
      <c r="AY349" s="1">
        <f t="shared" si="174"/>
        <v>0</v>
      </c>
      <c r="AZ349" s="1">
        <f t="shared" si="175"/>
        <v>0</v>
      </c>
      <c r="BA349" s="1">
        <f t="shared" si="163"/>
        <v>0</v>
      </c>
      <c r="BB349" s="5" t="str">
        <f t="shared" si="164"/>
        <v>NAN</v>
      </c>
      <c r="BC349" s="1">
        <f>ROUND(AC349,1)</f>
        <v>0</v>
      </c>
      <c r="BD349" s="1">
        <f>ROUND(AD349,1)</f>
        <v>0</v>
      </c>
      <c r="BE349" s="1">
        <f>ROUND(AE349,1)</f>
        <v>0</v>
      </c>
      <c r="BF349" s="5">
        <f t="shared" si="176"/>
        <v>0</v>
      </c>
      <c r="BG349" s="5">
        <f t="shared" si="177"/>
        <v>0</v>
      </c>
      <c r="BH349" s="5">
        <f t="shared" si="178"/>
        <v>0</v>
      </c>
      <c r="BI349" s="5">
        <f t="shared" si="165"/>
        <v>0</v>
      </c>
      <c r="BJ349" s="9">
        <f t="shared" si="166"/>
        <v>0</v>
      </c>
      <c r="BK349" s="9" t="e">
        <f t="shared" si="166"/>
        <v>#DIV/0!</v>
      </c>
      <c r="BM349" s="1">
        <f t="shared" si="167"/>
        <v>0</v>
      </c>
      <c r="BN349" s="1">
        <f t="shared" si="168"/>
        <v>0</v>
      </c>
    </row>
    <row r="350" spans="1:66" x14ac:dyDescent="0.2">
      <c r="A350" s="4">
        <f t="shared" si="169"/>
        <v>46002</v>
      </c>
      <c r="B350" s="1">
        <v>345</v>
      </c>
      <c r="C350" s="1">
        <v>12</v>
      </c>
      <c r="AL350" s="5"/>
      <c r="AN350" s="1">
        <f t="shared" si="159"/>
        <v>0</v>
      </c>
      <c r="AO350" s="1">
        <f t="shared" si="160"/>
        <v>0</v>
      </c>
      <c r="AP350" s="1">
        <f t="shared" si="161"/>
        <v>0</v>
      </c>
      <c r="AQ350" s="16">
        <f t="shared" si="170"/>
        <v>0</v>
      </c>
      <c r="AR350" s="23" t="e">
        <f t="shared" si="162"/>
        <v>#DIV/0!</v>
      </c>
      <c r="AT350" s="18">
        <f t="shared" si="157"/>
        <v>46002</v>
      </c>
      <c r="AU350" s="19">
        <f t="shared" si="158"/>
        <v>345</v>
      </c>
      <c r="AV350" s="1">
        <f t="shared" si="171"/>
        <v>0</v>
      </c>
      <c r="AW350" s="1">
        <f t="shared" si="172"/>
        <v>0</v>
      </c>
      <c r="AX350" s="1">
        <f t="shared" si="173"/>
        <v>0</v>
      </c>
      <c r="AY350" s="1">
        <f t="shared" si="174"/>
        <v>0</v>
      </c>
      <c r="AZ350" s="1">
        <f t="shared" si="175"/>
        <v>0</v>
      </c>
      <c r="BA350" s="1">
        <f t="shared" si="163"/>
        <v>0</v>
      </c>
      <c r="BB350" s="5" t="str">
        <f t="shared" si="164"/>
        <v>NAN</v>
      </c>
      <c r="BC350" s="1">
        <f>ROUND(AC350,1)</f>
        <v>0</v>
      </c>
      <c r="BD350" s="1">
        <f>ROUND(AD350,1)</f>
        <v>0</v>
      </c>
      <c r="BE350" s="1">
        <f>ROUND(AE350,1)</f>
        <v>0</v>
      </c>
      <c r="BF350" s="5">
        <f t="shared" si="176"/>
        <v>0</v>
      </c>
      <c r="BG350" s="5">
        <f t="shared" si="177"/>
        <v>0</v>
      </c>
      <c r="BH350" s="5">
        <f t="shared" si="178"/>
        <v>0</v>
      </c>
      <c r="BI350" s="5">
        <f t="shared" si="165"/>
        <v>0</v>
      </c>
      <c r="BJ350" s="9">
        <f t="shared" si="166"/>
        <v>0</v>
      </c>
      <c r="BK350" s="9" t="e">
        <f t="shared" si="166"/>
        <v>#DIV/0!</v>
      </c>
      <c r="BM350" s="1">
        <f t="shared" si="167"/>
        <v>0</v>
      </c>
      <c r="BN350" s="1">
        <f t="shared" si="168"/>
        <v>0</v>
      </c>
    </row>
    <row r="351" spans="1:66" x14ac:dyDescent="0.2">
      <c r="A351" s="4">
        <f t="shared" si="169"/>
        <v>46003</v>
      </c>
      <c r="B351" s="1">
        <v>346</v>
      </c>
      <c r="C351" s="1">
        <v>12</v>
      </c>
      <c r="AL351" s="5"/>
      <c r="AN351" s="1">
        <f t="shared" si="159"/>
        <v>0</v>
      </c>
      <c r="AO351" s="1">
        <f t="shared" si="160"/>
        <v>0</v>
      </c>
      <c r="AP351" s="1">
        <f t="shared" si="161"/>
        <v>0</v>
      </c>
      <c r="AQ351" s="16">
        <f t="shared" si="170"/>
        <v>0</v>
      </c>
      <c r="AR351" s="23" t="e">
        <f t="shared" si="162"/>
        <v>#DIV/0!</v>
      </c>
      <c r="AT351" s="18">
        <f t="shared" si="157"/>
        <v>46003</v>
      </c>
      <c r="AU351" s="19">
        <f t="shared" si="158"/>
        <v>346</v>
      </c>
      <c r="AV351" s="1">
        <f t="shared" si="171"/>
        <v>0</v>
      </c>
      <c r="AW351" s="1">
        <f t="shared" si="172"/>
        <v>0</v>
      </c>
      <c r="AX351" s="1">
        <f t="shared" si="173"/>
        <v>0</v>
      </c>
      <c r="AY351" s="1">
        <f t="shared" si="174"/>
        <v>0</v>
      </c>
      <c r="AZ351" s="1">
        <f t="shared" si="175"/>
        <v>0</v>
      </c>
      <c r="BA351" s="1">
        <f t="shared" si="163"/>
        <v>0</v>
      </c>
      <c r="BB351" s="5" t="str">
        <f t="shared" si="164"/>
        <v>NAN</v>
      </c>
      <c r="BC351" s="1">
        <f>ROUND(AC351,1)</f>
        <v>0</v>
      </c>
      <c r="BD351" s="1">
        <f>ROUND(AD351,1)</f>
        <v>0</v>
      </c>
      <c r="BE351" s="1">
        <f>ROUND(AE351,1)</f>
        <v>0</v>
      </c>
      <c r="BF351" s="5">
        <f t="shared" si="176"/>
        <v>0</v>
      </c>
      <c r="BG351" s="5">
        <f t="shared" si="177"/>
        <v>0</v>
      </c>
      <c r="BH351" s="5">
        <f t="shared" si="178"/>
        <v>0</v>
      </c>
      <c r="BI351" s="5">
        <f t="shared" si="165"/>
        <v>0</v>
      </c>
      <c r="BJ351" s="9">
        <f t="shared" si="166"/>
        <v>0</v>
      </c>
      <c r="BK351" s="9" t="e">
        <f t="shared" si="166"/>
        <v>#DIV/0!</v>
      </c>
      <c r="BM351" s="1">
        <f t="shared" si="167"/>
        <v>0</v>
      </c>
      <c r="BN351" s="1">
        <f t="shared" si="168"/>
        <v>0</v>
      </c>
    </row>
    <row r="352" spans="1:66" x14ac:dyDescent="0.2">
      <c r="A352" s="4">
        <f t="shared" si="169"/>
        <v>46004</v>
      </c>
      <c r="B352" s="1">
        <v>347</v>
      </c>
      <c r="C352" s="1">
        <v>12</v>
      </c>
      <c r="AL352" s="5"/>
      <c r="AN352" s="1">
        <f t="shared" si="159"/>
        <v>0</v>
      </c>
      <c r="AO352" s="1">
        <f t="shared" si="160"/>
        <v>0</v>
      </c>
      <c r="AP352" s="1">
        <f t="shared" si="161"/>
        <v>0</v>
      </c>
      <c r="AQ352" s="16">
        <f t="shared" si="170"/>
        <v>0</v>
      </c>
      <c r="AR352" s="23" t="e">
        <f t="shared" si="162"/>
        <v>#DIV/0!</v>
      </c>
      <c r="AT352" s="18">
        <f t="shared" si="157"/>
        <v>46004</v>
      </c>
      <c r="AU352" s="19">
        <f t="shared" si="158"/>
        <v>347</v>
      </c>
      <c r="AV352" s="1">
        <f t="shared" si="171"/>
        <v>0</v>
      </c>
      <c r="AW352" s="1">
        <f t="shared" si="172"/>
        <v>0</v>
      </c>
      <c r="AX352" s="1">
        <f t="shared" si="173"/>
        <v>0</v>
      </c>
      <c r="AY352" s="1">
        <f t="shared" si="174"/>
        <v>0</v>
      </c>
      <c r="AZ352" s="1">
        <f t="shared" si="175"/>
        <v>0</v>
      </c>
      <c r="BA352" s="1">
        <f t="shared" si="163"/>
        <v>0</v>
      </c>
      <c r="BB352" s="5" t="str">
        <f t="shared" si="164"/>
        <v>NAN</v>
      </c>
      <c r="BC352" s="1">
        <f>ROUND(AC352,1)</f>
        <v>0</v>
      </c>
      <c r="BD352" s="1">
        <f>ROUND(AD352,1)</f>
        <v>0</v>
      </c>
      <c r="BE352" s="1">
        <f>ROUND(AE352,1)</f>
        <v>0</v>
      </c>
      <c r="BF352" s="5">
        <f t="shared" si="176"/>
        <v>0</v>
      </c>
      <c r="BG352" s="5">
        <f t="shared" si="177"/>
        <v>0</v>
      </c>
      <c r="BH352" s="5">
        <f t="shared" si="178"/>
        <v>0</v>
      </c>
      <c r="BI352" s="5">
        <f t="shared" si="165"/>
        <v>0</v>
      </c>
      <c r="BJ352" s="9">
        <f t="shared" si="166"/>
        <v>0</v>
      </c>
      <c r="BK352" s="9" t="e">
        <f t="shared" si="166"/>
        <v>#DIV/0!</v>
      </c>
      <c r="BM352" s="1">
        <f t="shared" si="167"/>
        <v>0</v>
      </c>
      <c r="BN352" s="1">
        <f t="shared" si="168"/>
        <v>0</v>
      </c>
    </row>
    <row r="353" spans="1:66" x14ac:dyDescent="0.2">
      <c r="A353" s="4">
        <f t="shared" si="169"/>
        <v>46005</v>
      </c>
      <c r="B353" s="1">
        <v>348</v>
      </c>
      <c r="C353" s="1">
        <v>12</v>
      </c>
      <c r="AL353" s="5"/>
      <c r="AN353" s="1">
        <f t="shared" si="159"/>
        <v>0</v>
      </c>
      <c r="AO353" s="1">
        <f t="shared" si="160"/>
        <v>0</v>
      </c>
      <c r="AP353" s="1">
        <f t="shared" si="161"/>
        <v>0</v>
      </c>
      <c r="AQ353" s="16">
        <f t="shared" si="170"/>
        <v>0</v>
      </c>
      <c r="AR353" s="23" t="e">
        <f t="shared" si="162"/>
        <v>#DIV/0!</v>
      </c>
      <c r="AT353" s="18">
        <f t="shared" si="157"/>
        <v>46005</v>
      </c>
      <c r="AU353" s="19">
        <f t="shared" si="158"/>
        <v>348</v>
      </c>
      <c r="AV353" s="1">
        <f t="shared" si="171"/>
        <v>0</v>
      </c>
      <c r="AW353" s="1">
        <f t="shared" si="172"/>
        <v>0</v>
      </c>
      <c r="AX353" s="1">
        <f t="shared" si="173"/>
        <v>0</v>
      </c>
      <c r="AY353" s="1">
        <f t="shared" si="174"/>
        <v>0</v>
      </c>
      <c r="AZ353" s="1">
        <f t="shared" si="175"/>
        <v>0</v>
      </c>
      <c r="BA353" s="1">
        <f t="shared" si="163"/>
        <v>0</v>
      </c>
      <c r="BB353" s="5" t="str">
        <f t="shared" si="164"/>
        <v>NAN</v>
      </c>
      <c r="BC353" s="1">
        <f>ROUND(AC353,1)</f>
        <v>0</v>
      </c>
      <c r="BD353" s="1">
        <f>ROUND(AD353,1)</f>
        <v>0</v>
      </c>
      <c r="BE353" s="1">
        <f>ROUND(AE353,1)</f>
        <v>0</v>
      </c>
      <c r="BF353" s="5">
        <f t="shared" si="176"/>
        <v>0</v>
      </c>
      <c r="BG353" s="5">
        <f t="shared" si="177"/>
        <v>0</v>
      </c>
      <c r="BH353" s="5">
        <f t="shared" si="178"/>
        <v>0</v>
      </c>
      <c r="BI353" s="5">
        <f t="shared" si="165"/>
        <v>0</v>
      </c>
      <c r="BJ353" s="9">
        <f t="shared" si="166"/>
        <v>0</v>
      </c>
      <c r="BK353" s="9" t="e">
        <f t="shared" si="166"/>
        <v>#DIV/0!</v>
      </c>
      <c r="BM353" s="1">
        <f t="shared" si="167"/>
        <v>0</v>
      </c>
      <c r="BN353" s="1">
        <f t="shared" si="168"/>
        <v>0</v>
      </c>
    </row>
    <row r="354" spans="1:66" x14ac:dyDescent="0.2">
      <c r="A354" s="4">
        <f t="shared" si="169"/>
        <v>46006</v>
      </c>
      <c r="B354" s="1">
        <v>349</v>
      </c>
      <c r="C354" s="1">
        <v>12</v>
      </c>
      <c r="AL354" s="5"/>
      <c r="AN354" s="1">
        <f t="shared" si="159"/>
        <v>0</v>
      </c>
      <c r="AO354" s="1">
        <f t="shared" si="160"/>
        <v>0</v>
      </c>
      <c r="AP354" s="1">
        <f t="shared" si="161"/>
        <v>0</v>
      </c>
      <c r="AQ354" s="16">
        <f t="shared" si="170"/>
        <v>0</v>
      </c>
      <c r="AR354" s="23" t="e">
        <f t="shared" si="162"/>
        <v>#DIV/0!</v>
      </c>
      <c r="AT354" s="18">
        <f t="shared" si="157"/>
        <v>46006</v>
      </c>
      <c r="AU354" s="19">
        <f t="shared" si="158"/>
        <v>349</v>
      </c>
      <c r="AV354" s="1">
        <f t="shared" si="171"/>
        <v>0</v>
      </c>
      <c r="AW354" s="1">
        <f t="shared" si="172"/>
        <v>0</v>
      </c>
      <c r="AX354" s="1">
        <f t="shared" si="173"/>
        <v>0</v>
      </c>
      <c r="AY354" s="1">
        <f t="shared" si="174"/>
        <v>0</v>
      </c>
      <c r="AZ354" s="1">
        <f t="shared" si="175"/>
        <v>0</v>
      </c>
      <c r="BA354" s="1">
        <f t="shared" si="163"/>
        <v>0</v>
      </c>
      <c r="BB354" s="5" t="str">
        <f t="shared" si="164"/>
        <v>NAN</v>
      </c>
      <c r="BC354" s="1">
        <f>ROUND(AC354,1)</f>
        <v>0</v>
      </c>
      <c r="BD354" s="1">
        <f>ROUND(AD354,1)</f>
        <v>0</v>
      </c>
      <c r="BE354" s="1">
        <f>ROUND(AE354,1)</f>
        <v>0</v>
      </c>
      <c r="BF354" s="5">
        <f t="shared" si="176"/>
        <v>0</v>
      </c>
      <c r="BG354" s="5">
        <f t="shared" si="177"/>
        <v>0</v>
      </c>
      <c r="BH354" s="5">
        <f t="shared" si="178"/>
        <v>0</v>
      </c>
      <c r="BI354" s="5">
        <f t="shared" si="165"/>
        <v>0</v>
      </c>
      <c r="BJ354" s="9">
        <f t="shared" si="166"/>
        <v>0</v>
      </c>
      <c r="BK354" s="9" t="e">
        <f t="shared" si="166"/>
        <v>#DIV/0!</v>
      </c>
      <c r="BM354" s="1">
        <f t="shared" si="167"/>
        <v>0</v>
      </c>
      <c r="BN354" s="1">
        <f t="shared" si="168"/>
        <v>0</v>
      </c>
    </row>
    <row r="355" spans="1:66" x14ac:dyDescent="0.2">
      <c r="A355" s="4">
        <f t="shared" si="169"/>
        <v>46007</v>
      </c>
      <c r="B355" s="1">
        <v>350</v>
      </c>
      <c r="C355" s="1">
        <v>12</v>
      </c>
      <c r="AL355" s="5"/>
      <c r="AN355" s="1">
        <f t="shared" si="159"/>
        <v>0</v>
      </c>
      <c r="AO355" s="1">
        <f t="shared" si="160"/>
        <v>0</v>
      </c>
      <c r="AP355" s="1">
        <f t="shared" si="161"/>
        <v>0</v>
      </c>
      <c r="AQ355" s="16">
        <f t="shared" si="170"/>
        <v>0</v>
      </c>
      <c r="AR355" s="23" t="e">
        <f t="shared" si="162"/>
        <v>#DIV/0!</v>
      </c>
      <c r="AT355" s="18">
        <f t="shared" si="157"/>
        <v>46007</v>
      </c>
      <c r="AU355" s="19">
        <f t="shared" si="158"/>
        <v>350</v>
      </c>
      <c r="AV355" s="1">
        <f t="shared" si="171"/>
        <v>0</v>
      </c>
      <c r="AW355" s="1">
        <f t="shared" si="172"/>
        <v>0</v>
      </c>
      <c r="AX355" s="1">
        <f t="shared" si="173"/>
        <v>0</v>
      </c>
      <c r="AY355" s="1">
        <f t="shared" si="174"/>
        <v>0</v>
      </c>
      <c r="AZ355" s="1">
        <f t="shared" si="175"/>
        <v>0</v>
      </c>
      <c r="BA355" s="1">
        <f t="shared" si="163"/>
        <v>0</v>
      </c>
      <c r="BB355" s="5" t="str">
        <f t="shared" si="164"/>
        <v>NAN</v>
      </c>
      <c r="BC355" s="1">
        <f>ROUND(AC355,1)</f>
        <v>0</v>
      </c>
      <c r="BD355" s="1">
        <f>ROUND(AD355,1)</f>
        <v>0</v>
      </c>
      <c r="BE355" s="1">
        <f>ROUND(AE355,1)</f>
        <v>0</v>
      </c>
      <c r="BF355" s="5">
        <f t="shared" si="176"/>
        <v>0</v>
      </c>
      <c r="BG355" s="5">
        <f t="shared" si="177"/>
        <v>0</v>
      </c>
      <c r="BH355" s="5">
        <f t="shared" si="178"/>
        <v>0</v>
      </c>
      <c r="BI355" s="5">
        <f t="shared" si="165"/>
        <v>0</v>
      </c>
      <c r="BJ355" s="9">
        <f t="shared" si="166"/>
        <v>0</v>
      </c>
      <c r="BK355" s="9" t="e">
        <f t="shared" si="166"/>
        <v>#DIV/0!</v>
      </c>
      <c r="BM355" s="1">
        <f t="shared" si="167"/>
        <v>0</v>
      </c>
      <c r="BN355" s="1">
        <f t="shared" si="168"/>
        <v>0</v>
      </c>
    </row>
    <row r="356" spans="1:66" x14ac:dyDescent="0.2">
      <c r="A356" s="4">
        <f t="shared" si="169"/>
        <v>46008</v>
      </c>
      <c r="B356" s="1">
        <v>351</v>
      </c>
      <c r="C356" s="1">
        <v>12</v>
      </c>
      <c r="AL356" s="5"/>
      <c r="AN356" s="1">
        <f t="shared" si="159"/>
        <v>0</v>
      </c>
      <c r="AO356" s="1">
        <f t="shared" si="160"/>
        <v>0</v>
      </c>
      <c r="AP356" s="1">
        <f t="shared" si="161"/>
        <v>0</v>
      </c>
      <c r="AQ356" s="16">
        <f t="shared" si="170"/>
        <v>0</v>
      </c>
      <c r="AR356" s="23" t="e">
        <f t="shared" si="162"/>
        <v>#DIV/0!</v>
      </c>
      <c r="AT356" s="18">
        <f t="shared" si="157"/>
        <v>46008</v>
      </c>
      <c r="AU356" s="19">
        <f t="shared" si="158"/>
        <v>351</v>
      </c>
      <c r="AV356" s="1">
        <f t="shared" si="171"/>
        <v>0</v>
      </c>
      <c r="AW356" s="1">
        <f t="shared" si="172"/>
        <v>0</v>
      </c>
      <c r="AX356" s="1">
        <f t="shared" si="173"/>
        <v>0</v>
      </c>
      <c r="AY356" s="1">
        <f t="shared" si="174"/>
        <v>0</v>
      </c>
      <c r="AZ356" s="1">
        <f t="shared" si="175"/>
        <v>0</v>
      </c>
      <c r="BA356" s="1">
        <f t="shared" si="163"/>
        <v>0</v>
      </c>
      <c r="BB356" s="5" t="str">
        <f t="shared" si="164"/>
        <v>NAN</v>
      </c>
      <c r="BC356" s="1">
        <f>ROUND(AC356,1)</f>
        <v>0</v>
      </c>
      <c r="BD356" s="1">
        <f>ROUND(AD356,1)</f>
        <v>0</v>
      </c>
      <c r="BE356" s="1">
        <f>ROUND(AE356,1)</f>
        <v>0</v>
      </c>
      <c r="BF356" s="5">
        <f t="shared" si="176"/>
        <v>0</v>
      </c>
      <c r="BG356" s="5">
        <f t="shared" si="177"/>
        <v>0</v>
      </c>
      <c r="BH356" s="5">
        <f t="shared" si="178"/>
        <v>0</v>
      </c>
      <c r="BI356" s="5">
        <f t="shared" si="165"/>
        <v>0</v>
      </c>
      <c r="BJ356" s="9">
        <f t="shared" si="166"/>
        <v>0</v>
      </c>
      <c r="BK356" s="9" t="e">
        <f t="shared" si="166"/>
        <v>#DIV/0!</v>
      </c>
      <c r="BM356" s="1">
        <f t="shared" si="167"/>
        <v>0</v>
      </c>
      <c r="BN356" s="1">
        <f t="shared" si="168"/>
        <v>0</v>
      </c>
    </row>
    <row r="357" spans="1:66" x14ac:dyDescent="0.2">
      <c r="A357" s="4">
        <f t="shared" si="169"/>
        <v>46009</v>
      </c>
      <c r="B357" s="1">
        <v>352</v>
      </c>
      <c r="C357" s="1">
        <v>12</v>
      </c>
      <c r="AL357" s="5"/>
      <c r="AN357" s="1">
        <f t="shared" si="159"/>
        <v>0</v>
      </c>
      <c r="AO357" s="1">
        <f t="shared" si="160"/>
        <v>0</v>
      </c>
      <c r="AP357" s="1">
        <f t="shared" si="161"/>
        <v>0</v>
      </c>
      <c r="AQ357" s="16">
        <f t="shared" si="170"/>
        <v>0</v>
      </c>
      <c r="AR357" s="23" t="e">
        <f t="shared" si="162"/>
        <v>#DIV/0!</v>
      </c>
      <c r="AT357" s="18">
        <f t="shared" si="157"/>
        <v>46009</v>
      </c>
      <c r="AU357" s="19">
        <f t="shared" si="158"/>
        <v>352</v>
      </c>
      <c r="AV357" s="1">
        <f t="shared" si="171"/>
        <v>0</v>
      </c>
      <c r="AW357" s="1">
        <f t="shared" si="172"/>
        <v>0</v>
      </c>
      <c r="AX357" s="1">
        <f t="shared" si="173"/>
        <v>0</v>
      </c>
      <c r="AY357" s="1">
        <f t="shared" si="174"/>
        <v>0</v>
      </c>
      <c r="AZ357" s="1">
        <f t="shared" si="175"/>
        <v>0</v>
      </c>
      <c r="BA357" s="1">
        <f t="shared" si="163"/>
        <v>0</v>
      </c>
      <c r="BB357" s="5" t="str">
        <f t="shared" si="164"/>
        <v>NAN</v>
      </c>
      <c r="BC357" s="1">
        <f>ROUND(AC357,1)</f>
        <v>0</v>
      </c>
      <c r="BD357" s="1">
        <f>ROUND(AD357,1)</f>
        <v>0</v>
      </c>
      <c r="BE357" s="1">
        <f>ROUND(AE357,1)</f>
        <v>0</v>
      </c>
      <c r="BF357" s="5">
        <f t="shared" si="176"/>
        <v>0</v>
      </c>
      <c r="BG357" s="5">
        <f t="shared" si="177"/>
        <v>0</v>
      </c>
      <c r="BH357" s="5">
        <f t="shared" si="178"/>
        <v>0</v>
      </c>
      <c r="BI357" s="5">
        <f t="shared" si="165"/>
        <v>0</v>
      </c>
      <c r="BJ357" s="9">
        <f t="shared" si="166"/>
        <v>0</v>
      </c>
      <c r="BK357" s="9" t="e">
        <f t="shared" si="166"/>
        <v>#DIV/0!</v>
      </c>
      <c r="BM357" s="1">
        <f t="shared" si="167"/>
        <v>0</v>
      </c>
      <c r="BN357" s="1">
        <f t="shared" si="168"/>
        <v>0</v>
      </c>
    </row>
    <row r="358" spans="1:66" x14ac:dyDescent="0.2">
      <c r="A358" s="4">
        <f t="shared" si="169"/>
        <v>46010</v>
      </c>
      <c r="B358" s="1">
        <v>353</v>
      </c>
      <c r="C358" s="1">
        <v>12</v>
      </c>
      <c r="AL358" s="5"/>
      <c r="AN358" s="1">
        <f t="shared" si="159"/>
        <v>0</v>
      </c>
      <c r="AO358" s="1">
        <f t="shared" si="160"/>
        <v>0</v>
      </c>
      <c r="AP358" s="1">
        <f t="shared" si="161"/>
        <v>0</v>
      </c>
      <c r="AQ358" s="16">
        <f t="shared" si="170"/>
        <v>0</v>
      </c>
      <c r="AR358" s="23" t="e">
        <f t="shared" si="162"/>
        <v>#DIV/0!</v>
      </c>
      <c r="AT358" s="18">
        <f t="shared" si="157"/>
        <v>46010</v>
      </c>
      <c r="AU358" s="19">
        <f t="shared" si="158"/>
        <v>353</v>
      </c>
      <c r="AV358" s="1">
        <f t="shared" si="171"/>
        <v>0</v>
      </c>
      <c r="AW358" s="1">
        <f t="shared" si="172"/>
        <v>0</v>
      </c>
      <c r="AX358" s="1">
        <f t="shared" si="173"/>
        <v>0</v>
      </c>
      <c r="AY358" s="1">
        <f t="shared" si="174"/>
        <v>0</v>
      </c>
      <c r="AZ358" s="1">
        <f t="shared" si="175"/>
        <v>0</v>
      </c>
      <c r="BA358" s="1">
        <f t="shared" si="163"/>
        <v>0</v>
      </c>
      <c r="BB358" s="5" t="str">
        <f t="shared" si="164"/>
        <v>NAN</v>
      </c>
      <c r="BC358" s="1">
        <f>ROUND(AC358,1)</f>
        <v>0</v>
      </c>
      <c r="BD358" s="1">
        <f>ROUND(AD358,1)</f>
        <v>0</v>
      </c>
      <c r="BE358" s="1">
        <f>ROUND(AE358,1)</f>
        <v>0</v>
      </c>
      <c r="BF358" s="5">
        <f t="shared" si="176"/>
        <v>0</v>
      </c>
      <c r="BG358" s="5">
        <f t="shared" si="177"/>
        <v>0</v>
      </c>
      <c r="BH358" s="5">
        <f t="shared" si="178"/>
        <v>0</v>
      </c>
      <c r="BI358" s="5">
        <f t="shared" si="165"/>
        <v>0</v>
      </c>
      <c r="BJ358" s="9">
        <f t="shared" si="166"/>
        <v>0</v>
      </c>
      <c r="BK358" s="9" t="e">
        <f t="shared" si="166"/>
        <v>#DIV/0!</v>
      </c>
      <c r="BM358" s="1">
        <f t="shared" si="167"/>
        <v>0</v>
      </c>
      <c r="BN358" s="1">
        <f t="shared" si="168"/>
        <v>0</v>
      </c>
    </row>
    <row r="359" spans="1:66" x14ac:dyDescent="0.2">
      <c r="A359" s="4">
        <f t="shared" si="169"/>
        <v>46011</v>
      </c>
      <c r="B359" s="1">
        <v>354</v>
      </c>
      <c r="C359" s="1">
        <v>12</v>
      </c>
      <c r="AL359" s="5"/>
      <c r="AN359" s="1">
        <f t="shared" si="159"/>
        <v>0</v>
      </c>
      <c r="AO359" s="1">
        <f t="shared" si="160"/>
        <v>0</v>
      </c>
      <c r="AP359" s="1">
        <f t="shared" si="161"/>
        <v>0</v>
      </c>
      <c r="AQ359" s="16">
        <f t="shared" si="170"/>
        <v>0</v>
      </c>
      <c r="AR359" s="23" t="e">
        <f t="shared" si="162"/>
        <v>#DIV/0!</v>
      </c>
      <c r="AT359" s="18">
        <f t="shared" si="157"/>
        <v>46011</v>
      </c>
      <c r="AU359" s="19">
        <f t="shared" si="158"/>
        <v>354</v>
      </c>
      <c r="AV359" s="1">
        <f t="shared" si="171"/>
        <v>0</v>
      </c>
      <c r="AW359" s="1">
        <f t="shared" si="172"/>
        <v>0</v>
      </c>
      <c r="AX359" s="1">
        <f t="shared" si="173"/>
        <v>0</v>
      </c>
      <c r="AY359" s="1">
        <f t="shared" si="174"/>
        <v>0</v>
      </c>
      <c r="AZ359" s="1">
        <f t="shared" si="175"/>
        <v>0</v>
      </c>
      <c r="BA359" s="1">
        <f t="shared" si="163"/>
        <v>0</v>
      </c>
      <c r="BB359" s="5" t="str">
        <f t="shared" si="164"/>
        <v>NAN</v>
      </c>
      <c r="BC359" s="1">
        <f>ROUND(AC359,1)</f>
        <v>0</v>
      </c>
      <c r="BD359" s="1">
        <f>ROUND(AD359,1)</f>
        <v>0</v>
      </c>
      <c r="BE359" s="1">
        <f>ROUND(AE359,1)</f>
        <v>0</v>
      </c>
      <c r="BF359" s="5">
        <f t="shared" si="176"/>
        <v>0</v>
      </c>
      <c r="BG359" s="5">
        <f t="shared" si="177"/>
        <v>0</v>
      </c>
      <c r="BH359" s="5">
        <f t="shared" si="178"/>
        <v>0</v>
      </c>
      <c r="BI359" s="5">
        <f t="shared" si="165"/>
        <v>0</v>
      </c>
      <c r="BJ359" s="9">
        <f t="shared" si="166"/>
        <v>0</v>
      </c>
      <c r="BK359" s="9" t="e">
        <f t="shared" si="166"/>
        <v>#DIV/0!</v>
      </c>
      <c r="BM359" s="1">
        <f t="shared" si="167"/>
        <v>0</v>
      </c>
      <c r="BN359" s="1">
        <f t="shared" si="168"/>
        <v>0</v>
      </c>
    </row>
    <row r="360" spans="1:66" x14ac:dyDescent="0.2">
      <c r="A360" s="4">
        <f t="shared" si="169"/>
        <v>46012</v>
      </c>
      <c r="B360" s="1">
        <v>355</v>
      </c>
      <c r="C360" s="1">
        <v>12</v>
      </c>
      <c r="AL360" s="5"/>
      <c r="AN360" s="1">
        <f t="shared" si="159"/>
        <v>0</v>
      </c>
      <c r="AO360" s="1">
        <f t="shared" si="160"/>
        <v>0</v>
      </c>
      <c r="AP360" s="1">
        <f t="shared" si="161"/>
        <v>0</v>
      </c>
      <c r="AQ360" s="16">
        <f t="shared" si="170"/>
        <v>0</v>
      </c>
      <c r="AR360" s="23" t="e">
        <f t="shared" si="162"/>
        <v>#DIV/0!</v>
      </c>
      <c r="AT360" s="18">
        <f t="shared" si="157"/>
        <v>46012</v>
      </c>
      <c r="AU360" s="19">
        <f t="shared" si="158"/>
        <v>355</v>
      </c>
      <c r="AV360" s="1">
        <f t="shared" si="171"/>
        <v>0</v>
      </c>
      <c r="AW360" s="1">
        <f t="shared" si="172"/>
        <v>0</v>
      </c>
      <c r="AX360" s="1">
        <f t="shared" si="173"/>
        <v>0</v>
      </c>
      <c r="AY360" s="1">
        <f t="shared" si="174"/>
        <v>0</v>
      </c>
      <c r="AZ360" s="1">
        <f t="shared" si="175"/>
        <v>0</v>
      </c>
      <c r="BA360" s="1">
        <f t="shared" si="163"/>
        <v>0</v>
      </c>
      <c r="BB360" s="5" t="str">
        <f t="shared" si="164"/>
        <v>NAN</v>
      </c>
      <c r="BC360" s="1">
        <f>ROUND(AC360,1)</f>
        <v>0</v>
      </c>
      <c r="BD360" s="1">
        <f>ROUND(AD360,1)</f>
        <v>0</v>
      </c>
      <c r="BE360" s="1">
        <f>ROUND(AE360,1)</f>
        <v>0</v>
      </c>
      <c r="BF360" s="5">
        <f t="shared" si="176"/>
        <v>0</v>
      </c>
      <c r="BG360" s="5">
        <f t="shared" si="177"/>
        <v>0</v>
      </c>
      <c r="BH360" s="5">
        <f t="shared" si="178"/>
        <v>0</v>
      </c>
      <c r="BI360" s="5">
        <f t="shared" si="165"/>
        <v>0</v>
      </c>
      <c r="BJ360" s="9">
        <f t="shared" si="166"/>
        <v>0</v>
      </c>
      <c r="BK360" s="9" t="e">
        <f t="shared" si="166"/>
        <v>#DIV/0!</v>
      </c>
      <c r="BM360" s="1">
        <f t="shared" si="167"/>
        <v>0</v>
      </c>
      <c r="BN360" s="1">
        <f t="shared" si="168"/>
        <v>0</v>
      </c>
    </row>
    <row r="361" spans="1:66" x14ac:dyDescent="0.2">
      <c r="A361" s="4">
        <f t="shared" si="169"/>
        <v>46013</v>
      </c>
      <c r="B361" s="1">
        <v>356</v>
      </c>
      <c r="C361" s="1">
        <v>12</v>
      </c>
      <c r="AL361" s="5"/>
      <c r="AN361" s="1">
        <f t="shared" si="159"/>
        <v>0</v>
      </c>
      <c r="AO361" s="1">
        <f t="shared" si="160"/>
        <v>0</v>
      </c>
      <c r="AP361" s="1">
        <f t="shared" si="161"/>
        <v>0</v>
      </c>
      <c r="AQ361" s="16">
        <f t="shared" si="170"/>
        <v>0</v>
      </c>
      <c r="AR361" s="23" t="e">
        <f t="shared" si="162"/>
        <v>#DIV/0!</v>
      </c>
      <c r="AT361" s="18">
        <f t="shared" si="157"/>
        <v>46013</v>
      </c>
      <c r="AU361" s="19">
        <f t="shared" si="158"/>
        <v>356</v>
      </c>
      <c r="AV361" s="1">
        <f t="shared" si="171"/>
        <v>0</v>
      </c>
      <c r="AW361" s="1">
        <f t="shared" si="172"/>
        <v>0</v>
      </c>
      <c r="AX361" s="1">
        <f t="shared" si="173"/>
        <v>0</v>
      </c>
      <c r="AY361" s="1">
        <f t="shared" si="174"/>
        <v>0</v>
      </c>
      <c r="AZ361" s="1">
        <f t="shared" si="175"/>
        <v>0</v>
      </c>
      <c r="BA361" s="1">
        <f t="shared" si="163"/>
        <v>0</v>
      </c>
      <c r="BB361" s="5" t="str">
        <f t="shared" si="164"/>
        <v>NAN</v>
      </c>
      <c r="BC361" s="1">
        <f>ROUND(AC361,1)</f>
        <v>0</v>
      </c>
      <c r="BD361" s="1">
        <f>ROUND(AD361,1)</f>
        <v>0</v>
      </c>
      <c r="BE361" s="1">
        <f>ROUND(AE361,1)</f>
        <v>0</v>
      </c>
      <c r="BF361" s="5">
        <f t="shared" si="176"/>
        <v>0</v>
      </c>
      <c r="BG361" s="5">
        <f t="shared" si="177"/>
        <v>0</v>
      </c>
      <c r="BH361" s="5">
        <f t="shared" si="178"/>
        <v>0</v>
      </c>
      <c r="BI361" s="5">
        <f t="shared" si="165"/>
        <v>0</v>
      </c>
      <c r="BJ361" s="9">
        <f t="shared" si="166"/>
        <v>0</v>
      </c>
      <c r="BK361" s="9" t="e">
        <f t="shared" si="166"/>
        <v>#DIV/0!</v>
      </c>
      <c r="BM361" s="1">
        <f t="shared" si="167"/>
        <v>0</v>
      </c>
      <c r="BN361" s="1">
        <f t="shared" si="168"/>
        <v>0</v>
      </c>
    </row>
    <row r="362" spans="1:66" x14ac:dyDescent="0.2">
      <c r="A362" s="4">
        <f t="shared" si="169"/>
        <v>46014</v>
      </c>
      <c r="B362" s="1">
        <v>357</v>
      </c>
      <c r="C362" s="1">
        <v>12</v>
      </c>
      <c r="AL362" s="5"/>
      <c r="AN362" s="1">
        <f t="shared" si="159"/>
        <v>0</v>
      </c>
      <c r="AO362" s="1">
        <f t="shared" si="160"/>
        <v>0</v>
      </c>
      <c r="AP362" s="1">
        <f t="shared" si="161"/>
        <v>0</v>
      </c>
      <c r="AQ362" s="16">
        <f t="shared" si="170"/>
        <v>0</v>
      </c>
      <c r="AR362" s="23" t="e">
        <f t="shared" si="162"/>
        <v>#DIV/0!</v>
      </c>
      <c r="AT362" s="18">
        <f t="shared" si="157"/>
        <v>46014</v>
      </c>
      <c r="AU362" s="19">
        <f t="shared" si="158"/>
        <v>357</v>
      </c>
      <c r="AV362" s="1">
        <f t="shared" si="171"/>
        <v>0</v>
      </c>
      <c r="AW362" s="1">
        <f t="shared" si="172"/>
        <v>0</v>
      </c>
      <c r="AX362" s="1">
        <f t="shared" si="173"/>
        <v>0</v>
      </c>
      <c r="AY362" s="1">
        <f t="shared" si="174"/>
        <v>0</v>
      </c>
      <c r="AZ362" s="1">
        <f t="shared" si="175"/>
        <v>0</v>
      </c>
      <c r="BA362" s="1">
        <f t="shared" si="163"/>
        <v>0</v>
      </c>
      <c r="BB362" s="5" t="str">
        <f t="shared" si="164"/>
        <v>NAN</v>
      </c>
      <c r="BC362" s="1">
        <f>ROUND(AC362,1)</f>
        <v>0</v>
      </c>
      <c r="BD362" s="1">
        <f>ROUND(AD362,1)</f>
        <v>0</v>
      </c>
      <c r="BE362" s="1">
        <f>ROUND(AE362,1)</f>
        <v>0</v>
      </c>
      <c r="BF362" s="5">
        <f t="shared" si="176"/>
        <v>0</v>
      </c>
      <c r="BG362" s="5">
        <f t="shared" si="177"/>
        <v>0</v>
      </c>
      <c r="BH362" s="5">
        <f t="shared" si="178"/>
        <v>0</v>
      </c>
      <c r="BI362" s="5">
        <f t="shared" si="165"/>
        <v>0</v>
      </c>
      <c r="BJ362" s="9">
        <f t="shared" si="166"/>
        <v>0</v>
      </c>
      <c r="BK362" s="9" t="e">
        <f t="shared" si="166"/>
        <v>#DIV/0!</v>
      </c>
      <c r="BM362" s="1">
        <f t="shared" si="167"/>
        <v>0</v>
      </c>
      <c r="BN362" s="1">
        <f t="shared" si="168"/>
        <v>0</v>
      </c>
    </row>
    <row r="363" spans="1:66" x14ac:dyDescent="0.2">
      <c r="A363" s="4">
        <f t="shared" si="169"/>
        <v>46015</v>
      </c>
      <c r="B363" s="1">
        <v>358</v>
      </c>
      <c r="C363" s="1">
        <v>12</v>
      </c>
      <c r="AL363" s="5"/>
      <c r="AN363" s="1">
        <f t="shared" si="159"/>
        <v>0</v>
      </c>
      <c r="AO363" s="1">
        <f t="shared" si="160"/>
        <v>0</v>
      </c>
      <c r="AP363" s="1">
        <f t="shared" si="161"/>
        <v>0</v>
      </c>
      <c r="AQ363" s="16">
        <f t="shared" si="170"/>
        <v>0</v>
      </c>
      <c r="AR363" s="23" t="e">
        <f t="shared" si="162"/>
        <v>#DIV/0!</v>
      </c>
      <c r="AT363" s="18">
        <f t="shared" si="157"/>
        <v>46015</v>
      </c>
      <c r="AU363" s="19">
        <f t="shared" si="158"/>
        <v>358</v>
      </c>
      <c r="AV363" s="1">
        <f t="shared" si="171"/>
        <v>0</v>
      </c>
      <c r="AW363" s="1">
        <f t="shared" si="172"/>
        <v>0</v>
      </c>
      <c r="AX363" s="1">
        <f t="shared" si="173"/>
        <v>0</v>
      </c>
      <c r="AY363" s="1">
        <f t="shared" si="174"/>
        <v>0</v>
      </c>
      <c r="AZ363" s="1">
        <f t="shared" si="175"/>
        <v>0</v>
      </c>
      <c r="BA363" s="1">
        <f t="shared" si="163"/>
        <v>0</v>
      </c>
      <c r="BB363" s="5" t="str">
        <f t="shared" si="164"/>
        <v>NAN</v>
      </c>
      <c r="BC363" s="1">
        <f>ROUND(AC363,1)</f>
        <v>0</v>
      </c>
      <c r="BD363" s="1">
        <f>ROUND(AD363,1)</f>
        <v>0</v>
      </c>
      <c r="BE363" s="1">
        <f>ROUND(AE363,1)</f>
        <v>0</v>
      </c>
      <c r="BF363" s="5">
        <f t="shared" si="176"/>
        <v>0</v>
      </c>
      <c r="BG363" s="5">
        <f t="shared" si="177"/>
        <v>0</v>
      </c>
      <c r="BH363" s="5">
        <f t="shared" si="178"/>
        <v>0</v>
      </c>
      <c r="BI363" s="5">
        <f t="shared" si="165"/>
        <v>0</v>
      </c>
      <c r="BJ363" s="9">
        <f t="shared" si="166"/>
        <v>0</v>
      </c>
      <c r="BK363" s="9" t="e">
        <f t="shared" si="166"/>
        <v>#DIV/0!</v>
      </c>
      <c r="BM363" s="1">
        <f t="shared" si="167"/>
        <v>0</v>
      </c>
      <c r="BN363" s="1">
        <f t="shared" si="168"/>
        <v>0</v>
      </c>
    </row>
    <row r="364" spans="1:66" x14ac:dyDescent="0.2">
      <c r="A364" s="4">
        <f t="shared" si="169"/>
        <v>46016</v>
      </c>
      <c r="B364" s="1">
        <v>359</v>
      </c>
      <c r="C364" s="1">
        <v>12</v>
      </c>
      <c r="AL364" s="5"/>
      <c r="AN364" s="1">
        <f t="shared" si="159"/>
        <v>0</v>
      </c>
      <c r="AO364" s="1">
        <f t="shared" si="160"/>
        <v>0</v>
      </c>
      <c r="AP364" s="1">
        <f t="shared" si="161"/>
        <v>0</v>
      </c>
      <c r="AQ364" s="16">
        <f t="shared" si="170"/>
        <v>0</v>
      </c>
      <c r="AR364" s="23" t="e">
        <f t="shared" si="162"/>
        <v>#DIV/0!</v>
      </c>
      <c r="AT364" s="18">
        <f t="shared" si="157"/>
        <v>46016</v>
      </c>
      <c r="AU364" s="19">
        <f t="shared" si="158"/>
        <v>359</v>
      </c>
      <c r="AV364" s="1">
        <f t="shared" si="171"/>
        <v>0</v>
      </c>
      <c r="AW364" s="1">
        <f t="shared" si="172"/>
        <v>0</v>
      </c>
      <c r="AX364" s="1">
        <f t="shared" si="173"/>
        <v>0</v>
      </c>
      <c r="AY364" s="1">
        <f t="shared" si="174"/>
        <v>0</v>
      </c>
      <c r="AZ364" s="1">
        <f t="shared" si="175"/>
        <v>0</v>
      </c>
      <c r="BA364" s="1">
        <f t="shared" si="163"/>
        <v>0</v>
      </c>
      <c r="BB364" s="5" t="str">
        <f t="shared" si="164"/>
        <v>NAN</v>
      </c>
      <c r="BC364" s="1">
        <f>ROUND(AC364,1)</f>
        <v>0</v>
      </c>
      <c r="BD364" s="1">
        <f>ROUND(AD364,1)</f>
        <v>0</v>
      </c>
      <c r="BE364" s="1">
        <f>ROUND(AE364,1)</f>
        <v>0</v>
      </c>
      <c r="BF364" s="5">
        <f t="shared" si="176"/>
        <v>0</v>
      </c>
      <c r="BG364" s="5">
        <f t="shared" si="177"/>
        <v>0</v>
      </c>
      <c r="BH364" s="5">
        <f t="shared" si="178"/>
        <v>0</v>
      </c>
      <c r="BI364" s="5">
        <f t="shared" si="165"/>
        <v>0</v>
      </c>
      <c r="BJ364" s="9">
        <f t="shared" si="166"/>
        <v>0</v>
      </c>
      <c r="BK364" s="9" t="e">
        <f t="shared" si="166"/>
        <v>#DIV/0!</v>
      </c>
      <c r="BM364" s="1">
        <f t="shared" si="167"/>
        <v>0</v>
      </c>
      <c r="BN364" s="1">
        <f t="shared" si="168"/>
        <v>0</v>
      </c>
    </row>
    <row r="365" spans="1:66" x14ac:dyDescent="0.2">
      <c r="A365" s="4">
        <f t="shared" si="169"/>
        <v>46017</v>
      </c>
      <c r="B365" s="1">
        <v>360</v>
      </c>
      <c r="C365" s="1">
        <v>12</v>
      </c>
      <c r="AL365" s="5"/>
      <c r="AN365" s="1">
        <f t="shared" si="159"/>
        <v>0</v>
      </c>
      <c r="AO365" s="1">
        <f t="shared" si="160"/>
        <v>0</v>
      </c>
      <c r="AP365" s="1">
        <f t="shared" si="161"/>
        <v>0</v>
      </c>
      <c r="AQ365" s="16">
        <f t="shared" si="170"/>
        <v>0</v>
      </c>
      <c r="AR365" s="23" t="e">
        <f t="shared" si="162"/>
        <v>#DIV/0!</v>
      </c>
      <c r="AT365" s="18">
        <f t="shared" si="157"/>
        <v>46017</v>
      </c>
      <c r="AU365" s="19">
        <f t="shared" si="158"/>
        <v>360</v>
      </c>
      <c r="AV365" s="1">
        <f t="shared" si="171"/>
        <v>0</v>
      </c>
      <c r="AW365" s="1">
        <f t="shared" si="172"/>
        <v>0</v>
      </c>
      <c r="AX365" s="1">
        <f t="shared" si="173"/>
        <v>0</v>
      </c>
      <c r="AY365" s="1">
        <f t="shared" si="174"/>
        <v>0</v>
      </c>
      <c r="AZ365" s="1">
        <f t="shared" si="175"/>
        <v>0</v>
      </c>
      <c r="BA365" s="1">
        <f t="shared" si="163"/>
        <v>0</v>
      </c>
      <c r="BB365" s="5" t="str">
        <f t="shared" si="164"/>
        <v>NAN</v>
      </c>
      <c r="BC365" s="1">
        <f>ROUND(AC365,1)</f>
        <v>0</v>
      </c>
      <c r="BD365" s="1">
        <f>ROUND(AD365,1)</f>
        <v>0</v>
      </c>
      <c r="BE365" s="1">
        <f>ROUND(AE365,1)</f>
        <v>0</v>
      </c>
      <c r="BF365" s="5">
        <f t="shared" si="176"/>
        <v>0</v>
      </c>
      <c r="BG365" s="5">
        <f t="shared" si="177"/>
        <v>0</v>
      </c>
      <c r="BH365" s="5">
        <f t="shared" si="178"/>
        <v>0</v>
      </c>
      <c r="BI365" s="5">
        <f t="shared" si="165"/>
        <v>0</v>
      </c>
      <c r="BJ365" s="9">
        <f t="shared" si="166"/>
        <v>0</v>
      </c>
      <c r="BK365" s="9" t="e">
        <f t="shared" si="166"/>
        <v>#DIV/0!</v>
      </c>
      <c r="BM365" s="1">
        <f t="shared" si="167"/>
        <v>0</v>
      </c>
      <c r="BN365" s="1">
        <f t="shared" si="168"/>
        <v>0</v>
      </c>
    </row>
    <row r="366" spans="1:66" x14ac:dyDescent="0.2">
      <c r="A366" s="4">
        <f t="shared" si="169"/>
        <v>46018</v>
      </c>
      <c r="B366" s="1">
        <v>361</v>
      </c>
      <c r="C366" s="1">
        <v>12</v>
      </c>
      <c r="AL366" s="5"/>
      <c r="AN366" s="1">
        <f t="shared" si="159"/>
        <v>0</v>
      </c>
      <c r="AO366" s="1">
        <f t="shared" si="160"/>
        <v>0</v>
      </c>
      <c r="AP366" s="1">
        <f t="shared" si="161"/>
        <v>0</v>
      </c>
      <c r="AQ366" s="16">
        <f t="shared" si="170"/>
        <v>0</v>
      </c>
      <c r="AR366" s="23" t="e">
        <f t="shared" si="162"/>
        <v>#DIV/0!</v>
      </c>
      <c r="AT366" s="18">
        <f t="shared" si="157"/>
        <v>46018</v>
      </c>
      <c r="AU366" s="19">
        <f t="shared" si="158"/>
        <v>361</v>
      </c>
      <c r="AV366" s="1">
        <f t="shared" si="171"/>
        <v>0</v>
      </c>
      <c r="AW366" s="1">
        <f t="shared" si="172"/>
        <v>0</v>
      </c>
      <c r="AX366" s="1">
        <f t="shared" si="173"/>
        <v>0</v>
      </c>
      <c r="AY366" s="1">
        <f t="shared" si="174"/>
        <v>0</v>
      </c>
      <c r="AZ366" s="1">
        <f t="shared" si="175"/>
        <v>0</v>
      </c>
      <c r="BA366" s="1">
        <f t="shared" si="163"/>
        <v>0</v>
      </c>
      <c r="BB366" s="5" t="str">
        <f t="shared" si="164"/>
        <v>NAN</v>
      </c>
      <c r="BC366" s="1">
        <f>ROUND(AC366,1)</f>
        <v>0</v>
      </c>
      <c r="BD366" s="1">
        <f>ROUND(AD366,1)</f>
        <v>0</v>
      </c>
      <c r="BE366" s="1">
        <f>ROUND(AE366,1)</f>
        <v>0</v>
      </c>
      <c r="BF366" s="5">
        <f t="shared" si="176"/>
        <v>0</v>
      </c>
      <c r="BG366" s="5">
        <f t="shared" si="177"/>
        <v>0</v>
      </c>
      <c r="BH366" s="5">
        <f t="shared" si="178"/>
        <v>0</v>
      </c>
      <c r="BI366" s="5">
        <f t="shared" si="165"/>
        <v>0</v>
      </c>
      <c r="BJ366" s="9">
        <f t="shared" si="166"/>
        <v>0</v>
      </c>
      <c r="BK366" s="9" t="e">
        <f t="shared" si="166"/>
        <v>#DIV/0!</v>
      </c>
      <c r="BM366" s="1">
        <f t="shared" si="167"/>
        <v>0</v>
      </c>
      <c r="BN366" s="1">
        <f t="shared" si="168"/>
        <v>0</v>
      </c>
    </row>
    <row r="367" spans="1:66" x14ac:dyDescent="0.2">
      <c r="A367" s="4">
        <f t="shared" si="169"/>
        <v>46019</v>
      </c>
      <c r="B367" s="1">
        <v>362</v>
      </c>
      <c r="C367" s="1">
        <v>12</v>
      </c>
      <c r="AL367" s="5"/>
      <c r="AN367" s="1">
        <f t="shared" si="159"/>
        <v>0</v>
      </c>
      <c r="AO367" s="1">
        <f t="shared" si="160"/>
        <v>0</v>
      </c>
      <c r="AP367" s="1">
        <f t="shared" si="161"/>
        <v>0</v>
      </c>
      <c r="AQ367" s="16">
        <f t="shared" si="170"/>
        <v>0</v>
      </c>
      <c r="AR367" s="23" t="e">
        <f t="shared" si="162"/>
        <v>#DIV/0!</v>
      </c>
      <c r="AT367" s="18">
        <f t="shared" si="157"/>
        <v>46019</v>
      </c>
      <c r="AU367" s="19">
        <f t="shared" si="158"/>
        <v>362</v>
      </c>
      <c r="AV367" s="1">
        <f t="shared" si="171"/>
        <v>0</v>
      </c>
      <c r="AW367" s="1">
        <f t="shared" si="172"/>
        <v>0</v>
      </c>
      <c r="AX367" s="1">
        <f t="shared" si="173"/>
        <v>0</v>
      </c>
      <c r="AY367" s="1">
        <f t="shared" si="174"/>
        <v>0</v>
      </c>
      <c r="AZ367" s="1">
        <f t="shared" si="175"/>
        <v>0</v>
      </c>
      <c r="BA367" s="1">
        <f t="shared" si="163"/>
        <v>0</v>
      </c>
      <c r="BB367" s="5" t="str">
        <f t="shared" si="164"/>
        <v>NAN</v>
      </c>
      <c r="BC367" s="1">
        <f>ROUND(AC367,1)</f>
        <v>0</v>
      </c>
      <c r="BD367" s="1">
        <f>ROUND(AD367,1)</f>
        <v>0</v>
      </c>
      <c r="BE367" s="1">
        <f>ROUND(AE367,1)</f>
        <v>0</v>
      </c>
      <c r="BF367" s="5">
        <f t="shared" si="176"/>
        <v>0</v>
      </c>
      <c r="BG367" s="5">
        <f t="shared" si="177"/>
        <v>0</v>
      </c>
      <c r="BH367" s="5">
        <f t="shared" si="178"/>
        <v>0</v>
      </c>
      <c r="BI367" s="5">
        <f t="shared" si="165"/>
        <v>0</v>
      </c>
      <c r="BJ367" s="9">
        <f t="shared" si="166"/>
        <v>0</v>
      </c>
      <c r="BK367" s="9" t="e">
        <f t="shared" si="166"/>
        <v>#DIV/0!</v>
      </c>
      <c r="BM367" s="1">
        <f t="shared" si="167"/>
        <v>0</v>
      </c>
      <c r="BN367" s="1">
        <f t="shared" si="168"/>
        <v>0</v>
      </c>
    </row>
    <row r="368" spans="1:66" x14ac:dyDescent="0.2">
      <c r="A368" s="4">
        <f t="shared" si="169"/>
        <v>46020</v>
      </c>
      <c r="B368" s="1">
        <v>363</v>
      </c>
      <c r="C368" s="1">
        <v>12</v>
      </c>
      <c r="AL368" s="5"/>
      <c r="AN368" s="1">
        <f t="shared" si="159"/>
        <v>0</v>
      </c>
      <c r="AO368" s="1">
        <f t="shared" si="160"/>
        <v>0</v>
      </c>
      <c r="AP368" s="1">
        <f t="shared" si="161"/>
        <v>0</v>
      </c>
      <c r="AQ368" s="16">
        <f t="shared" si="170"/>
        <v>0</v>
      </c>
      <c r="AR368" s="23" t="e">
        <f t="shared" si="162"/>
        <v>#DIV/0!</v>
      </c>
      <c r="AT368" s="18">
        <f t="shared" si="157"/>
        <v>46020</v>
      </c>
      <c r="AU368" s="19">
        <f t="shared" si="158"/>
        <v>363</v>
      </c>
      <c r="AV368" s="1">
        <f t="shared" si="171"/>
        <v>0</v>
      </c>
      <c r="AW368" s="1">
        <f t="shared" si="172"/>
        <v>0</v>
      </c>
      <c r="AX368" s="1">
        <f t="shared" si="173"/>
        <v>0</v>
      </c>
      <c r="AY368" s="1">
        <f t="shared" si="174"/>
        <v>0</v>
      </c>
      <c r="AZ368" s="1">
        <f t="shared" si="175"/>
        <v>0</v>
      </c>
      <c r="BA368" s="1">
        <f t="shared" si="163"/>
        <v>0</v>
      </c>
      <c r="BB368" s="5" t="str">
        <f t="shared" si="164"/>
        <v>NAN</v>
      </c>
      <c r="BC368" s="1">
        <f>ROUND(AC368,1)</f>
        <v>0</v>
      </c>
      <c r="BD368" s="1">
        <f>ROUND(AD368,1)</f>
        <v>0</v>
      </c>
      <c r="BE368" s="1">
        <f>ROUND(AE368,1)</f>
        <v>0</v>
      </c>
      <c r="BF368" s="5">
        <f t="shared" si="176"/>
        <v>0</v>
      </c>
      <c r="BG368" s="5">
        <f t="shared" si="177"/>
        <v>0</v>
      </c>
      <c r="BH368" s="5">
        <f t="shared" si="178"/>
        <v>0</v>
      </c>
      <c r="BI368" s="5">
        <f t="shared" si="165"/>
        <v>0</v>
      </c>
      <c r="BJ368" s="9">
        <f t="shared" si="166"/>
        <v>0</v>
      </c>
      <c r="BK368" s="9" t="e">
        <f t="shared" si="166"/>
        <v>#DIV/0!</v>
      </c>
      <c r="BM368" s="1">
        <f t="shared" si="167"/>
        <v>0</v>
      </c>
      <c r="BN368" s="1">
        <f t="shared" si="168"/>
        <v>0</v>
      </c>
    </row>
    <row r="369" spans="1:66" x14ac:dyDescent="0.2">
      <c r="A369" s="4">
        <f t="shared" si="169"/>
        <v>46021</v>
      </c>
      <c r="B369" s="1">
        <v>364</v>
      </c>
      <c r="C369" s="1">
        <v>12</v>
      </c>
      <c r="AL369" s="5"/>
      <c r="AN369" s="1">
        <f t="shared" si="159"/>
        <v>0</v>
      </c>
      <c r="AO369" s="1">
        <f t="shared" si="160"/>
        <v>0</v>
      </c>
      <c r="AP369" s="1">
        <f t="shared" si="161"/>
        <v>0</v>
      </c>
      <c r="AQ369" s="16">
        <f t="shared" si="170"/>
        <v>0</v>
      </c>
      <c r="AR369" s="23" t="e">
        <f t="shared" si="162"/>
        <v>#DIV/0!</v>
      </c>
      <c r="AT369" s="18">
        <f t="shared" si="157"/>
        <v>46021</v>
      </c>
      <c r="AU369" s="19">
        <f t="shared" si="158"/>
        <v>364</v>
      </c>
      <c r="AV369" s="1">
        <f t="shared" si="171"/>
        <v>0</v>
      </c>
      <c r="AW369" s="1">
        <f t="shared" si="172"/>
        <v>0</v>
      </c>
      <c r="AX369" s="1">
        <f t="shared" si="173"/>
        <v>0</v>
      </c>
      <c r="AY369" s="1">
        <f t="shared" si="174"/>
        <v>0</v>
      </c>
      <c r="AZ369" s="1">
        <f t="shared" si="175"/>
        <v>0</v>
      </c>
      <c r="BA369" s="1">
        <f t="shared" si="163"/>
        <v>0</v>
      </c>
      <c r="BB369" s="5" t="str">
        <f t="shared" si="164"/>
        <v>NAN</v>
      </c>
      <c r="BC369" s="1">
        <f>ROUND(AC369,1)</f>
        <v>0</v>
      </c>
      <c r="BD369" s="1">
        <f>ROUND(AD369,1)</f>
        <v>0</v>
      </c>
      <c r="BE369" s="1">
        <f>ROUND(AE369,1)</f>
        <v>0</v>
      </c>
      <c r="BF369" s="5">
        <f t="shared" si="176"/>
        <v>0</v>
      </c>
      <c r="BG369" s="5">
        <f t="shared" si="177"/>
        <v>0</v>
      </c>
      <c r="BH369" s="5">
        <f t="shared" si="178"/>
        <v>0</v>
      </c>
      <c r="BI369" s="5">
        <f t="shared" si="165"/>
        <v>0</v>
      </c>
      <c r="BJ369" s="9">
        <f t="shared" si="166"/>
        <v>0</v>
      </c>
      <c r="BK369" s="9" t="e">
        <f t="shared" si="166"/>
        <v>#DIV/0!</v>
      </c>
      <c r="BM369" s="1">
        <f t="shared" si="167"/>
        <v>0</v>
      </c>
      <c r="BN369" s="1">
        <f t="shared" si="168"/>
        <v>0</v>
      </c>
    </row>
    <row r="370" spans="1:66" x14ac:dyDescent="0.2">
      <c r="A370" s="4">
        <f t="shared" si="169"/>
        <v>46022</v>
      </c>
      <c r="B370" s="1">
        <v>365</v>
      </c>
      <c r="C370" s="1">
        <v>12</v>
      </c>
      <c r="AL370" s="5"/>
      <c r="AN370" s="1">
        <f t="shared" si="159"/>
        <v>0</v>
      </c>
      <c r="AO370" s="1">
        <f t="shared" si="160"/>
        <v>0</v>
      </c>
      <c r="AP370" s="1">
        <f t="shared" si="161"/>
        <v>0</v>
      </c>
      <c r="AQ370" s="16">
        <f t="shared" si="170"/>
        <v>0</v>
      </c>
      <c r="AR370" s="23" t="e">
        <f t="shared" si="162"/>
        <v>#DIV/0!</v>
      </c>
      <c r="AT370" s="18">
        <f t="shared" si="157"/>
        <v>46022</v>
      </c>
      <c r="AU370" s="19">
        <f t="shared" si="158"/>
        <v>365</v>
      </c>
      <c r="AV370" s="1">
        <f t="shared" si="171"/>
        <v>0</v>
      </c>
      <c r="AW370" s="1">
        <f t="shared" si="172"/>
        <v>0</v>
      </c>
      <c r="AX370" s="1">
        <f t="shared" si="173"/>
        <v>0</v>
      </c>
      <c r="AY370" s="1">
        <f t="shared" si="174"/>
        <v>0</v>
      </c>
      <c r="AZ370" s="1">
        <f t="shared" si="175"/>
        <v>0</v>
      </c>
      <c r="BA370" s="1">
        <f t="shared" si="163"/>
        <v>0</v>
      </c>
      <c r="BB370" s="5" t="str">
        <f t="shared" si="164"/>
        <v>NAN</v>
      </c>
      <c r="BC370" s="1">
        <f>ROUND(AC370,1)</f>
        <v>0</v>
      </c>
      <c r="BD370" s="1">
        <f>ROUND(AD370,1)</f>
        <v>0</v>
      </c>
      <c r="BE370" s="1">
        <f>ROUND(AE370,1)</f>
        <v>0</v>
      </c>
      <c r="BF370" s="5">
        <f t="shared" si="176"/>
        <v>0</v>
      </c>
      <c r="BG370" s="5">
        <f t="shared" si="177"/>
        <v>0</v>
      </c>
      <c r="BH370" s="5">
        <f t="shared" si="178"/>
        <v>0</v>
      </c>
      <c r="BI370" s="5">
        <f t="shared" si="165"/>
        <v>0</v>
      </c>
      <c r="BJ370" s="9">
        <f t="shared" si="166"/>
        <v>0</v>
      </c>
      <c r="BK370" s="9" t="e">
        <f t="shared" si="166"/>
        <v>#DIV/0!</v>
      </c>
      <c r="BM370" s="1">
        <f t="shared" si="167"/>
        <v>0</v>
      </c>
      <c r="BN370" s="1">
        <f t="shared" si="168"/>
        <v>0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8" t="s">
        <v>48</v>
      </c>
      <c r="H374" s="1"/>
      <c r="I374" s="8"/>
      <c r="J374" s="1"/>
      <c r="K374" s="2" t="s">
        <v>49</v>
      </c>
      <c r="L374" s="8" t="s">
        <v>50</v>
      </c>
      <c r="M374" s="8" t="s">
        <v>51</v>
      </c>
      <c r="N374" s="8" t="s">
        <v>52</v>
      </c>
      <c r="O374" s="8" t="s">
        <v>53</v>
      </c>
      <c r="P374" s="8"/>
      <c r="Q374" s="8"/>
      <c r="R374" s="2" t="s">
        <v>54</v>
      </c>
      <c r="S374" s="1"/>
      <c r="T374" s="8"/>
      <c r="U374" s="8" t="s">
        <v>55</v>
      </c>
      <c r="V374" s="8" t="s">
        <v>56</v>
      </c>
      <c r="W374" s="8"/>
      <c r="X374" s="8"/>
      <c r="Y374" s="2" t="s">
        <v>57</v>
      </c>
      <c r="Z374" s="1"/>
      <c r="AA374" s="1"/>
      <c r="AB374" s="1"/>
      <c r="AC374" s="5" t="s">
        <v>58</v>
      </c>
      <c r="AD374" s="5" t="s">
        <v>59</v>
      </c>
      <c r="AE374" s="5" t="s">
        <v>60</v>
      </c>
      <c r="AK374" s="9" t="s">
        <v>61</v>
      </c>
      <c r="AL374" s="8" t="s">
        <v>78</v>
      </c>
      <c r="AM374" s="8"/>
      <c r="AN374" s="8"/>
      <c r="AO374" s="8" t="s">
        <v>62</v>
      </c>
      <c r="AP374" s="8" t="s">
        <v>63</v>
      </c>
      <c r="AQ374" s="8" t="s">
        <v>64</v>
      </c>
      <c r="AR374" s="1" t="s">
        <v>65</v>
      </c>
      <c r="AS374" s="1" t="s">
        <v>102</v>
      </c>
      <c r="BA374" s="9" t="s">
        <v>61</v>
      </c>
      <c r="BB374" s="8" t="s">
        <v>78</v>
      </c>
    </row>
    <row r="375" spans="1:66" x14ac:dyDescent="0.2">
      <c r="A375" s="1" t="s">
        <v>66</v>
      </c>
      <c r="D375" s="1"/>
      <c r="E375" s="1"/>
      <c r="F375" s="1"/>
      <c r="G375" s="10">
        <f>ROUND(AVERAGE(G6:G36),1)</f>
        <v>-6</v>
      </c>
      <c r="H375" s="1"/>
      <c r="I375" s="10"/>
      <c r="J375" s="1"/>
      <c r="K375" s="10">
        <f>ROUND(AVERAGE(K6:K36),1)</f>
        <v>0.3</v>
      </c>
      <c r="L375" s="10">
        <f>ROUND(AVERAGE(L6:L36),1)</f>
        <v>0.9</v>
      </c>
      <c r="M375" s="10">
        <f>ROUND(AVERAGE(M6:M36),1)</f>
        <v>1.6</v>
      </c>
      <c r="N375" s="10">
        <f>ROUND(AVERAGE(N6:N36),1)</f>
        <v>-3.6</v>
      </c>
      <c r="O375" s="10">
        <f>ROUND(MAX(N6:N36),1)</f>
        <v>5.6</v>
      </c>
      <c r="P375" s="10"/>
      <c r="Q375" s="10"/>
      <c r="R375" s="10">
        <f>ROUND(AVERAGE(R6:R36),1)</f>
        <v>0.4</v>
      </c>
      <c r="S375" s="1"/>
      <c r="T375" s="10"/>
      <c r="U375" s="10">
        <f>ROUND(AVERAGE(U6:U36),1)</f>
        <v>-8.6</v>
      </c>
      <c r="V375" s="10">
        <f>ROUND(MIN(U6:U36),1)</f>
        <v>-16.5</v>
      </c>
      <c r="W375" s="10"/>
      <c r="X375" s="10"/>
      <c r="Y375" s="10">
        <f>ROUND(AVERAGE(Y6:Y36),1)</f>
        <v>0.2</v>
      </c>
      <c r="Z375" s="1"/>
      <c r="AA375" s="1"/>
      <c r="AB375" s="1"/>
      <c r="AC375" s="10">
        <f>ROUND(AVERAGE(AC6:AC36),1)</f>
        <v>-7.5</v>
      </c>
      <c r="AD375" s="10">
        <f>ROUND(AVERAGE(AD6:AD36),1)</f>
        <v>-5</v>
      </c>
      <c r="AE375" s="10">
        <f>ROUND(AVERAGE(AE6:AE36),1)</f>
        <v>-10.1</v>
      </c>
      <c r="AF375" s="10"/>
      <c r="AG375" s="10"/>
      <c r="AH375" s="10"/>
      <c r="AI375" s="10"/>
      <c r="AJ375" s="10"/>
      <c r="AK375" s="20">
        <f>AK36*1000</f>
        <v>829.99999999999989</v>
      </c>
      <c r="AL375" s="10">
        <f>ROUND(AVERAGE(AL6:AL36),1)</f>
        <v>-0.2</v>
      </c>
      <c r="AM375" s="10"/>
      <c r="AN375" s="10"/>
      <c r="AO375" s="10">
        <f>ROUND(AVERAGE(AO6:AO36),1)</f>
        <v>81.099999999999994</v>
      </c>
      <c r="AP375" s="10">
        <f>ROUND(AVERAGE(AP6:AP36),1)</f>
        <v>71.2</v>
      </c>
      <c r="AQ375" s="10">
        <f>ROUND(MIN(AP6:AP36),1)</f>
        <v>21.7</v>
      </c>
      <c r="AR375" s="11">
        <f>ROUND(AVERAGE(AQ6:AQ36),2)</f>
        <v>0.33</v>
      </c>
      <c r="AS375" s="11">
        <f>ROUND(MAX(AR5:AR35),2)</f>
        <v>0.71</v>
      </c>
      <c r="AT375" s="11"/>
      <c r="AU375" s="11"/>
      <c r="AW375" s="11"/>
      <c r="BA375" s="14">
        <f>BA36</f>
        <v>0.82999999999999985</v>
      </c>
      <c r="BB375" s="10">
        <f>ROUND(AVERAGE(BB6:BB36),1)</f>
        <v>-0.2</v>
      </c>
    </row>
    <row r="376" spans="1:66" x14ac:dyDescent="0.2">
      <c r="A376" s="1" t="s">
        <v>67</v>
      </c>
      <c r="D376" s="1"/>
      <c r="E376" s="1"/>
      <c r="F376" s="1"/>
      <c r="G376" s="10">
        <f>ROUND(AVERAGE(G37:G64),1)</f>
        <v>-9.5</v>
      </c>
      <c r="H376" s="1"/>
      <c r="I376" s="10"/>
      <c r="J376" s="1"/>
      <c r="K376" s="10">
        <f>ROUND(AVERAGE(K37:K64),1)</f>
        <v>0.1</v>
      </c>
      <c r="L376" s="10">
        <f>ROUND(AVERAGE(L37:L64),1)</f>
        <v>0.6</v>
      </c>
      <c r="M376" s="10">
        <f>ROUND(AVERAGE(M37:M64),1)</f>
        <v>1.3</v>
      </c>
      <c r="N376" s="10">
        <f>ROUND(AVERAGE(N37:N64),1)</f>
        <v>-6.7</v>
      </c>
      <c r="O376" s="10">
        <f>ROUND(MAX(N37:N64),1)</f>
        <v>3.5</v>
      </c>
      <c r="P376" s="10"/>
      <c r="Q376" s="10"/>
      <c r="R376" s="10">
        <f>ROUND(AVERAGE(R37:R64),1)</f>
        <v>0.2</v>
      </c>
      <c r="S376" s="1"/>
      <c r="T376" s="10"/>
      <c r="U376" s="10">
        <f>ROUND(AVERAGE(U37:U64),1)</f>
        <v>-12</v>
      </c>
      <c r="V376" s="10">
        <f>ROUND(MIN(U37:U64),1)</f>
        <v>-23.3</v>
      </c>
      <c r="W376" s="10"/>
      <c r="X376" s="10"/>
      <c r="Y376" s="10">
        <f>ROUND(AVERAGE(Y37:Y64),1)</f>
        <v>0</v>
      </c>
      <c r="Z376" s="1"/>
      <c r="AA376" s="1"/>
      <c r="AB376" s="1"/>
      <c r="AC376" s="10">
        <f>ROUND(AVERAGE(AC37:AC64),1)</f>
        <v>-10.3</v>
      </c>
      <c r="AD376" s="10">
        <f>ROUND(AVERAGE(AD37:AD64),1)</f>
        <v>-6.7</v>
      </c>
      <c r="AE376" s="10">
        <f>ROUND(AVERAGE(AE37:AE64),1)</f>
        <v>-13.1</v>
      </c>
      <c r="AF376" s="10"/>
      <c r="AG376" s="10"/>
      <c r="AH376" s="10"/>
      <c r="AI376" s="10"/>
      <c r="AJ376" s="10"/>
      <c r="AK376" s="20">
        <f>AK64*1000</f>
        <v>1075.9999999999998</v>
      </c>
      <c r="AL376" s="10">
        <f>ROUND(AVERAGE(AL37:AL64),1)</f>
        <v>-0.5</v>
      </c>
      <c r="AM376" s="10"/>
      <c r="AN376" s="10"/>
      <c r="AO376" s="10">
        <f>ROUND(AVERAGE(AO37:AO64),1)</f>
        <v>86.8</v>
      </c>
      <c r="AP376" s="10">
        <f>ROUND(AVERAGE(AP37:AP64),1)</f>
        <v>81.099999999999994</v>
      </c>
      <c r="AQ376" s="10">
        <f>ROUND(MIN(AP37:AP64),1)</f>
        <v>44.4</v>
      </c>
      <c r="AR376" s="11">
        <f>ROUND(AVERAGE(AQ37:AQ64),2)</f>
        <v>0.33</v>
      </c>
      <c r="AS376" s="11">
        <f>ROUND(MAX(AR36:AR63),2)</f>
        <v>0.17</v>
      </c>
      <c r="AT376" s="11"/>
      <c r="AU376" s="11"/>
      <c r="AW376" s="11"/>
      <c r="BA376" s="14">
        <f>BA64</f>
        <v>1.0759999999999998</v>
      </c>
      <c r="BB376" s="10">
        <f>ROUND(AVERAGE(BB37:BB64),1)</f>
        <v>-0.5</v>
      </c>
    </row>
    <row r="377" spans="1:66" x14ac:dyDescent="0.2">
      <c r="A377" s="1" t="s">
        <v>68</v>
      </c>
      <c r="D377" s="1"/>
      <c r="E377" s="1"/>
      <c r="F377" s="1"/>
      <c r="G377" s="10">
        <f>ROUND(AVERAGE(G65:G95),1)</f>
        <v>-3.4</v>
      </c>
      <c r="H377" s="1"/>
      <c r="I377" s="10"/>
      <c r="J377" s="1"/>
      <c r="K377" s="10">
        <f t="shared" ref="K377:L377" si="179">ROUND(AVERAGE(K65:K95),1)</f>
        <v>0.2</v>
      </c>
      <c r="L377" s="10">
        <f t="shared" si="179"/>
        <v>0.6</v>
      </c>
      <c r="M377" s="10">
        <f>ROUND(AVERAGE(M65:M95),1)</f>
        <v>1.2</v>
      </c>
      <c r="N377" s="10">
        <f>ROUND(AVERAGE(N65:N95),1)</f>
        <v>0</v>
      </c>
      <c r="O377" s="10">
        <f>ROUND(MAX(N65:N95),1)</f>
        <v>10</v>
      </c>
      <c r="P377" s="10"/>
      <c r="Q377" s="10"/>
      <c r="R377" s="10">
        <f>ROUND(AVERAGE(R65:R95),1)</f>
        <v>0.2</v>
      </c>
      <c r="S377" s="1"/>
      <c r="T377" s="10"/>
      <c r="U377" s="10">
        <f>ROUND(AVERAGE(U65:U95),1)</f>
        <v>-6.2</v>
      </c>
      <c r="V377" s="10">
        <f>ROUND(MIN(U65:U95),1)</f>
        <v>-12.8</v>
      </c>
      <c r="W377" s="10"/>
      <c r="X377" s="10"/>
      <c r="Y377" s="10">
        <f>ROUND(AVERAGE(Y65:Y95),1)</f>
        <v>0.1</v>
      </c>
      <c r="Z377" s="1"/>
      <c r="AA377" s="1"/>
      <c r="AB377" s="1"/>
      <c r="AC377" s="10">
        <f t="shared" ref="AC377:AE377" si="180">ROUND(AVERAGE(AC65:AC95),1)</f>
        <v>-4.7</v>
      </c>
      <c r="AD377" s="10">
        <f t="shared" si="180"/>
        <v>-1</v>
      </c>
      <c r="AE377" s="10">
        <f t="shared" si="180"/>
        <v>-7.6</v>
      </c>
      <c r="AF377" s="10"/>
      <c r="AG377" s="10"/>
      <c r="AH377" s="10"/>
      <c r="AI377" s="10"/>
      <c r="AJ377" s="10"/>
      <c r="AK377" s="14">
        <f>AK95*1000</f>
        <v>1224</v>
      </c>
      <c r="AL377" s="10">
        <f t="shared" ref="AL377" si="181">ROUND(AVERAGE(AL65:AL95),1)</f>
        <v>0</v>
      </c>
      <c r="AM377" s="10"/>
      <c r="AN377" s="10"/>
      <c r="AO377" s="10">
        <f>ROUND(AVERAGE(AO65:AO95),1)</f>
        <v>84.2</v>
      </c>
      <c r="AP377" s="10">
        <f>ROUND(AVERAGE(AP65:AP95),1)</f>
        <v>66.7</v>
      </c>
      <c r="AQ377" s="10">
        <f>ROUND(MIN(AP65:AP95),1)</f>
        <v>39.6</v>
      </c>
      <c r="AR377" s="11">
        <f>ROUND(AVERAGE(AQ65:AQ95),2)</f>
        <v>0.41</v>
      </c>
      <c r="AS377" s="11">
        <f>ROUND(MAX(AR64:AR94),2)</f>
        <v>0.5</v>
      </c>
      <c r="AT377" s="11"/>
      <c r="AU377" s="11"/>
      <c r="AW377" s="11"/>
      <c r="BA377" s="14">
        <f>BA95</f>
        <v>1.224</v>
      </c>
      <c r="BB377" s="10">
        <f t="shared" ref="BB377" si="182">ROUND(AVERAGE(BB65:BB95),1)</f>
        <v>0</v>
      </c>
    </row>
    <row r="378" spans="1:66" x14ac:dyDescent="0.2">
      <c r="A378" s="1" t="s">
        <v>69</v>
      </c>
      <c r="D378" s="1"/>
      <c r="E378" s="1"/>
      <c r="F378" s="1"/>
      <c r="G378" s="10">
        <f>ROUND(AVERAGE(G96:G125),1)</f>
        <v>0.2</v>
      </c>
      <c r="H378" s="1"/>
      <c r="I378" s="10"/>
      <c r="J378" s="1"/>
      <c r="K378" s="10">
        <f t="shared" ref="K378:L378" si="183">ROUND(AVERAGE(K96:K125),1)</f>
        <v>0.2</v>
      </c>
      <c r="L378" s="10">
        <f t="shared" si="183"/>
        <v>0.6</v>
      </c>
      <c r="M378" s="10">
        <f>ROUND(AVERAGE(M96:M125),1)</f>
        <v>1.1000000000000001</v>
      </c>
      <c r="N378" s="10">
        <f>ROUND(AVERAGE(N96:N125),1)</f>
        <v>4.5999999999999996</v>
      </c>
      <c r="O378" s="10">
        <f>ROUND(MAX(N96:N125),1)</f>
        <v>11.8</v>
      </c>
      <c r="P378" s="10"/>
      <c r="Q378" s="10"/>
      <c r="R378" s="10">
        <f>ROUND(AVERAGE(R96:R125),1)</f>
        <v>0.3</v>
      </c>
      <c r="S378" s="1"/>
      <c r="T378" s="10"/>
      <c r="U378" s="10">
        <f>ROUND(AVERAGE(U96:U125),1)</f>
        <v>-3.4</v>
      </c>
      <c r="V378" s="10">
        <f>ROUND(MIN(U96:U125),1)</f>
        <v>-8.8000000000000007</v>
      </c>
      <c r="W378" s="10"/>
      <c r="X378" s="10"/>
      <c r="Y378" s="10">
        <f>ROUND(AVERAGE(Y96:Y125),1)</f>
        <v>0.1</v>
      </c>
      <c r="Z378" s="1"/>
      <c r="AA378" s="1"/>
      <c r="AB378" s="1"/>
      <c r="AC378" s="10">
        <f t="shared" ref="AC378:AE378" si="184">ROUND(AVERAGE(AC96:AC125),1)</f>
        <v>-2.2000000000000002</v>
      </c>
      <c r="AD378" s="10">
        <f t="shared" si="184"/>
        <v>0.5</v>
      </c>
      <c r="AE378" s="10">
        <f t="shared" si="184"/>
        <v>-5</v>
      </c>
      <c r="AF378" s="10"/>
      <c r="AG378" s="10"/>
      <c r="AH378" s="10"/>
      <c r="AI378" s="10"/>
      <c r="AJ378" s="10"/>
      <c r="AK378" s="14">
        <f>AK125*1000</f>
        <v>808.99999999999989</v>
      </c>
      <c r="AL378" s="10">
        <f t="shared" ref="AL378" si="185">ROUND(AVERAGE(AL96:AL125),1)</f>
        <v>0.1</v>
      </c>
      <c r="AM378" s="10"/>
      <c r="AN378" s="10"/>
      <c r="AO378" s="10">
        <f>ROUND(AVERAGE(AO96:AO125),1)</f>
        <v>67.5</v>
      </c>
      <c r="AP378" s="10">
        <f>ROUND(AVERAGE(AP96:AP125),1)</f>
        <v>45.8</v>
      </c>
      <c r="AQ378" s="10">
        <f>ROUND(MIN(AP96:AP125),1)</f>
        <v>20.100000000000001</v>
      </c>
      <c r="AR378" s="11">
        <f>ROUND(AVERAGE(AQ96:AQ125),2)</f>
        <v>0.37</v>
      </c>
      <c r="AS378" s="11">
        <f>ROUND(MAX(AR95:AR124),2)</f>
        <v>1.1100000000000001</v>
      </c>
      <c r="AT378" s="11"/>
      <c r="AU378" s="11"/>
      <c r="AW378" s="11"/>
      <c r="BA378" s="14">
        <f>BA125</f>
        <v>0.80899999999999994</v>
      </c>
      <c r="BB378" s="10">
        <f t="shared" ref="BB378" si="186">ROUND(AVERAGE(BB96:BB125),1)</f>
        <v>0.1</v>
      </c>
    </row>
    <row r="379" spans="1:66" x14ac:dyDescent="0.2">
      <c r="A379" s="1" t="s">
        <v>70</v>
      </c>
      <c r="D379" s="1"/>
      <c r="E379" s="1"/>
      <c r="F379" s="1"/>
      <c r="G379" s="10">
        <f>ROUND(AVERAGE(G126:G156),1)</f>
        <v>4.4000000000000004</v>
      </c>
      <c r="H379" s="1"/>
      <c r="I379" s="10"/>
      <c r="J379" s="1"/>
      <c r="K379" s="10">
        <f t="shared" ref="K379:L379" si="187">ROUND(AVERAGE(K126:K156),1)</f>
        <v>1.4</v>
      </c>
      <c r="L379" s="10">
        <f t="shared" si="187"/>
        <v>1.2</v>
      </c>
      <c r="M379" s="10">
        <f>ROUND(AVERAGE(M126:M156),1)</f>
        <v>1.1000000000000001</v>
      </c>
      <c r="N379" s="10">
        <f>ROUND(AVERAGE(N126:N156),1)</f>
        <v>9.5</v>
      </c>
      <c r="O379" s="10">
        <f>ROUND(MAX(N126:N156),1)</f>
        <v>22</v>
      </c>
      <c r="P379" s="10"/>
      <c r="Q379" s="10"/>
      <c r="R379" s="10">
        <f>ROUND(AVERAGE(R126:R156),1)</f>
        <v>2.5</v>
      </c>
      <c r="S379" s="1"/>
      <c r="T379" s="10"/>
      <c r="U379" s="10">
        <f>ROUND(AVERAGE(U126:U156),1)</f>
        <v>-0.2</v>
      </c>
      <c r="V379" s="10">
        <f>ROUND(MIN(U126:U156),1)</f>
        <v>-4.7</v>
      </c>
      <c r="W379" s="10"/>
      <c r="X379" s="10"/>
      <c r="Y379" s="10">
        <f>ROUND(AVERAGE(Y126:Y156),1)</f>
        <v>0.6</v>
      </c>
      <c r="Z379" s="1"/>
      <c r="AA379" s="1"/>
      <c r="AB379" s="1"/>
      <c r="AC379" s="10">
        <f t="shared" ref="AC379:AE379" si="188">ROUND(AVERAGE(AC126:AC156),1)</f>
        <v>1.2</v>
      </c>
      <c r="AD379" s="10">
        <f t="shared" si="188"/>
        <v>5.0999999999999996</v>
      </c>
      <c r="AE379" s="10">
        <f t="shared" si="188"/>
        <v>-1.5</v>
      </c>
      <c r="AF379" s="10"/>
      <c r="AG379" s="10"/>
      <c r="AH379" s="10"/>
      <c r="AI379" s="10"/>
      <c r="AJ379" s="10"/>
      <c r="AK379" s="14">
        <f>AK156*1000</f>
        <v>0</v>
      </c>
      <c r="AL379" s="10">
        <f t="shared" ref="AL379" si="189">ROUND(AVERAGE(AL126:AL156),1)</f>
        <v>0.1</v>
      </c>
      <c r="AM379" s="10"/>
      <c r="AN379" s="10"/>
      <c r="AO379" s="10">
        <f>ROUND(AVERAGE(AO126:AO156),1)</f>
        <v>69.3</v>
      </c>
      <c r="AP379" s="10">
        <f>ROUND(AVERAGE(AP126:AP156),1)</f>
        <v>47.2</v>
      </c>
      <c r="AQ379" s="10">
        <f>ROUND(MIN(AP126:AP156),1)</f>
        <v>20.7</v>
      </c>
      <c r="AR379" s="11">
        <f>ROUND(AVERAGE(AQ126:AQ156),2)</f>
        <v>0.53</v>
      </c>
      <c r="AS379" s="11">
        <f>ROUND(MAX(AR125:AR155),2)</f>
        <v>1.71</v>
      </c>
      <c r="AT379" s="11"/>
      <c r="AU379" s="11"/>
      <c r="AW379" s="11"/>
      <c r="BA379" s="14">
        <f>BA156</f>
        <v>0</v>
      </c>
      <c r="BB379" s="10">
        <f t="shared" ref="BB379" si="190">ROUND(AVERAGE(BB126:BB156),1)</f>
        <v>0.1</v>
      </c>
    </row>
    <row r="380" spans="1:66" x14ac:dyDescent="0.2">
      <c r="A380" s="1" t="s">
        <v>71</v>
      </c>
      <c r="D380" s="1"/>
      <c r="E380" s="1"/>
      <c r="F380" s="1"/>
      <c r="G380" s="10">
        <f>ROUND(AVERAGE(G157:G186),1)</f>
        <v>4.5999999999999996</v>
      </c>
      <c r="H380" s="1"/>
      <c r="I380" s="10"/>
      <c r="J380" s="1"/>
      <c r="K380" s="10">
        <f t="shared" ref="K380:L380" si="191">ROUND(AVERAGE(K157:K186),1)</f>
        <v>6</v>
      </c>
      <c r="L380" s="10">
        <f t="shared" si="191"/>
        <v>5</v>
      </c>
      <c r="M380" s="10">
        <f>ROUND(AVERAGE(M157:M186),1)</f>
        <v>3.3</v>
      </c>
      <c r="N380" s="10">
        <f>ROUND(AVERAGE(N157:N186),1)</f>
        <v>9.5</v>
      </c>
      <c r="O380" s="10">
        <f>ROUND(MAX(N157:N186),1)</f>
        <v>12.1</v>
      </c>
      <c r="P380" s="10"/>
      <c r="Q380" s="10"/>
      <c r="R380" s="10">
        <f>ROUND(AVERAGE(R157:R186),1)</f>
        <v>11.7</v>
      </c>
      <c r="S380" s="1"/>
      <c r="T380" s="10"/>
      <c r="U380" s="10">
        <f>ROUND(AVERAGE(U157:U186),1)</f>
        <v>0.6</v>
      </c>
      <c r="V380" s="10">
        <f>ROUND(MIN(U157:U186),1)</f>
        <v>-0.9</v>
      </c>
      <c r="W380" s="10"/>
      <c r="X380" s="10"/>
      <c r="Y380" s="10">
        <f>ROUND(AVERAGE(Y157:Y186),1)</f>
        <v>3</v>
      </c>
      <c r="Z380" s="1"/>
      <c r="AA380" s="1"/>
      <c r="AB380" s="1"/>
      <c r="AC380" s="10">
        <f t="shared" ref="AC380:AE380" si="192">ROUND(AVERAGE(AC157:AC186),1)</f>
        <v>6.9</v>
      </c>
      <c r="AD380" s="10">
        <f t="shared" si="192"/>
        <v>27.7</v>
      </c>
      <c r="AE380" s="10">
        <f t="shared" si="192"/>
        <v>0</v>
      </c>
      <c r="AF380" s="10"/>
      <c r="AG380" s="10"/>
      <c r="AH380" s="10"/>
      <c r="AI380" s="10"/>
      <c r="AJ380" s="10"/>
      <c r="AK380" s="14">
        <f>AK186*1000</f>
        <v>0</v>
      </c>
      <c r="AL380" s="10" t="e">
        <f t="shared" ref="AL380" si="193">ROUND(AVERAGE(AL157:AL186),1)</f>
        <v>#DIV/0!</v>
      </c>
      <c r="AM380" s="10"/>
      <c r="AN380" s="10"/>
      <c r="AO380" s="10">
        <f>ROUND(AVERAGE(AO157:AO186),1)</f>
        <v>6</v>
      </c>
      <c r="AP380" s="10">
        <f>ROUND(AVERAGE(AP157:AP186),1)</f>
        <v>3.6</v>
      </c>
      <c r="AQ380" s="10">
        <f>ROUND(MIN(AP157:AP186),1)</f>
        <v>0</v>
      </c>
      <c r="AR380" s="11">
        <f>ROUND(AVERAGE(AQ157:AQ186),2)</f>
        <v>0.04</v>
      </c>
      <c r="AS380" s="11" t="e">
        <f>ROUND(MAX(AR156:AR185),2)</f>
        <v>#DIV/0!</v>
      </c>
      <c r="AT380" s="11"/>
      <c r="AU380" s="11"/>
      <c r="AW380" s="11"/>
      <c r="BA380" s="14">
        <f>BA187</f>
        <v>0</v>
      </c>
      <c r="BB380" s="10" t="e">
        <f t="shared" ref="BB380" si="194">ROUND(AVERAGE(BB157:BB186),1)</f>
        <v>#DIV/0!</v>
      </c>
    </row>
    <row r="381" spans="1:66" x14ac:dyDescent="0.2">
      <c r="A381" s="1" t="s">
        <v>72</v>
      </c>
      <c r="D381" s="1"/>
      <c r="E381" s="1"/>
      <c r="F381" s="1"/>
      <c r="G381" s="10" t="e">
        <f>ROUND(AVERAGE(G187:G217),1)</f>
        <v>#DIV/0!</v>
      </c>
      <c r="H381" s="1"/>
      <c r="I381" s="10"/>
      <c r="J381" s="1"/>
      <c r="K381" s="10" t="e">
        <f t="shared" ref="K381:L381" si="195">ROUND(AVERAGE(K187:K217),1)</f>
        <v>#DIV/0!</v>
      </c>
      <c r="L381" s="10" t="e">
        <f t="shared" si="195"/>
        <v>#DIV/0!</v>
      </c>
      <c r="M381" s="10" t="e">
        <f>ROUND(AVERAGE(M187:M217),1)</f>
        <v>#DIV/0!</v>
      </c>
      <c r="N381" s="10" t="e">
        <f>ROUND(AVERAGE(N187:N217),1)</f>
        <v>#DIV/0!</v>
      </c>
      <c r="O381" s="10">
        <f>ROUND(MAX(N187:N217),1)</f>
        <v>0</v>
      </c>
      <c r="P381" s="10"/>
      <c r="Q381" s="10"/>
      <c r="R381" s="10" t="e">
        <f>ROUND(AVERAGE(R187:R217),1)</f>
        <v>#DIV/0!</v>
      </c>
      <c r="S381" s="1"/>
      <c r="T381" s="10"/>
      <c r="U381" s="10" t="e">
        <f>ROUND(AVERAGE(U187:U217),1)</f>
        <v>#DIV/0!</v>
      </c>
      <c r="V381" s="10">
        <f>ROUND(MIN(U187:U217),1)</f>
        <v>0</v>
      </c>
      <c r="W381" s="10"/>
      <c r="X381" s="10"/>
      <c r="Y381" s="10" t="e">
        <f>ROUND(AVERAGE(Y187:Y217),1)</f>
        <v>#DIV/0!</v>
      </c>
      <c r="Z381" s="1"/>
      <c r="AA381" s="1"/>
      <c r="AB381" s="1"/>
      <c r="AC381" s="10" t="e">
        <f t="shared" ref="AC381:AE381" si="196">ROUND(AVERAGE(AC187:AC217),1)</f>
        <v>#DIV/0!</v>
      </c>
      <c r="AD381" s="10" t="e">
        <f t="shared" si="196"/>
        <v>#DIV/0!</v>
      </c>
      <c r="AE381" s="10" t="e">
        <f t="shared" si="196"/>
        <v>#DIV/0!</v>
      </c>
      <c r="AF381" s="10"/>
      <c r="AG381" s="10"/>
      <c r="AH381" s="10"/>
      <c r="AI381" s="10"/>
      <c r="AJ381" s="10"/>
      <c r="AK381" s="14">
        <f>AK217*1000</f>
        <v>0</v>
      </c>
      <c r="AL381" s="10" t="e">
        <f t="shared" ref="AL381" si="197">ROUND(AVERAGE(AL187:AL217),1)</f>
        <v>#DIV/0!</v>
      </c>
      <c r="AM381" s="10"/>
      <c r="AN381" s="10"/>
      <c r="AO381" s="10">
        <f>ROUND(AVERAGE(AO187:AO217),1)</f>
        <v>0</v>
      </c>
      <c r="AP381" s="10">
        <f>ROUND(AVERAGE(AP187:AP217),1)</f>
        <v>0</v>
      </c>
      <c r="AQ381" s="10">
        <f>ROUND(MIN(AP187:AP217),1)</f>
        <v>0</v>
      </c>
      <c r="AR381" s="11">
        <f>ROUND(AVERAGE(AQ187:AQ217),2)</f>
        <v>0</v>
      </c>
      <c r="AS381" s="11" t="e">
        <f>ROUND(MAX(AR186:AR216),2)</f>
        <v>#DIV/0!</v>
      </c>
      <c r="AT381" s="11"/>
      <c r="AU381" s="11"/>
      <c r="AW381" s="11"/>
      <c r="BA381" s="14">
        <f>BA217</f>
        <v>0</v>
      </c>
      <c r="BB381" s="10" t="e">
        <f t="shared" ref="BB381" si="198">ROUND(AVERAGE(BB187:BB217),1)</f>
        <v>#DIV/0!</v>
      </c>
    </row>
    <row r="382" spans="1:66" x14ac:dyDescent="0.2">
      <c r="A382" s="1" t="s">
        <v>73</v>
      </c>
      <c r="D382" s="1"/>
      <c r="E382" s="1"/>
      <c r="F382" s="1"/>
      <c r="G382" s="10" t="e">
        <f>ROUND(AVERAGE(G218:G248),1)</f>
        <v>#DIV/0!</v>
      </c>
      <c r="H382" s="1"/>
      <c r="I382" s="10"/>
      <c r="J382" s="1"/>
      <c r="K382" s="10" t="e">
        <f t="shared" ref="K382:L382" si="199">ROUND(AVERAGE(K218:K248),1)</f>
        <v>#DIV/0!</v>
      </c>
      <c r="L382" s="10" t="e">
        <f t="shared" si="199"/>
        <v>#DIV/0!</v>
      </c>
      <c r="M382" s="10" t="e">
        <f>ROUND(AVERAGE(M218:M248),1)</f>
        <v>#DIV/0!</v>
      </c>
      <c r="N382" s="10" t="e">
        <f>ROUND(AVERAGE(N218:N248),1)</f>
        <v>#DIV/0!</v>
      </c>
      <c r="O382" s="10">
        <f>ROUND(MAX(N218:N248),1)</f>
        <v>0</v>
      </c>
      <c r="P382" s="10"/>
      <c r="Q382" s="10"/>
      <c r="R382" s="10" t="e">
        <f>ROUND(AVERAGE(R218:R248),1)</f>
        <v>#DIV/0!</v>
      </c>
      <c r="S382" s="1"/>
      <c r="T382" s="10"/>
      <c r="U382" s="10" t="e">
        <f>ROUND(AVERAGE(U218:U248),1)</f>
        <v>#DIV/0!</v>
      </c>
      <c r="V382" s="10">
        <f>ROUND(MIN(U218:U248),1)</f>
        <v>0</v>
      </c>
      <c r="W382" s="10"/>
      <c r="X382" s="10"/>
      <c r="Y382" s="10" t="e">
        <f>ROUND(AVERAGE(Y218:Y248),1)</f>
        <v>#DIV/0!</v>
      </c>
      <c r="Z382" s="1"/>
      <c r="AA382" s="1"/>
      <c r="AB382" s="1"/>
      <c r="AC382" s="10" t="e">
        <f t="shared" ref="AC382:AE382" si="200">ROUND(AVERAGE(AC218:AC248),1)</f>
        <v>#DIV/0!</v>
      </c>
      <c r="AD382" s="10" t="e">
        <f t="shared" si="200"/>
        <v>#DIV/0!</v>
      </c>
      <c r="AE382" s="10" t="e">
        <f t="shared" si="200"/>
        <v>#DIV/0!</v>
      </c>
      <c r="AF382" s="10"/>
      <c r="AG382" s="10"/>
      <c r="AH382" s="10"/>
      <c r="AI382" s="10"/>
      <c r="AJ382" s="10"/>
      <c r="AK382" s="14">
        <f>AK248*1000</f>
        <v>0</v>
      </c>
      <c r="AL382" s="10" t="e">
        <f t="shared" ref="AL382" si="201">ROUND(AVERAGE(AL218:AL248),1)</f>
        <v>#DIV/0!</v>
      </c>
      <c r="AM382" s="10"/>
      <c r="AN382" s="10"/>
      <c r="AO382" s="10">
        <f>ROUND(AVERAGE(AO218:AO248),1)</f>
        <v>0</v>
      </c>
      <c r="AP382" s="10">
        <f>ROUND(AVERAGE(AP218:AP248),1)</f>
        <v>0</v>
      </c>
      <c r="AQ382" s="10">
        <f>ROUND(MIN(AP218:AP248),1)</f>
        <v>0</v>
      </c>
      <c r="AR382" s="11">
        <f>ROUND(AVERAGE(AQ218:AQ248),2)</f>
        <v>0</v>
      </c>
      <c r="AS382" s="11" t="e">
        <f>ROUND(MAX(AR217:AR247),2)</f>
        <v>#DIV/0!</v>
      </c>
      <c r="AT382" s="11"/>
      <c r="AU382" s="11"/>
      <c r="AW382" s="11"/>
      <c r="BA382" s="14">
        <f>BA248</f>
        <v>0</v>
      </c>
      <c r="BB382" s="10" t="e">
        <f t="shared" ref="BB382" si="202">ROUND(AVERAGE(BB218:BB248),1)</f>
        <v>#DIV/0!</v>
      </c>
    </row>
    <row r="383" spans="1:66" x14ac:dyDescent="0.2">
      <c r="A383" s="1" t="s">
        <v>74</v>
      </c>
      <c r="D383" s="1"/>
      <c r="E383" s="1"/>
      <c r="F383" s="1"/>
      <c r="G383" s="10" t="e">
        <f>ROUND(AVERAGE(G249:G278),1)</f>
        <v>#DIV/0!</v>
      </c>
      <c r="H383" s="1"/>
      <c r="I383" s="10"/>
      <c r="J383" s="1"/>
      <c r="K383" s="10" t="e">
        <f t="shared" ref="K383:L383" si="203">ROUND(AVERAGE(K249:K278),1)</f>
        <v>#DIV/0!</v>
      </c>
      <c r="L383" s="10" t="e">
        <f t="shared" si="203"/>
        <v>#DIV/0!</v>
      </c>
      <c r="M383" s="10" t="e">
        <f>ROUND(AVERAGE(M249:M278),1)</f>
        <v>#DIV/0!</v>
      </c>
      <c r="N383" s="10" t="e">
        <f>ROUND(AVERAGE(N249:N278),1)</f>
        <v>#DIV/0!</v>
      </c>
      <c r="O383" s="10">
        <f>ROUND(MAX(N249:N278),1)</f>
        <v>0</v>
      </c>
      <c r="P383" s="10"/>
      <c r="Q383" s="10"/>
      <c r="R383" s="10" t="e">
        <f>ROUND(AVERAGE(R249:R278),1)</f>
        <v>#DIV/0!</v>
      </c>
      <c r="S383" s="1"/>
      <c r="T383" s="10"/>
      <c r="U383" s="10" t="e">
        <f>ROUND(AVERAGE(U249:U278),1)</f>
        <v>#DIV/0!</v>
      </c>
      <c r="V383" s="10">
        <f>ROUND(MIN(U249:U278),1)</f>
        <v>0</v>
      </c>
      <c r="W383" s="10"/>
      <c r="X383" s="10"/>
      <c r="Y383" s="10" t="e">
        <f>ROUND(AVERAGE(Y249:Y278),1)</f>
        <v>#DIV/0!</v>
      </c>
      <c r="Z383" s="1"/>
      <c r="AA383" s="1"/>
      <c r="AB383" s="1"/>
      <c r="AC383" s="10" t="e">
        <f t="shared" ref="AC383:AE383" si="204">ROUND(AVERAGE(AC249:AC278),1)</f>
        <v>#DIV/0!</v>
      </c>
      <c r="AD383" s="10" t="e">
        <f t="shared" si="204"/>
        <v>#DIV/0!</v>
      </c>
      <c r="AE383" s="10" t="e">
        <f t="shared" si="204"/>
        <v>#DIV/0!</v>
      </c>
      <c r="AF383" s="10"/>
      <c r="AG383" s="10"/>
      <c r="AH383" s="10"/>
      <c r="AI383" s="10"/>
      <c r="AJ383" s="10"/>
      <c r="AK383" s="14">
        <f>AK278*1000</f>
        <v>0</v>
      </c>
      <c r="AL383" s="10" t="e">
        <f t="shared" ref="AL383" si="205">ROUND(AVERAGE(AL249:AL278),1)</f>
        <v>#DIV/0!</v>
      </c>
      <c r="AM383" s="10"/>
      <c r="AN383" s="10"/>
      <c r="AO383" s="10">
        <f>ROUND(AVERAGE(AO249:AO278),1)</f>
        <v>0</v>
      </c>
      <c r="AP383" s="10">
        <f>ROUND(AVERAGE(AP249:AP278),1)</f>
        <v>0</v>
      </c>
      <c r="AQ383" s="10">
        <f>ROUND(MIN(AP249:AP278),1)</f>
        <v>0</v>
      </c>
      <c r="AR383" s="11">
        <f>ROUND(AVERAGE(AQ249:AQ278),2)</f>
        <v>0</v>
      </c>
      <c r="AS383" s="11" t="e">
        <f>ROUND(MAX(AR248:AR277),2)</f>
        <v>#DIV/0!</v>
      </c>
      <c r="AT383" s="11"/>
      <c r="AU383" s="11"/>
      <c r="AW383" s="11"/>
      <c r="BA383" s="14">
        <f>BA278</f>
        <v>0</v>
      </c>
      <c r="BB383" s="10" t="e">
        <f t="shared" ref="BB383" si="206">ROUND(AVERAGE(BB249:BB278),1)</f>
        <v>#DIV/0!</v>
      </c>
    </row>
    <row r="384" spans="1:66" x14ac:dyDescent="0.2">
      <c r="A384" s="1" t="s">
        <v>75</v>
      </c>
      <c r="D384" s="1"/>
      <c r="E384" s="1"/>
      <c r="F384" s="1"/>
      <c r="G384" s="10" t="e">
        <f>ROUND(AVERAGE(G279:G309),1)</f>
        <v>#DIV/0!</v>
      </c>
      <c r="H384" s="1"/>
      <c r="I384" s="10"/>
      <c r="J384" s="1"/>
      <c r="K384" s="10" t="e">
        <f t="shared" ref="K384:L384" si="207">ROUND(AVERAGE(K279:K309),1)</f>
        <v>#DIV/0!</v>
      </c>
      <c r="L384" s="10" t="e">
        <f t="shared" si="207"/>
        <v>#DIV/0!</v>
      </c>
      <c r="M384" s="10" t="e">
        <f>ROUND(AVERAGE(M279:M309),1)</f>
        <v>#DIV/0!</v>
      </c>
      <c r="N384" s="10" t="e">
        <f>ROUND(AVERAGE(N279:N309),1)</f>
        <v>#DIV/0!</v>
      </c>
      <c r="O384" s="10">
        <f>ROUND(MAX(N279:N309),1)</f>
        <v>0</v>
      </c>
      <c r="P384" s="10"/>
      <c r="Q384" s="10"/>
      <c r="R384" s="10" t="e">
        <f>ROUND(AVERAGE(R279:R309),1)</f>
        <v>#DIV/0!</v>
      </c>
      <c r="S384" s="1"/>
      <c r="T384" s="10"/>
      <c r="U384" s="10" t="e">
        <f>ROUND(AVERAGE(U279:U309),1)</f>
        <v>#DIV/0!</v>
      </c>
      <c r="V384" s="10">
        <f>ROUND(MIN(U279:U309),1)</f>
        <v>0</v>
      </c>
      <c r="W384" s="10"/>
      <c r="X384" s="10"/>
      <c r="Y384" s="10" t="e">
        <f>ROUND(AVERAGE(Y279:Y309),1)</f>
        <v>#DIV/0!</v>
      </c>
      <c r="Z384" s="1"/>
      <c r="AA384" s="1"/>
      <c r="AB384" s="1"/>
      <c r="AC384" s="10" t="e">
        <f t="shared" ref="AC384:AE384" si="208">ROUND(AVERAGE(AC279:AC309),1)</f>
        <v>#DIV/0!</v>
      </c>
      <c r="AD384" s="10" t="e">
        <f t="shared" si="208"/>
        <v>#DIV/0!</v>
      </c>
      <c r="AE384" s="10" t="e">
        <f t="shared" si="208"/>
        <v>#DIV/0!</v>
      </c>
      <c r="AF384" s="10"/>
      <c r="AG384" s="10"/>
      <c r="AH384" s="10"/>
      <c r="AI384" s="10"/>
      <c r="AJ384" s="10"/>
      <c r="AK384" s="14">
        <f>AK309*1000</f>
        <v>0</v>
      </c>
      <c r="AL384" s="10" t="e">
        <f t="shared" ref="AL384" si="209">ROUND(AVERAGE(AL279:AL309),1)</f>
        <v>#DIV/0!</v>
      </c>
      <c r="AM384" s="10"/>
      <c r="AN384" s="10"/>
      <c r="AO384" s="10">
        <f>ROUND(AVERAGE(AO279:AO309),1)</f>
        <v>0</v>
      </c>
      <c r="AP384" s="10">
        <f>ROUND(AVERAGE(AP279:AP309),1)</f>
        <v>0</v>
      </c>
      <c r="AQ384" s="10">
        <f>ROUND(MIN(AP279:AP309),1)</f>
        <v>0</v>
      </c>
      <c r="AR384" s="11">
        <f>ROUND(AVERAGE(AQ279:AQ309),2)</f>
        <v>0</v>
      </c>
      <c r="AS384" s="24" t="e">
        <f>ROUND(MAX(AR278:AR308),2)</f>
        <v>#DIV/0!</v>
      </c>
      <c r="AT384" s="11"/>
      <c r="AU384" s="11"/>
      <c r="AW384" s="11"/>
      <c r="BA384" s="14">
        <f>BA309</f>
        <v>0</v>
      </c>
      <c r="BB384" s="10" t="e">
        <f t="shared" ref="BB384" si="210">ROUND(AVERAGE(BB279:BB309),1)</f>
        <v>#DIV/0!</v>
      </c>
    </row>
    <row r="385" spans="1:54" x14ac:dyDescent="0.2">
      <c r="A385" s="1" t="s">
        <v>76</v>
      </c>
      <c r="D385" s="1"/>
      <c r="E385" s="1"/>
      <c r="F385" s="1"/>
      <c r="G385" s="12" t="e">
        <f>ROUND(AVERAGE(G310:G339),1)</f>
        <v>#DIV/0!</v>
      </c>
      <c r="H385" s="1"/>
      <c r="I385" s="12"/>
      <c r="J385" s="1"/>
      <c r="K385" s="12" t="e">
        <f t="shared" ref="K385:L385" si="211">ROUND(AVERAGE(K310:K339),1)</f>
        <v>#DIV/0!</v>
      </c>
      <c r="L385" s="12" t="e">
        <f t="shared" si="211"/>
        <v>#DIV/0!</v>
      </c>
      <c r="M385" s="12" t="e">
        <f>ROUND(AVERAGE(M310:M339),1)</f>
        <v>#DIV/0!</v>
      </c>
      <c r="N385" s="12" t="e">
        <f>ROUND(AVERAGE(N310:N339),1)</f>
        <v>#DIV/0!</v>
      </c>
      <c r="O385" s="10">
        <f>ROUND(MAX(N310:N339),1)</f>
        <v>0</v>
      </c>
      <c r="P385" s="12"/>
      <c r="Q385" s="10"/>
      <c r="R385" s="12" t="e">
        <f>ROUND(AVERAGE(R310:R339),1)</f>
        <v>#DIV/0!</v>
      </c>
      <c r="S385" s="1"/>
      <c r="T385" s="12"/>
      <c r="U385" s="12" t="e">
        <f>ROUND(AVERAGE(U310:U339),1)</f>
        <v>#DIV/0!</v>
      </c>
      <c r="V385" s="10">
        <f>ROUND(MIN(U310:U339),1)</f>
        <v>0</v>
      </c>
      <c r="W385" s="12"/>
      <c r="X385" s="10"/>
      <c r="Y385" s="12" t="e">
        <f>ROUND(AVERAGE(Y310:Y339),1)</f>
        <v>#DIV/0!</v>
      </c>
      <c r="Z385" s="1"/>
      <c r="AA385" s="1"/>
      <c r="AB385" s="1"/>
      <c r="AC385" s="12" t="e">
        <f t="shared" ref="AC385:AE385" si="212">ROUND(AVERAGE(AC310:AC339),1)</f>
        <v>#DIV/0!</v>
      </c>
      <c r="AD385" s="12" t="e">
        <f t="shared" si="212"/>
        <v>#DIV/0!</v>
      </c>
      <c r="AE385" s="12" t="e">
        <f t="shared" si="212"/>
        <v>#DIV/0!</v>
      </c>
      <c r="AF385" s="10"/>
      <c r="AG385" s="10"/>
      <c r="AH385" s="10"/>
      <c r="AI385" s="10"/>
      <c r="AJ385" s="10"/>
      <c r="AK385" s="14">
        <f>AK339*1000</f>
        <v>0</v>
      </c>
      <c r="AL385" s="12" t="e">
        <f t="shared" ref="AL385" si="213">ROUND(AVERAGE(AL310:AL339),1)</f>
        <v>#DIV/0!</v>
      </c>
      <c r="AM385" s="12"/>
      <c r="AN385" s="12"/>
      <c r="AO385" s="12">
        <f>ROUND(AVERAGE(AO310:AO339),1)</f>
        <v>0</v>
      </c>
      <c r="AP385" s="12">
        <f>ROUND(AVERAGE(AP310:AP339),1)</f>
        <v>0</v>
      </c>
      <c r="AQ385" s="10">
        <f>ROUND(MIN(AP310:AP339),1)</f>
        <v>0</v>
      </c>
      <c r="AR385" s="13">
        <f>ROUND(AVERAGE(AQ310:AQ339),2)</f>
        <v>0</v>
      </c>
      <c r="AS385" s="11" t="e">
        <f>ROUND(MAX(AR309:AR338),2)</f>
        <v>#DIV/0!</v>
      </c>
      <c r="AT385" s="13"/>
      <c r="AU385" s="13"/>
      <c r="AW385" s="13"/>
      <c r="BA385" s="14">
        <f>BA339</f>
        <v>0</v>
      </c>
      <c r="BB385" s="12" t="e">
        <f t="shared" ref="BB385" si="214">ROUND(AVERAGE(BB310:BB339),1)</f>
        <v>#DIV/0!</v>
      </c>
    </row>
    <row r="386" spans="1:54" x14ac:dyDescent="0.2">
      <c r="A386" s="1" t="s">
        <v>77</v>
      </c>
      <c r="D386" s="1"/>
      <c r="E386" s="1"/>
      <c r="F386" s="1"/>
      <c r="G386" s="10" t="e">
        <f>ROUND(AVERAGE(G340:G370),1)</f>
        <v>#DIV/0!</v>
      </c>
      <c r="H386" s="1"/>
      <c r="I386" s="10"/>
      <c r="J386" s="1"/>
      <c r="K386" s="10" t="e">
        <f t="shared" ref="K386:L386" si="215">ROUND(AVERAGE(K340:K370),1)</f>
        <v>#DIV/0!</v>
      </c>
      <c r="L386" s="10" t="e">
        <f t="shared" si="215"/>
        <v>#DIV/0!</v>
      </c>
      <c r="M386" s="10" t="e">
        <f>ROUND(AVERAGE(M340:M370),1)</f>
        <v>#DIV/0!</v>
      </c>
      <c r="N386" s="10" t="e">
        <f>ROUND(AVERAGE(N340:N370),1)</f>
        <v>#DIV/0!</v>
      </c>
      <c r="O386" s="10">
        <f>ROUND(MAX(N340:N370),1)</f>
        <v>0</v>
      </c>
      <c r="P386" s="10"/>
      <c r="Q386" s="10"/>
      <c r="R386" s="10" t="e">
        <f>ROUND(AVERAGE(R340:R370),1)</f>
        <v>#DIV/0!</v>
      </c>
      <c r="S386" s="1"/>
      <c r="T386" s="10"/>
      <c r="U386" s="10" t="e">
        <f>ROUND(AVERAGE(U340:U370),1)</f>
        <v>#DIV/0!</v>
      </c>
      <c r="V386" s="10">
        <f>ROUND(MIN(U340:U370),1)</f>
        <v>0</v>
      </c>
      <c r="W386" s="10"/>
      <c r="X386" s="10"/>
      <c r="Y386" s="10" t="e">
        <f>ROUND(AVERAGE(Y340:Y370),1)</f>
        <v>#DIV/0!</v>
      </c>
      <c r="Z386" s="1"/>
      <c r="AA386" s="1"/>
      <c r="AB386" s="1"/>
      <c r="AC386" s="10" t="e">
        <f t="shared" ref="AC386:AE386" si="216">ROUND(AVERAGE(AC340:AC370),1)</f>
        <v>#DIV/0!</v>
      </c>
      <c r="AD386" s="10" t="e">
        <f t="shared" si="216"/>
        <v>#DIV/0!</v>
      </c>
      <c r="AE386" s="10" t="e">
        <f t="shared" si="216"/>
        <v>#DIV/0!</v>
      </c>
      <c r="AF386" s="10"/>
      <c r="AG386" s="10"/>
      <c r="AH386" s="10"/>
      <c r="AI386" s="10"/>
      <c r="AJ386" s="10"/>
      <c r="AK386" s="14">
        <f>AK370*1000</f>
        <v>0</v>
      </c>
      <c r="AL386" s="10" t="e">
        <f t="shared" ref="AL386" si="217">ROUND(AVERAGE(AL340:AL370),1)</f>
        <v>#DIV/0!</v>
      </c>
      <c r="AM386" s="10"/>
      <c r="AN386" s="10"/>
      <c r="AO386" s="10">
        <f>ROUND(AVERAGE(AO340:AO370),1)</f>
        <v>0</v>
      </c>
      <c r="AP386" s="10">
        <f>ROUND(AVERAGE(AP340:AP370),1)</f>
        <v>0</v>
      </c>
      <c r="AQ386" s="10">
        <f>ROUND(MIN(AP340:AP370),1)</f>
        <v>0</v>
      </c>
      <c r="AR386" s="11">
        <f>ROUND(AVERAGE(AQ340:AQ370),2)</f>
        <v>0</v>
      </c>
      <c r="AS386" s="11" t="e">
        <f>ROUND(MAX(AR339:AR369),2)</f>
        <v>#DIV/0!</v>
      </c>
      <c r="AT386" s="11"/>
      <c r="AU386" s="11"/>
      <c r="AW386" s="11"/>
      <c r="BA386" s="14">
        <f>BA370</f>
        <v>0</v>
      </c>
      <c r="BB386" s="10" t="e">
        <f t="shared" ref="BB386" si="218">ROUND(AVERAGE(BB340:BB370),1)</f>
        <v>#DIV/0!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66</v>
      </c>
      <c r="C390" s="14"/>
      <c r="D390" s="14"/>
      <c r="E390" s="1"/>
      <c r="F390" s="14"/>
      <c r="G390" s="14">
        <f>COUNT(G6:G36)</f>
        <v>31</v>
      </c>
      <c r="H390" s="14"/>
      <c r="I390" s="14"/>
      <c r="J390" s="1"/>
      <c r="K390" s="14">
        <f>COUNT(K6:K36)</f>
        <v>31</v>
      </c>
      <c r="L390" s="14">
        <f>COUNT(L6:L36)</f>
        <v>31</v>
      </c>
      <c r="M390" s="14">
        <f>COUNT(M6:M36)</f>
        <v>31</v>
      </c>
      <c r="N390" s="14">
        <f>COUNT(N6:N36)</f>
        <v>31</v>
      </c>
      <c r="O390" s="14">
        <f>COUNT(O6:O36)</f>
        <v>31</v>
      </c>
      <c r="P390" s="14"/>
      <c r="Q390" s="14"/>
      <c r="R390" s="14">
        <f>COUNT(R6:R36)</f>
        <v>31</v>
      </c>
      <c r="S390" s="14"/>
      <c r="T390" s="14"/>
      <c r="U390" s="14">
        <f>COUNT(U6:U36)</f>
        <v>31</v>
      </c>
      <c r="V390" s="14">
        <f>COUNT(V6:V36)</f>
        <v>31</v>
      </c>
      <c r="W390" s="14"/>
      <c r="X390" s="14"/>
      <c r="Y390" s="14">
        <f>COUNT(Y6:Y36)</f>
        <v>31</v>
      </c>
      <c r="Z390" s="14"/>
      <c r="AA390" s="15"/>
      <c r="AB390" s="14"/>
      <c r="AC390" s="14">
        <f>COUNT(AC6:AC36)</f>
        <v>31</v>
      </c>
      <c r="AD390" s="14">
        <f>COUNT(AD6:AD36)</f>
        <v>31</v>
      </c>
      <c r="AE390" s="14">
        <f>COUNT(AE6:AE36)</f>
        <v>31</v>
      </c>
      <c r="AF390" s="14"/>
      <c r="AG390" s="14"/>
      <c r="AH390" s="14"/>
      <c r="AI390" s="14"/>
      <c r="AJ390" s="14"/>
      <c r="AK390" s="14">
        <f>COUNT(AK6:AK36)</f>
        <v>31</v>
      </c>
      <c r="AL390" s="14">
        <f>COUNT(AL6:AL36)</f>
        <v>31</v>
      </c>
      <c r="AM390" s="14"/>
      <c r="AN390" s="14"/>
      <c r="AO390" s="14">
        <f>COUNT(AO6:AO36)</f>
        <v>31</v>
      </c>
      <c r="AP390" s="14">
        <f>COUNT(AP6:AP36)</f>
        <v>31</v>
      </c>
      <c r="AQ390" s="15"/>
      <c r="AR390" s="15"/>
      <c r="AS390" s="15"/>
      <c r="AT390" s="15"/>
      <c r="AU390" s="15"/>
      <c r="AW390" s="15"/>
      <c r="BA390" s="14">
        <f>COUNT(BA6:BA36)</f>
        <v>31</v>
      </c>
      <c r="BB390" s="14">
        <f>COUNT(BB6:BB36)</f>
        <v>31</v>
      </c>
    </row>
    <row r="391" spans="1:54" ht="15" x14ac:dyDescent="0.25">
      <c r="A391" s="1" t="s">
        <v>67</v>
      </c>
      <c r="C391" s="14"/>
      <c r="D391" s="14"/>
      <c r="E391" s="1"/>
      <c r="F391" s="14"/>
      <c r="G391" s="14">
        <f>COUNT(G37:G64)</f>
        <v>28</v>
      </c>
      <c r="H391" s="14"/>
      <c r="I391" s="14"/>
      <c r="J391" s="1"/>
      <c r="K391" s="14">
        <f>COUNT(K37:K64)</f>
        <v>28</v>
      </c>
      <c r="L391" s="14">
        <f>COUNT(L37:L64)</f>
        <v>28</v>
      </c>
      <c r="M391" s="14">
        <f>COUNT(M37:M64)</f>
        <v>28</v>
      </c>
      <c r="N391" s="14">
        <f>COUNT(N37:N64)</f>
        <v>28</v>
      </c>
      <c r="O391" s="14">
        <f>COUNT(O37:O64)</f>
        <v>28</v>
      </c>
      <c r="P391" s="14"/>
      <c r="Q391" s="14"/>
      <c r="R391" s="14">
        <f>COUNT(R37:R64)</f>
        <v>28</v>
      </c>
      <c r="S391" s="14"/>
      <c r="T391" s="14"/>
      <c r="U391" s="14">
        <f>COUNT(U37:U64)</f>
        <v>28</v>
      </c>
      <c r="V391" s="14">
        <f>COUNT(V37:V64)</f>
        <v>28</v>
      </c>
      <c r="W391" s="14"/>
      <c r="X391" s="14"/>
      <c r="Y391" s="14">
        <f>COUNT(Y37:Y64)</f>
        <v>28</v>
      </c>
      <c r="Z391" s="14"/>
      <c r="AA391" s="15"/>
      <c r="AB391" s="14"/>
      <c r="AC391" s="14">
        <f>COUNT(AC37:AC64)</f>
        <v>28</v>
      </c>
      <c r="AD391" s="14">
        <f>COUNT(AD37:AD64)</f>
        <v>28</v>
      </c>
      <c r="AE391" s="14">
        <f>COUNT(AE37:AE64)</f>
        <v>28</v>
      </c>
      <c r="AF391" s="14"/>
      <c r="AG391" s="14"/>
      <c r="AH391" s="14"/>
      <c r="AI391" s="14"/>
      <c r="AJ391" s="14"/>
      <c r="AK391" s="14">
        <f>COUNT(AK37:AK64)</f>
        <v>28</v>
      </c>
      <c r="AL391" s="14">
        <f>COUNT(AL37:AL64)</f>
        <v>28</v>
      </c>
      <c r="AM391" s="14"/>
      <c r="AN391" s="14"/>
      <c r="AO391" s="14">
        <f>COUNT(AO37:AO64)</f>
        <v>28</v>
      </c>
      <c r="AP391" s="14">
        <f>COUNT(AP37:AP64)</f>
        <v>28</v>
      </c>
      <c r="AQ391" s="15"/>
      <c r="AR391" s="15"/>
      <c r="AS391" s="15"/>
      <c r="AT391" s="15"/>
      <c r="AU391" s="15"/>
      <c r="AW391" s="15"/>
      <c r="BA391" s="14">
        <f>COUNT(BA37:BA64)</f>
        <v>28</v>
      </c>
      <c r="BB391" s="14">
        <f>COUNT(BB37:BB64)</f>
        <v>28</v>
      </c>
    </row>
    <row r="392" spans="1:54" ht="15" x14ac:dyDescent="0.25">
      <c r="A392" s="1" t="s">
        <v>68</v>
      </c>
      <c r="C392" s="14"/>
      <c r="D392" s="14"/>
      <c r="E392" s="1"/>
      <c r="F392" s="14"/>
      <c r="G392" s="14">
        <f t="shared" ref="G392" si="219">COUNT(G65:G95)</f>
        <v>31</v>
      </c>
      <c r="H392" s="14"/>
      <c r="I392" s="14"/>
      <c r="J392" s="1"/>
      <c r="K392" s="14">
        <f t="shared" ref="K392:O392" si="220">COUNT(K65:K95)</f>
        <v>31</v>
      </c>
      <c r="L392" s="14">
        <f t="shared" si="220"/>
        <v>31</v>
      </c>
      <c r="M392" s="14">
        <f t="shared" si="220"/>
        <v>31</v>
      </c>
      <c r="N392" s="14">
        <f t="shared" si="220"/>
        <v>31</v>
      </c>
      <c r="O392" s="14">
        <f t="shared" si="220"/>
        <v>31</v>
      </c>
      <c r="P392" s="14"/>
      <c r="Q392" s="14"/>
      <c r="R392" s="14">
        <f t="shared" ref="R392" si="221">COUNT(R65:R95)</f>
        <v>31</v>
      </c>
      <c r="S392" s="14"/>
      <c r="T392" s="14"/>
      <c r="U392" s="14">
        <f t="shared" ref="U392:V392" si="222">COUNT(U65:U95)</f>
        <v>31</v>
      </c>
      <c r="V392" s="14">
        <f t="shared" si="222"/>
        <v>31</v>
      </c>
      <c r="W392" s="14"/>
      <c r="X392" s="14"/>
      <c r="Y392" s="14">
        <f t="shared" ref="Y392" si="223">COUNT(Y65:Y95)</f>
        <v>31</v>
      </c>
      <c r="Z392" s="14"/>
      <c r="AA392" s="15"/>
      <c r="AB392" s="14"/>
      <c r="AC392" s="14">
        <f t="shared" ref="AC392:AE392" si="224">COUNT(AC65:AC95)</f>
        <v>31</v>
      </c>
      <c r="AD392" s="14">
        <f t="shared" si="224"/>
        <v>31</v>
      </c>
      <c r="AE392" s="14">
        <f t="shared" si="224"/>
        <v>31</v>
      </c>
      <c r="AF392" s="14"/>
      <c r="AG392" s="14"/>
      <c r="AH392" s="14"/>
      <c r="AI392" s="14"/>
      <c r="AJ392" s="14"/>
      <c r="AK392" s="14">
        <f t="shared" ref="AK392:AL392" si="225">COUNT(AK65:AK95)</f>
        <v>31</v>
      </c>
      <c r="AL392" s="14">
        <f t="shared" si="225"/>
        <v>31</v>
      </c>
      <c r="AM392" s="14"/>
      <c r="AN392" s="14"/>
      <c r="AO392" s="14">
        <f t="shared" ref="AO392:AP392" si="226">COUNT(AO65:AO95)</f>
        <v>31</v>
      </c>
      <c r="AP392" s="14">
        <f t="shared" si="226"/>
        <v>31</v>
      </c>
      <c r="AQ392" s="15"/>
      <c r="AR392" s="15"/>
      <c r="AS392" s="15"/>
      <c r="AT392" s="15"/>
      <c r="AU392" s="15"/>
      <c r="AW392" s="15"/>
      <c r="BA392" s="14">
        <f t="shared" ref="BA392:BB392" si="227">COUNT(BA65:BA95)</f>
        <v>31</v>
      </c>
      <c r="BB392" s="14">
        <f t="shared" si="227"/>
        <v>31</v>
      </c>
    </row>
    <row r="393" spans="1:54" ht="15" x14ac:dyDescent="0.25">
      <c r="A393" s="1" t="s">
        <v>69</v>
      </c>
      <c r="C393" s="14"/>
      <c r="D393" s="14"/>
      <c r="E393" s="1"/>
      <c r="F393" s="14"/>
      <c r="G393" s="14">
        <f t="shared" ref="G393" si="228">COUNT(G96:G125)</f>
        <v>30</v>
      </c>
      <c r="H393" s="14"/>
      <c r="I393" s="14"/>
      <c r="J393" s="1"/>
      <c r="K393" s="14">
        <f t="shared" ref="K393:O393" si="229">COUNT(K96:K125)</f>
        <v>30</v>
      </c>
      <c r="L393" s="14">
        <f t="shared" si="229"/>
        <v>30</v>
      </c>
      <c r="M393" s="14">
        <f t="shared" si="229"/>
        <v>30</v>
      </c>
      <c r="N393" s="14">
        <f t="shared" si="229"/>
        <v>30</v>
      </c>
      <c r="O393" s="14">
        <f t="shared" si="229"/>
        <v>30</v>
      </c>
      <c r="P393" s="14"/>
      <c r="Q393" s="14"/>
      <c r="R393" s="14">
        <f t="shared" ref="R393" si="230">COUNT(R96:R125)</f>
        <v>30</v>
      </c>
      <c r="S393" s="14"/>
      <c r="T393" s="14"/>
      <c r="U393" s="14">
        <f t="shared" ref="U393:V393" si="231">COUNT(U96:U125)</f>
        <v>30</v>
      </c>
      <c r="V393" s="14">
        <f t="shared" si="231"/>
        <v>30</v>
      </c>
      <c r="W393" s="14"/>
      <c r="X393" s="14"/>
      <c r="Y393" s="14">
        <f t="shared" ref="Y393" si="232">COUNT(Y96:Y125)</f>
        <v>30</v>
      </c>
      <c r="Z393" s="14"/>
      <c r="AA393" s="15"/>
      <c r="AB393" s="14"/>
      <c r="AC393" s="14">
        <f t="shared" ref="AC393:AE393" si="233">COUNT(AC96:AC125)</f>
        <v>30</v>
      </c>
      <c r="AD393" s="14">
        <f t="shared" si="233"/>
        <v>30</v>
      </c>
      <c r="AE393" s="14">
        <f t="shared" si="233"/>
        <v>30</v>
      </c>
      <c r="AF393" s="14"/>
      <c r="AG393" s="14"/>
      <c r="AH393" s="14"/>
      <c r="AI393" s="14"/>
      <c r="AJ393" s="14"/>
      <c r="AK393" s="14">
        <f t="shared" ref="AK393:AL393" si="234">COUNT(AK96:AK125)</f>
        <v>30</v>
      </c>
      <c r="AL393" s="14">
        <f t="shared" si="234"/>
        <v>30</v>
      </c>
      <c r="AM393" s="14"/>
      <c r="AN393" s="14"/>
      <c r="AO393" s="14">
        <f t="shared" ref="AO393:AP393" si="235">COUNT(AO96:AO125)</f>
        <v>30</v>
      </c>
      <c r="AP393" s="14">
        <f t="shared" si="235"/>
        <v>30</v>
      </c>
      <c r="AQ393" s="15"/>
      <c r="AR393" s="15"/>
      <c r="AS393" s="15"/>
      <c r="AT393" s="15"/>
      <c r="AU393" s="15"/>
      <c r="AW393" s="15"/>
      <c r="BA393" s="14">
        <f t="shared" ref="BA393:BB393" si="236">COUNT(BA96:BA125)</f>
        <v>30</v>
      </c>
      <c r="BB393" s="14">
        <f t="shared" si="236"/>
        <v>30</v>
      </c>
    </row>
    <row r="394" spans="1:54" ht="15" x14ac:dyDescent="0.25">
      <c r="A394" s="1" t="s">
        <v>70</v>
      </c>
      <c r="C394" s="14"/>
      <c r="D394" s="14"/>
      <c r="E394" s="1"/>
      <c r="F394" s="14"/>
      <c r="G394" s="14">
        <f t="shared" ref="G394" si="237">COUNT(G126:G156)</f>
        <v>31</v>
      </c>
      <c r="H394" s="14"/>
      <c r="I394" s="14"/>
      <c r="J394" s="1"/>
      <c r="K394" s="14">
        <f t="shared" ref="K394:O394" si="238">COUNT(K126:K156)</f>
        <v>31</v>
      </c>
      <c r="L394" s="14">
        <f t="shared" si="238"/>
        <v>31</v>
      </c>
      <c r="M394" s="14">
        <f t="shared" si="238"/>
        <v>31</v>
      </c>
      <c r="N394" s="14">
        <f t="shared" si="238"/>
        <v>31</v>
      </c>
      <c r="O394" s="14">
        <f t="shared" si="238"/>
        <v>31</v>
      </c>
      <c r="P394" s="14"/>
      <c r="Q394" s="14"/>
      <c r="R394" s="14">
        <f t="shared" ref="R394" si="239">COUNT(R126:R156)</f>
        <v>31</v>
      </c>
      <c r="S394" s="14"/>
      <c r="T394" s="14"/>
      <c r="U394" s="14">
        <f t="shared" ref="U394:V394" si="240">COUNT(U126:U156)</f>
        <v>31</v>
      </c>
      <c r="V394" s="14">
        <f t="shared" si="240"/>
        <v>31</v>
      </c>
      <c r="W394" s="14"/>
      <c r="X394" s="14"/>
      <c r="Y394" s="14">
        <f t="shared" ref="Y394" si="241">COUNT(Y126:Y156)</f>
        <v>31</v>
      </c>
      <c r="Z394" s="14"/>
      <c r="AA394" s="15"/>
      <c r="AB394" s="14"/>
      <c r="AC394" s="14">
        <f t="shared" ref="AC394:AE394" si="242">COUNT(AC126:AC156)</f>
        <v>31</v>
      </c>
      <c r="AD394" s="14">
        <f t="shared" si="242"/>
        <v>31</v>
      </c>
      <c r="AE394" s="14">
        <f t="shared" si="242"/>
        <v>31</v>
      </c>
      <c r="AF394" s="14"/>
      <c r="AG394" s="14"/>
      <c r="AH394" s="14"/>
      <c r="AI394" s="14"/>
      <c r="AJ394" s="14"/>
      <c r="AK394" s="14">
        <f t="shared" ref="AK394:AL394" si="243">COUNT(AK126:AK156)</f>
        <v>31</v>
      </c>
      <c r="AL394" s="14">
        <f t="shared" si="243"/>
        <v>26</v>
      </c>
      <c r="AM394" s="14"/>
      <c r="AN394" s="14"/>
      <c r="AO394" s="14">
        <f t="shared" ref="AO394:AP394" si="244">COUNT(AO126:AO156)</f>
        <v>31</v>
      </c>
      <c r="AP394" s="14">
        <f t="shared" si="244"/>
        <v>31</v>
      </c>
      <c r="AQ394" s="15"/>
      <c r="AR394" s="15"/>
      <c r="AS394" s="15"/>
      <c r="AT394" s="15"/>
      <c r="AU394" s="15"/>
      <c r="AW394" s="15"/>
      <c r="BA394" s="14">
        <f t="shared" ref="BA394:BB394" si="245">COUNT(BA126:BA156)</f>
        <v>31</v>
      </c>
      <c r="BB394" s="14">
        <f t="shared" si="245"/>
        <v>26</v>
      </c>
    </row>
    <row r="395" spans="1:54" ht="15" x14ac:dyDescent="0.25">
      <c r="A395" s="1" t="s">
        <v>71</v>
      </c>
      <c r="C395" s="14"/>
      <c r="D395" s="14"/>
      <c r="E395" s="1"/>
      <c r="F395" s="14"/>
      <c r="G395" s="14">
        <f t="shared" ref="G395" si="246">COUNT(G157:G186)</f>
        <v>3</v>
      </c>
      <c r="H395" s="14"/>
      <c r="I395" s="14"/>
      <c r="J395" s="1"/>
      <c r="K395" s="14">
        <f t="shared" ref="K395:O395" si="247">COUNT(K157:K186)</f>
        <v>3</v>
      </c>
      <c r="L395" s="14">
        <f t="shared" si="247"/>
        <v>3</v>
      </c>
      <c r="M395" s="14">
        <f t="shared" si="247"/>
        <v>3</v>
      </c>
      <c r="N395" s="14">
        <f t="shared" si="247"/>
        <v>3</v>
      </c>
      <c r="O395" s="14">
        <f t="shared" si="247"/>
        <v>3</v>
      </c>
      <c r="P395" s="14"/>
      <c r="Q395" s="14"/>
      <c r="R395" s="14">
        <f t="shared" ref="R395" si="248">COUNT(R157:R186)</f>
        <v>3</v>
      </c>
      <c r="S395" s="14"/>
      <c r="T395" s="14"/>
      <c r="U395" s="14">
        <f t="shared" ref="U395:V395" si="249">COUNT(U157:U186)</f>
        <v>3</v>
      </c>
      <c r="V395" s="14">
        <f t="shared" si="249"/>
        <v>3</v>
      </c>
      <c r="W395" s="14"/>
      <c r="X395" s="14"/>
      <c r="Y395" s="14">
        <f t="shared" ref="Y395" si="250">COUNT(Y157:Y186)</f>
        <v>3</v>
      </c>
      <c r="Z395" s="14"/>
      <c r="AA395" s="15"/>
      <c r="AB395" s="14"/>
      <c r="AC395" s="14">
        <f t="shared" ref="AC395:AE395" si="251">COUNT(AC157:AC186)</f>
        <v>3</v>
      </c>
      <c r="AD395" s="14">
        <f t="shared" si="251"/>
        <v>3</v>
      </c>
      <c r="AE395" s="14">
        <f t="shared" si="251"/>
        <v>3</v>
      </c>
      <c r="AF395" s="14"/>
      <c r="AG395" s="14"/>
      <c r="AH395" s="14"/>
      <c r="AI395" s="14"/>
      <c r="AJ395" s="14"/>
      <c r="AK395" s="14">
        <f t="shared" ref="AK395:AL395" si="252">COUNT(AK157:AK186)</f>
        <v>3</v>
      </c>
      <c r="AL395" s="14">
        <f t="shared" si="252"/>
        <v>0</v>
      </c>
      <c r="AM395" s="14"/>
      <c r="AN395" s="14"/>
      <c r="AO395" s="14">
        <f t="shared" ref="AO395:AP395" si="253">COUNT(AO157:AO186)</f>
        <v>30</v>
      </c>
      <c r="AP395" s="14">
        <f t="shared" si="253"/>
        <v>30</v>
      </c>
      <c r="AQ395" s="15"/>
      <c r="AR395" s="15"/>
      <c r="AS395" s="15"/>
      <c r="AT395" s="15"/>
      <c r="AU395" s="15"/>
      <c r="AW395" s="15"/>
      <c r="BA395" s="14">
        <f t="shared" ref="BA395:BB395" si="254">COUNT(BA157:BA186)</f>
        <v>30</v>
      </c>
      <c r="BB395" s="14">
        <f t="shared" si="254"/>
        <v>0</v>
      </c>
    </row>
    <row r="396" spans="1:54" ht="15" x14ac:dyDescent="0.25">
      <c r="A396" s="1" t="s">
        <v>72</v>
      </c>
      <c r="C396" s="14"/>
      <c r="D396" s="14"/>
      <c r="E396" s="1"/>
      <c r="F396" s="14"/>
      <c r="G396" s="14">
        <f t="shared" ref="G396" si="255">COUNT(G187:G217)</f>
        <v>0</v>
      </c>
      <c r="H396" s="14"/>
      <c r="I396" s="14"/>
      <c r="J396" s="1"/>
      <c r="K396" s="14">
        <f t="shared" ref="K396:O396" si="256">COUNT(K187:K217)</f>
        <v>0</v>
      </c>
      <c r="L396" s="14">
        <f t="shared" si="256"/>
        <v>0</v>
      </c>
      <c r="M396" s="14">
        <f t="shared" si="256"/>
        <v>0</v>
      </c>
      <c r="N396" s="14">
        <f t="shared" si="256"/>
        <v>0</v>
      </c>
      <c r="O396" s="14">
        <f t="shared" si="256"/>
        <v>0</v>
      </c>
      <c r="P396" s="14"/>
      <c r="Q396" s="14"/>
      <c r="R396" s="14">
        <f t="shared" ref="R396" si="257">COUNT(R187:R217)</f>
        <v>0</v>
      </c>
      <c r="S396" s="14"/>
      <c r="T396" s="14"/>
      <c r="U396" s="14">
        <f t="shared" ref="U396:V396" si="258">COUNT(U187:U217)</f>
        <v>0</v>
      </c>
      <c r="V396" s="14">
        <f t="shared" si="258"/>
        <v>0</v>
      </c>
      <c r="W396" s="14"/>
      <c r="X396" s="14"/>
      <c r="Y396" s="14">
        <f t="shared" ref="Y396" si="259">COUNT(Y187:Y217)</f>
        <v>0</v>
      </c>
      <c r="Z396" s="14"/>
      <c r="AA396" s="15"/>
      <c r="AB396" s="14"/>
      <c r="AC396" s="14">
        <f t="shared" ref="AC396:AE396" si="260">COUNT(AC187:AC217)</f>
        <v>0</v>
      </c>
      <c r="AD396" s="14">
        <f t="shared" si="260"/>
        <v>0</v>
      </c>
      <c r="AE396" s="14">
        <f t="shared" si="260"/>
        <v>0</v>
      </c>
      <c r="AF396" s="14"/>
      <c r="AG396" s="14"/>
      <c r="AH396" s="14"/>
      <c r="AI396" s="14"/>
      <c r="AJ396" s="14"/>
      <c r="AK396" s="14">
        <f t="shared" ref="AK396:AL396" si="261">COUNT(AK187:AK217)</f>
        <v>0</v>
      </c>
      <c r="AL396" s="14">
        <f t="shared" si="261"/>
        <v>0</v>
      </c>
      <c r="AM396" s="14"/>
      <c r="AN396" s="14"/>
      <c r="AO396" s="14">
        <f t="shared" ref="AO396:AP396" si="262">COUNT(AO187:AO217)</f>
        <v>31</v>
      </c>
      <c r="AP396" s="14">
        <f t="shared" si="262"/>
        <v>31</v>
      </c>
      <c r="AQ396" s="15"/>
      <c r="AR396" s="15"/>
      <c r="AS396" s="15"/>
      <c r="AT396" s="15"/>
      <c r="AU396" s="15"/>
      <c r="AW396" s="15"/>
      <c r="BA396" s="14">
        <f t="shared" ref="BA396:BB396" si="263">COUNT(BA187:BA217)</f>
        <v>31</v>
      </c>
      <c r="BB396" s="14">
        <f t="shared" si="263"/>
        <v>0</v>
      </c>
    </row>
    <row r="397" spans="1:54" ht="15" x14ac:dyDescent="0.25">
      <c r="A397" s="1" t="s">
        <v>73</v>
      </c>
      <c r="C397" s="14"/>
      <c r="D397" s="14"/>
      <c r="E397" s="1"/>
      <c r="F397" s="14"/>
      <c r="G397" s="14">
        <f t="shared" ref="G397" si="264">COUNT(G218:G248)</f>
        <v>0</v>
      </c>
      <c r="H397" s="14"/>
      <c r="I397" s="14"/>
      <c r="J397" s="1"/>
      <c r="K397" s="14">
        <f t="shared" ref="K397:O397" si="265">COUNT(K218:K248)</f>
        <v>0</v>
      </c>
      <c r="L397" s="14">
        <f t="shared" si="265"/>
        <v>0</v>
      </c>
      <c r="M397" s="14">
        <f t="shared" si="265"/>
        <v>0</v>
      </c>
      <c r="N397" s="14">
        <f t="shared" si="265"/>
        <v>0</v>
      </c>
      <c r="O397" s="14">
        <f t="shared" si="265"/>
        <v>0</v>
      </c>
      <c r="P397" s="14"/>
      <c r="Q397" s="14"/>
      <c r="R397" s="14">
        <f t="shared" ref="R397" si="266">COUNT(R218:R248)</f>
        <v>0</v>
      </c>
      <c r="S397" s="14"/>
      <c r="T397" s="14"/>
      <c r="U397" s="14">
        <f t="shared" ref="U397:V397" si="267">COUNT(U218:U248)</f>
        <v>0</v>
      </c>
      <c r="V397" s="14">
        <f t="shared" si="267"/>
        <v>0</v>
      </c>
      <c r="W397" s="14"/>
      <c r="X397" s="14"/>
      <c r="Y397" s="14">
        <f t="shared" ref="Y397" si="268">COUNT(Y218:Y248)</f>
        <v>0</v>
      </c>
      <c r="Z397" s="14"/>
      <c r="AA397" s="15"/>
      <c r="AB397" s="14"/>
      <c r="AC397" s="14">
        <f t="shared" ref="AC397:AE397" si="269">COUNT(AC218:AC248)</f>
        <v>0</v>
      </c>
      <c r="AD397" s="14">
        <f t="shared" si="269"/>
        <v>0</v>
      </c>
      <c r="AE397" s="14">
        <f t="shared" si="269"/>
        <v>0</v>
      </c>
      <c r="AF397" s="14"/>
      <c r="AG397" s="14"/>
      <c r="AH397" s="14"/>
      <c r="AI397" s="14"/>
      <c r="AJ397" s="14"/>
      <c r="AK397" s="14">
        <f t="shared" ref="AK397:AL397" si="270">COUNT(AK218:AK248)</f>
        <v>0</v>
      </c>
      <c r="AL397" s="14">
        <f t="shared" si="270"/>
        <v>0</v>
      </c>
      <c r="AM397" s="14"/>
      <c r="AN397" s="14"/>
      <c r="AO397" s="14">
        <f t="shared" ref="AO397:AP397" si="271">COUNT(AO218:AO248)</f>
        <v>31</v>
      </c>
      <c r="AP397" s="14">
        <f t="shared" si="271"/>
        <v>31</v>
      </c>
      <c r="AQ397" s="15"/>
      <c r="AR397" s="15"/>
      <c r="AS397" s="15"/>
      <c r="AT397" s="15"/>
      <c r="AU397" s="15"/>
      <c r="AW397" s="15"/>
      <c r="BA397" s="14">
        <f t="shared" ref="BA397:BB397" si="272">COUNT(BA218:BA248)</f>
        <v>31</v>
      </c>
      <c r="BB397" s="14">
        <f t="shared" si="272"/>
        <v>0</v>
      </c>
    </row>
    <row r="398" spans="1:54" ht="15" x14ac:dyDescent="0.25">
      <c r="A398" s="1" t="s">
        <v>74</v>
      </c>
      <c r="C398" s="14"/>
      <c r="D398" s="14"/>
      <c r="E398" s="1"/>
      <c r="F398" s="14"/>
      <c r="G398" s="14">
        <f t="shared" ref="G398" si="273">COUNT(G249:G278)</f>
        <v>0</v>
      </c>
      <c r="H398" s="14"/>
      <c r="I398" s="14"/>
      <c r="J398" s="1"/>
      <c r="K398" s="14">
        <f t="shared" ref="K398:O398" si="274">COUNT(K249:K278)</f>
        <v>0</v>
      </c>
      <c r="L398" s="14">
        <f t="shared" si="274"/>
        <v>0</v>
      </c>
      <c r="M398" s="14">
        <f t="shared" si="274"/>
        <v>0</v>
      </c>
      <c r="N398" s="14">
        <f t="shared" si="274"/>
        <v>0</v>
      </c>
      <c r="O398" s="14">
        <f t="shared" si="274"/>
        <v>0</v>
      </c>
      <c r="P398" s="14"/>
      <c r="Q398" s="14"/>
      <c r="R398" s="14">
        <f t="shared" ref="R398" si="275">COUNT(R249:R278)</f>
        <v>0</v>
      </c>
      <c r="S398" s="14"/>
      <c r="T398" s="14"/>
      <c r="U398" s="14">
        <f t="shared" ref="U398:V398" si="276">COUNT(U249:U278)</f>
        <v>0</v>
      </c>
      <c r="V398" s="14">
        <f t="shared" si="276"/>
        <v>0</v>
      </c>
      <c r="W398" s="14"/>
      <c r="X398" s="14"/>
      <c r="Y398" s="14">
        <f t="shared" ref="Y398" si="277">COUNT(Y249:Y278)</f>
        <v>0</v>
      </c>
      <c r="Z398" s="14"/>
      <c r="AA398" s="15"/>
      <c r="AB398" s="14"/>
      <c r="AC398" s="14">
        <f t="shared" ref="AC398:AE398" si="278">COUNT(AC249:AC278)</f>
        <v>0</v>
      </c>
      <c r="AD398" s="14">
        <f t="shared" si="278"/>
        <v>0</v>
      </c>
      <c r="AE398" s="14">
        <f t="shared" si="278"/>
        <v>0</v>
      </c>
      <c r="AF398" s="14"/>
      <c r="AG398" s="14"/>
      <c r="AH398" s="14"/>
      <c r="AI398" s="14"/>
      <c r="AJ398" s="14"/>
      <c r="AK398" s="14">
        <f t="shared" ref="AK398:AL398" si="279">COUNT(AK249:AK278)</f>
        <v>0</v>
      </c>
      <c r="AL398" s="14">
        <f t="shared" si="279"/>
        <v>0</v>
      </c>
      <c r="AM398" s="14"/>
      <c r="AN398" s="14"/>
      <c r="AO398" s="14">
        <f t="shared" ref="AO398:AP398" si="280">COUNT(AO249:AO278)</f>
        <v>30</v>
      </c>
      <c r="AP398" s="14">
        <f t="shared" si="280"/>
        <v>30</v>
      </c>
      <c r="AQ398" s="15"/>
      <c r="AR398" s="15"/>
      <c r="AS398" s="15"/>
      <c r="AT398" s="15"/>
      <c r="AU398" s="15"/>
      <c r="AW398" s="15"/>
      <c r="BA398" s="14">
        <f t="shared" ref="BA398:BB398" si="281">COUNT(BA249:BA278)</f>
        <v>30</v>
      </c>
      <c r="BB398" s="14">
        <f t="shared" si="281"/>
        <v>0</v>
      </c>
    </row>
    <row r="399" spans="1:54" ht="15" x14ac:dyDescent="0.25">
      <c r="A399" s="1" t="s">
        <v>75</v>
      </c>
      <c r="C399" s="14"/>
      <c r="D399" s="14"/>
      <c r="E399" s="1"/>
      <c r="F399" s="14"/>
      <c r="G399" s="14">
        <f t="shared" ref="G399" si="282">COUNT(G279:G309)</f>
        <v>0</v>
      </c>
      <c r="H399" s="14"/>
      <c r="I399" s="14"/>
      <c r="J399" s="1"/>
      <c r="K399" s="14">
        <f t="shared" ref="K399:O399" si="283">COUNT(K279:K309)</f>
        <v>0</v>
      </c>
      <c r="L399" s="14">
        <f t="shared" si="283"/>
        <v>0</v>
      </c>
      <c r="M399" s="14">
        <f t="shared" si="283"/>
        <v>0</v>
      </c>
      <c r="N399" s="14">
        <f t="shared" si="283"/>
        <v>0</v>
      </c>
      <c r="O399" s="14">
        <f t="shared" si="283"/>
        <v>0</v>
      </c>
      <c r="P399" s="14"/>
      <c r="Q399" s="14"/>
      <c r="R399" s="14">
        <f t="shared" ref="R399" si="284">COUNT(R279:R309)</f>
        <v>0</v>
      </c>
      <c r="S399" s="14"/>
      <c r="T399" s="14"/>
      <c r="U399" s="14">
        <f t="shared" ref="U399:V399" si="285">COUNT(U279:U309)</f>
        <v>0</v>
      </c>
      <c r="V399" s="14">
        <f t="shared" si="285"/>
        <v>0</v>
      </c>
      <c r="W399" s="14"/>
      <c r="X399" s="14"/>
      <c r="Y399" s="14">
        <f t="shared" ref="Y399" si="286">COUNT(Y279:Y309)</f>
        <v>0</v>
      </c>
      <c r="Z399" s="14"/>
      <c r="AA399" s="15"/>
      <c r="AB399" s="14"/>
      <c r="AC399" s="14">
        <f t="shared" ref="AC399:AE399" si="287">COUNT(AC279:AC309)</f>
        <v>0</v>
      </c>
      <c r="AD399" s="14">
        <f t="shared" si="287"/>
        <v>0</v>
      </c>
      <c r="AE399" s="14">
        <f t="shared" si="287"/>
        <v>0</v>
      </c>
      <c r="AF399" s="14"/>
      <c r="AG399" s="14"/>
      <c r="AH399" s="14"/>
      <c r="AI399" s="14"/>
      <c r="AJ399" s="14"/>
      <c r="AK399" s="14">
        <f t="shared" ref="AK399:AL399" si="288">COUNT(AK279:AK309)</f>
        <v>0</v>
      </c>
      <c r="AL399" s="14">
        <f t="shared" si="288"/>
        <v>0</v>
      </c>
      <c r="AM399" s="14"/>
      <c r="AN399" s="14"/>
      <c r="AO399" s="14">
        <f t="shared" ref="AO399:AP399" si="289">COUNT(AO279:AO309)</f>
        <v>31</v>
      </c>
      <c r="AP399" s="14">
        <f t="shared" si="289"/>
        <v>31</v>
      </c>
      <c r="AQ399" s="15"/>
      <c r="AR399" s="15"/>
      <c r="AS399" s="15"/>
      <c r="AT399" s="15"/>
      <c r="AU399" s="15"/>
      <c r="AW399" s="15"/>
      <c r="BA399" s="14">
        <f t="shared" ref="BA399:BB399" si="290">COUNT(BA279:BA309)</f>
        <v>31</v>
      </c>
      <c r="BB399" s="14">
        <f t="shared" si="290"/>
        <v>0</v>
      </c>
    </row>
    <row r="400" spans="1:54" ht="15" x14ac:dyDescent="0.25">
      <c r="A400" s="1" t="s">
        <v>76</v>
      </c>
      <c r="C400" s="14"/>
      <c r="D400" s="14"/>
      <c r="E400" s="1"/>
      <c r="F400" s="14"/>
      <c r="G400" s="14">
        <f t="shared" ref="G400" si="291">COUNT(G310:G339)</f>
        <v>0</v>
      </c>
      <c r="H400" s="14"/>
      <c r="I400" s="14"/>
      <c r="J400" s="1"/>
      <c r="K400" s="14">
        <f t="shared" ref="K400:O400" si="292">COUNT(K310:K339)</f>
        <v>0</v>
      </c>
      <c r="L400" s="14">
        <f t="shared" si="292"/>
        <v>0</v>
      </c>
      <c r="M400" s="14">
        <f t="shared" si="292"/>
        <v>0</v>
      </c>
      <c r="N400" s="14">
        <f t="shared" si="292"/>
        <v>0</v>
      </c>
      <c r="O400" s="14">
        <f t="shared" si="292"/>
        <v>0</v>
      </c>
      <c r="P400" s="14"/>
      <c r="Q400" s="14"/>
      <c r="R400" s="14">
        <f t="shared" ref="R400" si="293">COUNT(R310:R339)</f>
        <v>0</v>
      </c>
      <c r="S400" s="14"/>
      <c r="T400" s="14"/>
      <c r="U400" s="14">
        <f t="shared" ref="U400:V400" si="294">COUNT(U310:U339)</f>
        <v>0</v>
      </c>
      <c r="V400" s="14">
        <f t="shared" si="294"/>
        <v>0</v>
      </c>
      <c r="W400" s="14"/>
      <c r="X400" s="14"/>
      <c r="Y400" s="14">
        <f t="shared" ref="Y400" si="295">COUNT(Y310:Y339)</f>
        <v>0</v>
      </c>
      <c r="Z400" s="14"/>
      <c r="AA400" s="15"/>
      <c r="AB400" s="14"/>
      <c r="AC400" s="14">
        <f t="shared" ref="AC400:AE400" si="296">COUNT(AC310:AC339)</f>
        <v>0</v>
      </c>
      <c r="AD400" s="14">
        <f t="shared" si="296"/>
        <v>0</v>
      </c>
      <c r="AE400" s="14">
        <f t="shared" si="296"/>
        <v>0</v>
      </c>
      <c r="AF400" s="14"/>
      <c r="AG400" s="14"/>
      <c r="AH400" s="14"/>
      <c r="AI400" s="14"/>
      <c r="AJ400" s="14"/>
      <c r="AK400" s="14">
        <f t="shared" ref="AK400:AL400" si="297">COUNT(AK310:AK339)</f>
        <v>0</v>
      </c>
      <c r="AL400" s="14">
        <f t="shared" si="297"/>
        <v>0</v>
      </c>
      <c r="AM400" s="14"/>
      <c r="AN400" s="14"/>
      <c r="AO400" s="14">
        <f t="shared" ref="AO400:AP400" si="298">COUNT(AO310:AO339)</f>
        <v>30</v>
      </c>
      <c r="AP400" s="14">
        <f t="shared" si="298"/>
        <v>30</v>
      </c>
      <c r="AQ400" s="15"/>
      <c r="AR400" s="15"/>
      <c r="AS400" s="15"/>
      <c r="AT400" s="15"/>
      <c r="AU400" s="15"/>
      <c r="AW400" s="15"/>
      <c r="BA400" s="14">
        <f t="shared" ref="BA400:BB400" si="299">COUNT(BA310:BA339)</f>
        <v>30</v>
      </c>
      <c r="BB400" s="14">
        <f t="shared" si="299"/>
        <v>0</v>
      </c>
    </row>
    <row r="401" spans="1:54" ht="15" x14ac:dyDescent="0.25">
      <c r="A401" s="1" t="s">
        <v>77</v>
      </c>
      <c r="C401" s="14"/>
      <c r="D401" s="14"/>
      <c r="E401" s="1"/>
      <c r="F401" s="14"/>
      <c r="G401" s="14">
        <f t="shared" ref="G401" si="300">COUNT(G340:G370)</f>
        <v>0</v>
      </c>
      <c r="H401" s="14"/>
      <c r="I401" s="14"/>
      <c r="J401" s="1"/>
      <c r="K401" s="14">
        <f t="shared" ref="K401:O401" si="301">COUNT(K340:K370)</f>
        <v>0</v>
      </c>
      <c r="L401" s="14">
        <f t="shared" si="301"/>
        <v>0</v>
      </c>
      <c r="M401" s="14">
        <f t="shared" si="301"/>
        <v>0</v>
      </c>
      <c r="N401" s="14">
        <f t="shared" si="301"/>
        <v>0</v>
      </c>
      <c r="O401" s="14">
        <f t="shared" si="301"/>
        <v>0</v>
      </c>
      <c r="P401" s="14"/>
      <c r="Q401" s="14"/>
      <c r="R401" s="14">
        <f t="shared" ref="R401" si="302">COUNT(R340:R370)</f>
        <v>0</v>
      </c>
      <c r="S401" s="14"/>
      <c r="T401" s="14"/>
      <c r="U401" s="14">
        <f t="shared" ref="U401:V401" si="303">COUNT(U340:U370)</f>
        <v>0</v>
      </c>
      <c r="V401" s="14">
        <f t="shared" si="303"/>
        <v>0</v>
      </c>
      <c r="W401" s="14"/>
      <c r="X401" s="14"/>
      <c r="Y401" s="14">
        <f t="shared" ref="Y401" si="304">COUNT(Y340:Y370)</f>
        <v>0</v>
      </c>
      <c r="Z401" s="14"/>
      <c r="AA401" s="15"/>
      <c r="AB401" s="14"/>
      <c r="AC401" s="14">
        <f t="shared" ref="AC401:AE401" si="305">COUNT(AC340:AC370)</f>
        <v>0</v>
      </c>
      <c r="AD401" s="14">
        <f t="shared" si="305"/>
        <v>0</v>
      </c>
      <c r="AE401" s="14">
        <f t="shared" si="305"/>
        <v>0</v>
      </c>
      <c r="AF401" s="14"/>
      <c r="AG401" s="14"/>
      <c r="AH401" s="14"/>
      <c r="AI401" s="14"/>
      <c r="AJ401" s="14"/>
      <c r="AK401" s="14">
        <f t="shared" ref="AK401:AL401" si="306">COUNT(AK340:AK370)</f>
        <v>0</v>
      </c>
      <c r="AL401" s="14">
        <f t="shared" si="306"/>
        <v>0</v>
      </c>
      <c r="AM401" s="14"/>
      <c r="AN401" s="14"/>
      <c r="AO401" s="14">
        <f t="shared" ref="AO401:AP401" si="307">COUNT(AO340:AO370)</f>
        <v>31</v>
      </c>
      <c r="AP401" s="14">
        <f t="shared" si="307"/>
        <v>31</v>
      </c>
      <c r="AQ401" s="15"/>
      <c r="AR401" s="15"/>
      <c r="AS401" s="15"/>
      <c r="AT401" s="15"/>
      <c r="AU401" s="15"/>
      <c r="AW401" s="15"/>
      <c r="BA401" s="14">
        <f t="shared" ref="BA401:BB401" si="308">COUNT(BA340:BA370)</f>
        <v>31</v>
      </c>
      <c r="BB401" s="14">
        <f t="shared" si="308"/>
        <v>0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35" sqref="A35"/>
    </sheetView>
  </sheetViews>
  <sheetFormatPr defaultRowHeight="12.75" x14ac:dyDescent="0.2"/>
  <sheetData>
    <row r="1" spans="1:5" x14ac:dyDescent="0.2">
      <c r="A1" s="1" t="s">
        <v>44</v>
      </c>
      <c r="B1" s="1"/>
    </row>
    <row r="2" spans="1:5" x14ac:dyDescent="0.2">
      <c r="A2" s="1" t="s">
        <v>106</v>
      </c>
      <c r="B2" s="1"/>
      <c r="E2" s="1"/>
    </row>
    <row r="3" spans="1:5" x14ac:dyDescent="0.2">
      <c r="A3" s="1"/>
      <c r="B3" s="1" t="s">
        <v>33</v>
      </c>
    </row>
    <row r="4" spans="1:5" x14ac:dyDescent="0.2">
      <c r="A4" s="1"/>
      <c r="C4" s="1"/>
    </row>
    <row r="5" spans="1:5" x14ac:dyDescent="0.2">
      <c r="A5" s="1" t="s">
        <v>34</v>
      </c>
      <c r="B5" s="1"/>
      <c r="D5" s="1"/>
      <c r="E5" s="1"/>
    </row>
    <row r="6" spans="1:5" x14ac:dyDescent="0.2">
      <c r="A6" s="1"/>
      <c r="B6" s="1" t="s">
        <v>92</v>
      </c>
    </row>
    <row r="7" spans="1:5" x14ac:dyDescent="0.2">
      <c r="A7" s="1"/>
      <c r="B7" s="1"/>
    </row>
    <row r="8" spans="1:5" x14ac:dyDescent="0.2">
      <c r="A8" s="1" t="s">
        <v>35</v>
      </c>
      <c r="B8" s="1"/>
    </row>
    <row r="9" spans="1:5" x14ac:dyDescent="0.2">
      <c r="A9" s="1"/>
      <c r="B9" s="1" t="s">
        <v>92</v>
      </c>
    </row>
    <row r="10" spans="1:5" x14ac:dyDescent="0.2">
      <c r="A10" s="1"/>
      <c r="B10" s="1"/>
    </row>
    <row r="11" spans="1:5" x14ac:dyDescent="0.2">
      <c r="A11" s="1" t="s">
        <v>36</v>
      </c>
      <c r="B11" s="1"/>
    </row>
    <row r="12" spans="1:5" x14ac:dyDescent="0.2">
      <c r="A12" s="1"/>
      <c r="B12" s="1" t="s">
        <v>37</v>
      </c>
    </row>
    <row r="13" spans="1:5" x14ac:dyDescent="0.2">
      <c r="A13" s="1"/>
      <c r="B13" s="1"/>
    </row>
    <row r="14" spans="1:5" x14ac:dyDescent="0.2">
      <c r="A14" s="1" t="s">
        <v>38</v>
      </c>
      <c r="B14" s="1"/>
    </row>
    <row r="15" spans="1:5" x14ac:dyDescent="0.2">
      <c r="B15" s="6" t="s">
        <v>39</v>
      </c>
    </row>
    <row r="16" spans="1:5" x14ac:dyDescent="0.2">
      <c r="B16" s="6" t="s">
        <v>46</v>
      </c>
    </row>
    <row r="17" spans="1:4" x14ac:dyDescent="0.2">
      <c r="B17" s="6"/>
    </row>
    <row r="18" spans="1:4" x14ac:dyDescent="0.2">
      <c r="A18" s="1" t="s">
        <v>40</v>
      </c>
    </row>
    <row r="19" spans="1:4" x14ac:dyDescent="0.2">
      <c r="A19" s="1"/>
      <c r="B19" s="6" t="s">
        <v>39</v>
      </c>
    </row>
    <row r="20" spans="1:4" x14ac:dyDescent="0.2">
      <c r="A20" s="1"/>
      <c r="B20" s="6" t="s">
        <v>41</v>
      </c>
      <c r="D20" s="1" t="s">
        <v>99</v>
      </c>
    </row>
    <row r="21" spans="1:4" x14ac:dyDescent="0.2">
      <c r="A21" s="1"/>
      <c r="B21" s="6"/>
    </row>
    <row r="22" spans="1:4" x14ac:dyDescent="0.2">
      <c r="A22" s="1" t="s">
        <v>42</v>
      </c>
      <c r="B22" s="6"/>
    </row>
    <row r="23" spans="1:4" x14ac:dyDescent="0.2">
      <c r="B23" s="1" t="s">
        <v>43</v>
      </c>
    </row>
    <row r="24" spans="1:4" x14ac:dyDescent="0.2">
      <c r="B24" s="1"/>
    </row>
    <row r="26" spans="1:4" x14ac:dyDescent="0.2">
      <c r="A26" s="1" t="s">
        <v>97</v>
      </c>
      <c r="B26" s="1"/>
    </row>
    <row r="27" spans="1:4" x14ac:dyDescent="0.2">
      <c r="A27" s="1"/>
      <c r="B27" s="1" t="s">
        <v>100</v>
      </c>
    </row>
    <row r="29" spans="1:4" x14ac:dyDescent="0.2">
      <c r="A29" s="1" t="s">
        <v>104</v>
      </c>
      <c r="B29" s="1"/>
    </row>
    <row r="30" spans="1:4" x14ac:dyDescent="0.2">
      <c r="A30" s="1"/>
      <c r="B30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17" sqref="S117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2025-12-20T03:20:22Z</dcterms:modified>
</cp:coreProperties>
</file>