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330" windowWidth="11970" windowHeight="3255"/>
  </bookViews>
  <sheets>
    <sheet name="Data" sheetId="1" r:id="rId1"/>
    <sheet name="Meta" sheetId="12" r:id="rId2"/>
    <sheet name="Graphs" sheetId="16" r:id="rId3"/>
  </sheets>
  <calcPr calcId="145621"/>
</workbook>
</file>

<file path=xl/calcChain.xml><?xml version="1.0" encoding="utf-8"?>
<calcChain xmlns="http://schemas.openxmlformats.org/spreadsheetml/2006/main">
  <c r="AL306" i="1" l="1"/>
  <c r="BA294" i="1" l="1"/>
  <c r="BA293" i="1"/>
  <c r="BA292" i="1"/>
  <c r="BA291" i="1"/>
  <c r="BA290" i="1"/>
  <c r="BA289" i="1"/>
  <c r="BA288" i="1"/>
  <c r="BA287" i="1"/>
  <c r="BA286" i="1"/>
  <c r="BA285" i="1"/>
  <c r="BA284" i="1"/>
  <c r="BA283" i="1"/>
  <c r="BA282" i="1"/>
  <c r="BA281" i="1"/>
  <c r="BA280" i="1"/>
  <c r="BA279" i="1"/>
  <c r="BA278" i="1"/>
  <c r="BA277" i="1"/>
  <c r="BA276" i="1"/>
  <c r="BA27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A210" i="1"/>
  <c r="BA209" i="1"/>
  <c r="BA208" i="1"/>
  <c r="BA207" i="1"/>
  <c r="BA206" i="1"/>
  <c r="BA205" i="1"/>
  <c r="BA204" i="1"/>
  <c r="BA203" i="1"/>
  <c r="BA202" i="1"/>
  <c r="BA201" i="1"/>
  <c r="BA200" i="1"/>
  <c r="BA199" i="1"/>
  <c r="BA198" i="1"/>
  <c r="BA197" i="1"/>
  <c r="BA196" i="1"/>
  <c r="BA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2" i="1"/>
  <c r="BA181" i="1"/>
  <c r="BA180" i="1"/>
  <c r="BA179" i="1"/>
  <c r="BA178" i="1"/>
  <c r="BA177" i="1"/>
  <c r="BA176" i="1"/>
  <c r="BA175" i="1"/>
  <c r="BA174" i="1"/>
  <c r="BA173" i="1"/>
  <c r="BA172" i="1"/>
  <c r="BA171" i="1"/>
  <c r="BA170" i="1"/>
  <c r="BA169" i="1"/>
  <c r="BA168" i="1"/>
  <c r="BA167" i="1"/>
  <c r="BA166" i="1"/>
  <c r="BA165" i="1"/>
  <c r="BA164" i="1"/>
  <c r="BA163" i="1"/>
  <c r="BA162" i="1"/>
  <c r="BA161" i="1"/>
  <c r="BA160" i="1"/>
  <c r="BA159" i="1"/>
  <c r="BA158" i="1"/>
  <c r="BA157" i="1"/>
  <c r="BA156" i="1"/>
  <c r="BA155" i="1"/>
  <c r="BA154" i="1"/>
  <c r="BA153" i="1"/>
  <c r="BA152" i="1"/>
  <c r="BA151" i="1"/>
  <c r="BA150" i="1"/>
  <c r="BA149" i="1"/>
  <c r="BA148" i="1"/>
  <c r="BA147" i="1"/>
  <c r="BA146" i="1"/>
  <c r="BA145" i="1"/>
  <c r="BA144" i="1"/>
  <c r="BA143" i="1"/>
  <c r="BA142" i="1"/>
  <c r="BA141" i="1"/>
  <c r="BA140" i="1"/>
  <c r="BA139" i="1"/>
  <c r="BA138" i="1"/>
  <c r="BA137" i="1"/>
  <c r="BA136" i="1"/>
  <c r="BA135" i="1"/>
  <c r="BA134" i="1"/>
  <c r="BA133" i="1"/>
  <c r="BA132" i="1"/>
  <c r="BA131" i="1"/>
  <c r="BA130" i="1"/>
  <c r="BA129" i="1"/>
  <c r="BA128" i="1"/>
  <c r="BA127" i="1"/>
  <c r="BA126" i="1"/>
  <c r="BA125" i="1"/>
  <c r="BA124" i="1"/>
  <c r="BA123" i="1"/>
  <c r="BA122" i="1"/>
  <c r="BA121" i="1"/>
  <c r="BA120" i="1"/>
  <c r="BA119" i="1"/>
  <c r="BA118" i="1"/>
  <c r="BA117" i="1"/>
  <c r="BA116" i="1"/>
  <c r="BA115" i="1"/>
  <c r="BA114" i="1"/>
  <c r="BA113" i="1"/>
  <c r="BA112" i="1"/>
  <c r="BA111" i="1"/>
  <c r="BA110" i="1"/>
  <c r="BA109" i="1"/>
  <c r="BA108" i="1"/>
  <c r="BA107" i="1"/>
  <c r="BA106" i="1"/>
  <c r="BA105" i="1"/>
  <c r="BA104" i="1"/>
  <c r="BA103" i="1"/>
  <c r="BA102" i="1"/>
  <c r="AL340" i="1"/>
  <c r="AL341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17" i="1"/>
  <c r="AL316" i="1"/>
  <c r="AL315" i="1"/>
  <c r="AL314" i="1"/>
  <c r="AL313" i="1"/>
  <c r="AL312" i="1"/>
  <c r="AL311" i="1"/>
  <c r="AL310" i="1"/>
  <c r="AL309" i="1"/>
  <c r="AL308" i="1"/>
  <c r="AL307" i="1"/>
  <c r="AL142" i="1"/>
  <c r="AL141" i="1"/>
  <c r="AL140" i="1"/>
  <c r="AL139" i="1"/>
  <c r="BI370" i="1" l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AL370" i="1" l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BB370" i="1" l="1"/>
  <c r="BB369" i="1"/>
  <c r="BB368" i="1"/>
  <c r="BB367" i="1"/>
  <c r="BB366" i="1"/>
  <c r="BB365" i="1"/>
  <c r="BB364" i="1"/>
  <c r="BB363" i="1"/>
  <c r="BB362" i="1"/>
  <c r="BB361" i="1"/>
  <c r="BB360" i="1"/>
  <c r="BB359" i="1"/>
  <c r="BB358" i="1"/>
  <c r="BB357" i="1"/>
  <c r="BB356" i="1"/>
  <c r="BB355" i="1"/>
  <c r="BB354" i="1"/>
  <c r="BB353" i="1"/>
  <c r="BB352" i="1"/>
  <c r="BB351" i="1"/>
  <c r="BB350" i="1"/>
  <c r="BB349" i="1"/>
  <c r="BB348" i="1"/>
  <c r="BB347" i="1"/>
  <c r="BB346" i="1"/>
  <c r="BB345" i="1"/>
  <c r="BB344" i="1"/>
  <c r="BB343" i="1"/>
  <c r="BB342" i="1"/>
  <c r="BB341" i="1"/>
  <c r="BB340" i="1"/>
  <c r="BB339" i="1"/>
  <c r="BB338" i="1"/>
  <c r="BB337" i="1"/>
  <c r="BB336" i="1"/>
  <c r="BB335" i="1"/>
  <c r="BB334" i="1"/>
  <c r="BB333" i="1"/>
  <c r="BB332" i="1"/>
  <c r="BB331" i="1"/>
  <c r="BB330" i="1"/>
  <c r="BB329" i="1"/>
  <c r="BB328" i="1"/>
  <c r="BB327" i="1"/>
  <c r="BB326" i="1"/>
  <c r="BB325" i="1"/>
  <c r="BB324" i="1"/>
  <c r="BB323" i="1"/>
  <c r="BB317" i="1"/>
  <c r="BB316" i="1"/>
  <c r="BB315" i="1"/>
  <c r="BB314" i="1"/>
  <c r="BB313" i="1"/>
  <c r="BB312" i="1"/>
  <c r="BB311" i="1"/>
  <c r="BB310" i="1"/>
  <c r="BB309" i="1"/>
  <c r="BB308" i="1"/>
  <c r="BB307" i="1"/>
  <c r="BB306" i="1"/>
  <c r="BB305" i="1"/>
  <c r="BB304" i="1"/>
  <c r="BB303" i="1"/>
  <c r="BB302" i="1"/>
  <c r="BB301" i="1"/>
  <c r="BB300" i="1"/>
  <c r="BB299" i="1"/>
  <c r="BB298" i="1"/>
  <c r="BB297" i="1"/>
  <c r="BB296" i="1"/>
  <c r="BB295" i="1"/>
  <c r="BB294" i="1"/>
  <c r="BB293" i="1"/>
  <c r="BB292" i="1"/>
  <c r="BB291" i="1"/>
  <c r="BB290" i="1"/>
  <c r="BB289" i="1"/>
  <c r="BB288" i="1"/>
  <c r="BB287" i="1"/>
  <c r="BB286" i="1"/>
  <c r="BB285" i="1"/>
  <c r="BB284" i="1"/>
  <c r="BB283" i="1"/>
  <c r="BB282" i="1"/>
  <c r="BB281" i="1"/>
  <c r="BB280" i="1"/>
  <c r="BB279" i="1"/>
  <c r="BB278" i="1"/>
  <c r="BB277" i="1"/>
  <c r="BB276" i="1"/>
  <c r="BB275" i="1"/>
  <c r="BB274" i="1"/>
  <c r="BB273" i="1"/>
  <c r="BB272" i="1"/>
  <c r="BB271" i="1"/>
  <c r="BB270" i="1"/>
  <c r="BB269" i="1"/>
  <c r="BB268" i="1"/>
  <c r="BB267" i="1"/>
  <c r="BB266" i="1"/>
  <c r="BB265" i="1"/>
  <c r="BB264" i="1"/>
  <c r="BB263" i="1"/>
  <c r="BB262" i="1"/>
  <c r="BB261" i="1"/>
  <c r="BB260" i="1"/>
  <c r="BB259" i="1"/>
  <c r="BB258" i="1"/>
  <c r="BB257" i="1"/>
  <c r="BB256" i="1"/>
  <c r="BB255" i="1"/>
  <c r="BB254" i="1"/>
  <c r="BB253" i="1"/>
  <c r="BB252" i="1"/>
  <c r="BB251" i="1"/>
  <c r="BB250" i="1"/>
  <c r="BB249" i="1"/>
  <c r="BB248" i="1"/>
  <c r="BB247" i="1"/>
  <c r="BB246" i="1"/>
  <c r="BB245" i="1"/>
  <c r="BB244" i="1"/>
  <c r="BB243" i="1"/>
  <c r="BB242" i="1"/>
  <c r="BB241" i="1"/>
  <c r="BB240" i="1"/>
  <c r="BB239" i="1"/>
  <c r="BB238" i="1"/>
  <c r="BB237" i="1"/>
  <c r="BB236" i="1"/>
  <c r="BB235" i="1"/>
  <c r="BB234" i="1"/>
  <c r="BB233" i="1"/>
  <c r="BB232" i="1"/>
  <c r="BB231" i="1"/>
  <c r="BB230" i="1"/>
  <c r="BB229" i="1"/>
  <c r="BB228" i="1"/>
  <c r="BB227" i="1"/>
  <c r="BB226" i="1"/>
  <c r="BB225" i="1"/>
  <c r="BB224" i="1"/>
  <c r="BB223" i="1"/>
  <c r="BB222" i="1"/>
  <c r="BB221" i="1"/>
  <c r="BB220" i="1"/>
  <c r="BB219" i="1"/>
  <c r="BB218" i="1"/>
  <c r="BB217" i="1"/>
  <c r="BB216" i="1"/>
  <c r="BB215" i="1"/>
  <c r="BB214" i="1"/>
  <c r="BB213" i="1"/>
  <c r="BB212" i="1"/>
  <c r="BB211" i="1"/>
  <c r="BB210" i="1"/>
  <c r="BB209" i="1"/>
  <c r="BB208" i="1"/>
  <c r="BB207" i="1"/>
  <c r="BB206" i="1"/>
  <c r="BB205" i="1"/>
  <c r="BB204" i="1"/>
  <c r="BB203" i="1"/>
  <c r="BB202" i="1"/>
  <c r="BB201" i="1"/>
  <c r="BB200" i="1"/>
  <c r="BB199" i="1"/>
  <c r="BB198" i="1"/>
  <c r="BB197" i="1"/>
  <c r="BB196" i="1"/>
  <c r="BB195" i="1"/>
  <c r="BB194" i="1"/>
  <c r="BB193" i="1"/>
  <c r="BB192" i="1"/>
  <c r="BB191" i="1"/>
  <c r="BB190" i="1"/>
  <c r="BB189" i="1"/>
  <c r="BB188" i="1"/>
  <c r="BB187" i="1"/>
  <c r="BB186" i="1"/>
  <c r="BB185" i="1"/>
  <c r="BB184" i="1"/>
  <c r="BB183" i="1"/>
  <c r="BB182" i="1"/>
  <c r="BB181" i="1"/>
  <c r="BB180" i="1"/>
  <c r="BB179" i="1"/>
  <c r="BB178" i="1"/>
  <c r="BB177" i="1"/>
  <c r="BB176" i="1"/>
  <c r="BB175" i="1"/>
  <c r="BB174" i="1"/>
  <c r="BB173" i="1"/>
  <c r="BB172" i="1"/>
  <c r="BB171" i="1"/>
  <c r="BB170" i="1"/>
  <c r="BB169" i="1"/>
  <c r="BB168" i="1"/>
  <c r="BB167" i="1"/>
  <c r="BB166" i="1"/>
  <c r="BB165" i="1"/>
  <c r="BB164" i="1"/>
  <c r="BB163" i="1"/>
  <c r="BB162" i="1"/>
  <c r="BB161" i="1"/>
  <c r="BB160" i="1"/>
  <c r="BB159" i="1"/>
  <c r="BB158" i="1"/>
  <c r="BB157" i="1"/>
  <c r="BB156" i="1"/>
  <c r="BB155" i="1"/>
  <c r="BB154" i="1"/>
  <c r="BB153" i="1"/>
  <c r="BB152" i="1"/>
  <c r="BB151" i="1"/>
  <c r="BB150" i="1"/>
  <c r="BB138" i="1"/>
  <c r="BB137" i="1"/>
  <c r="BB136" i="1"/>
  <c r="BB135" i="1"/>
  <c r="BB134" i="1"/>
  <c r="BB133" i="1"/>
  <c r="BB132" i="1"/>
  <c r="BB131" i="1"/>
  <c r="BB130" i="1"/>
  <c r="BB129" i="1"/>
  <c r="BB128" i="1"/>
  <c r="BB127" i="1"/>
  <c r="BB126" i="1"/>
  <c r="BB125" i="1"/>
  <c r="BB124" i="1"/>
  <c r="BB123" i="1"/>
  <c r="BB122" i="1"/>
  <c r="BB121" i="1"/>
  <c r="BB120" i="1"/>
  <c r="BB119" i="1"/>
  <c r="BB118" i="1"/>
  <c r="BB117" i="1"/>
  <c r="BB116" i="1"/>
  <c r="BB115" i="1"/>
  <c r="BB114" i="1"/>
  <c r="BB113" i="1"/>
  <c r="BB112" i="1"/>
  <c r="BB111" i="1"/>
  <c r="BB110" i="1"/>
  <c r="BB109" i="1"/>
  <c r="BB108" i="1"/>
  <c r="BB107" i="1"/>
  <c r="BB106" i="1"/>
  <c r="BB105" i="1"/>
  <c r="BB104" i="1"/>
  <c r="BB103" i="1"/>
  <c r="BB102" i="1"/>
  <c r="BB101" i="1"/>
  <c r="BB100" i="1"/>
  <c r="BB99" i="1"/>
  <c r="BB98" i="1"/>
  <c r="BB97" i="1"/>
  <c r="BB96" i="1"/>
  <c r="BB95" i="1"/>
  <c r="BB94" i="1"/>
  <c r="BB93" i="1"/>
  <c r="BB92" i="1"/>
  <c r="BB91" i="1"/>
  <c r="BB90" i="1"/>
  <c r="BB89" i="1"/>
  <c r="BB88" i="1"/>
  <c r="BB87" i="1"/>
  <c r="BB86" i="1"/>
  <c r="BB85" i="1"/>
  <c r="BB84" i="1"/>
  <c r="BB83" i="1"/>
  <c r="BB82" i="1"/>
  <c r="BB81" i="1"/>
  <c r="BB80" i="1"/>
  <c r="BB79" i="1"/>
  <c r="BB78" i="1"/>
  <c r="BB77" i="1"/>
  <c r="BB76" i="1"/>
  <c r="BB75" i="1"/>
  <c r="BB74" i="1"/>
  <c r="BB73" i="1"/>
  <c r="BB72" i="1"/>
  <c r="BB71" i="1"/>
  <c r="BB70" i="1"/>
  <c r="BB69" i="1"/>
  <c r="BB68" i="1"/>
  <c r="BB67" i="1"/>
  <c r="BB66" i="1"/>
  <c r="BB65" i="1"/>
  <c r="BB64" i="1"/>
  <c r="BB63" i="1"/>
  <c r="BB62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BN40" i="1" l="1"/>
  <c r="BM40" i="1"/>
  <c r="O1" i="1"/>
  <c r="AL321" i="1"/>
  <c r="BB321" i="1" s="1"/>
  <c r="BB147" i="1"/>
  <c r="BB146" i="1"/>
  <c r="BB145" i="1"/>
  <c r="BB144" i="1"/>
  <c r="BB143" i="1"/>
  <c r="BB142" i="1"/>
  <c r="BB141" i="1"/>
  <c r="BB140" i="1"/>
  <c r="BB139" i="1"/>
  <c r="BB149" i="1"/>
  <c r="BB148" i="1"/>
  <c r="AK300" i="1" l="1"/>
  <c r="BA300" i="1" s="1"/>
  <c r="AK299" i="1"/>
  <c r="BA299" i="1" s="1"/>
  <c r="AK298" i="1"/>
  <c r="BA298" i="1" s="1"/>
  <c r="AK297" i="1"/>
  <c r="BA297" i="1" s="1"/>
  <c r="AK296" i="1"/>
  <c r="BA296" i="1" s="1"/>
  <c r="AK295" i="1"/>
  <c r="BA295" i="1" s="1"/>
  <c r="AK370" i="1"/>
  <c r="BA370" i="1" s="1"/>
  <c r="AK369" i="1"/>
  <c r="BA369" i="1" s="1"/>
  <c r="AK368" i="1"/>
  <c r="BA368" i="1" s="1"/>
  <c r="AK367" i="1"/>
  <c r="BA367" i="1" s="1"/>
  <c r="AK366" i="1"/>
  <c r="BA366" i="1" s="1"/>
  <c r="AK365" i="1"/>
  <c r="BA365" i="1" s="1"/>
  <c r="AK364" i="1"/>
  <c r="BA364" i="1" s="1"/>
  <c r="AK363" i="1"/>
  <c r="BA363" i="1" s="1"/>
  <c r="AK362" i="1"/>
  <c r="BA362" i="1" s="1"/>
  <c r="AK361" i="1"/>
  <c r="BA361" i="1" s="1"/>
  <c r="AK360" i="1"/>
  <c r="BA360" i="1" s="1"/>
  <c r="AK359" i="1"/>
  <c r="BA359" i="1" s="1"/>
  <c r="AK358" i="1"/>
  <c r="BA358" i="1" s="1"/>
  <c r="AK357" i="1"/>
  <c r="BA357" i="1" s="1"/>
  <c r="AK356" i="1"/>
  <c r="BA356" i="1" s="1"/>
  <c r="AK355" i="1"/>
  <c r="BA355" i="1" s="1"/>
  <c r="AK354" i="1"/>
  <c r="BA354" i="1" s="1"/>
  <c r="AK353" i="1"/>
  <c r="BA353" i="1" s="1"/>
  <c r="AK352" i="1"/>
  <c r="BA352" i="1" s="1"/>
  <c r="AK351" i="1"/>
  <c r="BA351" i="1" s="1"/>
  <c r="AK350" i="1"/>
  <c r="BA350" i="1" s="1"/>
  <c r="AK349" i="1"/>
  <c r="BA349" i="1" s="1"/>
  <c r="AK348" i="1"/>
  <c r="BA348" i="1" s="1"/>
  <c r="AK347" i="1"/>
  <c r="BA347" i="1" s="1"/>
  <c r="AK346" i="1"/>
  <c r="BA346" i="1" s="1"/>
  <c r="AK345" i="1"/>
  <c r="BA345" i="1" s="1"/>
  <c r="AK344" i="1"/>
  <c r="BA344" i="1" s="1"/>
  <c r="AK343" i="1"/>
  <c r="BA343" i="1" s="1"/>
  <c r="AK342" i="1"/>
  <c r="BA342" i="1" s="1"/>
  <c r="AK341" i="1"/>
  <c r="BA341" i="1" s="1"/>
  <c r="AK340" i="1"/>
  <c r="BA340" i="1" s="1"/>
  <c r="AK339" i="1"/>
  <c r="BA339" i="1" s="1"/>
  <c r="AK338" i="1"/>
  <c r="BA338" i="1" s="1"/>
  <c r="AK337" i="1"/>
  <c r="BA337" i="1" s="1"/>
  <c r="AK336" i="1"/>
  <c r="BA336" i="1" s="1"/>
  <c r="AK335" i="1"/>
  <c r="BA335" i="1" s="1"/>
  <c r="AK334" i="1"/>
  <c r="BA334" i="1" s="1"/>
  <c r="AK333" i="1"/>
  <c r="BA333" i="1" s="1"/>
  <c r="AK332" i="1"/>
  <c r="BA332" i="1" s="1"/>
  <c r="AK331" i="1"/>
  <c r="BA331" i="1" s="1"/>
  <c r="AK330" i="1"/>
  <c r="BA330" i="1" s="1"/>
  <c r="AK329" i="1"/>
  <c r="BA329" i="1" s="1"/>
  <c r="AK328" i="1"/>
  <c r="BA328" i="1" s="1"/>
  <c r="AK327" i="1"/>
  <c r="BA327" i="1" s="1"/>
  <c r="AK326" i="1"/>
  <c r="BA326" i="1" s="1"/>
  <c r="AK325" i="1"/>
  <c r="BA325" i="1" s="1"/>
  <c r="AK324" i="1"/>
  <c r="BA324" i="1" s="1"/>
  <c r="AK323" i="1"/>
  <c r="BA323" i="1" s="1"/>
  <c r="AK322" i="1"/>
  <c r="BA322" i="1" s="1"/>
  <c r="AK321" i="1"/>
  <c r="BA321" i="1" s="1"/>
  <c r="AK320" i="1"/>
  <c r="BA320" i="1" s="1"/>
  <c r="AK319" i="1"/>
  <c r="BA319" i="1" s="1"/>
  <c r="AK318" i="1"/>
  <c r="BA318" i="1" s="1"/>
  <c r="AK317" i="1"/>
  <c r="BA317" i="1" s="1"/>
  <c r="AK316" i="1"/>
  <c r="BA316" i="1" s="1"/>
  <c r="AK315" i="1"/>
  <c r="BA315" i="1" s="1"/>
  <c r="AK314" i="1"/>
  <c r="BA314" i="1" s="1"/>
  <c r="AK313" i="1"/>
  <c r="BA313" i="1" s="1"/>
  <c r="AK312" i="1"/>
  <c r="BA312" i="1" s="1"/>
  <c r="AK311" i="1"/>
  <c r="BA311" i="1" s="1"/>
  <c r="AK310" i="1"/>
  <c r="BA310" i="1" s="1"/>
  <c r="AK309" i="1"/>
  <c r="BA309" i="1" s="1"/>
  <c r="AK308" i="1"/>
  <c r="BA308" i="1" s="1"/>
  <c r="AK307" i="1"/>
  <c r="BA307" i="1" s="1"/>
  <c r="AK306" i="1"/>
  <c r="BA306" i="1" s="1"/>
  <c r="AK305" i="1"/>
  <c r="BA305" i="1" s="1"/>
  <c r="AK304" i="1"/>
  <c r="BA304" i="1" s="1"/>
  <c r="AK303" i="1"/>
  <c r="BA303" i="1" s="1"/>
  <c r="AK302" i="1"/>
  <c r="BA302" i="1" s="1"/>
  <c r="AK301" i="1"/>
  <c r="BA301" i="1" s="1"/>
  <c r="AK101" i="1"/>
  <c r="BA101" i="1" s="1"/>
  <c r="AK100" i="1"/>
  <c r="BA100" i="1" s="1"/>
  <c r="AK99" i="1"/>
  <c r="BA99" i="1" s="1"/>
  <c r="AK98" i="1"/>
  <c r="BA98" i="1" s="1"/>
  <c r="AK97" i="1"/>
  <c r="BA97" i="1" s="1"/>
  <c r="AK96" i="1"/>
  <c r="BA96" i="1" s="1"/>
  <c r="AK95" i="1"/>
  <c r="BA95" i="1" s="1"/>
  <c r="AK94" i="1"/>
  <c r="BA94" i="1" s="1"/>
  <c r="AK93" i="1"/>
  <c r="BA93" i="1" s="1"/>
  <c r="AK92" i="1"/>
  <c r="BA92" i="1" s="1"/>
  <c r="AK91" i="1"/>
  <c r="BA91" i="1" s="1"/>
  <c r="AK90" i="1"/>
  <c r="BA90" i="1" s="1"/>
  <c r="AK89" i="1"/>
  <c r="BA89" i="1" s="1"/>
  <c r="AK88" i="1"/>
  <c r="BA88" i="1" s="1"/>
  <c r="AK87" i="1"/>
  <c r="BA87" i="1" s="1"/>
  <c r="AK86" i="1"/>
  <c r="BA86" i="1" s="1"/>
  <c r="AK85" i="1"/>
  <c r="BA85" i="1" s="1"/>
  <c r="AK84" i="1"/>
  <c r="BA84" i="1" s="1"/>
  <c r="AK83" i="1"/>
  <c r="BA83" i="1" s="1"/>
  <c r="AK82" i="1"/>
  <c r="BA82" i="1" s="1"/>
  <c r="AK81" i="1"/>
  <c r="BA81" i="1" s="1"/>
  <c r="AK80" i="1"/>
  <c r="BA80" i="1" s="1"/>
  <c r="AK79" i="1"/>
  <c r="BA79" i="1" s="1"/>
  <c r="AK78" i="1"/>
  <c r="BA78" i="1" s="1"/>
  <c r="AK77" i="1"/>
  <c r="BA77" i="1" s="1"/>
  <c r="AK76" i="1"/>
  <c r="BA76" i="1" s="1"/>
  <c r="AK75" i="1"/>
  <c r="BA75" i="1" s="1"/>
  <c r="AK74" i="1"/>
  <c r="BA74" i="1" s="1"/>
  <c r="AK73" i="1"/>
  <c r="BA73" i="1" s="1"/>
  <c r="AK72" i="1"/>
  <c r="BA72" i="1" s="1"/>
  <c r="AK71" i="1"/>
  <c r="BA71" i="1" s="1"/>
  <c r="AK70" i="1"/>
  <c r="BA70" i="1" s="1"/>
  <c r="AK69" i="1"/>
  <c r="BA69" i="1" s="1"/>
  <c r="AK68" i="1"/>
  <c r="BA68" i="1" s="1"/>
  <c r="AK67" i="1"/>
  <c r="BA67" i="1" s="1"/>
  <c r="AK66" i="1"/>
  <c r="BA66" i="1" s="1"/>
  <c r="AK65" i="1"/>
  <c r="BA65" i="1" s="1"/>
  <c r="AK64" i="1"/>
  <c r="BA64" i="1" s="1"/>
  <c r="AK63" i="1"/>
  <c r="BA63" i="1" s="1"/>
  <c r="AK62" i="1"/>
  <c r="BA62" i="1" s="1"/>
  <c r="BB322" i="1" l="1"/>
  <c r="BN62" i="1" l="1"/>
  <c r="BM62" i="1"/>
  <c r="BE62" i="1"/>
  <c r="BD62" i="1"/>
  <c r="BC62" i="1"/>
  <c r="BH62" i="1"/>
  <c r="BG62" i="1"/>
  <c r="BF62" i="1"/>
  <c r="AX62" i="1"/>
  <c r="AW62" i="1"/>
  <c r="AV62" i="1"/>
  <c r="AU62" i="1"/>
  <c r="AP62" i="1"/>
  <c r="AZ62" i="1" s="1"/>
  <c r="AO62" i="1"/>
  <c r="AY62" i="1" s="1"/>
  <c r="AN62" i="1"/>
  <c r="AQ62" i="1" l="1"/>
  <c r="AP370" i="1"/>
  <c r="AO370" i="1"/>
  <c r="AN370" i="1"/>
  <c r="AP369" i="1"/>
  <c r="AO369" i="1"/>
  <c r="AN369" i="1"/>
  <c r="AP368" i="1"/>
  <c r="AO368" i="1"/>
  <c r="AN368" i="1"/>
  <c r="AP367" i="1"/>
  <c r="AO367" i="1"/>
  <c r="AN367" i="1"/>
  <c r="AP366" i="1"/>
  <c r="AO366" i="1"/>
  <c r="AN366" i="1"/>
  <c r="AP365" i="1"/>
  <c r="AO365" i="1"/>
  <c r="AN365" i="1"/>
  <c r="AP364" i="1"/>
  <c r="AO364" i="1"/>
  <c r="AN364" i="1"/>
  <c r="AP363" i="1"/>
  <c r="AO363" i="1"/>
  <c r="AN363" i="1"/>
  <c r="AP362" i="1"/>
  <c r="AO362" i="1"/>
  <c r="AN362" i="1"/>
  <c r="AP361" i="1"/>
  <c r="AO361" i="1"/>
  <c r="AN361" i="1"/>
  <c r="AP360" i="1"/>
  <c r="AO360" i="1"/>
  <c r="AN360" i="1"/>
  <c r="AP359" i="1"/>
  <c r="AO359" i="1"/>
  <c r="AN359" i="1"/>
  <c r="AP358" i="1"/>
  <c r="AO358" i="1"/>
  <c r="AN358" i="1"/>
  <c r="AP357" i="1"/>
  <c r="AO357" i="1"/>
  <c r="AN357" i="1"/>
  <c r="AP356" i="1"/>
  <c r="AO356" i="1"/>
  <c r="AN356" i="1"/>
  <c r="AP355" i="1"/>
  <c r="AO355" i="1"/>
  <c r="AN355" i="1"/>
  <c r="AP354" i="1"/>
  <c r="AO354" i="1"/>
  <c r="AN354" i="1"/>
  <c r="AP353" i="1"/>
  <c r="AO353" i="1"/>
  <c r="AN353" i="1"/>
  <c r="AP352" i="1"/>
  <c r="AO352" i="1"/>
  <c r="AN352" i="1"/>
  <c r="AP351" i="1"/>
  <c r="AO351" i="1"/>
  <c r="AN351" i="1"/>
  <c r="AP350" i="1"/>
  <c r="AO350" i="1"/>
  <c r="AN350" i="1"/>
  <c r="AP349" i="1"/>
  <c r="AO349" i="1"/>
  <c r="AN349" i="1"/>
  <c r="AP348" i="1"/>
  <c r="AO348" i="1"/>
  <c r="AN348" i="1"/>
  <c r="AP347" i="1"/>
  <c r="AO347" i="1"/>
  <c r="AN347" i="1"/>
  <c r="AP346" i="1"/>
  <c r="AO346" i="1"/>
  <c r="AN346" i="1"/>
  <c r="AP345" i="1"/>
  <c r="AO345" i="1"/>
  <c r="AN345" i="1"/>
  <c r="AP344" i="1"/>
  <c r="AO344" i="1"/>
  <c r="AN344" i="1"/>
  <c r="AP343" i="1"/>
  <c r="AO343" i="1"/>
  <c r="AN343" i="1"/>
  <c r="AP342" i="1"/>
  <c r="AO342" i="1"/>
  <c r="AN342" i="1"/>
  <c r="AP341" i="1"/>
  <c r="AO341" i="1"/>
  <c r="AN341" i="1"/>
  <c r="AP340" i="1"/>
  <c r="AO340" i="1"/>
  <c r="AN340" i="1"/>
  <c r="AP339" i="1"/>
  <c r="AO339" i="1"/>
  <c r="AN339" i="1"/>
  <c r="AP338" i="1"/>
  <c r="AO338" i="1"/>
  <c r="AN338" i="1"/>
  <c r="AP337" i="1"/>
  <c r="AO337" i="1"/>
  <c r="AN337" i="1"/>
  <c r="AP336" i="1"/>
  <c r="AO336" i="1"/>
  <c r="AN336" i="1"/>
  <c r="AP335" i="1"/>
  <c r="AO335" i="1"/>
  <c r="AN335" i="1"/>
  <c r="AP334" i="1"/>
  <c r="AO334" i="1"/>
  <c r="AN334" i="1"/>
  <c r="AP333" i="1"/>
  <c r="AO333" i="1"/>
  <c r="AN333" i="1"/>
  <c r="AP332" i="1"/>
  <c r="AO332" i="1"/>
  <c r="AN332" i="1"/>
  <c r="AP331" i="1"/>
  <c r="AO331" i="1"/>
  <c r="AN331" i="1"/>
  <c r="AP330" i="1"/>
  <c r="AO330" i="1"/>
  <c r="AN330" i="1"/>
  <c r="AP329" i="1"/>
  <c r="AO329" i="1"/>
  <c r="AN329" i="1"/>
  <c r="AP328" i="1"/>
  <c r="AO328" i="1"/>
  <c r="AN328" i="1"/>
  <c r="AP327" i="1"/>
  <c r="AO327" i="1"/>
  <c r="AN327" i="1"/>
  <c r="AP326" i="1"/>
  <c r="AO326" i="1"/>
  <c r="AN326" i="1"/>
  <c r="AP325" i="1"/>
  <c r="AO325" i="1"/>
  <c r="AN325" i="1"/>
  <c r="AP324" i="1"/>
  <c r="AO324" i="1"/>
  <c r="AN324" i="1"/>
  <c r="AP323" i="1"/>
  <c r="AO323" i="1"/>
  <c r="AN323" i="1"/>
  <c r="AP322" i="1"/>
  <c r="AO322" i="1"/>
  <c r="AN322" i="1"/>
  <c r="AP321" i="1"/>
  <c r="AO321" i="1"/>
  <c r="AN321" i="1"/>
  <c r="AP320" i="1"/>
  <c r="AO320" i="1"/>
  <c r="AN320" i="1"/>
  <c r="AP319" i="1"/>
  <c r="AO319" i="1"/>
  <c r="AN319" i="1"/>
  <c r="AP318" i="1"/>
  <c r="AO318" i="1"/>
  <c r="AN318" i="1"/>
  <c r="AP317" i="1"/>
  <c r="AO317" i="1"/>
  <c r="AN317" i="1"/>
  <c r="AP316" i="1"/>
  <c r="AO316" i="1"/>
  <c r="AN316" i="1"/>
  <c r="AP315" i="1"/>
  <c r="AO315" i="1"/>
  <c r="AN315" i="1"/>
  <c r="AP314" i="1"/>
  <c r="AO314" i="1"/>
  <c r="AN314" i="1"/>
  <c r="AP313" i="1"/>
  <c r="AO313" i="1"/>
  <c r="AN313" i="1"/>
  <c r="AP312" i="1"/>
  <c r="AO312" i="1"/>
  <c r="AN312" i="1"/>
  <c r="AP311" i="1"/>
  <c r="AO311" i="1"/>
  <c r="AN311" i="1"/>
  <c r="AP310" i="1"/>
  <c r="AO310" i="1"/>
  <c r="AN310" i="1"/>
  <c r="AP309" i="1"/>
  <c r="AO309" i="1"/>
  <c r="AN309" i="1"/>
  <c r="AP308" i="1"/>
  <c r="AO308" i="1"/>
  <c r="AN308" i="1"/>
  <c r="AP307" i="1"/>
  <c r="AO307" i="1"/>
  <c r="AN307" i="1"/>
  <c r="AP306" i="1"/>
  <c r="AO306" i="1"/>
  <c r="AN306" i="1"/>
  <c r="AP305" i="1"/>
  <c r="AO305" i="1"/>
  <c r="AN305" i="1"/>
  <c r="AP304" i="1"/>
  <c r="AO304" i="1"/>
  <c r="AN304" i="1"/>
  <c r="AP303" i="1"/>
  <c r="AO303" i="1"/>
  <c r="AN303" i="1"/>
  <c r="AP302" i="1"/>
  <c r="AO302" i="1"/>
  <c r="AN302" i="1"/>
  <c r="AP301" i="1"/>
  <c r="AO301" i="1"/>
  <c r="AN301" i="1"/>
  <c r="AP300" i="1"/>
  <c r="AO300" i="1"/>
  <c r="AN300" i="1"/>
  <c r="AP299" i="1"/>
  <c r="AO299" i="1"/>
  <c r="AN299" i="1"/>
  <c r="AP298" i="1"/>
  <c r="AO298" i="1"/>
  <c r="AN298" i="1"/>
  <c r="AP297" i="1"/>
  <c r="AO297" i="1"/>
  <c r="AN297" i="1"/>
  <c r="AP296" i="1"/>
  <c r="AO296" i="1"/>
  <c r="AN296" i="1"/>
  <c r="AP295" i="1"/>
  <c r="AO295" i="1"/>
  <c r="AN295" i="1"/>
  <c r="AP294" i="1"/>
  <c r="AO294" i="1"/>
  <c r="AN294" i="1"/>
  <c r="AP293" i="1"/>
  <c r="AO293" i="1"/>
  <c r="AN293" i="1"/>
  <c r="AP292" i="1"/>
  <c r="AO292" i="1"/>
  <c r="AN292" i="1"/>
  <c r="AP291" i="1"/>
  <c r="AO291" i="1"/>
  <c r="AN291" i="1"/>
  <c r="AP290" i="1"/>
  <c r="AO290" i="1"/>
  <c r="AN290" i="1"/>
  <c r="AP289" i="1"/>
  <c r="AO289" i="1"/>
  <c r="AN289" i="1"/>
  <c r="AP288" i="1"/>
  <c r="AO288" i="1"/>
  <c r="AN288" i="1"/>
  <c r="AP287" i="1"/>
  <c r="AO287" i="1"/>
  <c r="AN287" i="1"/>
  <c r="AP286" i="1"/>
  <c r="AO286" i="1"/>
  <c r="AN286" i="1"/>
  <c r="AP285" i="1"/>
  <c r="AO285" i="1"/>
  <c r="AN285" i="1"/>
  <c r="AP284" i="1"/>
  <c r="AO284" i="1"/>
  <c r="AN284" i="1"/>
  <c r="AP283" i="1"/>
  <c r="AO283" i="1"/>
  <c r="AN283" i="1"/>
  <c r="AP282" i="1"/>
  <c r="AO282" i="1"/>
  <c r="AN282" i="1"/>
  <c r="AP281" i="1"/>
  <c r="AO281" i="1"/>
  <c r="AN281" i="1"/>
  <c r="AP280" i="1"/>
  <c r="AO280" i="1"/>
  <c r="AN280" i="1"/>
  <c r="AP279" i="1"/>
  <c r="AO279" i="1"/>
  <c r="AN279" i="1"/>
  <c r="AP278" i="1"/>
  <c r="AO278" i="1"/>
  <c r="AN278" i="1"/>
  <c r="AP277" i="1"/>
  <c r="AO277" i="1"/>
  <c r="AN277" i="1"/>
  <c r="AP276" i="1"/>
  <c r="AO276" i="1"/>
  <c r="AN276" i="1"/>
  <c r="AP275" i="1"/>
  <c r="AO275" i="1"/>
  <c r="AN275" i="1"/>
  <c r="AP274" i="1"/>
  <c r="AO274" i="1"/>
  <c r="AN274" i="1"/>
  <c r="AP273" i="1"/>
  <c r="AO273" i="1"/>
  <c r="AN273" i="1"/>
  <c r="AP272" i="1"/>
  <c r="AO272" i="1"/>
  <c r="AN272" i="1"/>
  <c r="AP271" i="1"/>
  <c r="AO271" i="1"/>
  <c r="AN271" i="1"/>
  <c r="AP270" i="1"/>
  <c r="AO270" i="1"/>
  <c r="AN270" i="1"/>
  <c r="AP269" i="1"/>
  <c r="AO269" i="1"/>
  <c r="AN269" i="1"/>
  <c r="AP268" i="1"/>
  <c r="AO268" i="1"/>
  <c r="AN268" i="1"/>
  <c r="AP267" i="1"/>
  <c r="AO267" i="1"/>
  <c r="AN267" i="1"/>
  <c r="AP266" i="1"/>
  <c r="AO266" i="1"/>
  <c r="AN266" i="1"/>
  <c r="AP265" i="1"/>
  <c r="AO265" i="1"/>
  <c r="AN265" i="1"/>
  <c r="AP264" i="1"/>
  <c r="AO264" i="1"/>
  <c r="AN264" i="1"/>
  <c r="AP263" i="1"/>
  <c r="AO263" i="1"/>
  <c r="AN263" i="1"/>
  <c r="AP262" i="1"/>
  <c r="AO262" i="1"/>
  <c r="AN262" i="1"/>
  <c r="AP261" i="1"/>
  <c r="AO261" i="1"/>
  <c r="AN261" i="1"/>
  <c r="AP260" i="1"/>
  <c r="AO260" i="1"/>
  <c r="AN260" i="1"/>
  <c r="AP259" i="1"/>
  <c r="AO259" i="1"/>
  <c r="AN259" i="1"/>
  <c r="AP258" i="1"/>
  <c r="AO258" i="1"/>
  <c r="AN258" i="1"/>
  <c r="AP257" i="1"/>
  <c r="AO257" i="1"/>
  <c r="AN257" i="1"/>
  <c r="AP256" i="1"/>
  <c r="AO256" i="1"/>
  <c r="AN256" i="1"/>
  <c r="AP255" i="1"/>
  <c r="AO255" i="1"/>
  <c r="AN255" i="1"/>
  <c r="AP254" i="1"/>
  <c r="AO254" i="1"/>
  <c r="AN254" i="1"/>
  <c r="AP253" i="1"/>
  <c r="AO253" i="1"/>
  <c r="AN253" i="1"/>
  <c r="AP252" i="1"/>
  <c r="AO252" i="1"/>
  <c r="AN252" i="1"/>
  <c r="AP251" i="1"/>
  <c r="AO251" i="1"/>
  <c r="AN251" i="1"/>
  <c r="AP250" i="1"/>
  <c r="AO250" i="1"/>
  <c r="AN250" i="1"/>
  <c r="AP249" i="1"/>
  <c r="AO249" i="1"/>
  <c r="AN249" i="1"/>
  <c r="AP248" i="1"/>
  <c r="AO248" i="1"/>
  <c r="AN248" i="1"/>
  <c r="AP247" i="1"/>
  <c r="AO247" i="1"/>
  <c r="AN247" i="1"/>
  <c r="AP246" i="1"/>
  <c r="AO246" i="1"/>
  <c r="AN246" i="1"/>
  <c r="AP245" i="1"/>
  <c r="AO245" i="1"/>
  <c r="AN245" i="1"/>
  <c r="AP244" i="1"/>
  <c r="AO244" i="1"/>
  <c r="AN244" i="1"/>
  <c r="AP243" i="1"/>
  <c r="AO243" i="1"/>
  <c r="AN243" i="1"/>
  <c r="AP242" i="1"/>
  <c r="AO242" i="1"/>
  <c r="AN242" i="1"/>
  <c r="AP241" i="1"/>
  <c r="AO241" i="1"/>
  <c r="AN241" i="1"/>
  <c r="AP240" i="1"/>
  <c r="AO240" i="1"/>
  <c r="AN240" i="1"/>
  <c r="AP239" i="1"/>
  <c r="AO239" i="1"/>
  <c r="AN239" i="1"/>
  <c r="AP238" i="1"/>
  <c r="AO238" i="1"/>
  <c r="AN238" i="1"/>
  <c r="AP237" i="1"/>
  <c r="AO237" i="1"/>
  <c r="AN237" i="1"/>
  <c r="AP236" i="1"/>
  <c r="AO236" i="1"/>
  <c r="AN236" i="1"/>
  <c r="AP235" i="1"/>
  <c r="AO235" i="1"/>
  <c r="AN235" i="1"/>
  <c r="AP234" i="1"/>
  <c r="AO234" i="1"/>
  <c r="AN234" i="1"/>
  <c r="AP233" i="1"/>
  <c r="AO233" i="1"/>
  <c r="AN233" i="1"/>
  <c r="AP232" i="1"/>
  <c r="AO232" i="1"/>
  <c r="AN232" i="1"/>
  <c r="AP231" i="1"/>
  <c r="AO231" i="1"/>
  <c r="AN231" i="1"/>
  <c r="AP230" i="1"/>
  <c r="AO230" i="1"/>
  <c r="AN230" i="1"/>
  <c r="AP229" i="1"/>
  <c r="AO229" i="1"/>
  <c r="AN229" i="1"/>
  <c r="AP228" i="1"/>
  <c r="AO228" i="1"/>
  <c r="AN228" i="1"/>
  <c r="AP227" i="1"/>
  <c r="AO227" i="1"/>
  <c r="AN227" i="1"/>
  <c r="AP226" i="1"/>
  <c r="AO226" i="1"/>
  <c r="AN226" i="1"/>
  <c r="AP225" i="1"/>
  <c r="AO225" i="1"/>
  <c r="AN225" i="1"/>
  <c r="AP224" i="1"/>
  <c r="AO224" i="1"/>
  <c r="AN224" i="1"/>
  <c r="AP223" i="1"/>
  <c r="AO223" i="1"/>
  <c r="AN223" i="1"/>
  <c r="AP222" i="1"/>
  <c r="AO222" i="1"/>
  <c r="AN222" i="1"/>
  <c r="AP221" i="1"/>
  <c r="AO221" i="1"/>
  <c r="AN221" i="1"/>
  <c r="AP220" i="1"/>
  <c r="AO220" i="1"/>
  <c r="AN220" i="1"/>
  <c r="AP219" i="1"/>
  <c r="AO219" i="1"/>
  <c r="AN219" i="1"/>
  <c r="AP218" i="1"/>
  <c r="AO218" i="1"/>
  <c r="AN218" i="1"/>
  <c r="AP217" i="1"/>
  <c r="AO217" i="1"/>
  <c r="AN217" i="1"/>
  <c r="AP216" i="1"/>
  <c r="AO216" i="1"/>
  <c r="AN216" i="1"/>
  <c r="AP215" i="1"/>
  <c r="AO215" i="1"/>
  <c r="AN215" i="1"/>
  <c r="AP214" i="1"/>
  <c r="AO214" i="1"/>
  <c r="AN214" i="1"/>
  <c r="AP213" i="1"/>
  <c r="AO213" i="1"/>
  <c r="AN213" i="1"/>
  <c r="AP212" i="1"/>
  <c r="AO212" i="1"/>
  <c r="AN212" i="1"/>
  <c r="AP211" i="1"/>
  <c r="AO211" i="1"/>
  <c r="AN211" i="1"/>
  <c r="AP210" i="1"/>
  <c r="AO210" i="1"/>
  <c r="AN210" i="1"/>
  <c r="AP209" i="1"/>
  <c r="AO209" i="1"/>
  <c r="AN209" i="1"/>
  <c r="AP208" i="1"/>
  <c r="AO208" i="1"/>
  <c r="AN208" i="1"/>
  <c r="AP207" i="1"/>
  <c r="AO207" i="1"/>
  <c r="AN207" i="1"/>
  <c r="AP206" i="1"/>
  <c r="AO206" i="1"/>
  <c r="AN206" i="1"/>
  <c r="AP205" i="1"/>
  <c r="AO205" i="1"/>
  <c r="AN205" i="1"/>
  <c r="AP204" i="1"/>
  <c r="AO204" i="1"/>
  <c r="AN204" i="1"/>
  <c r="AP203" i="1"/>
  <c r="AO203" i="1"/>
  <c r="AN203" i="1"/>
  <c r="AP202" i="1"/>
  <c r="AO202" i="1"/>
  <c r="AN202" i="1"/>
  <c r="AP201" i="1"/>
  <c r="AO201" i="1"/>
  <c r="AN201" i="1"/>
  <c r="AP200" i="1"/>
  <c r="AO200" i="1"/>
  <c r="AN200" i="1"/>
  <c r="AP199" i="1"/>
  <c r="AO199" i="1"/>
  <c r="AN199" i="1"/>
  <c r="AP198" i="1"/>
  <c r="AO198" i="1"/>
  <c r="AN198" i="1"/>
  <c r="AP197" i="1"/>
  <c r="AO197" i="1"/>
  <c r="AN197" i="1"/>
  <c r="AP196" i="1"/>
  <c r="AO196" i="1"/>
  <c r="AN196" i="1"/>
  <c r="AP195" i="1"/>
  <c r="AO195" i="1"/>
  <c r="AN195" i="1"/>
  <c r="AP194" i="1"/>
  <c r="AO194" i="1"/>
  <c r="AN194" i="1"/>
  <c r="AP193" i="1"/>
  <c r="AO193" i="1"/>
  <c r="AN193" i="1"/>
  <c r="AP192" i="1"/>
  <c r="AO192" i="1"/>
  <c r="AN192" i="1"/>
  <c r="AP191" i="1"/>
  <c r="AO191" i="1"/>
  <c r="AN191" i="1"/>
  <c r="AP190" i="1"/>
  <c r="AO190" i="1"/>
  <c r="AN190" i="1"/>
  <c r="AP189" i="1"/>
  <c r="AO189" i="1"/>
  <c r="AN189" i="1"/>
  <c r="AP188" i="1"/>
  <c r="AO188" i="1"/>
  <c r="AN188" i="1"/>
  <c r="AP187" i="1"/>
  <c r="AO187" i="1"/>
  <c r="AN187" i="1"/>
  <c r="AP186" i="1"/>
  <c r="AO186" i="1"/>
  <c r="AN186" i="1"/>
  <c r="AP185" i="1"/>
  <c r="AO185" i="1"/>
  <c r="AN185" i="1"/>
  <c r="AP184" i="1"/>
  <c r="AO184" i="1"/>
  <c r="AN184" i="1"/>
  <c r="AP183" i="1"/>
  <c r="AO183" i="1"/>
  <c r="AN183" i="1"/>
  <c r="AP182" i="1"/>
  <c r="AO182" i="1"/>
  <c r="AN182" i="1"/>
  <c r="AP181" i="1"/>
  <c r="AO181" i="1"/>
  <c r="AN181" i="1"/>
  <c r="AP180" i="1"/>
  <c r="AO180" i="1"/>
  <c r="AN180" i="1"/>
  <c r="AP179" i="1"/>
  <c r="AO179" i="1"/>
  <c r="AN179" i="1"/>
  <c r="AP178" i="1"/>
  <c r="AO178" i="1"/>
  <c r="AN178" i="1"/>
  <c r="AP177" i="1"/>
  <c r="AO177" i="1"/>
  <c r="AN177" i="1"/>
  <c r="AP176" i="1"/>
  <c r="AO176" i="1"/>
  <c r="AN176" i="1"/>
  <c r="AP175" i="1"/>
  <c r="AO175" i="1"/>
  <c r="AN175" i="1"/>
  <c r="AP174" i="1"/>
  <c r="AO174" i="1"/>
  <c r="AN174" i="1"/>
  <c r="AP173" i="1"/>
  <c r="AO173" i="1"/>
  <c r="AN173" i="1"/>
  <c r="AP172" i="1"/>
  <c r="AO172" i="1"/>
  <c r="AN172" i="1"/>
  <c r="AP171" i="1"/>
  <c r="AO171" i="1"/>
  <c r="AN171" i="1"/>
  <c r="AP170" i="1"/>
  <c r="AO170" i="1"/>
  <c r="AN170" i="1"/>
  <c r="AP169" i="1"/>
  <c r="AO169" i="1"/>
  <c r="AN169" i="1"/>
  <c r="AP168" i="1"/>
  <c r="AO168" i="1"/>
  <c r="AN168" i="1"/>
  <c r="AP167" i="1"/>
  <c r="AO167" i="1"/>
  <c r="AN167" i="1"/>
  <c r="AP166" i="1"/>
  <c r="AO166" i="1"/>
  <c r="AN166" i="1"/>
  <c r="AP165" i="1"/>
  <c r="AO165" i="1"/>
  <c r="AN165" i="1"/>
  <c r="AP164" i="1"/>
  <c r="AO164" i="1"/>
  <c r="AN164" i="1"/>
  <c r="AP163" i="1"/>
  <c r="AO163" i="1"/>
  <c r="AN163" i="1"/>
  <c r="AP162" i="1"/>
  <c r="AO162" i="1"/>
  <c r="AN162" i="1"/>
  <c r="AP161" i="1"/>
  <c r="AO161" i="1"/>
  <c r="AN161" i="1"/>
  <c r="AP160" i="1"/>
  <c r="AO160" i="1"/>
  <c r="AN160" i="1"/>
  <c r="AP159" i="1"/>
  <c r="AO159" i="1"/>
  <c r="AN159" i="1"/>
  <c r="AP158" i="1"/>
  <c r="AO158" i="1"/>
  <c r="AN158" i="1"/>
  <c r="AP157" i="1"/>
  <c r="AO157" i="1"/>
  <c r="AN157" i="1"/>
  <c r="AP156" i="1"/>
  <c r="AO156" i="1"/>
  <c r="AN156" i="1"/>
  <c r="AP155" i="1"/>
  <c r="AO155" i="1"/>
  <c r="AN155" i="1"/>
  <c r="AP154" i="1"/>
  <c r="AO154" i="1"/>
  <c r="AN154" i="1"/>
  <c r="AP153" i="1"/>
  <c r="AO153" i="1"/>
  <c r="AN153" i="1"/>
  <c r="AP152" i="1"/>
  <c r="AO152" i="1"/>
  <c r="AN152" i="1"/>
  <c r="AP151" i="1"/>
  <c r="AO151" i="1"/>
  <c r="AN151" i="1"/>
  <c r="AP150" i="1"/>
  <c r="AO150" i="1"/>
  <c r="AN150" i="1"/>
  <c r="AP149" i="1"/>
  <c r="AO149" i="1"/>
  <c r="AN149" i="1"/>
  <c r="AP148" i="1"/>
  <c r="AO148" i="1"/>
  <c r="AN148" i="1"/>
  <c r="AP147" i="1"/>
  <c r="AO147" i="1"/>
  <c r="AN147" i="1"/>
  <c r="AP146" i="1"/>
  <c r="AO146" i="1"/>
  <c r="AN146" i="1"/>
  <c r="AP145" i="1"/>
  <c r="AO145" i="1"/>
  <c r="AN145" i="1"/>
  <c r="AP144" i="1"/>
  <c r="AO144" i="1"/>
  <c r="AN144" i="1"/>
  <c r="AP143" i="1"/>
  <c r="AO143" i="1"/>
  <c r="AN143" i="1"/>
  <c r="AP142" i="1"/>
  <c r="AO142" i="1"/>
  <c r="AN142" i="1"/>
  <c r="AP141" i="1"/>
  <c r="AO141" i="1"/>
  <c r="AN141" i="1"/>
  <c r="AP140" i="1"/>
  <c r="AO140" i="1"/>
  <c r="AN140" i="1"/>
  <c r="AP139" i="1"/>
  <c r="AO139" i="1"/>
  <c r="AN139" i="1"/>
  <c r="AP138" i="1"/>
  <c r="AO138" i="1"/>
  <c r="AN138" i="1"/>
  <c r="AP137" i="1"/>
  <c r="AO137" i="1"/>
  <c r="AN137" i="1"/>
  <c r="AP136" i="1"/>
  <c r="AO136" i="1"/>
  <c r="AN136" i="1"/>
  <c r="AP135" i="1"/>
  <c r="AO135" i="1"/>
  <c r="AN135" i="1"/>
  <c r="AP134" i="1"/>
  <c r="AO134" i="1"/>
  <c r="AN134" i="1"/>
  <c r="AP133" i="1"/>
  <c r="AO133" i="1"/>
  <c r="AN133" i="1"/>
  <c r="AP132" i="1"/>
  <c r="AO132" i="1"/>
  <c r="AN132" i="1"/>
  <c r="AP131" i="1"/>
  <c r="AO131" i="1"/>
  <c r="AN131" i="1"/>
  <c r="AP130" i="1"/>
  <c r="AO130" i="1"/>
  <c r="AN130" i="1"/>
  <c r="AP129" i="1"/>
  <c r="AO129" i="1"/>
  <c r="AN129" i="1"/>
  <c r="AP128" i="1"/>
  <c r="AO128" i="1"/>
  <c r="AN128" i="1"/>
  <c r="AP127" i="1"/>
  <c r="AO127" i="1"/>
  <c r="AN127" i="1"/>
  <c r="AP126" i="1"/>
  <c r="AO126" i="1"/>
  <c r="AN126" i="1"/>
  <c r="AP125" i="1"/>
  <c r="AO125" i="1"/>
  <c r="AN125" i="1"/>
  <c r="AP124" i="1"/>
  <c r="AO124" i="1"/>
  <c r="AN124" i="1"/>
  <c r="AP123" i="1"/>
  <c r="AO123" i="1"/>
  <c r="AN123" i="1"/>
  <c r="AP122" i="1"/>
  <c r="AO122" i="1"/>
  <c r="AN122" i="1"/>
  <c r="AP121" i="1"/>
  <c r="AO121" i="1"/>
  <c r="AN121" i="1"/>
  <c r="AP120" i="1"/>
  <c r="AO120" i="1"/>
  <c r="AN120" i="1"/>
  <c r="AP119" i="1"/>
  <c r="AO119" i="1"/>
  <c r="AN119" i="1"/>
  <c r="AP118" i="1"/>
  <c r="AO118" i="1"/>
  <c r="AN118" i="1"/>
  <c r="AP117" i="1"/>
  <c r="AO117" i="1"/>
  <c r="AN117" i="1"/>
  <c r="AP116" i="1"/>
  <c r="AO116" i="1"/>
  <c r="AN116" i="1"/>
  <c r="AP115" i="1"/>
  <c r="AO115" i="1"/>
  <c r="AN115" i="1"/>
  <c r="AP114" i="1"/>
  <c r="AO114" i="1"/>
  <c r="AN114" i="1"/>
  <c r="AP113" i="1"/>
  <c r="AO113" i="1"/>
  <c r="AN113" i="1"/>
  <c r="AP112" i="1"/>
  <c r="AO112" i="1"/>
  <c r="AN112" i="1"/>
  <c r="AP111" i="1"/>
  <c r="AO111" i="1"/>
  <c r="AN111" i="1"/>
  <c r="AP110" i="1"/>
  <c r="AO110" i="1"/>
  <c r="AN110" i="1"/>
  <c r="AP109" i="1"/>
  <c r="AO109" i="1"/>
  <c r="AN109" i="1"/>
  <c r="AP108" i="1"/>
  <c r="AO108" i="1"/>
  <c r="AN108" i="1"/>
  <c r="AP107" i="1"/>
  <c r="AO107" i="1"/>
  <c r="AN107" i="1"/>
  <c r="AP106" i="1"/>
  <c r="AO106" i="1"/>
  <c r="AN106" i="1"/>
  <c r="AP105" i="1"/>
  <c r="AO105" i="1"/>
  <c r="AN105" i="1"/>
  <c r="AP104" i="1"/>
  <c r="AO104" i="1"/>
  <c r="AN104" i="1"/>
  <c r="AP103" i="1"/>
  <c r="AO103" i="1"/>
  <c r="AN103" i="1"/>
  <c r="AP102" i="1"/>
  <c r="AO102" i="1"/>
  <c r="AN102" i="1"/>
  <c r="AP101" i="1"/>
  <c r="AO101" i="1"/>
  <c r="AN101" i="1"/>
  <c r="AP100" i="1"/>
  <c r="AO100" i="1"/>
  <c r="AN100" i="1"/>
  <c r="AP99" i="1"/>
  <c r="AO99" i="1"/>
  <c r="AN99" i="1"/>
  <c r="AP98" i="1"/>
  <c r="AO98" i="1"/>
  <c r="AN98" i="1"/>
  <c r="AP97" i="1"/>
  <c r="AO97" i="1"/>
  <c r="AN97" i="1"/>
  <c r="AP96" i="1"/>
  <c r="AO96" i="1"/>
  <c r="AN96" i="1"/>
  <c r="AP95" i="1"/>
  <c r="AO95" i="1"/>
  <c r="AN95" i="1"/>
  <c r="AP94" i="1"/>
  <c r="AO94" i="1"/>
  <c r="AN94" i="1"/>
  <c r="AP93" i="1"/>
  <c r="AO93" i="1"/>
  <c r="AN93" i="1"/>
  <c r="AP92" i="1"/>
  <c r="AO92" i="1"/>
  <c r="AN92" i="1"/>
  <c r="AP91" i="1"/>
  <c r="AO91" i="1"/>
  <c r="AN91" i="1"/>
  <c r="AP90" i="1"/>
  <c r="AO90" i="1"/>
  <c r="AN90" i="1"/>
  <c r="AP89" i="1"/>
  <c r="AO89" i="1"/>
  <c r="AN89" i="1"/>
  <c r="AP88" i="1"/>
  <c r="AO88" i="1"/>
  <c r="AN88" i="1"/>
  <c r="AP87" i="1"/>
  <c r="AO87" i="1"/>
  <c r="AN87" i="1"/>
  <c r="AP86" i="1"/>
  <c r="AO86" i="1"/>
  <c r="AN86" i="1"/>
  <c r="AP85" i="1"/>
  <c r="AO85" i="1"/>
  <c r="AN85" i="1"/>
  <c r="AP84" i="1"/>
  <c r="AO84" i="1"/>
  <c r="AN84" i="1"/>
  <c r="AP83" i="1"/>
  <c r="AO83" i="1"/>
  <c r="AN83" i="1"/>
  <c r="AP82" i="1"/>
  <c r="AO82" i="1"/>
  <c r="AN82" i="1"/>
  <c r="AP81" i="1"/>
  <c r="AO81" i="1"/>
  <c r="AN81" i="1"/>
  <c r="AP80" i="1"/>
  <c r="AO80" i="1"/>
  <c r="AN80" i="1"/>
  <c r="AP79" i="1"/>
  <c r="AO79" i="1"/>
  <c r="AN79" i="1"/>
  <c r="AP78" i="1"/>
  <c r="AO78" i="1"/>
  <c r="AN78" i="1"/>
  <c r="AP77" i="1"/>
  <c r="AO77" i="1"/>
  <c r="AN77" i="1"/>
  <c r="AP76" i="1"/>
  <c r="AO76" i="1"/>
  <c r="AN76" i="1"/>
  <c r="AP75" i="1"/>
  <c r="AO75" i="1"/>
  <c r="AN75" i="1"/>
  <c r="AP74" i="1"/>
  <c r="AO74" i="1"/>
  <c r="AN74" i="1"/>
  <c r="AP73" i="1"/>
  <c r="AO73" i="1"/>
  <c r="AN73" i="1"/>
  <c r="AP72" i="1"/>
  <c r="AO72" i="1"/>
  <c r="AN72" i="1"/>
  <c r="AP71" i="1"/>
  <c r="AO71" i="1"/>
  <c r="AN71" i="1"/>
  <c r="AP70" i="1"/>
  <c r="AO70" i="1"/>
  <c r="AN70" i="1"/>
  <c r="AP69" i="1"/>
  <c r="AO69" i="1"/>
  <c r="AN69" i="1"/>
  <c r="AP68" i="1"/>
  <c r="AO68" i="1"/>
  <c r="AN68" i="1"/>
  <c r="AP67" i="1"/>
  <c r="AO67" i="1"/>
  <c r="AN67" i="1"/>
  <c r="AP66" i="1"/>
  <c r="AO66" i="1"/>
  <c r="AN66" i="1"/>
  <c r="AP65" i="1"/>
  <c r="AO65" i="1"/>
  <c r="AN65" i="1"/>
  <c r="AP64" i="1"/>
  <c r="AO64" i="1"/>
  <c r="AN64" i="1"/>
  <c r="AP63" i="1"/>
  <c r="AO63" i="1"/>
  <c r="AN63" i="1"/>
  <c r="AP61" i="1"/>
  <c r="AO61" i="1"/>
  <c r="AN61" i="1"/>
  <c r="AP60" i="1"/>
  <c r="AO60" i="1"/>
  <c r="AN60" i="1"/>
  <c r="AP59" i="1"/>
  <c r="AO59" i="1"/>
  <c r="AN59" i="1"/>
  <c r="AP58" i="1"/>
  <c r="AO58" i="1"/>
  <c r="AN58" i="1"/>
  <c r="AP57" i="1"/>
  <c r="AO57" i="1"/>
  <c r="AN57" i="1"/>
  <c r="AP56" i="1"/>
  <c r="AO56" i="1"/>
  <c r="AN56" i="1"/>
  <c r="AP55" i="1"/>
  <c r="AO55" i="1"/>
  <c r="AN55" i="1"/>
  <c r="AP54" i="1"/>
  <c r="AO54" i="1"/>
  <c r="AN54" i="1"/>
  <c r="AP53" i="1"/>
  <c r="AO53" i="1"/>
  <c r="AN53" i="1"/>
  <c r="AP52" i="1"/>
  <c r="AO52" i="1"/>
  <c r="AN52" i="1"/>
  <c r="AP51" i="1"/>
  <c r="AO51" i="1"/>
  <c r="AN51" i="1"/>
  <c r="AP50" i="1"/>
  <c r="AO50" i="1"/>
  <c r="AN50" i="1"/>
  <c r="AP49" i="1"/>
  <c r="AO49" i="1"/>
  <c r="AN49" i="1"/>
  <c r="AP48" i="1"/>
  <c r="AO48" i="1"/>
  <c r="AN48" i="1"/>
  <c r="AP47" i="1"/>
  <c r="AO47" i="1"/>
  <c r="AN47" i="1"/>
  <c r="AP46" i="1"/>
  <c r="AO46" i="1"/>
  <c r="AN46" i="1"/>
  <c r="AP45" i="1"/>
  <c r="AO45" i="1"/>
  <c r="AN45" i="1"/>
  <c r="AP44" i="1"/>
  <c r="AO44" i="1"/>
  <c r="AN44" i="1"/>
  <c r="AP43" i="1"/>
  <c r="AO43" i="1"/>
  <c r="AN43" i="1"/>
  <c r="AP42" i="1"/>
  <c r="AO42" i="1"/>
  <c r="AN42" i="1"/>
  <c r="AP41" i="1"/>
  <c r="AO41" i="1"/>
  <c r="AN41" i="1"/>
  <c r="AP40" i="1"/>
  <c r="AO40" i="1"/>
  <c r="AN40" i="1"/>
  <c r="AP39" i="1"/>
  <c r="AO39" i="1"/>
  <c r="AN39" i="1"/>
  <c r="AP38" i="1"/>
  <c r="AO38" i="1"/>
  <c r="AN38" i="1"/>
  <c r="AP37" i="1"/>
  <c r="AO37" i="1"/>
  <c r="AN37" i="1"/>
  <c r="AP36" i="1"/>
  <c r="AO36" i="1"/>
  <c r="AN36" i="1"/>
  <c r="AP35" i="1"/>
  <c r="AO35" i="1"/>
  <c r="AN35" i="1"/>
  <c r="AP34" i="1"/>
  <c r="AO34" i="1"/>
  <c r="AN34" i="1"/>
  <c r="AP33" i="1"/>
  <c r="AO33" i="1"/>
  <c r="AN33" i="1"/>
  <c r="AP32" i="1"/>
  <c r="AO32" i="1"/>
  <c r="AN32" i="1"/>
  <c r="AP31" i="1"/>
  <c r="AO31" i="1"/>
  <c r="AN31" i="1"/>
  <c r="AP30" i="1"/>
  <c r="AO30" i="1"/>
  <c r="AN30" i="1"/>
  <c r="AP29" i="1"/>
  <c r="AO29" i="1"/>
  <c r="AN29" i="1"/>
  <c r="AP28" i="1"/>
  <c r="AO28" i="1"/>
  <c r="AN28" i="1"/>
  <c r="AP27" i="1"/>
  <c r="AO27" i="1"/>
  <c r="AN27" i="1"/>
  <c r="AP26" i="1"/>
  <c r="AO26" i="1"/>
  <c r="AN26" i="1"/>
  <c r="AP25" i="1"/>
  <c r="AO25" i="1"/>
  <c r="AN25" i="1"/>
  <c r="AP24" i="1"/>
  <c r="AO24" i="1"/>
  <c r="AN24" i="1"/>
  <c r="AP23" i="1"/>
  <c r="AO23" i="1"/>
  <c r="AN23" i="1"/>
  <c r="AP22" i="1"/>
  <c r="AO22" i="1"/>
  <c r="AN22" i="1"/>
  <c r="AP21" i="1"/>
  <c r="AO21" i="1"/>
  <c r="AN21" i="1"/>
  <c r="AP20" i="1"/>
  <c r="AO20" i="1"/>
  <c r="AN20" i="1"/>
  <c r="AP19" i="1"/>
  <c r="AO19" i="1"/>
  <c r="AN19" i="1"/>
  <c r="AP18" i="1"/>
  <c r="AO18" i="1"/>
  <c r="AN18" i="1"/>
  <c r="AP17" i="1"/>
  <c r="AO17" i="1"/>
  <c r="AN17" i="1"/>
  <c r="AP16" i="1"/>
  <c r="AO16" i="1"/>
  <c r="AN16" i="1"/>
  <c r="AP15" i="1"/>
  <c r="AO15" i="1"/>
  <c r="AN15" i="1"/>
  <c r="AP14" i="1"/>
  <c r="AO14" i="1"/>
  <c r="AN14" i="1"/>
  <c r="AP13" i="1"/>
  <c r="AO13" i="1"/>
  <c r="AN13" i="1"/>
  <c r="AP12" i="1"/>
  <c r="AO12" i="1"/>
  <c r="AN12" i="1"/>
  <c r="AP11" i="1"/>
  <c r="AO11" i="1"/>
  <c r="AN11" i="1"/>
  <c r="AP10" i="1"/>
  <c r="AO10" i="1"/>
  <c r="AN10" i="1"/>
  <c r="AP9" i="1"/>
  <c r="AO9" i="1"/>
  <c r="AN9" i="1"/>
  <c r="AP8" i="1"/>
  <c r="AO8" i="1"/>
  <c r="AN8" i="1"/>
  <c r="AP7" i="1"/>
  <c r="AO7" i="1"/>
  <c r="AN7" i="1"/>
  <c r="AO6" i="1"/>
  <c r="AP6" i="1"/>
  <c r="AN6" i="1"/>
  <c r="BE370" i="1"/>
  <c r="BD370" i="1"/>
  <c r="BC370" i="1"/>
  <c r="BE369" i="1"/>
  <c r="BD369" i="1"/>
  <c r="BC369" i="1"/>
  <c r="BE368" i="1"/>
  <c r="BD368" i="1"/>
  <c r="BC368" i="1"/>
  <c r="BE367" i="1"/>
  <c r="BD367" i="1"/>
  <c r="BC367" i="1"/>
  <c r="BE366" i="1"/>
  <c r="BD366" i="1"/>
  <c r="BC366" i="1"/>
  <c r="BE365" i="1"/>
  <c r="BD365" i="1"/>
  <c r="BC365" i="1"/>
  <c r="BE364" i="1"/>
  <c r="BD364" i="1"/>
  <c r="BC364" i="1"/>
  <c r="BE363" i="1"/>
  <c r="BD363" i="1"/>
  <c r="BC363" i="1"/>
  <c r="BE362" i="1"/>
  <c r="BD362" i="1"/>
  <c r="BC362" i="1"/>
  <c r="BE361" i="1"/>
  <c r="BD361" i="1"/>
  <c r="BC361" i="1"/>
  <c r="BE360" i="1"/>
  <c r="BD360" i="1"/>
  <c r="BC360" i="1"/>
  <c r="BE359" i="1"/>
  <c r="BD359" i="1"/>
  <c r="BC359" i="1"/>
  <c r="BE358" i="1"/>
  <c r="BD358" i="1"/>
  <c r="BC358" i="1"/>
  <c r="BE357" i="1"/>
  <c r="BD357" i="1"/>
  <c r="BC357" i="1"/>
  <c r="BE356" i="1"/>
  <c r="BD356" i="1"/>
  <c r="BC356" i="1"/>
  <c r="BE355" i="1"/>
  <c r="BD355" i="1"/>
  <c r="BC355" i="1"/>
  <c r="BE354" i="1"/>
  <c r="BD354" i="1"/>
  <c r="BC354" i="1"/>
  <c r="BE353" i="1"/>
  <c r="BD353" i="1"/>
  <c r="BC353" i="1"/>
  <c r="BE352" i="1"/>
  <c r="BD352" i="1"/>
  <c r="BC352" i="1"/>
  <c r="BE351" i="1"/>
  <c r="BD351" i="1"/>
  <c r="BC351" i="1"/>
  <c r="BE350" i="1"/>
  <c r="BD350" i="1"/>
  <c r="BC350" i="1"/>
  <c r="BE349" i="1"/>
  <c r="BD349" i="1"/>
  <c r="BC349" i="1"/>
  <c r="BE348" i="1"/>
  <c r="BD348" i="1"/>
  <c r="BC348" i="1"/>
  <c r="BE347" i="1"/>
  <c r="BD347" i="1"/>
  <c r="BC347" i="1"/>
  <c r="BE346" i="1"/>
  <c r="BD346" i="1"/>
  <c r="BC346" i="1"/>
  <c r="BE345" i="1"/>
  <c r="BD345" i="1"/>
  <c r="BC345" i="1"/>
  <c r="BE344" i="1"/>
  <c r="BD344" i="1"/>
  <c r="BC344" i="1"/>
  <c r="BE343" i="1"/>
  <c r="BD343" i="1"/>
  <c r="BC343" i="1"/>
  <c r="BE342" i="1"/>
  <c r="BD342" i="1"/>
  <c r="BC342" i="1"/>
  <c r="BE341" i="1"/>
  <c r="BD341" i="1"/>
  <c r="BC341" i="1"/>
  <c r="BE340" i="1"/>
  <c r="BD340" i="1"/>
  <c r="BC340" i="1"/>
  <c r="BE339" i="1"/>
  <c r="BD339" i="1"/>
  <c r="BC339" i="1"/>
  <c r="BE338" i="1"/>
  <c r="BD338" i="1"/>
  <c r="BC338" i="1"/>
  <c r="BE337" i="1"/>
  <c r="BD337" i="1"/>
  <c r="BC337" i="1"/>
  <c r="BE336" i="1"/>
  <c r="BD336" i="1"/>
  <c r="BC336" i="1"/>
  <c r="BE335" i="1"/>
  <c r="BD335" i="1"/>
  <c r="BC335" i="1"/>
  <c r="BE334" i="1"/>
  <c r="BD334" i="1"/>
  <c r="BC334" i="1"/>
  <c r="BE333" i="1"/>
  <c r="BD333" i="1"/>
  <c r="BC333" i="1"/>
  <c r="BE332" i="1"/>
  <c r="BD332" i="1"/>
  <c r="BC332" i="1"/>
  <c r="BE331" i="1"/>
  <c r="BD331" i="1"/>
  <c r="BC331" i="1"/>
  <c r="BE330" i="1"/>
  <c r="BD330" i="1"/>
  <c r="BC330" i="1"/>
  <c r="BE329" i="1"/>
  <c r="BD329" i="1"/>
  <c r="BC329" i="1"/>
  <c r="BE328" i="1"/>
  <c r="BD328" i="1"/>
  <c r="BC328" i="1"/>
  <c r="BE327" i="1"/>
  <c r="BD327" i="1"/>
  <c r="BC327" i="1"/>
  <c r="BE326" i="1"/>
  <c r="BD326" i="1"/>
  <c r="BC326" i="1"/>
  <c r="BE325" i="1"/>
  <c r="BD325" i="1"/>
  <c r="BC325" i="1"/>
  <c r="BE324" i="1"/>
  <c r="BD324" i="1"/>
  <c r="BC324" i="1"/>
  <c r="BE323" i="1"/>
  <c r="BD323" i="1"/>
  <c r="BC323" i="1"/>
  <c r="BE322" i="1"/>
  <c r="BD322" i="1"/>
  <c r="BC322" i="1"/>
  <c r="BE321" i="1"/>
  <c r="BD321" i="1"/>
  <c r="BC321" i="1"/>
  <c r="BE320" i="1"/>
  <c r="BD320" i="1"/>
  <c r="BC320" i="1"/>
  <c r="BE319" i="1"/>
  <c r="BD319" i="1"/>
  <c r="BC319" i="1"/>
  <c r="BE318" i="1"/>
  <c r="BD318" i="1"/>
  <c r="BC318" i="1"/>
  <c r="BE317" i="1"/>
  <c r="BD317" i="1"/>
  <c r="BC317" i="1"/>
  <c r="BE316" i="1"/>
  <c r="BD316" i="1"/>
  <c r="BC316" i="1"/>
  <c r="BE315" i="1"/>
  <c r="BD315" i="1"/>
  <c r="BC315" i="1"/>
  <c r="BE314" i="1"/>
  <c r="BD314" i="1"/>
  <c r="BC314" i="1"/>
  <c r="BE313" i="1"/>
  <c r="BD313" i="1"/>
  <c r="BC313" i="1"/>
  <c r="BE312" i="1"/>
  <c r="BD312" i="1"/>
  <c r="BC312" i="1"/>
  <c r="BE311" i="1"/>
  <c r="BD311" i="1"/>
  <c r="BC311" i="1"/>
  <c r="BE310" i="1"/>
  <c r="BD310" i="1"/>
  <c r="BC310" i="1"/>
  <c r="BE309" i="1"/>
  <c r="BD309" i="1"/>
  <c r="BC309" i="1"/>
  <c r="BE308" i="1"/>
  <c r="BD308" i="1"/>
  <c r="BC308" i="1"/>
  <c r="BE307" i="1"/>
  <c r="BD307" i="1"/>
  <c r="BC307" i="1"/>
  <c r="BE306" i="1"/>
  <c r="BD306" i="1"/>
  <c r="BC306" i="1"/>
  <c r="BE305" i="1"/>
  <c r="BD305" i="1"/>
  <c r="BC305" i="1"/>
  <c r="BE304" i="1"/>
  <c r="BD304" i="1"/>
  <c r="BC304" i="1"/>
  <c r="BE303" i="1"/>
  <c r="BD303" i="1"/>
  <c r="BC303" i="1"/>
  <c r="BE302" i="1"/>
  <c r="BD302" i="1"/>
  <c r="BC302" i="1"/>
  <c r="BE301" i="1"/>
  <c r="BD301" i="1"/>
  <c r="BC301" i="1"/>
  <c r="BE300" i="1"/>
  <c r="BD300" i="1"/>
  <c r="BC300" i="1"/>
  <c r="BE299" i="1"/>
  <c r="BD299" i="1"/>
  <c r="BC299" i="1"/>
  <c r="BE298" i="1"/>
  <c r="BD298" i="1"/>
  <c r="BC298" i="1"/>
  <c r="BE297" i="1"/>
  <c r="BD297" i="1"/>
  <c r="BC297" i="1"/>
  <c r="BE296" i="1"/>
  <c r="BD296" i="1"/>
  <c r="BC296" i="1"/>
  <c r="BE295" i="1"/>
  <c r="BD295" i="1"/>
  <c r="BC295" i="1"/>
  <c r="BE294" i="1"/>
  <c r="BD294" i="1"/>
  <c r="BC294" i="1"/>
  <c r="BE293" i="1"/>
  <c r="BD293" i="1"/>
  <c r="BC293" i="1"/>
  <c r="BE292" i="1"/>
  <c r="BD292" i="1"/>
  <c r="BC292" i="1"/>
  <c r="BE291" i="1"/>
  <c r="BD291" i="1"/>
  <c r="BC291" i="1"/>
  <c r="BE290" i="1"/>
  <c r="BD290" i="1"/>
  <c r="BC290" i="1"/>
  <c r="BE289" i="1"/>
  <c r="BD289" i="1"/>
  <c r="BC289" i="1"/>
  <c r="BE288" i="1"/>
  <c r="BD288" i="1"/>
  <c r="BC288" i="1"/>
  <c r="BE287" i="1"/>
  <c r="BD287" i="1"/>
  <c r="BC287" i="1"/>
  <c r="BE286" i="1"/>
  <c r="BD286" i="1"/>
  <c r="BC286" i="1"/>
  <c r="BE285" i="1"/>
  <c r="BD285" i="1"/>
  <c r="BC285" i="1"/>
  <c r="BE284" i="1"/>
  <c r="BD284" i="1"/>
  <c r="BC284" i="1"/>
  <c r="BE283" i="1"/>
  <c r="BD283" i="1"/>
  <c r="BC283" i="1"/>
  <c r="BE282" i="1"/>
  <c r="BD282" i="1"/>
  <c r="BC282" i="1"/>
  <c r="BE281" i="1"/>
  <c r="BD281" i="1"/>
  <c r="BC281" i="1"/>
  <c r="BE280" i="1"/>
  <c r="BD280" i="1"/>
  <c r="BC280" i="1"/>
  <c r="BE279" i="1"/>
  <c r="BD279" i="1"/>
  <c r="BC279" i="1"/>
  <c r="BE278" i="1"/>
  <c r="BD278" i="1"/>
  <c r="BC278" i="1"/>
  <c r="BE277" i="1"/>
  <c r="BD277" i="1"/>
  <c r="BC277" i="1"/>
  <c r="BE276" i="1"/>
  <c r="BD276" i="1"/>
  <c r="BC276" i="1"/>
  <c r="BE275" i="1"/>
  <c r="BD275" i="1"/>
  <c r="BC275" i="1"/>
  <c r="BE274" i="1"/>
  <c r="BD274" i="1"/>
  <c r="BC274" i="1"/>
  <c r="BE273" i="1"/>
  <c r="BD273" i="1"/>
  <c r="BC273" i="1"/>
  <c r="BE272" i="1"/>
  <c r="BD272" i="1"/>
  <c r="BC272" i="1"/>
  <c r="BE271" i="1"/>
  <c r="BD271" i="1"/>
  <c r="BC271" i="1"/>
  <c r="BE270" i="1"/>
  <c r="BD270" i="1"/>
  <c r="BC270" i="1"/>
  <c r="BE269" i="1"/>
  <c r="BD269" i="1"/>
  <c r="BC269" i="1"/>
  <c r="BE268" i="1"/>
  <c r="BD268" i="1"/>
  <c r="BC268" i="1"/>
  <c r="BE267" i="1"/>
  <c r="BD267" i="1"/>
  <c r="BC267" i="1"/>
  <c r="BE266" i="1"/>
  <c r="BD266" i="1"/>
  <c r="BC266" i="1"/>
  <c r="BE265" i="1"/>
  <c r="BD265" i="1"/>
  <c r="BC265" i="1"/>
  <c r="BE264" i="1"/>
  <c r="BD264" i="1"/>
  <c r="BC264" i="1"/>
  <c r="BE263" i="1"/>
  <c r="BD263" i="1"/>
  <c r="BC263" i="1"/>
  <c r="BE262" i="1"/>
  <c r="BD262" i="1"/>
  <c r="BC262" i="1"/>
  <c r="BE261" i="1"/>
  <c r="BD261" i="1"/>
  <c r="BC261" i="1"/>
  <c r="BE260" i="1"/>
  <c r="BD260" i="1"/>
  <c r="BC260" i="1"/>
  <c r="BE259" i="1"/>
  <c r="BD259" i="1"/>
  <c r="BC259" i="1"/>
  <c r="BE258" i="1"/>
  <c r="BD258" i="1"/>
  <c r="BC258" i="1"/>
  <c r="BE257" i="1"/>
  <c r="BD257" i="1"/>
  <c r="BC257" i="1"/>
  <c r="BE256" i="1"/>
  <c r="BD256" i="1"/>
  <c r="BC256" i="1"/>
  <c r="BE255" i="1"/>
  <c r="BD255" i="1"/>
  <c r="BC255" i="1"/>
  <c r="BE254" i="1"/>
  <c r="BD254" i="1"/>
  <c r="BC254" i="1"/>
  <c r="BE253" i="1"/>
  <c r="BD253" i="1"/>
  <c r="BC253" i="1"/>
  <c r="BE252" i="1"/>
  <c r="BD252" i="1"/>
  <c r="BC252" i="1"/>
  <c r="BE251" i="1"/>
  <c r="BD251" i="1"/>
  <c r="BC251" i="1"/>
  <c r="BE250" i="1"/>
  <c r="BD250" i="1"/>
  <c r="BC250" i="1"/>
  <c r="BE249" i="1"/>
  <c r="BD249" i="1"/>
  <c r="BC249" i="1"/>
  <c r="BE248" i="1"/>
  <c r="BD248" i="1"/>
  <c r="BC248" i="1"/>
  <c r="BE247" i="1"/>
  <c r="BD247" i="1"/>
  <c r="BC247" i="1"/>
  <c r="BE246" i="1"/>
  <c r="BD246" i="1"/>
  <c r="BC246" i="1"/>
  <c r="BE245" i="1"/>
  <c r="BD245" i="1"/>
  <c r="BC245" i="1"/>
  <c r="BE244" i="1"/>
  <c r="BD244" i="1"/>
  <c r="BC244" i="1"/>
  <c r="BE243" i="1"/>
  <c r="BD243" i="1"/>
  <c r="BC243" i="1"/>
  <c r="BE242" i="1"/>
  <c r="BD242" i="1"/>
  <c r="BC242" i="1"/>
  <c r="BE241" i="1"/>
  <c r="BD241" i="1"/>
  <c r="BC241" i="1"/>
  <c r="BE240" i="1"/>
  <c r="BD240" i="1"/>
  <c r="BC240" i="1"/>
  <c r="BE239" i="1"/>
  <c r="BD239" i="1"/>
  <c r="BC239" i="1"/>
  <c r="BE238" i="1"/>
  <c r="BD238" i="1"/>
  <c r="BC238" i="1"/>
  <c r="BE237" i="1"/>
  <c r="BD237" i="1"/>
  <c r="BC237" i="1"/>
  <c r="BE236" i="1"/>
  <c r="BD236" i="1"/>
  <c r="BC236" i="1"/>
  <c r="BE235" i="1"/>
  <c r="BD235" i="1"/>
  <c r="BC235" i="1"/>
  <c r="BE234" i="1"/>
  <c r="BD234" i="1"/>
  <c r="BC234" i="1"/>
  <c r="BE233" i="1"/>
  <c r="BD233" i="1"/>
  <c r="BC233" i="1"/>
  <c r="BE232" i="1"/>
  <c r="BD232" i="1"/>
  <c r="BC232" i="1"/>
  <c r="BE231" i="1"/>
  <c r="BD231" i="1"/>
  <c r="BC231" i="1"/>
  <c r="BE230" i="1"/>
  <c r="BD230" i="1"/>
  <c r="BC230" i="1"/>
  <c r="BE229" i="1"/>
  <c r="BD229" i="1"/>
  <c r="BC229" i="1"/>
  <c r="BE228" i="1"/>
  <c r="BD228" i="1"/>
  <c r="BC228" i="1"/>
  <c r="BE227" i="1"/>
  <c r="BD227" i="1"/>
  <c r="BC227" i="1"/>
  <c r="BE226" i="1"/>
  <c r="BD226" i="1"/>
  <c r="BC226" i="1"/>
  <c r="BE225" i="1"/>
  <c r="BD225" i="1"/>
  <c r="BC225" i="1"/>
  <c r="BE224" i="1"/>
  <c r="BD224" i="1"/>
  <c r="BC224" i="1"/>
  <c r="BE223" i="1"/>
  <c r="BD223" i="1"/>
  <c r="BC223" i="1"/>
  <c r="BE222" i="1"/>
  <c r="BD222" i="1"/>
  <c r="BC222" i="1"/>
  <c r="BE221" i="1"/>
  <c r="BD221" i="1"/>
  <c r="BC221" i="1"/>
  <c r="BE220" i="1"/>
  <c r="BD220" i="1"/>
  <c r="BC220" i="1"/>
  <c r="BE219" i="1"/>
  <c r="BD219" i="1"/>
  <c r="BC219" i="1"/>
  <c r="BE218" i="1"/>
  <c r="BD218" i="1"/>
  <c r="BC218" i="1"/>
  <c r="BE217" i="1"/>
  <c r="BD217" i="1"/>
  <c r="BC217" i="1"/>
  <c r="BE216" i="1"/>
  <c r="BD216" i="1"/>
  <c r="BC216" i="1"/>
  <c r="BE215" i="1"/>
  <c r="BD215" i="1"/>
  <c r="BC215" i="1"/>
  <c r="BE214" i="1"/>
  <c r="BD214" i="1"/>
  <c r="BC214" i="1"/>
  <c r="BE213" i="1"/>
  <c r="BD213" i="1"/>
  <c r="BC213" i="1"/>
  <c r="BE212" i="1"/>
  <c r="BD212" i="1"/>
  <c r="BC212" i="1"/>
  <c r="BE211" i="1"/>
  <c r="BD211" i="1"/>
  <c r="BC211" i="1"/>
  <c r="BE210" i="1"/>
  <c r="BD210" i="1"/>
  <c r="BC210" i="1"/>
  <c r="BE209" i="1"/>
  <c r="BD209" i="1"/>
  <c r="BC209" i="1"/>
  <c r="BE208" i="1"/>
  <c r="BD208" i="1"/>
  <c r="BC208" i="1"/>
  <c r="BE207" i="1"/>
  <c r="BD207" i="1"/>
  <c r="BC207" i="1"/>
  <c r="BE206" i="1"/>
  <c r="BD206" i="1"/>
  <c r="BC206" i="1"/>
  <c r="BE205" i="1"/>
  <c r="BD205" i="1"/>
  <c r="BC205" i="1"/>
  <c r="BE204" i="1"/>
  <c r="BD204" i="1"/>
  <c r="BC204" i="1"/>
  <c r="BE203" i="1"/>
  <c r="BD203" i="1"/>
  <c r="BC203" i="1"/>
  <c r="BE202" i="1"/>
  <c r="BD202" i="1"/>
  <c r="BC202" i="1"/>
  <c r="BE201" i="1"/>
  <c r="BD201" i="1"/>
  <c r="BC201" i="1"/>
  <c r="BE200" i="1"/>
  <c r="BD200" i="1"/>
  <c r="BC200" i="1"/>
  <c r="BE199" i="1"/>
  <c r="BD199" i="1"/>
  <c r="BC199" i="1"/>
  <c r="BE198" i="1"/>
  <c r="BD198" i="1"/>
  <c r="BC198" i="1"/>
  <c r="BE197" i="1"/>
  <c r="BD197" i="1"/>
  <c r="BC197" i="1"/>
  <c r="BE196" i="1"/>
  <c r="BD196" i="1"/>
  <c r="BC196" i="1"/>
  <c r="BE195" i="1"/>
  <c r="BD195" i="1"/>
  <c r="BC195" i="1"/>
  <c r="BE194" i="1"/>
  <c r="BD194" i="1"/>
  <c r="BC194" i="1"/>
  <c r="BE193" i="1"/>
  <c r="BD193" i="1"/>
  <c r="BC193" i="1"/>
  <c r="BE192" i="1"/>
  <c r="BD192" i="1"/>
  <c r="BC192" i="1"/>
  <c r="BE191" i="1"/>
  <c r="BD191" i="1"/>
  <c r="BC191" i="1"/>
  <c r="BE190" i="1"/>
  <c r="BD190" i="1"/>
  <c r="BC190" i="1"/>
  <c r="BE189" i="1"/>
  <c r="BD189" i="1"/>
  <c r="BC189" i="1"/>
  <c r="BE188" i="1"/>
  <c r="BD188" i="1"/>
  <c r="BC188" i="1"/>
  <c r="BE187" i="1"/>
  <c r="BD187" i="1"/>
  <c r="BC187" i="1"/>
  <c r="BE186" i="1"/>
  <c r="BD186" i="1"/>
  <c r="BC186" i="1"/>
  <c r="BE185" i="1"/>
  <c r="BD185" i="1"/>
  <c r="BC185" i="1"/>
  <c r="BE184" i="1"/>
  <c r="BD184" i="1"/>
  <c r="BC184" i="1"/>
  <c r="BE183" i="1"/>
  <c r="BD183" i="1"/>
  <c r="BC183" i="1"/>
  <c r="BE182" i="1"/>
  <c r="BD182" i="1"/>
  <c r="BC182" i="1"/>
  <c r="BE181" i="1"/>
  <c r="BD181" i="1"/>
  <c r="BC181" i="1"/>
  <c r="BE180" i="1"/>
  <c r="BD180" i="1"/>
  <c r="BC180" i="1"/>
  <c r="BE179" i="1"/>
  <c r="BD179" i="1"/>
  <c r="BC179" i="1"/>
  <c r="BE178" i="1"/>
  <c r="BD178" i="1"/>
  <c r="BC178" i="1"/>
  <c r="BE177" i="1"/>
  <c r="BD177" i="1"/>
  <c r="BC177" i="1"/>
  <c r="BE176" i="1"/>
  <c r="BD176" i="1"/>
  <c r="BC176" i="1"/>
  <c r="BE175" i="1"/>
  <c r="BD175" i="1"/>
  <c r="BC175" i="1"/>
  <c r="BE174" i="1"/>
  <c r="BD174" i="1"/>
  <c r="BC174" i="1"/>
  <c r="BE173" i="1"/>
  <c r="BD173" i="1"/>
  <c r="BC173" i="1"/>
  <c r="BE172" i="1"/>
  <c r="BD172" i="1"/>
  <c r="BC172" i="1"/>
  <c r="BE171" i="1"/>
  <c r="BD171" i="1"/>
  <c r="BC171" i="1"/>
  <c r="BE170" i="1"/>
  <c r="BD170" i="1"/>
  <c r="BC170" i="1"/>
  <c r="BE169" i="1"/>
  <c r="BD169" i="1"/>
  <c r="BC169" i="1"/>
  <c r="BE168" i="1"/>
  <c r="BD168" i="1"/>
  <c r="BC168" i="1"/>
  <c r="BE167" i="1"/>
  <c r="BD167" i="1"/>
  <c r="BC167" i="1"/>
  <c r="BE166" i="1"/>
  <c r="BD166" i="1"/>
  <c r="BC166" i="1"/>
  <c r="BE165" i="1"/>
  <c r="BD165" i="1"/>
  <c r="BC165" i="1"/>
  <c r="BE164" i="1"/>
  <c r="BD164" i="1"/>
  <c r="BC164" i="1"/>
  <c r="BE163" i="1"/>
  <c r="BD163" i="1"/>
  <c r="BC163" i="1"/>
  <c r="BE162" i="1"/>
  <c r="BD162" i="1"/>
  <c r="BC162" i="1"/>
  <c r="BE161" i="1"/>
  <c r="BD161" i="1"/>
  <c r="BC161" i="1"/>
  <c r="BE160" i="1"/>
  <c r="BD160" i="1"/>
  <c r="BC160" i="1"/>
  <c r="BE159" i="1"/>
  <c r="BD159" i="1"/>
  <c r="BC159" i="1"/>
  <c r="BE158" i="1"/>
  <c r="BD158" i="1"/>
  <c r="BC158" i="1"/>
  <c r="BE157" i="1"/>
  <c r="BD157" i="1"/>
  <c r="BC157" i="1"/>
  <c r="BE156" i="1"/>
  <c r="BD156" i="1"/>
  <c r="BC156" i="1"/>
  <c r="BE155" i="1"/>
  <c r="BD155" i="1"/>
  <c r="BC155" i="1"/>
  <c r="BE154" i="1"/>
  <c r="BD154" i="1"/>
  <c r="BC154" i="1"/>
  <c r="BE153" i="1"/>
  <c r="BD153" i="1"/>
  <c r="BC153" i="1"/>
  <c r="BE152" i="1"/>
  <c r="BD152" i="1"/>
  <c r="BC152" i="1"/>
  <c r="BE151" i="1"/>
  <c r="BD151" i="1"/>
  <c r="BC151" i="1"/>
  <c r="BE150" i="1"/>
  <c r="BD150" i="1"/>
  <c r="BC150" i="1"/>
  <c r="BE149" i="1"/>
  <c r="BD149" i="1"/>
  <c r="BC149" i="1"/>
  <c r="BE148" i="1"/>
  <c r="BD148" i="1"/>
  <c r="BC148" i="1"/>
  <c r="BE147" i="1"/>
  <c r="BD147" i="1"/>
  <c r="BC147" i="1"/>
  <c r="BE146" i="1"/>
  <c r="BD146" i="1"/>
  <c r="BC146" i="1"/>
  <c r="BE145" i="1"/>
  <c r="BD145" i="1"/>
  <c r="BC145" i="1"/>
  <c r="BE144" i="1"/>
  <c r="BD144" i="1"/>
  <c r="BC144" i="1"/>
  <c r="BE143" i="1"/>
  <c r="BD143" i="1"/>
  <c r="BC143" i="1"/>
  <c r="BE142" i="1"/>
  <c r="BD142" i="1"/>
  <c r="BC142" i="1"/>
  <c r="BE141" i="1"/>
  <c r="BD141" i="1"/>
  <c r="BC141" i="1"/>
  <c r="BE140" i="1"/>
  <c r="BD140" i="1"/>
  <c r="BC140" i="1"/>
  <c r="BE139" i="1"/>
  <c r="BD139" i="1"/>
  <c r="BC139" i="1"/>
  <c r="BE138" i="1"/>
  <c r="BD138" i="1"/>
  <c r="BC138" i="1"/>
  <c r="BE137" i="1"/>
  <c r="BD137" i="1"/>
  <c r="BC137" i="1"/>
  <c r="BE136" i="1"/>
  <c r="BD136" i="1"/>
  <c r="BC136" i="1"/>
  <c r="BE135" i="1"/>
  <c r="BD135" i="1"/>
  <c r="BC135" i="1"/>
  <c r="BE134" i="1"/>
  <c r="BD134" i="1"/>
  <c r="BC134" i="1"/>
  <c r="BE133" i="1"/>
  <c r="BD133" i="1"/>
  <c r="BC133" i="1"/>
  <c r="BE132" i="1"/>
  <c r="BD132" i="1"/>
  <c r="BC132" i="1"/>
  <c r="BE131" i="1"/>
  <c r="BD131" i="1"/>
  <c r="BC131" i="1"/>
  <c r="BE130" i="1"/>
  <c r="BD130" i="1"/>
  <c r="BC130" i="1"/>
  <c r="BE129" i="1"/>
  <c r="BD129" i="1"/>
  <c r="BC129" i="1"/>
  <c r="BE128" i="1"/>
  <c r="BD128" i="1"/>
  <c r="BC128" i="1"/>
  <c r="BE127" i="1"/>
  <c r="BD127" i="1"/>
  <c r="BC127" i="1"/>
  <c r="BE126" i="1"/>
  <c r="BD126" i="1"/>
  <c r="BC126" i="1"/>
  <c r="BE125" i="1"/>
  <c r="BD125" i="1"/>
  <c r="BC125" i="1"/>
  <c r="BE124" i="1"/>
  <c r="BD124" i="1"/>
  <c r="BC124" i="1"/>
  <c r="BE123" i="1"/>
  <c r="BD123" i="1"/>
  <c r="BC123" i="1"/>
  <c r="BE122" i="1"/>
  <c r="BD122" i="1"/>
  <c r="BC122" i="1"/>
  <c r="BE121" i="1"/>
  <c r="BD121" i="1"/>
  <c r="BC121" i="1"/>
  <c r="BE120" i="1"/>
  <c r="BD120" i="1"/>
  <c r="BC120" i="1"/>
  <c r="BE119" i="1"/>
  <c r="BD119" i="1"/>
  <c r="BC119" i="1"/>
  <c r="BE118" i="1"/>
  <c r="BD118" i="1"/>
  <c r="BC118" i="1"/>
  <c r="BE117" i="1"/>
  <c r="BD117" i="1"/>
  <c r="BC117" i="1"/>
  <c r="BE116" i="1"/>
  <c r="BD116" i="1"/>
  <c r="BC116" i="1"/>
  <c r="BE115" i="1"/>
  <c r="BD115" i="1"/>
  <c r="BC115" i="1"/>
  <c r="BE114" i="1"/>
  <c r="BD114" i="1"/>
  <c r="BC114" i="1"/>
  <c r="BE113" i="1"/>
  <c r="BD113" i="1"/>
  <c r="BC113" i="1"/>
  <c r="BE112" i="1"/>
  <c r="BD112" i="1"/>
  <c r="BC112" i="1"/>
  <c r="BE111" i="1"/>
  <c r="BD111" i="1"/>
  <c r="BC111" i="1"/>
  <c r="BE110" i="1"/>
  <c r="BD110" i="1"/>
  <c r="BC110" i="1"/>
  <c r="BE109" i="1"/>
  <c r="BD109" i="1"/>
  <c r="BC109" i="1"/>
  <c r="BE108" i="1"/>
  <c r="BD108" i="1"/>
  <c r="BC108" i="1"/>
  <c r="BE107" i="1"/>
  <c r="BD107" i="1"/>
  <c r="BC107" i="1"/>
  <c r="BE106" i="1"/>
  <c r="BD106" i="1"/>
  <c r="BC106" i="1"/>
  <c r="BE105" i="1"/>
  <c r="BD105" i="1"/>
  <c r="BC105" i="1"/>
  <c r="BE104" i="1"/>
  <c r="BD104" i="1"/>
  <c r="BC104" i="1"/>
  <c r="BE103" i="1"/>
  <c r="BD103" i="1"/>
  <c r="BC103" i="1"/>
  <c r="BE102" i="1"/>
  <c r="BD102" i="1"/>
  <c r="BC102" i="1"/>
  <c r="BE101" i="1"/>
  <c r="BD101" i="1"/>
  <c r="BC101" i="1"/>
  <c r="BE100" i="1"/>
  <c r="BD100" i="1"/>
  <c r="BC100" i="1"/>
  <c r="BE99" i="1"/>
  <c r="BD99" i="1"/>
  <c r="BC99" i="1"/>
  <c r="BE98" i="1"/>
  <c r="BD98" i="1"/>
  <c r="BC98" i="1"/>
  <c r="BE97" i="1"/>
  <c r="BD97" i="1"/>
  <c r="BC97" i="1"/>
  <c r="BE96" i="1"/>
  <c r="BD96" i="1"/>
  <c r="BC96" i="1"/>
  <c r="BE95" i="1"/>
  <c r="BD95" i="1"/>
  <c r="BC95" i="1"/>
  <c r="BE94" i="1"/>
  <c r="BD94" i="1"/>
  <c r="BC94" i="1"/>
  <c r="BE93" i="1"/>
  <c r="BD93" i="1"/>
  <c r="BC93" i="1"/>
  <c r="BE92" i="1"/>
  <c r="BD92" i="1"/>
  <c r="BC92" i="1"/>
  <c r="BE91" i="1"/>
  <c r="BD91" i="1"/>
  <c r="BC91" i="1"/>
  <c r="BE90" i="1"/>
  <c r="BD90" i="1"/>
  <c r="BC90" i="1"/>
  <c r="BE89" i="1"/>
  <c r="BD89" i="1"/>
  <c r="BC89" i="1"/>
  <c r="BE88" i="1"/>
  <c r="BD88" i="1"/>
  <c r="BC88" i="1"/>
  <c r="BE87" i="1"/>
  <c r="BD87" i="1"/>
  <c r="BC87" i="1"/>
  <c r="BE86" i="1"/>
  <c r="BD86" i="1"/>
  <c r="BC86" i="1"/>
  <c r="BE85" i="1"/>
  <c r="BD85" i="1"/>
  <c r="BC85" i="1"/>
  <c r="BE84" i="1"/>
  <c r="BD84" i="1"/>
  <c r="BC84" i="1"/>
  <c r="BE83" i="1"/>
  <c r="BD83" i="1"/>
  <c r="BC83" i="1"/>
  <c r="BE82" i="1"/>
  <c r="BD82" i="1"/>
  <c r="BC82" i="1"/>
  <c r="BE81" i="1"/>
  <c r="BD81" i="1"/>
  <c r="BC81" i="1"/>
  <c r="BE80" i="1"/>
  <c r="BD80" i="1"/>
  <c r="BC80" i="1"/>
  <c r="BE79" i="1"/>
  <c r="BD79" i="1"/>
  <c r="BC79" i="1"/>
  <c r="BE78" i="1"/>
  <c r="BD78" i="1"/>
  <c r="BC78" i="1"/>
  <c r="BE77" i="1"/>
  <c r="BD77" i="1"/>
  <c r="BC77" i="1"/>
  <c r="BE76" i="1"/>
  <c r="BD76" i="1"/>
  <c r="BC76" i="1"/>
  <c r="BE75" i="1"/>
  <c r="BD75" i="1"/>
  <c r="BC75" i="1"/>
  <c r="BE74" i="1"/>
  <c r="BD74" i="1"/>
  <c r="BC74" i="1"/>
  <c r="BE73" i="1"/>
  <c r="BD73" i="1"/>
  <c r="BC73" i="1"/>
  <c r="BE72" i="1"/>
  <c r="BD72" i="1"/>
  <c r="BC72" i="1"/>
  <c r="BE71" i="1"/>
  <c r="BD71" i="1"/>
  <c r="BC71" i="1"/>
  <c r="BE70" i="1"/>
  <c r="BD70" i="1"/>
  <c r="BC70" i="1"/>
  <c r="BE69" i="1"/>
  <c r="BD69" i="1"/>
  <c r="BC69" i="1"/>
  <c r="BE68" i="1"/>
  <c r="BD68" i="1"/>
  <c r="BC68" i="1"/>
  <c r="BE67" i="1"/>
  <c r="BD67" i="1"/>
  <c r="BC67" i="1"/>
  <c r="BE66" i="1"/>
  <c r="BD66" i="1"/>
  <c r="BC66" i="1"/>
  <c r="BE65" i="1"/>
  <c r="BD65" i="1"/>
  <c r="BC65" i="1"/>
  <c r="BE64" i="1"/>
  <c r="BD64" i="1"/>
  <c r="BC64" i="1"/>
  <c r="BE63" i="1"/>
  <c r="BD63" i="1"/>
  <c r="BC63" i="1"/>
  <c r="BE61" i="1"/>
  <c r="BD61" i="1"/>
  <c r="BC61" i="1"/>
  <c r="BE60" i="1"/>
  <c r="BD60" i="1"/>
  <c r="BC60" i="1"/>
  <c r="BE59" i="1"/>
  <c r="BD59" i="1"/>
  <c r="BC59" i="1"/>
  <c r="BE58" i="1"/>
  <c r="BD58" i="1"/>
  <c r="BC58" i="1"/>
  <c r="BE57" i="1"/>
  <c r="BD57" i="1"/>
  <c r="BC57" i="1"/>
  <c r="BE56" i="1"/>
  <c r="BD56" i="1"/>
  <c r="BC56" i="1"/>
  <c r="BE55" i="1"/>
  <c r="BD55" i="1"/>
  <c r="BC55" i="1"/>
  <c r="BE54" i="1"/>
  <c r="BD54" i="1"/>
  <c r="BC54" i="1"/>
  <c r="BE53" i="1"/>
  <c r="BD53" i="1"/>
  <c r="BC53" i="1"/>
  <c r="BE52" i="1"/>
  <c r="BD52" i="1"/>
  <c r="BC52" i="1"/>
  <c r="BE51" i="1"/>
  <c r="BD51" i="1"/>
  <c r="BC51" i="1"/>
  <c r="BE50" i="1"/>
  <c r="BD50" i="1"/>
  <c r="BC50" i="1"/>
  <c r="BE49" i="1"/>
  <c r="BD49" i="1"/>
  <c r="BC49" i="1"/>
  <c r="BE48" i="1"/>
  <c r="BD48" i="1"/>
  <c r="BC48" i="1"/>
  <c r="BE47" i="1"/>
  <c r="BD47" i="1"/>
  <c r="BC47" i="1"/>
  <c r="BE46" i="1"/>
  <c r="BD46" i="1"/>
  <c r="BC46" i="1"/>
  <c r="BE45" i="1"/>
  <c r="BD45" i="1"/>
  <c r="BC45" i="1"/>
  <c r="BE44" i="1"/>
  <c r="BD44" i="1"/>
  <c r="BC44" i="1"/>
  <c r="BE43" i="1"/>
  <c r="BD43" i="1"/>
  <c r="BC43" i="1"/>
  <c r="BE42" i="1"/>
  <c r="BD42" i="1"/>
  <c r="BC42" i="1"/>
  <c r="BE41" i="1"/>
  <c r="BD41" i="1"/>
  <c r="BC41" i="1"/>
  <c r="BE40" i="1"/>
  <c r="BD40" i="1"/>
  <c r="BC40" i="1"/>
  <c r="BE39" i="1"/>
  <c r="BD39" i="1"/>
  <c r="BC39" i="1"/>
  <c r="BE38" i="1"/>
  <c r="BD38" i="1"/>
  <c r="BC38" i="1"/>
  <c r="BE37" i="1"/>
  <c r="BD37" i="1"/>
  <c r="BC37" i="1"/>
  <c r="BE36" i="1"/>
  <c r="BD36" i="1"/>
  <c r="BC36" i="1"/>
  <c r="BE35" i="1"/>
  <c r="BD35" i="1"/>
  <c r="BC35" i="1"/>
  <c r="BE34" i="1"/>
  <c r="BD34" i="1"/>
  <c r="BC34" i="1"/>
  <c r="BE33" i="1"/>
  <c r="BD33" i="1"/>
  <c r="BC33" i="1"/>
  <c r="BE32" i="1"/>
  <c r="BD32" i="1"/>
  <c r="BC32" i="1"/>
  <c r="BE31" i="1"/>
  <c r="BD31" i="1"/>
  <c r="BC31" i="1"/>
  <c r="BE30" i="1"/>
  <c r="BD30" i="1"/>
  <c r="BC30" i="1"/>
  <c r="BE29" i="1"/>
  <c r="BD29" i="1"/>
  <c r="BC29" i="1"/>
  <c r="BE28" i="1"/>
  <c r="BD28" i="1"/>
  <c r="BC28" i="1"/>
  <c r="BE27" i="1"/>
  <c r="BD27" i="1"/>
  <c r="BC27" i="1"/>
  <c r="BE26" i="1"/>
  <c r="BD26" i="1"/>
  <c r="BC26" i="1"/>
  <c r="BE25" i="1"/>
  <c r="BD25" i="1"/>
  <c r="BC25" i="1"/>
  <c r="BE24" i="1"/>
  <c r="BD24" i="1"/>
  <c r="BC24" i="1"/>
  <c r="BE23" i="1"/>
  <c r="BD23" i="1"/>
  <c r="BC23" i="1"/>
  <c r="BE22" i="1"/>
  <c r="BD22" i="1"/>
  <c r="BC22" i="1"/>
  <c r="BE21" i="1"/>
  <c r="BD21" i="1"/>
  <c r="BC21" i="1"/>
  <c r="BE20" i="1"/>
  <c r="BD20" i="1"/>
  <c r="BC20" i="1"/>
  <c r="BE19" i="1"/>
  <c r="BD19" i="1"/>
  <c r="BC19" i="1"/>
  <c r="BE18" i="1"/>
  <c r="BD18" i="1"/>
  <c r="BC18" i="1"/>
  <c r="BE17" i="1"/>
  <c r="BD17" i="1"/>
  <c r="BC17" i="1"/>
  <c r="BE16" i="1"/>
  <c r="BD16" i="1"/>
  <c r="BC16" i="1"/>
  <c r="BE15" i="1"/>
  <c r="BD15" i="1"/>
  <c r="BC15" i="1"/>
  <c r="BE14" i="1"/>
  <c r="BD14" i="1"/>
  <c r="BC14" i="1"/>
  <c r="BE13" i="1"/>
  <c r="BD13" i="1"/>
  <c r="BC13" i="1"/>
  <c r="BE12" i="1"/>
  <c r="BD12" i="1"/>
  <c r="BC12" i="1"/>
  <c r="BE11" i="1"/>
  <c r="BD11" i="1"/>
  <c r="BC11" i="1"/>
  <c r="BE10" i="1"/>
  <c r="BD10" i="1"/>
  <c r="BC10" i="1"/>
  <c r="BE9" i="1"/>
  <c r="BD9" i="1"/>
  <c r="BC9" i="1"/>
  <c r="BE8" i="1"/>
  <c r="BD8" i="1"/>
  <c r="BC8" i="1"/>
  <c r="BE7" i="1"/>
  <c r="BD7" i="1"/>
  <c r="BC7" i="1"/>
  <c r="BE6" i="1"/>
  <c r="BD6" i="1"/>
  <c r="BC6" i="1"/>
  <c r="BJ62" i="1" l="1"/>
  <c r="AR62" i="1"/>
  <c r="BK62" i="1" s="1"/>
  <c r="AM1" i="1"/>
  <c r="AL320" i="1"/>
  <c r="BB320" i="1" s="1"/>
  <c r="AL319" i="1"/>
  <c r="BB319" i="1" s="1"/>
  <c r="AL318" i="1"/>
  <c r="BB318" i="1" s="1"/>
  <c r="AQ182" i="1" l="1"/>
  <c r="AU182" i="1"/>
  <c r="AV182" i="1"/>
  <c r="AW182" i="1"/>
  <c r="AQ183" i="1"/>
  <c r="AU183" i="1"/>
  <c r="AV183" i="1"/>
  <c r="AW183" i="1"/>
  <c r="AQ184" i="1"/>
  <c r="AU184" i="1"/>
  <c r="AV184" i="1"/>
  <c r="AW184" i="1"/>
  <c r="AQ185" i="1"/>
  <c r="AU185" i="1"/>
  <c r="AV185" i="1"/>
  <c r="AW185" i="1"/>
  <c r="AQ186" i="1"/>
  <c r="AU186" i="1"/>
  <c r="AV186" i="1"/>
  <c r="AW186" i="1"/>
  <c r="AQ187" i="1"/>
  <c r="AU187" i="1"/>
  <c r="AV187" i="1"/>
  <c r="AW187" i="1"/>
  <c r="AQ188" i="1"/>
  <c r="AU188" i="1"/>
  <c r="AV188" i="1"/>
  <c r="AW188" i="1"/>
  <c r="AQ189" i="1"/>
  <c r="AU189" i="1"/>
  <c r="AV189" i="1"/>
  <c r="AW189" i="1"/>
  <c r="AQ190" i="1"/>
  <c r="AU190" i="1"/>
  <c r="AV190" i="1"/>
  <c r="AW190" i="1"/>
  <c r="AQ191" i="1"/>
  <c r="AU191" i="1"/>
  <c r="AV191" i="1"/>
  <c r="AW191" i="1"/>
  <c r="AQ192" i="1"/>
  <c r="AU192" i="1"/>
  <c r="AV192" i="1"/>
  <c r="AW192" i="1"/>
  <c r="AQ193" i="1"/>
  <c r="AU193" i="1"/>
  <c r="AV193" i="1"/>
  <c r="AW193" i="1"/>
  <c r="AQ194" i="1"/>
  <c r="AU194" i="1"/>
  <c r="AV194" i="1"/>
  <c r="AW194" i="1"/>
  <c r="AQ195" i="1"/>
  <c r="AU195" i="1"/>
  <c r="AV195" i="1"/>
  <c r="AW195" i="1"/>
  <c r="AQ196" i="1"/>
  <c r="AU196" i="1"/>
  <c r="AV196" i="1"/>
  <c r="AW196" i="1"/>
  <c r="AQ197" i="1"/>
  <c r="AU197" i="1"/>
  <c r="AV197" i="1"/>
  <c r="AW197" i="1"/>
  <c r="AQ198" i="1"/>
  <c r="AU198" i="1"/>
  <c r="AV198" i="1"/>
  <c r="AW198" i="1"/>
  <c r="AQ199" i="1"/>
  <c r="AU199" i="1"/>
  <c r="AV199" i="1"/>
  <c r="AW199" i="1"/>
  <c r="AQ200" i="1"/>
  <c r="AU200" i="1"/>
  <c r="AV200" i="1"/>
  <c r="AW200" i="1"/>
  <c r="AQ201" i="1"/>
  <c r="AU201" i="1"/>
  <c r="AV201" i="1"/>
  <c r="AW201" i="1"/>
  <c r="AQ202" i="1"/>
  <c r="AU202" i="1"/>
  <c r="AV202" i="1"/>
  <c r="AW202" i="1"/>
  <c r="AQ203" i="1"/>
  <c r="AU203" i="1"/>
  <c r="AV203" i="1"/>
  <c r="AW203" i="1"/>
  <c r="AQ204" i="1"/>
  <c r="AU204" i="1"/>
  <c r="AV204" i="1"/>
  <c r="AW204" i="1"/>
  <c r="AQ205" i="1"/>
  <c r="AU205" i="1"/>
  <c r="AV205" i="1"/>
  <c r="AW205" i="1"/>
  <c r="AQ206" i="1"/>
  <c r="AU206" i="1"/>
  <c r="AV206" i="1"/>
  <c r="AW206" i="1"/>
  <c r="AQ207" i="1"/>
  <c r="AU207" i="1"/>
  <c r="AV207" i="1"/>
  <c r="AW207" i="1"/>
  <c r="AQ208" i="1"/>
  <c r="AU208" i="1"/>
  <c r="AV208" i="1"/>
  <c r="AW208" i="1"/>
  <c r="AQ209" i="1"/>
  <c r="AU209" i="1"/>
  <c r="AV209" i="1"/>
  <c r="AW209" i="1"/>
  <c r="AQ210" i="1"/>
  <c r="AU210" i="1"/>
  <c r="AV210" i="1"/>
  <c r="AW210" i="1"/>
  <c r="AQ211" i="1"/>
  <c r="AU211" i="1"/>
  <c r="AV211" i="1"/>
  <c r="AW211" i="1"/>
  <c r="AQ212" i="1"/>
  <c r="AU212" i="1"/>
  <c r="AV212" i="1"/>
  <c r="AW212" i="1"/>
  <c r="AQ213" i="1"/>
  <c r="AU213" i="1"/>
  <c r="AV213" i="1"/>
  <c r="AW213" i="1"/>
  <c r="AQ214" i="1"/>
  <c r="AU214" i="1"/>
  <c r="AV214" i="1"/>
  <c r="AW214" i="1"/>
  <c r="AQ215" i="1"/>
  <c r="AU215" i="1"/>
  <c r="AV215" i="1"/>
  <c r="AW215" i="1"/>
  <c r="AQ216" i="1"/>
  <c r="AU216" i="1"/>
  <c r="AV216" i="1"/>
  <c r="AW216" i="1"/>
  <c r="AQ217" i="1"/>
  <c r="AU217" i="1"/>
  <c r="AV217" i="1"/>
  <c r="AW217" i="1"/>
  <c r="AQ218" i="1"/>
  <c r="AU218" i="1"/>
  <c r="AV218" i="1"/>
  <c r="AW218" i="1"/>
  <c r="AQ219" i="1"/>
  <c r="AU219" i="1"/>
  <c r="AV219" i="1"/>
  <c r="AW219" i="1"/>
  <c r="AQ220" i="1"/>
  <c r="AU220" i="1"/>
  <c r="AV220" i="1"/>
  <c r="AW220" i="1"/>
  <c r="AQ221" i="1"/>
  <c r="AU221" i="1"/>
  <c r="AV221" i="1"/>
  <c r="AW221" i="1"/>
  <c r="AQ222" i="1"/>
  <c r="AU222" i="1"/>
  <c r="AV222" i="1"/>
  <c r="AW222" i="1"/>
  <c r="AQ223" i="1"/>
  <c r="AU223" i="1"/>
  <c r="AV223" i="1"/>
  <c r="AW223" i="1"/>
  <c r="AQ224" i="1"/>
  <c r="AU224" i="1"/>
  <c r="AV224" i="1"/>
  <c r="AW224" i="1"/>
  <c r="AQ225" i="1"/>
  <c r="AU225" i="1"/>
  <c r="AV225" i="1"/>
  <c r="AW225" i="1"/>
  <c r="AQ226" i="1"/>
  <c r="AU226" i="1"/>
  <c r="AV226" i="1"/>
  <c r="AW226" i="1"/>
  <c r="AQ227" i="1"/>
  <c r="AU227" i="1"/>
  <c r="AV227" i="1"/>
  <c r="AW227" i="1"/>
  <c r="AQ228" i="1"/>
  <c r="AU228" i="1"/>
  <c r="AV228" i="1"/>
  <c r="AW228" i="1"/>
  <c r="AQ229" i="1"/>
  <c r="AU229" i="1"/>
  <c r="AV229" i="1"/>
  <c r="AW229" i="1"/>
  <c r="AQ230" i="1"/>
  <c r="AU230" i="1"/>
  <c r="AV230" i="1"/>
  <c r="AW230" i="1"/>
  <c r="AQ231" i="1"/>
  <c r="AU231" i="1"/>
  <c r="AV231" i="1"/>
  <c r="AW231" i="1"/>
  <c r="AQ232" i="1"/>
  <c r="AU232" i="1"/>
  <c r="AV232" i="1"/>
  <c r="AW232" i="1"/>
  <c r="AQ233" i="1"/>
  <c r="AU233" i="1"/>
  <c r="AV233" i="1"/>
  <c r="AW233" i="1"/>
  <c r="AQ234" i="1"/>
  <c r="AU234" i="1"/>
  <c r="AV234" i="1"/>
  <c r="AW234" i="1"/>
  <c r="AQ235" i="1"/>
  <c r="AU235" i="1"/>
  <c r="AV235" i="1"/>
  <c r="AW235" i="1"/>
  <c r="AQ236" i="1"/>
  <c r="AU236" i="1"/>
  <c r="AV236" i="1"/>
  <c r="AW236" i="1"/>
  <c r="AQ237" i="1"/>
  <c r="AU237" i="1"/>
  <c r="AV237" i="1"/>
  <c r="AW237" i="1"/>
  <c r="AQ238" i="1"/>
  <c r="AU238" i="1"/>
  <c r="AV238" i="1"/>
  <c r="AW238" i="1"/>
  <c r="AQ239" i="1"/>
  <c r="AU239" i="1"/>
  <c r="AV239" i="1"/>
  <c r="AW239" i="1"/>
  <c r="AQ240" i="1"/>
  <c r="AU240" i="1"/>
  <c r="AV240" i="1"/>
  <c r="AW240" i="1"/>
  <c r="AQ241" i="1"/>
  <c r="AU241" i="1"/>
  <c r="AV241" i="1"/>
  <c r="AW241" i="1"/>
  <c r="AQ242" i="1"/>
  <c r="AU242" i="1"/>
  <c r="AV242" i="1"/>
  <c r="AW242" i="1"/>
  <c r="AQ243" i="1"/>
  <c r="AU243" i="1"/>
  <c r="AV243" i="1"/>
  <c r="AW243" i="1"/>
  <c r="AQ244" i="1"/>
  <c r="AU244" i="1"/>
  <c r="AV244" i="1"/>
  <c r="AW244" i="1"/>
  <c r="AQ245" i="1"/>
  <c r="AU245" i="1"/>
  <c r="AV245" i="1"/>
  <c r="AW245" i="1"/>
  <c r="AQ246" i="1"/>
  <c r="AU246" i="1"/>
  <c r="AV246" i="1"/>
  <c r="AW246" i="1"/>
  <c r="AQ247" i="1"/>
  <c r="AU247" i="1"/>
  <c r="AV247" i="1"/>
  <c r="AW247" i="1"/>
  <c r="AQ248" i="1"/>
  <c r="AU248" i="1"/>
  <c r="AV248" i="1"/>
  <c r="AW248" i="1"/>
  <c r="AQ249" i="1"/>
  <c r="AU249" i="1"/>
  <c r="AV249" i="1"/>
  <c r="AW249" i="1"/>
  <c r="AQ250" i="1"/>
  <c r="AU250" i="1"/>
  <c r="AV250" i="1"/>
  <c r="AW250" i="1"/>
  <c r="AQ251" i="1"/>
  <c r="AU251" i="1"/>
  <c r="AV251" i="1"/>
  <c r="AW251" i="1"/>
  <c r="AQ252" i="1"/>
  <c r="AU252" i="1"/>
  <c r="AV252" i="1"/>
  <c r="AW252" i="1"/>
  <c r="AQ253" i="1"/>
  <c r="AU253" i="1"/>
  <c r="AV253" i="1"/>
  <c r="AW253" i="1"/>
  <c r="AQ254" i="1"/>
  <c r="AU254" i="1"/>
  <c r="AV254" i="1"/>
  <c r="AW254" i="1"/>
  <c r="AQ255" i="1"/>
  <c r="AU255" i="1"/>
  <c r="AV255" i="1"/>
  <c r="AW255" i="1"/>
  <c r="AQ256" i="1"/>
  <c r="AU256" i="1"/>
  <c r="AV256" i="1"/>
  <c r="AW256" i="1"/>
  <c r="AQ257" i="1"/>
  <c r="AU257" i="1"/>
  <c r="AV257" i="1"/>
  <c r="AW257" i="1"/>
  <c r="AQ258" i="1"/>
  <c r="AU258" i="1"/>
  <c r="AV258" i="1"/>
  <c r="AW258" i="1"/>
  <c r="AQ259" i="1"/>
  <c r="AU259" i="1"/>
  <c r="AV259" i="1"/>
  <c r="AW259" i="1"/>
  <c r="AQ260" i="1"/>
  <c r="AU260" i="1"/>
  <c r="AV260" i="1"/>
  <c r="AW260" i="1"/>
  <c r="AQ261" i="1"/>
  <c r="AU261" i="1"/>
  <c r="AV261" i="1"/>
  <c r="AW261" i="1"/>
  <c r="AQ262" i="1"/>
  <c r="AU262" i="1"/>
  <c r="AV262" i="1"/>
  <c r="AW262" i="1"/>
  <c r="AQ263" i="1"/>
  <c r="AU263" i="1"/>
  <c r="AV263" i="1"/>
  <c r="AW263" i="1"/>
  <c r="AQ264" i="1"/>
  <c r="AU264" i="1"/>
  <c r="AV264" i="1"/>
  <c r="AW264" i="1"/>
  <c r="AQ265" i="1"/>
  <c r="AU265" i="1"/>
  <c r="AV265" i="1"/>
  <c r="AW265" i="1"/>
  <c r="AQ266" i="1"/>
  <c r="AU266" i="1"/>
  <c r="AV266" i="1"/>
  <c r="AW266" i="1"/>
  <c r="AQ267" i="1"/>
  <c r="AU267" i="1"/>
  <c r="AV267" i="1"/>
  <c r="AW267" i="1"/>
  <c r="AQ268" i="1"/>
  <c r="AU268" i="1"/>
  <c r="AV268" i="1"/>
  <c r="AW268" i="1"/>
  <c r="AQ269" i="1"/>
  <c r="AU269" i="1"/>
  <c r="AV269" i="1"/>
  <c r="AW269" i="1"/>
  <c r="AQ270" i="1"/>
  <c r="AU270" i="1"/>
  <c r="AV270" i="1"/>
  <c r="AW270" i="1"/>
  <c r="AQ271" i="1"/>
  <c r="AU271" i="1"/>
  <c r="AV271" i="1"/>
  <c r="AW271" i="1"/>
  <c r="AQ272" i="1"/>
  <c r="AU272" i="1"/>
  <c r="AV272" i="1"/>
  <c r="AW272" i="1"/>
  <c r="AQ273" i="1"/>
  <c r="AU273" i="1"/>
  <c r="AV273" i="1"/>
  <c r="AW273" i="1"/>
  <c r="AQ274" i="1"/>
  <c r="AU274" i="1"/>
  <c r="AV274" i="1"/>
  <c r="AW274" i="1"/>
  <c r="AQ275" i="1"/>
  <c r="AU275" i="1"/>
  <c r="AV275" i="1"/>
  <c r="AW275" i="1"/>
  <c r="AQ276" i="1"/>
  <c r="AU276" i="1"/>
  <c r="AV276" i="1"/>
  <c r="AW276" i="1"/>
  <c r="AQ277" i="1"/>
  <c r="AU277" i="1"/>
  <c r="AV277" i="1"/>
  <c r="AW277" i="1"/>
  <c r="AQ278" i="1"/>
  <c r="AU278" i="1"/>
  <c r="AV278" i="1"/>
  <c r="AW278" i="1"/>
  <c r="AQ279" i="1"/>
  <c r="AU279" i="1"/>
  <c r="AV279" i="1"/>
  <c r="AW279" i="1"/>
  <c r="AQ280" i="1"/>
  <c r="AU280" i="1"/>
  <c r="AV280" i="1"/>
  <c r="AW280" i="1"/>
  <c r="AQ281" i="1"/>
  <c r="AU281" i="1"/>
  <c r="AV281" i="1"/>
  <c r="AW281" i="1"/>
  <c r="AQ282" i="1"/>
  <c r="AU282" i="1"/>
  <c r="AV282" i="1"/>
  <c r="AW282" i="1"/>
  <c r="AQ283" i="1"/>
  <c r="AU283" i="1"/>
  <c r="AV283" i="1"/>
  <c r="AW283" i="1"/>
  <c r="AQ284" i="1"/>
  <c r="AU284" i="1"/>
  <c r="AV284" i="1"/>
  <c r="AW284" i="1"/>
  <c r="AQ285" i="1"/>
  <c r="AU285" i="1"/>
  <c r="AV285" i="1"/>
  <c r="AW285" i="1"/>
  <c r="AQ286" i="1"/>
  <c r="AU286" i="1"/>
  <c r="AV286" i="1"/>
  <c r="AW286" i="1"/>
  <c r="AQ287" i="1"/>
  <c r="AU287" i="1"/>
  <c r="AV287" i="1"/>
  <c r="AW287" i="1"/>
  <c r="AQ288" i="1"/>
  <c r="AU288" i="1"/>
  <c r="AV288" i="1"/>
  <c r="AW288" i="1"/>
  <c r="AQ289" i="1"/>
  <c r="AU289" i="1"/>
  <c r="AV289" i="1"/>
  <c r="AW289" i="1"/>
  <c r="AQ290" i="1"/>
  <c r="AU290" i="1"/>
  <c r="AV290" i="1"/>
  <c r="AW290" i="1"/>
  <c r="AQ291" i="1"/>
  <c r="AU291" i="1"/>
  <c r="AV291" i="1"/>
  <c r="AW291" i="1"/>
  <c r="AQ292" i="1"/>
  <c r="AU292" i="1"/>
  <c r="AV292" i="1"/>
  <c r="AW292" i="1"/>
  <c r="AQ293" i="1"/>
  <c r="AU293" i="1"/>
  <c r="AV293" i="1"/>
  <c r="AW293" i="1"/>
  <c r="BJ293" i="1" l="1"/>
  <c r="AR293" i="1"/>
  <c r="BK293" i="1" s="1"/>
  <c r="BJ292" i="1"/>
  <c r="AR292" i="1"/>
  <c r="BK292" i="1" s="1"/>
  <c r="BJ291" i="1"/>
  <c r="AR291" i="1"/>
  <c r="BK291" i="1" s="1"/>
  <c r="BJ290" i="1"/>
  <c r="AR290" i="1"/>
  <c r="BK290" i="1" s="1"/>
  <c r="BJ289" i="1"/>
  <c r="AR289" i="1"/>
  <c r="BK289" i="1" s="1"/>
  <c r="BJ288" i="1"/>
  <c r="AR288" i="1"/>
  <c r="BK288" i="1" s="1"/>
  <c r="BJ287" i="1"/>
  <c r="AR287" i="1"/>
  <c r="BK287" i="1" s="1"/>
  <c r="BJ286" i="1"/>
  <c r="AR286" i="1"/>
  <c r="BK286" i="1" s="1"/>
  <c r="BJ285" i="1"/>
  <c r="AR285" i="1"/>
  <c r="BK285" i="1" s="1"/>
  <c r="BJ284" i="1"/>
  <c r="AR284" i="1"/>
  <c r="BK284" i="1" s="1"/>
  <c r="BJ283" i="1"/>
  <c r="AR283" i="1"/>
  <c r="BK283" i="1" s="1"/>
  <c r="BJ282" i="1"/>
  <c r="AR282" i="1"/>
  <c r="BK282" i="1" s="1"/>
  <c r="BJ281" i="1"/>
  <c r="AR281" i="1"/>
  <c r="BK281" i="1" s="1"/>
  <c r="BJ280" i="1"/>
  <c r="AR280" i="1"/>
  <c r="BK280" i="1" s="1"/>
  <c r="BJ279" i="1"/>
  <c r="AR279" i="1"/>
  <c r="BK279" i="1" s="1"/>
  <c r="BJ278" i="1"/>
  <c r="AR278" i="1"/>
  <c r="BJ277" i="1"/>
  <c r="AR277" i="1"/>
  <c r="BK277" i="1" s="1"/>
  <c r="BJ276" i="1"/>
  <c r="AR276" i="1"/>
  <c r="BK276" i="1" s="1"/>
  <c r="BJ275" i="1"/>
  <c r="AR275" i="1"/>
  <c r="BK275" i="1" s="1"/>
  <c r="BJ274" i="1"/>
  <c r="AR274" i="1"/>
  <c r="BK274" i="1" s="1"/>
  <c r="BJ273" i="1"/>
  <c r="AR273" i="1"/>
  <c r="BK273" i="1" s="1"/>
  <c r="BJ272" i="1"/>
  <c r="AR272" i="1"/>
  <c r="BK272" i="1" s="1"/>
  <c r="BJ271" i="1"/>
  <c r="AR271" i="1"/>
  <c r="BK271" i="1" s="1"/>
  <c r="BJ270" i="1"/>
  <c r="AR270" i="1"/>
  <c r="BK270" i="1" s="1"/>
  <c r="BJ269" i="1"/>
  <c r="AR269" i="1"/>
  <c r="BK269" i="1" s="1"/>
  <c r="BJ268" i="1"/>
  <c r="AR268" i="1"/>
  <c r="BK268" i="1" s="1"/>
  <c r="BJ267" i="1"/>
  <c r="AR267" i="1"/>
  <c r="BK267" i="1" s="1"/>
  <c r="BJ266" i="1"/>
  <c r="AR266" i="1"/>
  <c r="BK266" i="1" s="1"/>
  <c r="BJ265" i="1"/>
  <c r="AR265" i="1"/>
  <c r="BK265" i="1" s="1"/>
  <c r="BJ264" i="1"/>
  <c r="AR264" i="1"/>
  <c r="BK264" i="1" s="1"/>
  <c r="BJ263" i="1"/>
  <c r="AR263" i="1"/>
  <c r="BK263" i="1" s="1"/>
  <c r="BJ262" i="1"/>
  <c r="AR262" i="1"/>
  <c r="BK262" i="1" s="1"/>
  <c r="BJ261" i="1"/>
  <c r="AR261" i="1"/>
  <c r="BK261" i="1" s="1"/>
  <c r="BJ260" i="1"/>
  <c r="AR260" i="1"/>
  <c r="BK260" i="1" s="1"/>
  <c r="BJ259" i="1"/>
  <c r="AR259" i="1"/>
  <c r="BK259" i="1" s="1"/>
  <c r="BJ258" i="1"/>
  <c r="AR258" i="1"/>
  <c r="BK258" i="1" s="1"/>
  <c r="BJ257" i="1"/>
  <c r="AR257" i="1"/>
  <c r="BK257" i="1" s="1"/>
  <c r="BJ256" i="1"/>
  <c r="AR256" i="1"/>
  <c r="BK256" i="1" s="1"/>
  <c r="BJ255" i="1"/>
  <c r="AR255" i="1"/>
  <c r="BK255" i="1" s="1"/>
  <c r="BJ254" i="1"/>
  <c r="AR254" i="1"/>
  <c r="BK254" i="1" s="1"/>
  <c r="BJ253" i="1"/>
  <c r="AR253" i="1"/>
  <c r="BK253" i="1" s="1"/>
  <c r="BJ252" i="1"/>
  <c r="AR252" i="1"/>
  <c r="BK252" i="1" s="1"/>
  <c r="BJ251" i="1"/>
  <c r="AR251" i="1"/>
  <c r="BK251" i="1" s="1"/>
  <c r="BJ250" i="1"/>
  <c r="AR250" i="1"/>
  <c r="BK250" i="1" s="1"/>
  <c r="BJ249" i="1"/>
  <c r="AR249" i="1"/>
  <c r="BK249" i="1" s="1"/>
  <c r="BJ248" i="1"/>
  <c r="AR248" i="1"/>
  <c r="BJ247" i="1"/>
  <c r="AR247" i="1"/>
  <c r="BK247" i="1" s="1"/>
  <c r="BJ246" i="1"/>
  <c r="AR246" i="1"/>
  <c r="BK246" i="1" s="1"/>
  <c r="BJ245" i="1"/>
  <c r="AR245" i="1"/>
  <c r="BK245" i="1" s="1"/>
  <c r="BJ244" i="1"/>
  <c r="AR244" i="1"/>
  <c r="BK244" i="1" s="1"/>
  <c r="BJ243" i="1"/>
  <c r="AR243" i="1"/>
  <c r="BK243" i="1" s="1"/>
  <c r="BJ242" i="1"/>
  <c r="AR242" i="1"/>
  <c r="BK242" i="1" s="1"/>
  <c r="BJ241" i="1"/>
  <c r="AR241" i="1"/>
  <c r="BK241" i="1" s="1"/>
  <c r="BJ240" i="1"/>
  <c r="AR240" i="1"/>
  <c r="BK240" i="1" s="1"/>
  <c r="BJ239" i="1"/>
  <c r="AR239" i="1"/>
  <c r="BK239" i="1" s="1"/>
  <c r="BJ238" i="1"/>
  <c r="AR238" i="1"/>
  <c r="BK238" i="1" s="1"/>
  <c r="BJ237" i="1"/>
  <c r="AR237" i="1"/>
  <c r="BK237" i="1" s="1"/>
  <c r="BJ236" i="1"/>
  <c r="AR236" i="1"/>
  <c r="BK236" i="1" s="1"/>
  <c r="BJ235" i="1"/>
  <c r="AR235" i="1"/>
  <c r="BK235" i="1" s="1"/>
  <c r="BJ234" i="1"/>
  <c r="AR234" i="1"/>
  <c r="BK234" i="1" s="1"/>
  <c r="BJ233" i="1"/>
  <c r="AR233" i="1"/>
  <c r="BK233" i="1" s="1"/>
  <c r="BJ232" i="1"/>
  <c r="AR232" i="1"/>
  <c r="BK232" i="1" s="1"/>
  <c r="BJ231" i="1"/>
  <c r="AR231" i="1"/>
  <c r="BK231" i="1" s="1"/>
  <c r="BJ230" i="1"/>
  <c r="AR230" i="1"/>
  <c r="BK230" i="1" s="1"/>
  <c r="BJ229" i="1"/>
  <c r="AR229" i="1"/>
  <c r="BK229" i="1" s="1"/>
  <c r="BJ228" i="1"/>
  <c r="AR228" i="1"/>
  <c r="BK228" i="1" s="1"/>
  <c r="BJ227" i="1"/>
  <c r="AR227" i="1"/>
  <c r="BK227" i="1" s="1"/>
  <c r="BJ226" i="1"/>
  <c r="AR226" i="1"/>
  <c r="BK226" i="1" s="1"/>
  <c r="BJ225" i="1"/>
  <c r="AR225" i="1"/>
  <c r="BK225" i="1" s="1"/>
  <c r="BJ224" i="1"/>
  <c r="AR224" i="1"/>
  <c r="BK224" i="1" s="1"/>
  <c r="BJ223" i="1"/>
  <c r="AR223" i="1"/>
  <c r="BK223" i="1" s="1"/>
  <c r="BJ222" i="1"/>
  <c r="AR222" i="1"/>
  <c r="BK222" i="1" s="1"/>
  <c r="BJ221" i="1"/>
  <c r="AR221" i="1"/>
  <c r="BK221" i="1" s="1"/>
  <c r="BJ220" i="1"/>
  <c r="AR220" i="1"/>
  <c r="BK220" i="1" s="1"/>
  <c r="BJ219" i="1"/>
  <c r="AR219" i="1"/>
  <c r="BK219" i="1" s="1"/>
  <c r="BJ218" i="1"/>
  <c r="AR218" i="1"/>
  <c r="BK218" i="1" s="1"/>
  <c r="BJ217" i="1"/>
  <c r="AR217" i="1"/>
  <c r="BJ216" i="1"/>
  <c r="AR216" i="1"/>
  <c r="BK216" i="1" s="1"/>
  <c r="BJ215" i="1"/>
  <c r="AR215" i="1"/>
  <c r="BK215" i="1" s="1"/>
  <c r="BJ214" i="1"/>
  <c r="AR214" i="1"/>
  <c r="BK214" i="1" s="1"/>
  <c r="BJ213" i="1"/>
  <c r="AR213" i="1"/>
  <c r="BK213" i="1" s="1"/>
  <c r="BJ212" i="1"/>
  <c r="AR212" i="1"/>
  <c r="BK212" i="1" s="1"/>
  <c r="BJ211" i="1"/>
  <c r="AR211" i="1"/>
  <c r="BK211" i="1" s="1"/>
  <c r="BJ210" i="1"/>
  <c r="AR210" i="1"/>
  <c r="BK210" i="1" s="1"/>
  <c r="BJ209" i="1"/>
  <c r="AR209" i="1"/>
  <c r="BK209" i="1" s="1"/>
  <c r="BJ208" i="1"/>
  <c r="AR208" i="1"/>
  <c r="BK208" i="1" s="1"/>
  <c r="BJ207" i="1"/>
  <c r="AR207" i="1"/>
  <c r="BK207" i="1" s="1"/>
  <c r="BJ206" i="1"/>
  <c r="AR206" i="1"/>
  <c r="BK206" i="1" s="1"/>
  <c r="BJ205" i="1"/>
  <c r="AR205" i="1"/>
  <c r="BK205" i="1" s="1"/>
  <c r="BJ204" i="1"/>
  <c r="AR204" i="1"/>
  <c r="BK204" i="1" s="1"/>
  <c r="BJ203" i="1"/>
  <c r="AR203" i="1"/>
  <c r="BK203" i="1" s="1"/>
  <c r="BJ202" i="1"/>
  <c r="AR202" i="1"/>
  <c r="BK202" i="1" s="1"/>
  <c r="BJ201" i="1"/>
  <c r="AR201" i="1"/>
  <c r="BK201" i="1" s="1"/>
  <c r="BJ200" i="1"/>
  <c r="AR200" i="1"/>
  <c r="BK200" i="1" s="1"/>
  <c r="BJ199" i="1"/>
  <c r="AR199" i="1"/>
  <c r="BK199" i="1" s="1"/>
  <c r="BJ198" i="1"/>
  <c r="AR198" i="1"/>
  <c r="BK198" i="1" s="1"/>
  <c r="BJ197" i="1"/>
  <c r="AR197" i="1"/>
  <c r="BK197" i="1" s="1"/>
  <c r="BJ196" i="1"/>
  <c r="AR196" i="1"/>
  <c r="BK196" i="1" s="1"/>
  <c r="BJ195" i="1"/>
  <c r="AR195" i="1"/>
  <c r="BK195" i="1" s="1"/>
  <c r="BJ194" i="1"/>
  <c r="AR194" i="1"/>
  <c r="BK194" i="1" s="1"/>
  <c r="BJ193" i="1"/>
  <c r="AR193" i="1"/>
  <c r="BK193" i="1" s="1"/>
  <c r="BJ192" i="1"/>
  <c r="AR192" i="1"/>
  <c r="BK192" i="1" s="1"/>
  <c r="BJ191" i="1"/>
  <c r="AR191" i="1"/>
  <c r="BK191" i="1" s="1"/>
  <c r="BJ190" i="1"/>
  <c r="AR190" i="1"/>
  <c r="BK190" i="1" s="1"/>
  <c r="BJ189" i="1"/>
  <c r="AR189" i="1"/>
  <c r="BK189" i="1" s="1"/>
  <c r="BJ188" i="1"/>
  <c r="AR188" i="1"/>
  <c r="BK188" i="1" s="1"/>
  <c r="BJ187" i="1"/>
  <c r="AR187" i="1"/>
  <c r="BK187" i="1" s="1"/>
  <c r="BJ186" i="1"/>
  <c r="AR186" i="1"/>
  <c r="BJ185" i="1"/>
  <c r="AR185" i="1"/>
  <c r="BK185" i="1" s="1"/>
  <c r="BJ184" i="1"/>
  <c r="AR184" i="1"/>
  <c r="BK184" i="1" s="1"/>
  <c r="BJ183" i="1"/>
  <c r="AR183" i="1"/>
  <c r="BK183" i="1" s="1"/>
  <c r="BJ182" i="1"/>
  <c r="AR182" i="1"/>
  <c r="BK182" i="1" s="1"/>
  <c r="AK6" i="1"/>
  <c r="BA6" i="1" s="1"/>
  <c r="AQ6" i="1"/>
  <c r="AK7" i="1"/>
  <c r="BA7" i="1" s="1"/>
  <c r="AQ7" i="1"/>
  <c r="AK8" i="1"/>
  <c r="BA8" i="1" s="1"/>
  <c r="AQ8" i="1"/>
  <c r="AK9" i="1"/>
  <c r="BA9" i="1" s="1"/>
  <c r="AQ9" i="1"/>
  <c r="AK10" i="1"/>
  <c r="BA10" i="1" s="1"/>
  <c r="AQ10" i="1"/>
  <c r="AK11" i="1"/>
  <c r="BA11" i="1" s="1"/>
  <c r="AQ11" i="1"/>
  <c r="AK12" i="1"/>
  <c r="BA12" i="1" s="1"/>
  <c r="AQ12" i="1"/>
  <c r="AK13" i="1"/>
  <c r="BA13" i="1" s="1"/>
  <c r="AQ13" i="1"/>
  <c r="AK14" i="1"/>
  <c r="BA14" i="1" s="1"/>
  <c r="AQ14" i="1"/>
  <c r="AK15" i="1"/>
  <c r="BA15" i="1" s="1"/>
  <c r="AQ15" i="1"/>
  <c r="AK16" i="1"/>
  <c r="BA16" i="1" s="1"/>
  <c r="AQ16" i="1"/>
  <c r="AK17" i="1"/>
  <c r="BA17" i="1" s="1"/>
  <c r="AQ17" i="1"/>
  <c r="AK18" i="1"/>
  <c r="BA18" i="1" s="1"/>
  <c r="AQ18" i="1"/>
  <c r="AK19" i="1"/>
  <c r="BA19" i="1" s="1"/>
  <c r="AQ19" i="1"/>
  <c r="AK20" i="1"/>
  <c r="BA20" i="1" s="1"/>
  <c r="AQ20" i="1"/>
  <c r="AK21" i="1"/>
  <c r="BA21" i="1" s="1"/>
  <c r="AQ21" i="1"/>
  <c r="AK22" i="1"/>
  <c r="BA22" i="1" s="1"/>
  <c r="AQ22" i="1"/>
  <c r="AK23" i="1"/>
  <c r="BA23" i="1" s="1"/>
  <c r="AQ23" i="1"/>
  <c r="AK24" i="1"/>
  <c r="BA24" i="1" s="1"/>
  <c r="AQ24" i="1"/>
  <c r="AK25" i="1"/>
  <c r="BA25" i="1" s="1"/>
  <c r="AQ25" i="1"/>
  <c r="AK26" i="1"/>
  <c r="BA26" i="1" s="1"/>
  <c r="AQ26" i="1"/>
  <c r="AK27" i="1"/>
  <c r="BA27" i="1" s="1"/>
  <c r="AQ27" i="1"/>
  <c r="AK28" i="1"/>
  <c r="BA28" i="1" s="1"/>
  <c r="AQ28" i="1"/>
  <c r="AK29" i="1"/>
  <c r="BA29" i="1" s="1"/>
  <c r="AQ29" i="1"/>
  <c r="AK30" i="1"/>
  <c r="BA30" i="1" s="1"/>
  <c r="AQ30" i="1"/>
  <c r="AK31" i="1"/>
  <c r="BA31" i="1" s="1"/>
  <c r="AQ31" i="1"/>
  <c r="AK32" i="1"/>
  <c r="BA32" i="1" s="1"/>
  <c r="AQ32" i="1"/>
  <c r="AK33" i="1"/>
  <c r="BA33" i="1" s="1"/>
  <c r="AQ33" i="1"/>
  <c r="AK34" i="1"/>
  <c r="BA34" i="1" s="1"/>
  <c r="AQ34" i="1"/>
  <c r="AK35" i="1"/>
  <c r="BA35" i="1" s="1"/>
  <c r="AQ35" i="1"/>
  <c r="AK36" i="1"/>
  <c r="BA36" i="1" s="1"/>
  <c r="AQ36" i="1"/>
  <c r="AK37" i="1"/>
  <c r="BA37" i="1" s="1"/>
  <c r="AQ37" i="1"/>
  <c r="AK38" i="1"/>
  <c r="BA38" i="1" s="1"/>
  <c r="AQ38" i="1"/>
  <c r="AK39" i="1"/>
  <c r="BA39" i="1" s="1"/>
  <c r="AQ39" i="1"/>
  <c r="AK40" i="1"/>
  <c r="BA40" i="1" s="1"/>
  <c r="AQ40" i="1"/>
  <c r="AK41" i="1"/>
  <c r="BA41" i="1" s="1"/>
  <c r="AQ41" i="1"/>
  <c r="AK42" i="1"/>
  <c r="BA42" i="1" s="1"/>
  <c r="AQ42" i="1"/>
  <c r="AK43" i="1"/>
  <c r="BA43" i="1" s="1"/>
  <c r="AQ43" i="1"/>
  <c r="AK44" i="1"/>
  <c r="BA44" i="1" s="1"/>
  <c r="AQ44" i="1"/>
  <c r="AK45" i="1"/>
  <c r="BA45" i="1" s="1"/>
  <c r="AQ45" i="1"/>
  <c r="AK46" i="1"/>
  <c r="BA46" i="1" s="1"/>
  <c r="AQ46" i="1"/>
  <c r="AK47" i="1"/>
  <c r="BA47" i="1" s="1"/>
  <c r="AQ47" i="1"/>
  <c r="AK48" i="1"/>
  <c r="BA48" i="1" s="1"/>
  <c r="AQ48" i="1"/>
  <c r="AK49" i="1"/>
  <c r="BA49" i="1" s="1"/>
  <c r="AQ49" i="1"/>
  <c r="AK50" i="1"/>
  <c r="BA50" i="1" s="1"/>
  <c r="AQ50" i="1"/>
  <c r="AK51" i="1"/>
  <c r="BA51" i="1" s="1"/>
  <c r="AQ51" i="1"/>
  <c r="AK52" i="1"/>
  <c r="BA52" i="1" s="1"/>
  <c r="AQ52" i="1"/>
  <c r="AK53" i="1"/>
  <c r="BA53" i="1" s="1"/>
  <c r="AQ53" i="1"/>
  <c r="AK54" i="1"/>
  <c r="BA54" i="1" s="1"/>
  <c r="AQ54" i="1"/>
  <c r="AK55" i="1"/>
  <c r="BA55" i="1" s="1"/>
  <c r="AQ55" i="1"/>
  <c r="AK56" i="1"/>
  <c r="BA56" i="1" s="1"/>
  <c r="AQ56" i="1"/>
  <c r="AK57" i="1"/>
  <c r="BA57" i="1" s="1"/>
  <c r="AQ57" i="1"/>
  <c r="AK58" i="1"/>
  <c r="BA58" i="1" s="1"/>
  <c r="AQ58" i="1"/>
  <c r="AK59" i="1"/>
  <c r="BA59" i="1" s="1"/>
  <c r="AQ59" i="1"/>
  <c r="AK60" i="1"/>
  <c r="BA60" i="1" s="1"/>
  <c r="AQ60" i="1"/>
  <c r="AK61" i="1"/>
  <c r="BA61" i="1" s="1"/>
  <c r="AQ61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BJ180" i="1" l="1"/>
  <c r="AR180" i="1"/>
  <c r="BK180" i="1" s="1"/>
  <c r="BJ178" i="1"/>
  <c r="AR178" i="1"/>
  <c r="BK178" i="1" s="1"/>
  <c r="BJ174" i="1"/>
  <c r="AR174" i="1"/>
  <c r="BK174" i="1" s="1"/>
  <c r="BJ168" i="1"/>
  <c r="AR168" i="1"/>
  <c r="BK168" i="1" s="1"/>
  <c r="BJ164" i="1"/>
  <c r="AR164" i="1"/>
  <c r="BK164" i="1" s="1"/>
  <c r="BJ162" i="1"/>
  <c r="AR162" i="1"/>
  <c r="BK162" i="1" s="1"/>
  <c r="BJ158" i="1"/>
  <c r="AR158" i="1"/>
  <c r="BK158" i="1" s="1"/>
  <c r="BJ154" i="1"/>
  <c r="AR154" i="1"/>
  <c r="BK154" i="1" s="1"/>
  <c r="BJ148" i="1"/>
  <c r="AR148" i="1"/>
  <c r="BK148" i="1" s="1"/>
  <c r="BJ144" i="1"/>
  <c r="AR144" i="1"/>
  <c r="BK144" i="1" s="1"/>
  <c r="BJ140" i="1"/>
  <c r="AR140" i="1"/>
  <c r="BK140" i="1" s="1"/>
  <c r="BJ136" i="1"/>
  <c r="AR136" i="1"/>
  <c r="BK136" i="1" s="1"/>
  <c r="BJ134" i="1"/>
  <c r="AR134" i="1"/>
  <c r="BK134" i="1" s="1"/>
  <c r="BJ130" i="1"/>
  <c r="AR130" i="1"/>
  <c r="BK130" i="1" s="1"/>
  <c r="BJ126" i="1"/>
  <c r="AR126" i="1"/>
  <c r="BK126" i="1" s="1"/>
  <c r="BJ122" i="1"/>
  <c r="AR122" i="1"/>
  <c r="BK122" i="1" s="1"/>
  <c r="BJ118" i="1"/>
  <c r="AR118" i="1"/>
  <c r="BK118" i="1" s="1"/>
  <c r="BJ114" i="1"/>
  <c r="AR114" i="1"/>
  <c r="BK114" i="1" s="1"/>
  <c r="BJ110" i="1"/>
  <c r="AR110" i="1"/>
  <c r="BK110" i="1" s="1"/>
  <c r="BJ106" i="1"/>
  <c r="AR106" i="1"/>
  <c r="BK106" i="1" s="1"/>
  <c r="BJ102" i="1"/>
  <c r="AR102" i="1"/>
  <c r="BK102" i="1" s="1"/>
  <c r="BJ98" i="1"/>
  <c r="AR98" i="1"/>
  <c r="BK98" i="1" s="1"/>
  <c r="BJ94" i="1"/>
  <c r="AR94" i="1"/>
  <c r="BK94" i="1" s="1"/>
  <c r="BJ90" i="1"/>
  <c r="AR90" i="1"/>
  <c r="BK90" i="1" s="1"/>
  <c r="BJ86" i="1"/>
  <c r="AR86" i="1"/>
  <c r="BK86" i="1" s="1"/>
  <c r="BJ80" i="1"/>
  <c r="AR80" i="1"/>
  <c r="BK80" i="1" s="1"/>
  <c r="BJ74" i="1"/>
  <c r="AR74" i="1"/>
  <c r="BK74" i="1" s="1"/>
  <c r="BJ14" i="1"/>
  <c r="AR14" i="1"/>
  <c r="BK14" i="1" s="1"/>
  <c r="BJ176" i="1"/>
  <c r="AR176" i="1"/>
  <c r="BK176" i="1" s="1"/>
  <c r="BJ172" i="1"/>
  <c r="AR172" i="1"/>
  <c r="BK172" i="1" s="1"/>
  <c r="BJ170" i="1"/>
  <c r="AR170" i="1"/>
  <c r="BK170" i="1" s="1"/>
  <c r="BJ166" i="1"/>
  <c r="AR166" i="1"/>
  <c r="BK166" i="1" s="1"/>
  <c r="BJ160" i="1"/>
  <c r="AR160" i="1"/>
  <c r="BK160" i="1" s="1"/>
  <c r="BJ156" i="1"/>
  <c r="AR156" i="1"/>
  <c r="BJ152" i="1"/>
  <c r="AR152" i="1"/>
  <c r="BK152" i="1" s="1"/>
  <c r="BJ150" i="1"/>
  <c r="AR150" i="1"/>
  <c r="BK150" i="1" s="1"/>
  <c r="BJ146" i="1"/>
  <c r="AR146" i="1"/>
  <c r="BK146" i="1" s="1"/>
  <c r="BJ142" i="1"/>
  <c r="AR142" i="1"/>
  <c r="BK142" i="1" s="1"/>
  <c r="BJ138" i="1"/>
  <c r="AR138" i="1"/>
  <c r="BK138" i="1" s="1"/>
  <c r="BJ132" i="1"/>
  <c r="AR132" i="1"/>
  <c r="BK132" i="1" s="1"/>
  <c r="BJ128" i="1"/>
  <c r="AR128" i="1"/>
  <c r="BK128" i="1" s="1"/>
  <c r="BJ124" i="1"/>
  <c r="AR124" i="1"/>
  <c r="BK124" i="1" s="1"/>
  <c r="BJ120" i="1"/>
  <c r="AR120" i="1"/>
  <c r="BK120" i="1" s="1"/>
  <c r="BJ116" i="1"/>
  <c r="AR116" i="1"/>
  <c r="BK116" i="1" s="1"/>
  <c r="BJ112" i="1"/>
  <c r="AR112" i="1"/>
  <c r="BK112" i="1" s="1"/>
  <c r="BJ108" i="1"/>
  <c r="AR108" i="1"/>
  <c r="BK108" i="1" s="1"/>
  <c r="BJ104" i="1"/>
  <c r="AR104" i="1"/>
  <c r="BK104" i="1" s="1"/>
  <c r="BJ100" i="1"/>
  <c r="AR100" i="1"/>
  <c r="BK100" i="1" s="1"/>
  <c r="BJ96" i="1"/>
  <c r="AR96" i="1"/>
  <c r="BK96" i="1" s="1"/>
  <c r="BJ92" i="1"/>
  <c r="AR92" i="1"/>
  <c r="BK92" i="1" s="1"/>
  <c r="BJ88" i="1"/>
  <c r="AR88" i="1"/>
  <c r="BK88" i="1" s="1"/>
  <c r="BJ84" i="1"/>
  <c r="AR84" i="1"/>
  <c r="BK84" i="1" s="1"/>
  <c r="BJ82" i="1"/>
  <c r="AR82" i="1"/>
  <c r="BK82" i="1" s="1"/>
  <c r="BJ78" i="1"/>
  <c r="AR78" i="1"/>
  <c r="BK78" i="1" s="1"/>
  <c r="BJ76" i="1"/>
  <c r="AR76" i="1"/>
  <c r="BK76" i="1" s="1"/>
  <c r="BJ72" i="1"/>
  <c r="AR72" i="1"/>
  <c r="BK72" i="1" s="1"/>
  <c r="BJ70" i="1"/>
  <c r="AR70" i="1"/>
  <c r="BK70" i="1" s="1"/>
  <c r="BJ68" i="1"/>
  <c r="AR68" i="1"/>
  <c r="BK68" i="1" s="1"/>
  <c r="BJ66" i="1"/>
  <c r="AR66" i="1"/>
  <c r="BK66" i="1" s="1"/>
  <c r="BJ64" i="1"/>
  <c r="AR64" i="1"/>
  <c r="BJ61" i="1"/>
  <c r="AR61" i="1"/>
  <c r="BK61" i="1" s="1"/>
  <c r="BJ60" i="1"/>
  <c r="AR60" i="1"/>
  <c r="BK60" i="1" s="1"/>
  <c r="BJ59" i="1"/>
  <c r="AR59" i="1"/>
  <c r="BK59" i="1" s="1"/>
  <c r="BJ58" i="1"/>
  <c r="AR58" i="1"/>
  <c r="BK58" i="1" s="1"/>
  <c r="BJ57" i="1"/>
  <c r="AR57" i="1"/>
  <c r="BK57" i="1" s="1"/>
  <c r="BJ56" i="1"/>
  <c r="AR56" i="1"/>
  <c r="BK56" i="1" s="1"/>
  <c r="BJ55" i="1"/>
  <c r="AR55" i="1"/>
  <c r="BK55" i="1" s="1"/>
  <c r="BJ54" i="1"/>
  <c r="AR54" i="1"/>
  <c r="BK54" i="1" s="1"/>
  <c r="BJ53" i="1"/>
  <c r="AR53" i="1"/>
  <c r="BK53" i="1" s="1"/>
  <c r="BJ52" i="1"/>
  <c r="AR52" i="1"/>
  <c r="BK52" i="1" s="1"/>
  <c r="BJ51" i="1"/>
  <c r="AR51" i="1"/>
  <c r="BK51" i="1" s="1"/>
  <c r="BJ50" i="1"/>
  <c r="AR50" i="1"/>
  <c r="BK50" i="1" s="1"/>
  <c r="BJ49" i="1"/>
  <c r="AR49" i="1"/>
  <c r="BK49" i="1" s="1"/>
  <c r="BJ48" i="1"/>
  <c r="AR48" i="1"/>
  <c r="BK48" i="1" s="1"/>
  <c r="BJ47" i="1"/>
  <c r="AR47" i="1"/>
  <c r="BK47" i="1" s="1"/>
  <c r="BJ46" i="1"/>
  <c r="AR46" i="1"/>
  <c r="BK46" i="1" s="1"/>
  <c r="BJ45" i="1"/>
  <c r="AR45" i="1"/>
  <c r="BK45" i="1" s="1"/>
  <c r="BJ44" i="1"/>
  <c r="AR44" i="1"/>
  <c r="BK44" i="1" s="1"/>
  <c r="BJ43" i="1"/>
  <c r="AR43" i="1"/>
  <c r="BK43" i="1" s="1"/>
  <c r="BJ42" i="1"/>
  <c r="AR42" i="1"/>
  <c r="BK42" i="1" s="1"/>
  <c r="BJ41" i="1"/>
  <c r="AR41" i="1"/>
  <c r="BK41" i="1" s="1"/>
  <c r="BJ40" i="1"/>
  <c r="AR40" i="1"/>
  <c r="BK40" i="1" s="1"/>
  <c r="BJ39" i="1"/>
  <c r="AR39" i="1"/>
  <c r="BK39" i="1" s="1"/>
  <c r="BJ38" i="1"/>
  <c r="AR38" i="1"/>
  <c r="BK38" i="1" s="1"/>
  <c r="BJ37" i="1"/>
  <c r="AR37" i="1"/>
  <c r="BK37" i="1" s="1"/>
  <c r="BJ36" i="1"/>
  <c r="AR36" i="1"/>
  <c r="BJ35" i="1"/>
  <c r="AR35" i="1"/>
  <c r="BK35" i="1" s="1"/>
  <c r="BJ34" i="1"/>
  <c r="AR34" i="1"/>
  <c r="BK34" i="1" s="1"/>
  <c r="BJ33" i="1"/>
  <c r="AR33" i="1"/>
  <c r="BK33" i="1" s="1"/>
  <c r="BJ32" i="1"/>
  <c r="AR32" i="1"/>
  <c r="BK32" i="1" s="1"/>
  <c r="BJ31" i="1"/>
  <c r="AR31" i="1"/>
  <c r="BK31" i="1" s="1"/>
  <c r="BJ30" i="1"/>
  <c r="AR30" i="1"/>
  <c r="BK30" i="1" s="1"/>
  <c r="BJ29" i="1"/>
  <c r="AR29" i="1"/>
  <c r="BK29" i="1" s="1"/>
  <c r="BJ28" i="1"/>
  <c r="AR28" i="1"/>
  <c r="BK28" i="1" s="1"/>
  <c r="BJ27" i="1"/>
  <c r="AR27" i="1"/>
  <c r="BK27" i="1" s="1"/>
  <c r="BJ26" i="1"/>
  <c r="AR26" i="1"/>
  <c r="BK26" i="1" s="1"/>
  <c r="BJ25" i="1"/>
  <c r="AR25" i="1"/>
  <c r="BK25" i="1" s="1"/>
  <c r="BJ24" i="1"/>
  <c r="AR24" i="1"/>
  <c r="BK24" i="1" s="1"/>
  <c r="BJ23" i="1"/>
  <c r="AR23" i="1"/>
  <c r="BK23" i="1" s="1"/>
  <c r="BJ22" i="1"/>
  <c r="AR22" i="1"/>
  <c r="BK22" i="1" s="1"/>
  <c r="BJ21" i="1"/>
  <c r="AR21" i="1"/>
  <c r="BK21" i="1" s="1"/>
  <c r="BJ20" i="1"/>
  <c r="AR20" i="1"/>
  <c r="BK20" i="1" s="1"/>
  <c r="BJ19" i="1"/>
  <c r="AR19" i="1"/>
  <c r="BK19" i="1" s="1"/>
  <c r="BJ18" i="1"/>
  <c r="AR18" i="1"/>
  <c r="BK18" i="1" s="1"/>
  <c r="BJ17" i="1"/>
  <c r="AR17" i="1"/>
  <c r="BK17" i="1" s="1"/>
  <c r="BJ16" i="1"/>
  <c r="AR16" i="1"/>
  <c r="BK16" i="1" s="1"/>
  <c r="BJ15" i="1"/>
  <c r="AR15" i="1"/>
  <c r="BK15" i="1" s="1"/>
  <c r="BJ13" i="1"/>
  <c r="AR13" i="1"/>
  <c r="BK13" i="1" s="1"/>
  <c r="BJ12" i="1"/>
  <c r="AR12" i="1"/>
  <c r="BK12" i="1" s="1"/>
  <c r="BJ11" i="1"/>
  <c r="AR11" i="1"/>
  <c r="BK11" i="1" s="1"/>
  <c r="BJ10" i="1"/>
  <c r="AR10" i="1"/>
  <c r="BK10" i="1" s="1"/>
  <c r="BJ9" i="1"/>
  <c r="AR9" i="1"/>
  <c r="BK9" i="1" s="1"/>
  <c r="BJ8" i="1"/>
  <c r="AR8" i="1"/>
  <c r="BK8" i="1" s="1"/>
  <c r="BJ7" i="1"/>
  <c r="AR7" i="1"/>
  <c r="BK7" i="1" s="1"/>
  <c r="BJ6" i="1"/>
  <c r="AR6" i="1"/>
  <c r="BK186" i="1"/>
  <c r="AS381" i="1"/>
  <c r="BK217" i="1"/>
  <c r="AS382" i="1"/>
  <c r="BK248" i="1"/>
  <c r="AS383" i="1"/>
  <c r="BK278" i="1"/>
  <c r="BJ181" i="1"/>
  <c r="AR181" i="1"/>
  <c r="BK181" i="1" s="1"/>
  <c r="BJ179" i="1"/>
  <c r="AR179" i="1"/>
  <c r="BK179" i="1" s="1"/>
  <c r="BJ177" i="1"/>
  <c r="AR177" i="1"/>
  <c r="BK177" i="1" s="1"/>
  <c r="BJ175" i="1"/>
  <c r="AR175" i="1"/>
  <c r="BK175" i="1" s="1"/>
  <c r="BJ173" i="1"/>
  <c r="AR173" i="1"/>
  <c r="BK173" i="1" s="1"/>
  <c r="BJ171" i="1"/>
  <c r="AR171" i="1"/>
  <c r="BK171" i="1" s="1"/>
  <c r="BJ169" i="1"/>
  <c r="AR169" i="1"/>
  <c r="BK169" i="1" s="1"/>
  <c r="BJ167" i="1"/>
  <c r="AR167" i="1"/>
  <c r="BK167" i="1" s="1"/>
  <c r="BJ165" i="1"/>
  <c r="AR165" i="1"/>
  <c r="BK165" i="1" s="1"/>
  <c r="BJ163" i="1"/>
  <c r="AR163" i="1"/>
  <c r="BK163" i="1" s="1"/>
  <c r="BJ161" i="1"/>
  <c r="AR161" i="1"/>
  <c r="BK161" i="1" s="1"/>
  <c r="BJ159" i="1"/>
  <c r="AR159" i="1"/>
  <c r="BK159" i="1" s="1"/>
  <c r="BJ157" i="1"/>
  <c r="AR157" i="1"/>
  <c r="BK157" i="1" s="1"/>
  <c r="BJ155" i="1"/>
  <c r="AR155" i="1"/>
  <c r="BK155" i="1" s="1"/>
  <c r="BJ153" i="1"/>
  <c r="AR153" i="1"/>
  <c r="BK153" i="1" s="1"/>
  <c r="BJ151" i="1"/>
  <c r="AR151" i="1"/>
  <c r="BK151" i="1" s="1"/>
  <c r="BJ149" i="1"/>
  <c r="AR149" i="1"/>
  <c r="BK149" i="1" s="1"/>
  <c r="BJ147" i="1"/>
  <c r="AR147" i="1"/>
  <c r="BK147" i="1" s="1"/>
  <c r="BJ145" i="1"/>
  <c r="AR145" i="1"/>
  <c r="BK145" i="1" s="1"/>
  <c r="BJ143" i="1"/>
  <c r="AR143" i="1"/>
  <c r="BK143" i="1" s="1"/>
  <c r="BJ141" i="1"/>
  <c r="AR141" i="1"/>
  <c r="BK141" i="1" s="1"/>
  <c r="BJ139" i="1"/>
  <c r="AR139" i="1"/>
  <c r="BK139" i="1" s="1"/>
  <c r="BJ137" i="1"/>
  <c r="AR137" i="1"/>
  <c r="BK137" i="1" s="1"/>
  <c r="BJ135" i="1"/>
  <c r="AR135" i="1"/>
  <c r="BK135" i="1" s="1"/>
  <c r="BJ133" i="1"/>
  <c r="AR133" i="1"/>
  <c r="BK133" i="1" s="1"/>
  <c r="BJ131" i="1"/>
  <c r="AR131" i="1"/>
  <c r="BK131" i="1" s="1"/>
  <c r="BJ129" i="1"/>
  <c r="AR129" i="1"/>
  <c r="BK129" i="1" s="1"/>
  <c r="BJ127" i="1"/>
  <c r="AR127" i="1"/>
  <c r="BK127" i="1" s="1"/>
  <c r="BJ125" i="1"/>
  <c r="AR125" i="1"/>
  <c r="BJ123" i="1"/>
  <c r="AR123" i="1"/>
  <c r="BK123" i="1" s="1"/>
  <c r="BJ121" i="1"/>
  <c r="AR121" i="1"/>
  <c r="BK121" i="1" s="1"/>
  <c r="BJ119" i="1"/>
  <c r="AR119" i="1"/>
  <c r="BK119" i="1" s="1"/>
  <c r="BJ117" i="1"/>
  <c r="AR117" i="1"/>
  <c r="BK117" i="1" s="1"/>
  <c r="BJ115" i="1"/>
  <c r="AR115" i="1"/>
  <c r="BK115" i="1" s="1"/>
  <c r="BJ113" i="1"/>
  <c r="AR113" i="1"/>
  <c r="BK113" i="1" s="1"/>
  <c r="BJ111" i="1"/>
  <c r="AR111" i="1"/>
  <c r="BK111" i="1" s="1"/>
  <c r="BJ109" i="1"/>
  <c r="AR109" i="1"/>
  <c r="BK109" i="1" s="1"/>
  <c r="BJ107" i="1"/>
  <c r="AR107" i="1"/>
  <c r="BK107" i="1" s="1"/>
  <c r="BJ105" i="1"/>
  <c r="AR105" i="1"/>
  <c r="BK105" i="1" s="1"/>
  <c r="BJ103" i="1"/>
  <c r="AR103" i="1"/>
  <c r="BK103" i="1" s="1"/>
  <c r="BJ101" i="1"/>
  <c r="AR101" i="1"/>
  <c r="BK101" i="1" s="1"/>
  <c r="BJ99" i="1"/>
  <c r="AR99" i="1"/>
  <c r="BK99" i="1" s="1"/>
  <c r="BJ97" i="1"/>
  <c r="AR97" i="1"/>
  <c r="BK97" i="1" s="1"/>
  <c r="BJ95" i="1"/>
  <c r="AR95" i="1"/>
  <c r="BJ93" i="1"/>
  <c r="AR93" i="1"/>
  <c r="BK93" i="1" s="1"/>
  <c r="BJ91" i="1"/>
  <c r="AR91" i="1"/>
  <c r="BK91" i="1" s="1"/>
  <c r="BJ89" i="1"/>
  <c r="AR89" i="1"/>
  <c r="BK89" i="1" s="1"/>
  <c r="BJ87" i="1"/>
  <c r="AR87" i="1"/>
  <c r="BK87" i="1" s="1"/>
  <c r="BJ85" i="1"/>
  <c r="AR85" i="1"/>
  <c r="BK85" i="1" s="1"/>
  <c r="BJ83" i="1"/>
  <c r="AR83" i="1"/>
  <c r="BK83" i="1" s="1"/>
  <c r="BJ81" i="1"/>
  <c r="AR81" i="1"/>
  <c r="BK81" i="1" s="1"/>
  <c r="BJ79" i="1"/>
  <c r="AR79" i="1"/>
  <c r="BK79" i="1" s="1"/>
  <c r="BJ77" i="1"/>
  <c r="AR77" i="1"/>
  <c r="BK77" i="1" s="1"/>
  <c r="BJ75" i="1"/>
  <c r="AR75" i="1"/>
  <c r="BK75" i="1" s="1"/>
  <c r="BJ73" i="1"/>
  <c r="AR73" i="1"/>
  <c r="BK73" i="1" s="1"/>
  <c r="BJ71" i="1"/>
  <c r="AR71" i="1"/>
  <c r="BK71" i="1" s="1"/>
  <c r="BJ69" i="1"/>
  <c r="AR69" i="1"/>
  <c r="BK69" i="1" s="1"/>
  <c r="BJ67" i="1"/>
  <c r="AR67" i="1"/>
  <c r="BK67" i="1" s="1"/>
  <c r="BJ65" i="1"/>
  <c r="AR65" i="1"/>
  <c r="BK65" i="1" s="1"/>
  <c r="BJ63" i="1"/>
  <c r="AR63" i="1"/>
  <c r="BK63" i="1" s="1"/>
  <c r="BH338" i="1"/>
  <c r="BG338" i="1"/>
  <c r="BF338" i="1"/>
  <c r="AX338" i="1"/>
  <c r="AW338" i="1"/>
  <c r="AV338" i="1"/>
  <c r="BH337" i="1"/>
  <c r="BG337" i="1"/>
  <c r="BF337" i="1"/>
  <c r="AX337" i="1"/>
  <c r="AW337" i="1"/>
  <c r="AV337" i="1"/>
  <c r="BH336" i="1"/>
  <c r="BG336" i="1"/>
  <c r="BF336" i="1"/>
  <c r="AX336" i="1"/>
  <c r="AW336" i="1"/>
  <c r="AV336" i="1"/>
  <c r="BH335" i="1"/>
  <c r="BG335" i="1"/>
  <c r="BF335" i="1"/>
  <c r="AX335" i="1"/>
  <c r="AW335" i="1"/>
  <c r="AV335" i="1"/>
  <c r="BH334" i="1"/>
  <c r="BG334" i="1"/>
  <c r="BF334" i="1"/>
  <c r="AX334" i="1"/>
  <c r="AW334" i="1"/>
  <c r="AV334" i="1"/>
  <c r="BH333" i="1"/>
  <c r="BG333" i="1"/>
  <c r="BF333" i="1"/>
  <c r="AX333" i="1"/>
  <c r="AW333" i="1"/>
  <c r="AV333" i="1"/>
  <c r="BH332" i="1"/>
  <c r="BG332" i="1"/>
  <c r="BF332" i="1"/>
  <c r="AX332" i="1"/>
  <c r="AW332" i="1"/>
  <c r="AV332" i="1"/>
  <c r="BH331" i="1"/>
  <c r="BG331" i="1"/>
  <c r="BF331" i="1"/>
  <c r="AX331" i="1"/>
  <c r="AW331" i="1"/>
  <c r="AV331" i="1"/>
  <c r="BH330" i="1"/>
  <c r="BG330" i="1"/>
  <c r="BF330" i="1"/>
  <c r="AX330" i="1"/>
  <c r="AW330" i="1"/>
  <c r="AV330" i="1"/>
  <c r="BH329" i="1"/>
  <c r="BG329" i="1"/>
  <c r="BF329" i="1"/>
  <c r="AX329" i="1"/>
  <c r="AW329" i="1"/>
  <c r="AV329" i="1"/>
  <c r="BH328" i="1"/>
  <c r="BG328" i="1"/>
  <c r="BF328" i="1"/>
  <c r="AX328" i="1"/>
  <c r="AW328" i="1"/>
  <c r="AV328" i="1"/>
  <c r="BH327" i="1"/>
  <c r="BG327" i="1"/>
  <c r="BF327" i="1"/>
  <c r="AX327" i="1"/>
  <c r="AW327" i="1"/>
  <c r="AV327" i="1"/>
  <c r="BH326" i="1"/>
  <c r="BG326" i="1"/>
  <c r="BF326" i="1"/>
  <c r="AX326" i="1"/>
  <c r="AW326" i="1"/>
  <c r="AV326" i="1"/>
  <c r="BH325" i="1"/>
  <c r="BG325" i="1"/>
  <c r="BF325" i="1"/>
  <c r="AX325" i="1"/>
  <c r="AW325" i="1"/>
  <c r="AV325" i="1"/>
  <c r="BH324" i="1"/>
  <c r="BG324" i="1"/>
  <c r="BF324" i="1"/>
  <c r="AX324" i="1"/>
  <c r="AW324" i="1"/>
  <c r="AV324" i="1"/>
  <c r="BH323" i="1"/>
  <c r="BG323" i="1"/>
  <c r="BF323" i="1"/>
  <c r="AX323" i="1"/>
  <c r="AW323" i="1"/>
  <c r="AV323" i="1"/>
  <c r="BH322" i="1"/>
  <c r="BG322" i="1"/>
  <c r="BF322" i="1"/>
  <c r="AX322" i="1"/>
  <c r="AW322" i="1"/>
  <c r="AV322" i="1"/>
  <c r="BH321" i="1"/>
  <c r="BG321" i="1"/>
  <c r="BF321" i="1"/>
  <c r="AX321" i="1"/>
  <c r="AW321" i="1"/>
  <c r="AV321" i="1"/>
  <c r="BH320" i="1"/>
  <c r="BG320" i="1"/>
  <c r="BF320" i="1"/>
  <c r="AX320" i="1"/>
  <c r="AW320" i="1"/>
  <c r="AV320" i="1"/>
  <c r="BH319" i="1"/>
  <c r="BG319" i="1"/>
  <c r="BF319" i="1"/>
  <c r="AX319" i="1"/>
  <c r="AW319" i="1"/>
  <c r="AV319" i="1"/>
  <c r="BH318" i="1"/>
  <c r="BG318" i="1"/>
  <c r="BF318" i="1"/>
  <c r="AX318" i="1"/>
  <c r="AW318" i="1"/>
  <c r="AV318" i="1"/>
  <c r="BH317" i="1"/>
  <c r="BG317" i="1"/>
  <c r="BF317" i="1"/>
  <c r="AX317" i="1"/>
  <c r="AW317" i="1"/>
  <c r="AV317" i="1"/>
  <c r="BH316" i="1"/>
  <c r="BG316" i="1"/>
  <c r="BF316" i="1"/>
  <c r="AX316" i="1"/>
  <c r="AW316" i="1"/>
  <c r="AV316" i="1"/>
  <c r="BH315" i="1"/>
  <c r="BG315" i="1"/>
  <c r="BF315" i="1"/>
  <c r="AX315" i="1"/>
  <c r="AW315" i="1"/>
  <c r="AV315" i="1"/>
  <c r="BH314" i="1"/>
  <c r="BG314" i="1"/>
  <c r="BF314" i="1"/>
  <c r="AX314" i="1"/>
  <c r="AW314" i="1"/>
  <c r="AV314" i="1"/>
  <c r="BH313" i="1"/>
  <c r="BG313" i="1"/>
  <c r="BF313" i="1"/>
  <c r="AX313" i="1"/>
  <c r="AW313" i="1"/>
  <c r="AV313" i="1"/>
  <c r="BH312" i="1"/>
  <c r="BG312" i="1"/>
  <c r="BF312" i="1"/>
  <c r="AX312" i="1"/>
  <c r="AW312" i="1"/>
  <c r="AV312" i="1"/>
  <c r="BH311" i="1"/>
  <c r="BG311" i="1"/>
  <c r="BF311" i="1"/>
  <c r="AX311" i="1"/>
  <c r="AW311" i="1"/>
  <c r="AV311" i="1"/>
  <c r="BH310" i="1"/>
  <c r="BG310" i="1"/>
  <c r="BF310" i="1"/>
  <c r="AX310" i="1"/>
  <c r="AW310" i="1"/>
  <c r="AV310" i="1"/>
  <c r="BH309" i="1"/>
  <c r="BG309" i="1"/>
  <c r="BF309" i="1"/>
  <c r="AX309" i="1"/>
  <c r="AW309" i="1"/>
  <c r="AV309" i="1"/>
  <c r="BH308" i="1"/>
  <c r="BG308" i="1"/>
  <c r="BF308" i="1"/>
  <c r="AX308" i="1"/>
  <c r="AW308" i="1"/>
  <c r="AV308" i="1"/>
  <c r="BH307" i="1"/>
  <c r="BG307" i="1"/>
  <c r="BF307" i="1"/>
  <c r="AX307" i="1"/>
  <c r="AW307" i="1"/>
  <c r="AV307" i="1"/>
  <c r="BH306" i="1"/>
  <c r="BG306" i="1"/>
  <c r="BF306" i="1"/>
  <c r="AX306" i="1"/>
  <c r="AW306" i="1"/>
  <c r="AV306" i="1"/>
  <c r="BH305" i="1"/>
  <c r="BG305" i="1"/>
  <c r="BF305" i="1"/>
  <c r="AX305" i="1"/>
  <c r="AW305" i="1"/>
  <c r="AV305" i="1"/>
  <c r="BH304" i="1"/>
  <c r="BG304" i="1"/>
  <c r="BF304" i="1"/>
  <c r="AX304" i="1"/>
  <c r="AW304" i="1"/>
  <c r="AV304" i="1"/>
  <c r="BH303" i="1"/>
  <c r="BG303" i="1"/>
  <c r="BF303" i="1"/>
  <c r="AX303" i="1"/>
  <c r="AW303" i="1"/>
  <c r="AV303" i="1"/>
  <c r="BH302" i="1"/>
  <c r="BG302" i="1"/>
  <c r="BF302" i="1"/>
  <c r="AX302" i="1"/>
  <c r="AW302" i="1"/>
  <c r="AV302" i="1"/>
  <c r="BH301" i="1"/>
  <c r="BG301" i="1"/>
  <c r="BF301" i="1"/>
  <c r="AX301" i="1"/>
  <c r="AW301" i="1"/>
  <c r="AV301" i="1"/>
  <c r="BH300" i="1"/>
  <c r="BG300" i="1"/>
  <c r="BF300" i="1"/>
  <c r="AX300" i="1"/>
  <c r="AW300" i="1"/>
  <c r="AV300" i="1"/>
  <c r="BH299" i="1"/>
  <c r="BG299" i="1"/>
  <c r="BF299" i="1"/>
  <c r="AX299" i="1"/>
  <c r="AW299" i="1"/>
  <c r="AV299" i="1"/>
  <c r="BH298" i="1"/>
  <c r="BG298" i="1"/>
  <c r="BF298" i="1"/>
  <c r="AX298" i="1"/>
  <c r="AW298" i="1"/>
  <c r="AV298" i="1"/>
  <c r="BH297" i="1"/>
  <c r="BG297" i="1"/>
  <c r="BF297" i="1"/>
  <c r="AX297" i="1"/>
  <c r="AW297" i="1"/>
  <c r="AV297" i="1"/>
  <c r="BH296" i="1"/>
  <c r="BG296" i="1"/>
  <c r="BF296" i="1"/>
  <c r="AX296" i="1"/>
  <c r="AW296" i="1"/>
  <c r="AV296" i="1"/>
  <c r="BH295" i="1"/>
  <c r="BG295" i="1"/>
  <c r="BF295" i="1"/>
  <c r="AX295" i="1"/>
  <c r="AW295" i="1"/>
  <c r="AV295" i="1"/>
  <c r="BH294" i="1"/>
  <c r="BG294" i="1"/>
  <c r="BF294" i="1"/>
  <c r="AX294" i="1"/>
  <c r="AW294" i="1"/>
  <c r="AV294" i="1"/>
  <c r="BK64" i="1" l="1"/>
  <c r="AS377" i="1"/>
  <c r="BK156" i="1"/>
  <c r="AS380" i="1"/>
  <c r="BK95" i="1"/>
  <c r="AS378" i="1"/>
  <c r="BK125" i="1"/>
  <c r="AS379" i="1"/>
  <c r="BK6" i="1"/>
  <c r="AS375" i="1"/>
  <c r="BK36" i="1"/>
  <c r="AS376" i="1"/>
  <c r="AZ338" i="1"/>
  <c r="AY338" i="1"/>
  <c r="AZ337" i="1"/>
  <c r="AY337" i="1"/>
  <c r="AZ336" i="1"/>
  <c r="AY336" i="1"/>
  <c r="AZ335" i="1"/>
  <c r="AY335" i="1"/>
  <c r="AY334" i="1"/>
  <c r="AZ333" i="1"/>
  <c r="AY333" i="1"/>
  <c r="AZ332" i="1"/>
  <c r="AY332" i="1"/>
  <c r="AY331" i="1"/>
  <c r="AY330" i="1"/>
  <c r="AZ329" i="1"/>
  <c r="AY329" i="1"/>
  <c r="AZ328" i="1"/>
  <c r="AY328" i="1"/>
  <c r="AY327" i="1"/>
  <c r="AY326" i="1"/>
  <c r="AZ325" i="1"/>
  <c r="AY325" i="1"/>
  <c r="AZ324" i="1"/>
  <c r="AY324" i="1"/>
  <c r="AY323" i="1"/>
  <c r="AY322" i="1"/>
  <c r="AZ321" i="1"/>
  <c r="AY321" i="1"/>
  <c r="AZ320" i="1"/>
  <c r="AY320" i="1"/>
  <c r="AZ319" i="1"/>
  <c r="AY319" i="1"/>
  <c r="AY318" i="1"/>
  <c r="AZ317" i="1"/>
  <c r="AY317" i="1"/>
  <c r="AZ316" i="1"/>
  <c r="AY316" i="1"/>
  <c r="AY315" i="1"/>
  <c r="AY314" i="1"/>
  <c r="AZ313" i="1"/>
  <c r="AY313" i="1"/>
  <c r="AZ312" i="1"/>
  <c r="AY312" i="1"/>
  <c r="AY311" i="1"/>
  <c r="AY310" i="1"/>
  <c r="AZ309" i="1"/>
  <c r="AY309" i="1"/>
  <c r="AZ308" i="1"/>
  <c r="AY308" i="1"/>
  <c r="AY307" i="1"/>
  <c r="AY306" i="1"/>
  <c r="AZ305" i="1"/>
  <c r="AY305" i="1"/>
  <c r="AZ304" i="1"/>
  <c r="AY304" i="1"/>
  <c r="AZ303" i="1"/>
  <c r="AY303" i="1"/>
  <c r="AY302" i="1"/>
  <c r="AZ301" i="1"/>
  <c r="AY301" i="1"/>
  <c r="AZ300" i="1"/>
  <c r="AY300" i="1"/>
  <c r="AY299" i="1"/>
  <c r="AY298" i="1"/>
  <c r="AZ297" i="1"/>
  <c r="AY297" i="1"/>
  <c r="AZ296" i="1"/>
  <c r="AY296" i="1"/>
  <c r="AY295" i="1"/>
  <c r="AY294" i="1"/>
  <c r="AZ293" i="1"/>
  <c r="AY293" i="1"/>
  <c r="AY292" i="1"/>
  <c r="AZ291" i="1"/>
  <c r="AY290" i="1"/>
  <c r="AZ289" i="1"/>
  <c r="AY289" i="1"/>
  <c r="AZ288" i="1"/>
  <c r="AZ287" i="1"/>
  <c r="AY286" i="1"/>
  <c r="AY285" i="1"/>
  <c r="AY284" i="1"/>
  <c r="AZ283" i="1"/>
  <c r="AY283" i="1"/>
  <c r="AY282" i="1"/>
  <c r="AY281" i="1"/>
  <c r="AY280" i="1"/>
  <c r="AY279" i="1"/>
  <c r="AY278" i="1"/>
  <c r="AY277" i="1"/>
  <c r="AY276" i="1"/>
  <c r="AZ275" i="1"/>
  <c r="AY274" i="1"/>
  <c r="AZ273" i="1"/>
  <c r="AY273" i="1"/>
  <c r="AY272" i="1"/>
  <c r="AZ271" i="1"/>
  <c r="AY270" i="1"/>
  <c r="AY269" i="1"/>
  <c r="AY268" i="1"/>
  <c r="AZ267" i="1"/>
  <c r="AY267" i="1"/>
  <c r="AY266" i="1"/>
  <c r="AZ265" i="1"/>
  <c r="AY265" i="1"/>
  <c r="AY263" i="1"/>
  <c r="AY262" i="1"/>
  <c r="AY261" i="1"/>
  <c r="AZ260" i="1"/>
  <c r="AY260" i="1"/>
  <c r="AZ259" i="1"/>
  <c r="AY258" i="1"/>
  <c r="AZ257" i="1"/>
  <c r="AY257" i="1"/>
  <c r="AY256" i="1"/>
  <c r="AZ255" i="1"/>
  <c r="AY254" i="1"/>
  <c r="AY253" i="1"/>
  <c r="AY252" i="1"/>
  <c r="AZ251" i="1"/>
  <c r="AY251" i="1"/>
  <c r="AY250" i="1"/>
  <c r="AY249" i="1"/>
  <c r="AZ248" i="1"/>
  <c r="AZ247" i="1"/>
  <c r="AY247" i="1"/>
  <c r="AZ246" i="1"/>
  <c r="AY246" i="1"/>
  <c r="AY245" i="1"/>
  <c r="AZ244" i="1"/>
  <c r="AY244" i="1"/>
  <c r="AY243" i="1"/>
  <c r="AZ242" i="1"/>
  <c r="AY242" i="1"/>
  <c r="AY241" i="1"/>
  <c r="AZ240" i="1"/>
  <c r="AY240" i="1"/>
  <c r="AZ239" i="1"/>
  <c r="AY239" i="1"/>
  <c r="AZ238" i="1"/>
  <c r="AY238" i="1"/>
  <c r="AZ237" i="1"/>
  <c r="AY237" i="1"/>
  <c r="AZ236" i="1"/>
  <c r="AY236" i="1"/>
  <c r="AZ235" i="1"/>
  <c r="AY235" i="1"/>
  <c r="AZ234" i="1"/>
  <c r="AY234" i="1"/>
  <c r="AZ233" i="1"/>
  <c r="AY233" i="1"/>
  <c r="AY232" i="1"/>
  <c r="AZ231" i="1"/>
  <c r="AY231" i="1"/>
  <c r="AZ230" i="1"/>
  <c r="AY230" i="1"/>
  <c r="AZ229" i="1"/>
  <c r="AY229" i="1"/>
  <c r="AZ228" i="1"/>
  <c r="AY228" i="1"/>
  <c r="AZ227" i="1"/>
  <c r="AY227" i="1"/>
  <c r="AZ226" i="1"/>
  <c r="AY226" i="1"/>
  <c r="AZ225" i="1"/>
  <c r="AY225" i="1"/>
  <c r="AZ224" i="1"/>
  <c r="AZ223" i="1"/>
  <c r="AY223" i="1"/>
  <c r="AZ222" i="1"/>
  <c r="AY222" i="1"/>
  <c r="AZ221" i="1"/>
  <c r="AY221" i="1"/>
  <c r="AZ220" i="1"/>
  <c r="AZ219" i="1"/>
  <c r="AY219" i="1"/>
  <c r="AZ218" i="1"/>
  <c r="AY218" i="1"/>
  <c r="AZ217" i="1"/>
  <c r="AY217" i="1"/>
  <c r="AY216" i="1"/>
  <c r="AZ215" i="1"/>
  <c r="AY215" i="1"/>
  <c r="AZ214" i="1"/>
  <c r="AY214" i="1"/>
  <c r="AY213" i="1"/>
  <c r="AZ212" i="1"/>
  <c r="AY212" i="1"/>
  <c r="AZ211" i="1"/>
  <c r="AY211" i="1"/>
  <c r="AZ210" i="1"/>
  <c r="AY210" i="1"/>
  <c r="AY209" i="1"/>
  <c r="AZ208" i="1"/>
  <c r="AY208" i="1"/>
  <c r="AZ207" i="1"/>
  <c r="AZ206" i="1"/>
  <c r="AY206" i="1"/>
  <c r="AZ205" i="1"/>
  <c r="AY205" i="1"/>
  <c r="AZ204" i="1"/>
  <c r="AY204" i="1"/>
  <c r="AZ203" i="1"/>
  <c r="AY203" i="1"/>
  <c r="AZ202" i="1"/>
  <c r="AY202" i="1"/>
  <c r="AZ201" i="1"/>
  <c r="AY201" i="1"/>
  <c r="AZ200" i="1"/>
  <c r="AY200" i="1"/>
  <c r="AZ199" i="1"/>
  <c r="AY199" i="1"/>
  <c r="AZ198" i="1"/>
  <c r="AY198" i="1"/>
  <c r="AZ197" i="1"/>
  <c r="AY197" i="1"/>
  <c r="AZ196" i="1"/>
  <c r="AY196" i="1"/>
  <c r="AZ195" i="1"/>
  <c r="AY195" i="1"/>
  <c r="AZ194" i="1"/>
  <c r="AY194" i="1"/>
  <c r="AZ193" i="1"/>
  <c r="AY193" i="1"/>
  <c r="AZ192" i="1"/>
  <c r="AZ191" i="1"/>
  <c r="AY191" i="1"/>
  <c r="AZ190" i="1"/>
  <c r="AY190" i="1"/>
  <c r="AZ189" i="1"/>
  <c r="AY189" i="1"/>
  <c r="AZ188" i="1"/>
  <c r="AZ187" i="1"/>
  <c r="AY187" i="1"/>
  <c r="AZ186" i="1"/>
  <c r="AY186" i="1"/>
  <c r="AZ185" i="1"/>
  <c r="AY185" i="1"/>
  <c r="AZ184" i="1"/>
  <c r="AY184" i="1"/>
  <c r="AZ183" i="1"/>
  <c r="AY183" i="1"/>
  <c r="AZ182" i="1"/>
  <c r="AY182" i="1"/>
  <c r="AY181" i="1"/>
  <c r="AZ180" i="1"/>
  <c r="AY180" i="1"/>
  <c r="AZ179" i="1"/>
  <c r="AY179" i="1"/>
  <c r="AZ178" i="1"/>
  <c r="AY178" i="1"/>
  <c r="AY177" i="1"/>
  <c r="AZ176" i="1"/>
  <c r="AY176" i="1"/>
  <c r="AZ175" i="1"/>
  <c r="AY175" i="1"/>
  <c r="AZ174" i="1"/>
  <c r="AY174" i="1"/>
  <c r="AZ173" i="1"/>
  <c r="AY173" i="1"/>
  <c r="AZ172" i="1"/>
  <c r="AY172" i="1"/>
  <c r="AZ171" i="1"/>
  <c r="AY171" i="1"/>
  <c r="AZ170" i="1"/>
  <c r="AY170" i="1"/>
  <c r="AY169" i="1"/>
  <c r="AZ168" i="1"/>
  <c r="AY168" i="1"/>
  <c r="AZ167" i="1"/>
  <c r="AZ166" i="1"/>
  <c r="AY166" i="1"/>
  <c r="AY165" i="1"/>
  <c r="AY164" i="1"/>
  <c r="AZ163" i="1"/>
  <c r="AY163" i="1"/>
  <c r="AZ162" i="1"/>
  <c r="AY162" i="1"/>
  <c r="AY161" i="1"/>
  <c r="AZ160" i="1"/>
  <c r="AY160" i="1"/>
  <c r="AZ159" i="1"/>
  <c r="AY159" i="1"/>
  <c r="AZ158" i="1"/>
  <c r="AY158" i="1"/>
  <c r="AY157" i="1"/>
  <c r="AZ156" i="1"/>
  <c r="AY156" i="1"/>
  <c r="AZ155" i="1"/>
  <c r="AY155" i="1"/>
  <c r="AZ154" i="1"/>
  <c r="AY154" i="1"/>
  <c r="AZ153" i="1"/>
  <c r="AY153" i="1"/>
  <c r="AZ152" i="1"/>
  <c r="AZ151" i="1"/>
  <c r="AY151" i="1"/>
  <c r="AZ150" i="1"/>
  <c r="AY150" i="1"/>
  <c r="AZ149" i="1"/>
  <c r="AY149" i="1"/>
  <c r="AZ148" i="1"/>
  <c r="AY147" i="1"/>
  <c r="AZ146" i="1"/>
  <c r="AY146" i="1"/>
  <c r="AY145" i="1"/>
  <c r="AZ144" i="1"/>
  <c r="AY144" i="1"/>
  <c r="AZ143" i="1"/>
  <c r="AY143" i="1"/>
  <c r="AZ142" i="1"/>
  <c r="AY142" i="1"/>
  <c r="AY141" i="1"/>
  <c r="AZ140" i="1"/>
  <c r="AY140" i="1"/>
  <c r="AZ139" i="1"/>
  <c r="AY139" i="1"/>
  <c r="AZ138" i="1"/>
  <c r="AY138" i="1"/>
  <c r="AZ137" i="1"/>
  <c r="AY137" i="1"/>
  <c r="AZ135" i="1"/>
  <c r="AZ134" i="1"/>
  <c r="AY134" i="1"/>
  <c r="AZ133" i="1"/>
  <c r="AY133" i="1"/>
  <c r="AZ132" i="1"/>
  <c r="AY131" i="1"/>
  <c r="AZ130" i="1"/>
  <c r="AY130" i="1"/>
  <c r="AY129" i="1"/>
  <c r="AZ128" i="1"/>
  <c r="AY128" i="1"/>
  <c r="AZ127" i="1"/>
  <c r="AZ126" i="1"/>
  <c r="AY126" i="1"/>
  <c r="AY125" i="1"/>
  <c r="AY124" i="1"/>
  <c r="AZ123" i="1"/>
  <c r="AZ122" i="1"/>
  <c r="AY122" i="1"/>
  <c r="AZ121" i="1"/>
  <c r="AY121" i="1"/>
  <c r="AZ120" i="1"/>
  <c r="AZ119" i="1"/>
  <c r="AY119" i="1"/>
  <c r="AZ118" i="1"/>
  <c r="AY118" i="1"/>
  <c r="AZ117" i="1"/>
  <c r="AY117" i="1"/>
  <c r="AY116" i="1"/>
  <c r="AY115" i="1"/>
  <c r="AY114" i="1"/>
  <c r="AY113" i="1"/>
  <c r="AY112" i="1"/>
  <c r="AY111" i="1"/>
  <c r="AY110" i="1"/>
  <c r="AY109" i="1"/>
  <c r="AY107" i="1"/>
  <c r="AY106" i="1"/>
  <c r="AY105" i="1"/>
  <c r="AZ104" i="1"/>
  <c r="AY104" i="1"/>
  <c r="AY103" i="1"/>
  <c r="AZ102" i="1"/>
  <c r="AY102" i="1"/>
  <c r="AY101" i="1"/>
  <c r="AY99" i="1"/>
  <c r="AY98" i="1"/>
  <c r="AY97" i="1"/>
  <c r="AY95" i="1"/>
  <c r="AY94" i="1"/>
  <c r="AY93" i="1"/>
  <c r="AZ92" i="1"/>
  <c r="AY92" i="1"/>
  <c r="AZ90" i="1"/>
  <c r="AY90" i="1"/>
  <c r="AZ89" i="1"/>
  <c r="AY89" i="1"/>
  <c r="AZ88" i="1"/>
  <c r="AY88" i="1"/>
  <c r="AY87" i="1"/>
  <c r="AZ86" i="1"/>
  <c r="AY86" i="1"/>
  <c r="AZ85" i="1"/>
  <c r="AY85" i="1"/>
  <c r="AZ84" i="1"/>
  <c r="AY84" i="1"/>
  <c r="AY82" i="1"/>
  <c r="AY81" i="1"/>
  <c r="AZ80" i="1"/>
  <c r="AY80" i="1"/>
  <c r="AZ79" i="1"/>
  <c r="AY79" i="1"/>
  <c r="AY78" i="1"/>
  <c r="AY77" i="1"/>
  <c r="AZ76" i="1"/>
  <c r="AY74" i="1"/>
  <c r="AY73" i="1"/>
  <c r="AZ72" i="1"/>
  <c r="AY71" i="1"/>
  <c r="AZ70" i="1"/>
  <c r="AY70" i="1"/>
  <c r="AY69" i="1"/>
  <c r="AZ68" i="1"/>
  <c r="AY68" i="1"/>
  <c r="AY66" i="1"/>
  <c r="AY65" i="1"/>
  <c r="AZ63" i="1"/>
  <c r="AY63" i="1"/>
  <c r="AY61" i="1"/>
  <c r="AY60" i="1"/>
  <c r="AY59" i="1"/>
  <c r="AZ58" i="1"/>
  <c r="AY58" i="1"/>
  <c r="AZ57" i="1"/>
  <c r="AY57" i="1"/>
  <c r="AY56" i="1"/>
  <c r="AZ55" i="1"/>
  <c r="AY55" i="1"/>
  <c r="AZ54" i="1"/>
  <c r="AY54" i="1"/>
  <c r="AZ53" i="1"/>
  <c r="AY53" i="1"/>
  <c r="AZ52" i="1"/>
  <c r="AY52" i="1"/>
  <c r="AY51" i="1"/>
  <c r="AY50" i="1"/>
  <c r="AY49" i="1"/>
  <c r="AY48" i="1"/>
  <c r="AY47" i="1"/>
  <c r="AY46" i="1"/>
  <c r="AY45" i="1"/>
  <c r="AY44" i="1"/>
  <c r="AZ43" i="1"/>
  <c r="AY43" i="1"/>
  <c r="AY42" i="1"/>
  <c r="AY41" i="1"/>
  <c r="AZ39" i="1"/>
  <c r="AY39" i="1"/>
  <c r="AY38" i="1"/>
  <c r="AY37" i="1"/>
  <c r="AY36" i="1"/>
  <c r="AY35" i="1"/>
  <c r="AZ34" i="1"/>
  <c r="AY34" i="1"/>
  <c r="AY33" i="1"/>
  <c r="AY30" i="1"/>
  <c r="AZ29" i="1"/>
  <c r="AY29" i="1"/>
  <c r="AZ27" i="1"/>
  <c r="AY27" i="1"/>
  <c r="AZ26" i="1"/>
  <c r="AY26" i="1"/>
  <c r="AY25" i="1"/>
  <c r="AZ23" i="1"/>
  <c r="AY23" i="1"/>
  <c r="AZ22" i="1"/>
  <c r="AY22" i="1"/>
  <c r="AY21" i="1"/>
  <c r="AY19" i="1"/>
  <c r="AY18" i="1"/>
  <c r="AY17" i="1"/>
  <c r="AY15" i="1"/>
  <c r="AY14" i="1"/>
  <c r="AZ13" i="1"/>
  <c r="AZ11" i="1"/>
  <c r="AY11" i="1"/>
  <c r="AY10" i="1"/>
  <c r="AY9" i="1"/>
  <c r="AY8" i="1"/>
  <c r="AZ7" i="1"/>
  <c r="AY7" i="1"/>
  <c r="AY108" i="1"/>
  <c r="AY100" i="1"/>
  <c r="AY96" i="1"/>
  <c r="AY76" i="1"/>
  <c r="AY72" i="1"/>
  <c r="AY64" i="1"/>
  <c r="AY13" i="1"/>
  <c r="AQ337" i="1"/>
  <c r="AQ324" i="1"/>
  <c r="AY288" i="1"/>
  <c r="AZ281" i="1"/>
  <c r="AZ269" i="1"/>
  <c r="AY264" i="1"/>
  <c r="AZ253" i="1"/>
  <c r="AY248" i="1"/>
  <c r="AY291" i="1"/>
  <c r="AY287" i="1"/>
  <c r="AZ284" i="1"/>
  <c r="AZ280" i="1"/>
  <c r="AY275" i="1"/>
  <c r="AY271" i="1"/>
  <c r="AZ268" i="1"/>
  <c r="AZ264" i="1"/>
  <c r="AY259" i="1"/>
  <c r="AY255" i="1"/>
  <c r="AZ245" i="1"/>
  <c r="AZ243" i="1"/>
  <c r="AZ241" i="1"/>
  <c r="AZ232" i="1"/>
  <c r="AY224" i="1"/>
  <c r="AY220" i="1"/>
  <c r="AZ216" i="1"/>
  <c r="AZ213" i="1"/>
  <c r="AZ209" i="1"/>
  <c r="AY207" i="1"/>
  <c r="AY192" i="1"/>
  <c r="AY188" i="1"/>
  <c r="AZ181" i="1"/>
  <c r="AZ177" i="1"/>
  <c r="AZ169" i="1"/>
  <c r="AY167" i="1"/>
  <c r="AZ165" i="1"/>
  <c r="AZ164" i="1"/>
  <c r="AZ161" i="1"/>
  <c r="AZ157" i="1"/>
  <c r="AY152" i="1"/>
  <c r="AY148" i="1"/>
  <c r="AZ147" i="1"/>
  <c r="AZ145" i="1"/>
  <c r="AZ141" i="1"/>
  <c r="AZ136" i="1"/>
  <c r="AY136" i="1"/>
  <c r="AY135" i="1"/>
  <c r="AY132" i="1"/>
  <c r="AZ131" i="1"/>
  <c r="AZ129" i="1"/>
  <c r="AY127" i="1"/>
  <c r="AZ125" i="1"/>
  <c r="AZ124" i="1"/>
  <c r="AY123" i="1"/>
  <c r="AY120" i="1"/>
  <c r="AZ116" i="1"/>
  <c r="AZ108" i="1"/>
  <c r="AZ105" i="1"/>
  <c r="AZ101" i="1"/>
  <c r="AZ97" i="1"/>
  <c r="AZ93" i="1"/>
  <c r="AY91" i="1"/>
  <c r="AY83" i="1"/>
  <c r="AY75" i="1"/>
  <c r="AZ73" i="1"/>
  <c r="AZ69" i="1"/>
  <c r="AY67" i="1"/>
  <c r="AZ65" i="1"/>
  <c r="AZ64" i="1"/>
  <c r="AZ61" i="1"/>
  <c r="AZ56" i="1"/>
  <c r="AZ48" i="1"/>
  <c r="AY40" i="1"/>
  <c r="AZ37" i="1"/>
  <c r="AZ33" i="1"/>
  <c r="AY32" i="1"/>
  <c r="AY31" i="1"/>
  <c r="AY28" i="1"/>
  <c r="AZ25" i="1"/>
  <c r="AY24" i="1"/>
  <c r="AY20" i="1"/>
  <c r="AZ17" i="1"/>
  <c r="AY16" i="1"/>
  <c r="AY12" i="1"/>
  <c r="AZ9" i="1"/>
  <c r="AY6" i="1"/>
  <c r="BH40" i="1"/>
  <c r="BG40" i="1"/>
  <c r="BF40" i="1"/>
  <c r="AX40" i="1"/>
  <c r="AW40" i="1"/>
  <c r="AV40" i="1"/>
  <c r="AU40" i="1"/>
  <c r="BH370" i="1"/>
  <c r="BG370" i="1"/>
  <c r="BF370" i="1"/>
  <c r="AX370" i="1"/>
  <c r="AW370" i="1"/>
  <c r="AV370" i="1"/>
  <c r="BH369" i="1"/>
  <c r="BG369" i="1"/>
  <c r="BF369" i="1"/>
  <c r="AX369" i="1"/>
  <c r="AW369" i="1"/>
  <c r="AV369" i="1"/>
  <c r="BH368" i="1"/>
  <c r="BG368" i="1"/>
  <c r="BF368" i="1"/>
  <c r="AX368" i="1"/>
  <c r="AW368" i="1"/>
  <c r="AV368" i="1"/>
  <c r="BH367" i="1"/>
  <c r="BG367" i="1"/>
  <c r="BF367" i="1"/>
  <c r="AX367" i="1"/>
  <c r="AW367" i="1"/>
  <c r="AV367" i="1"/>
  <c r="BH366" i="1"/>
  <c r="BG366" i="1"/>
  <c r="BF366" i="1"/>
  <c r="AX366" i="1"/>
  <c r="AW366" i="1"/>
  <c r="AV366" i="1"/>
  <c r="BH365" i="1"/>
  <c r="BG365" i="1"/>
  <c r="BF365" i="1"/>
  <c r="AX365" i="1"/>
  <c r="AW365" i="1"/>
  <c r="AV365" i="1"/>
  <c r="BH364" i="1"/>
  <c r="BG364" i="1"/>
  <c r="BF364" i="1"/>
  <c r="AX364" i="1"/>
  <c r="AW364" i="1"/>
  <c r="AV364" i="1"/>
  <c r="BH363" i="1"/>
  <c r="BG363" i="1"/>
  <c r="BF363" i="1"/>
  <c r="AX363" i="1"/>
  <c r="AW363" i="1"/>
  <c r="AV363" i="1"/>
  <c r="BH362" i="1"/>
  <c r="BG362" i="1"/>
  <c r="BF362" i="1"/>
  <c r="AX362" i="1"/>
  <c r="AW362" i="1"/>
  <c r="AV362" i="1"/>
  <c r="BH361" i="1"/>
  <c r="BG361" i="1"/>
  <c r="BF361" i="1"/>
  <c r="AX361" i="1"/>
  <c r="AW361" i="1"/>
  <c r="AV361" i="1"/>
  <c r="BH360" i="1"/>
  <c r="BG360" i="1"/>
  <c r="BF360" i="1"/>
  <c r="AX360" i="1"/>
  <c r="AW360" i="1"/>
  <c r="AV360" i="1"/>
  <c r="BH359" i="1"/>
  <c r="BG359" i="1"/>
  <c r="BF359" i="1"/>
  <c r="AX359" i="1"/>
  <c r="AW359" i="1"/>
  <c r="AV359" i="1"/>
  <c r="BH358" i="1"/>
  <c r="BG358" i="1"/>
  <c r="BF358" i="1"/>
  <c r="AX358" i="1"/>
  <c r="AW358" i="1"/>
  <c r="AV358" i="1"/>
  <c r="BH357" i="1"/>
  <c r="BG357" i="1"/>
  <c r="BF357" i="1"/>
  <c r="AX357" i="1"/>
  <c r="AW357" i="1"/>
  <c r="AV357" i="1"/>
  <c r="BH356" i="1"/>
  <c r="BG356" i="1"/>
  <c r="BF356" i="1"/>
  <c r="AX356" i="1"/>
  <c r="AW356" i="1"/>
  <c r="AV356" i="1"/>
  <c r="BH355" i="1"/>
  <c r="BG355" i="1"/>
  <c r="BF355" i="1"/>
  <c r="AX355" i="1"/>
  <c r="AW355" i="1"/>
  <c r="AV355" i="1"/>
  <c r="BH354" i="1"/>
  <c r="BG354" i="1"/>
  <c r="BF354" i="1"/>
  <c r="AX354" i="1"/>
  <c r="AW354" i="1"/>
  <c r="AV354" i="1"/>
  <c r="BH353" i="1"/>
  <c r="BG353" i="1"/>
  <c r="BF353" i="1"/>
  <c r="AX353" i="1"/>
  <c r="AW353" i="1"/>
  <c r="AV353" i="1"/>
  <c r="BH352" i="1"/>
  <c r="BG352" i="1"/>
  <c r="BF352" i="1"/>
  <c r="AX352" i="1"/>
  <c r="AW352" i="1"/>
  <c r="AV352" i="1"/>
  <c r="BH351" i="1"/>
  <c r="BG351" i="1"/>
  <c r="BF351" i="1"/>
  <c r="AX351" i="1"/>
  <c r="AW351" i="1"/>
  <c r="AV351" i="1"/>
  <c r="BH350" i="1"/>
  <c r="BG350" i="1"/>
  <c r="BF350" i="1"/>
  <c r="AX350" i="1"/>
  <c r="AW350" i="1"/>
  <c r="AV350" i="1"/>
  <c r="BH349" i="1"/>
  <c r="BG349" i="1"/>
  <c r="BF349" i="1"/>
  <c r="AX349" i="1"/>
  <c r="AW349" i="1"/>
  <c r="AV349" i="1"/>
  <c r="BH348" i="1"/>
  <c r="BG348" i="1"/>
  <c r="BF348" i="1"/>
  <c r="AX348" i="1"/>
  <c r="AW348" i="1"/>
  <c r="AV348" i="1"/>
  <c r="BH347" i="1"/>
  <c r="BG347" i="1"/>
  <c r="BF347" i="1"/>
  <c r="AX347" i="1"/>
  <c r="AW347" i="1"/>
  <c r="AV347" i="1"/>
  <c r="BH346" i="1"/>
  <c r="BG346" i="1"/>
  <c r="BF346" i="1"/>
  <c r="AX346" i="1"/>
  <c r="AW346" i="1"/>
  <c r="AV346" i="1"/>
  <c r="BH345" i="1"/>
  <c r="BG345" i="1"/>
  <c r="BF345" i="1"/>
  <c r="AX345" i="1"/>
  <c r="AW345" i="1"/>
  <c r="AV345" i="1"/>
  <c r="BH344" i="1"/>
  <c r="BG344" i="1"/>
  <c r="BF344" i="1"/>
  <c r="AX344" i="1"/>
  <c r="AW344" i="1"/>
  <c r="AV344" i="1"/>
  <c r="BH343" i="1"/>
  <c r="BG343" i="1"/>
  <c r="BF343" i="1"/>
  <c r="AX343" i="1"/>
  <c r="AW343" i="1"/>
  <c r="AV343" i="1"/>
  <c r="BH342" i="1"/>
  <c r="BG342" i="1"/>
  <c r="BF342" i="1"/>
  <c r="AX342" i="1"/>
  <c r="AW342" i="1"/>
  <c r="AV342" i="1"/>
  <c r="BH341" i="1"/>
  <c r="BG341" i="1"/>
  <c r="BF341" i="1"/>
  <c r="AX341" i="1"/>
  <c r="AW341" i="1"/>
  <c r="AV341" i="1"/>
  <c r="BH340" i="1"/>
  <c r="BG340" i="1"/>
  <c r="BF340" i="1"/>
  <c r="AX340" i="1"/>
  <c r="AW340" i="1"/>
  <c r="AV340" i="1"/>
  <c r="BH339" i="1"/>
  <c r="BG339" i="1"/>
  <c r="BF339" i="1"/>
  <c r="AX339" i="1"/>
  <c r="AW339" i="1"/>
  <c r="AV339" i="1"/>
  <c r="BH293" i="1"/>
  <c r="BG293" i="1"/>
  <c r="BF293" i="1"/>
  <c r="AX293" i="1"/>
  <c r="BH292" i="1"/>
  <c r="BG292" i="1"/>
  <c r="BF292" i="1"/>
  <c r="AX292" i="1"/>
  <c r="BH291" i="1"/>
  <c r="BG291" i="1"/>
  <c r="BF291" i="1"/>
  <c r="AX291" i="1"/>
  <c r="BH290" i="1"/>
  <c r="BG290" i="1"/>
  <c r="BF290" i="1"/>
  <c r="AX290" i="1"/>
  <c r="BH289" i="1"/>
  <c r="BG289" i="1"/>
  <c r="BF289" i="1"/>
  <c r="AX289" i="1"/>
  <c r="BH288" i="1"/>
  <c r="BG288" i="1"/>
  <c r="BF288" i="1"/>
  <c r="AX288" i="1"/>
  <c r="BH287" i="1"/>
  <c r="BG287" i="1"/>
  <c r="BF287" i="1"/>
  <c r="AX287" i="1"/>
  <c r="BH286" i="1"/>
  <c r="BG286" i="1"/>
  <c r="BF286" i="1"/>
  <c r="AX286" i="1"/>
  <c r="BH285" i="1"/>
  <c r="BG285" i="1"/>
  <c r="BF285" i="1"/>
  <c r="AX285" i="1"/>
  <c r="BH284" i="1"/>
  <c r="BG284" i="1"/>
  <c r="BF284" i="1"/>
  <c r="AX284" i="1"/>
  <c r="BH283" i="1"/>
  <c r="BG283" i="1"/>
  <c r="BF283" i="1"/>
  <c r="AX283" i="1"/>
  <c r="BH282" i="1"/>
  <c r="BG282" i="1"/>
  <c r="BF282" i="1"/>
  <c r="AX282" i="1"/>
  <c r="BH281" i="1"/>
  <c r="BG281" i="1"/>
  <c r="BF281" i="1"/>
  <c r="AX281" i="1"/>
  <c r="BH280" i="1"/>
  <c r="BG280" i="1"/>
  <c r="BF280" i="1"/>
  <c r="AX280" i="1"/>
  <c r="BH279" i="1"/>
  <c r="BG279" i="1"/>
  <c r="BF279" i="1"/>
  <c r="AX279" i="1"/>
  <c r="BH278" i="1"/>
  <c r="BG278" i="1"/>
  <c r="BF278" i="1"/>
  <c r="AX278" i="1"/>
  <c r="BH277" i="1"/>
  <c r="BG277" i="1"/>
  <c r="BF277" i="1"/>
  <c r="AX277" i="1"/>
  <c r="BH276" i="1"/>
  <c r="BG276" i="1"/>
  <c r="BF276" i="1"/>
  <c r="AX276" i="1"/>
  <c r="BH275" i="1"/>
  <c r="BG275" i="1"/>
  <c r="BF275" i="1"/>
  <c r="AX275" i="1"/>
  <c r="BH274" i="1"/>
  <c r="BG274" i="1"/>
  <c r="BF274" i="1"/>
  <c r="AX274" i="1"/>
  <c r="BH273" i="1"/>
  <c r="BG273" i="1"/>
  <c r="BF273" i="1"/>
  <c r="AX273" i="1"/>
  <c r="BH272" i="1"/>
  <c r="BG272" i="1"/>
  <c r="BF272" i="1"/>
  <c r="AX272" i="1"/>
  <c r="BH271" i="1"/>
  <c r="BG271" i="1"/>
  <c r="BF271" i="1"/>
  <c r="AX271" i="1"/>
  <c r="BH270" i="1"/>
  <c r="BG270" i="1"/>
  <c r="BF270" i="1"/>
  <c r="AX270" i="1"/>
  <c r="BH269" i="1"/>
  <c r="BG269" i="1"/>
  <c r="BF269" i="1"/>
  <c r="AX269" i="1"/>
  <c r="BH268" i="1"/>
  <c r="BG268" i="1"/>
  <c r="BF268" i="1"/>
  <c r="AX268" i="1"/>
  <c r="BH267" i="1"/>
  <c r="BG267" i="1"/>
  <c r="BF267" i="1"/>
  <c r="AX267" i="1"/>
  <c r="BH266" i="1"/>
  <c r="BG266" i="1"/>
  <c r="BF266" i="1"/>
  <c r="AX266" i="1"/>
  <c r="BH265" i="1"/>
  <c r="BG265" i="1"/>
  <c r="BF265" i="1"/>
  <c r="AX265" i="1"/>
  <c r="BH264" i="1"/>
  <c r="BG264" i="1"/>
  <c r="BF264" i="1"/>
  <c r="AX264" i="1"/>
  <c r="BH263" i="1"/>
  <c r="BG263" i="1"/>
  <c r="BF263" i="1"/>
  <c r="AX263" i="1"/>
  <c r="BH262" i="1"/>
  <c r="BG262" i="1"/>
  <c r="BF262" i="1"/>
  <c r="AX262" i="1"/>
  <c r="BH261" i="1"/>
  <c r="BG261" i="1"/>
  <c r="BF261" i="1"/>
  <c r="AX261" i="1"/>
  <c r="BH260" i="1"/>
  <c r="BG260" i="1"/>
  <c r="BF260" i="1"/>
  <c r="AX260" i="1"/>
  <c r="BH259" i="1"/>
  <c r="BG259" i="1"/>
  <c r="BF259" i="1"/>
  <c r="AX259" i="1"/>
  <c r="BH258" i="1"/>
  <c r="BG258" i="1"/>
  <c r="BF258" i="1"/>
  <c r="AX258" i="1"/>
  <c r="BH257" i="1"/>
  <c r="BG257" i="1"/>
  <c r="BF257" i="1"/>
  <c r="AX257" i="1"/>
  <c r="BH256" i="1"/>
  <c r="BG256" i="1"/>
  <c r="BF256" i="1"/>
  <c r="AX256" i="1"/>
  <c r="BH255" i="1"/>
  <c r="BG255" i="1"/>
  <c r="BF255" i="1"/>
  <c r="AX255" i="1"/>
  <c r="BH254" i="1"/>
  <c r="BG254" i="1"/>
  <c r="BF254" i="1"/>
  <c r="AX254" i="1"/>
  <c r="BH253" i="1"/>
  <c r="BG253" i="1"/>
  <c r="BF253" i="1"/>
  <c r="AX253" i="1"/>
  <c r="BH252" i="1"/>
  <c r="BG252" i="1"/>
  <c r="BF252" i="1"/>
  <c r="AX252" i="1"/>
  <c r="BH251" i="1"/>
  <c r="BG251" i="1"/>
  <c r="BF251" i="1"/>
  <c r="AX251" i="1"/>
  <c r="BH250" i="1"/>
  <c r="BG250" i="1"/>
  <c r="BF250" i="1"/>
  <c r="AX250" i="1"/>
  <c r="BH249" i="1"/>
  <c r="BG249" i="1"/>
  <c r="BF249" i="1"/>
  <c r="AX249" i="1"/>
  <c r="BH248" i="1"/>
  <c r="BG248" i="1"/>
  <c r="BF248" i="1"/>
  <c r="AX248" i="1"/>
  <c r="BH247" i="1"/>
  <c r="BG247" i="1"/>
  <c r="BF247" i="1"/>
  <c r="AX247" i="1"/>
  <c r="BH246" i="1"/>
  <c r="BG246" i="1"/>
  <c r="BF246" i="1"/>
  <c r="AX246" i="1"/>
  <c r="BH245" i="1"/>
  <c r="BG245" i="1"/>
  <c r="BF245" i="1"/>
  <c r="AX245" i="1"/>
  <c r="BH244" i="1"/>
  <c r="BG244" i="1"/>
  <c r="BF244" i="1"/>
  <c r="AX244" i="1"/>
  <c r="BH243" i="1"/>
  <c r="BG243" i="1"/>
  <c r="BF243" i="1"/>
  <c r="AX243" i="1"/>
  <c r="BH242" i="1"/>
  <c r="BG242" i="1"/>
  <c r="BF242" i="1"/>
  <c r="AX242" i="1"/>
  <c r="BH241" i="1"/>
  <c r="BG241" i="1"/>
  <c r="BF241" i="1"/>
  <c r="AX241" i="1"/>
  <c r="BH240" i="1"/>
  <c r="BG240" i="1"/>
  <c r="BF240" i="1"/>
  <c r="AX240" i="1"/>
  <c r="BH239" i="1"/>
  <c r="BG239" i="1"/>
  <c r="BF239" i="1"/>
  <c r="AX239" i="1"/>
  <c r="BH238" i="1"/>
  <c r="BG238" i="1"/>
  <c r="BF238" i="1"/>
  <c r="AX238" i="1"/>
  <c r="BH237" i="1"/>
  <c r="BG237" i="1"/>
  <c r="BF237" i="1"/>
  <c r="AX237" i="1"/>
  <c r="BH236" i="1"/>
  <c r="BG236" i="1"/>
  <c r="BF236" i="1"/>
  <c r="AX236" i="1"/>
  <c r="BH235" i="1"/>
  <c r="BG235" i="1"/>
  <c r="BF235" i="1"/>
  <c r="AX235" i="1"/>
  <c r="BH234" i="1"/>
  <c r="BG234" i="1"/>
  <c r="BF234" i="1"/>
  <c r="AX234" i="1"/>
  <c r="BH233" i="1"/>
  <c r="BG233" i="1"/>
  <c r="BF233" i="1"/>
  <c r="AX233" i="1"/>
  <c r="BH232" i="1"/>
  <c r="BG232" i="1"/>
  <c r="BF232" i="1"/>
  <c r="AX232" i="1"/>
  <c r="BH231" i="1"/>
  <c r="BG231" i="1"/>
  <c r="BF231" i="1"/>
  <c r="AX231" i="1"/>
  <c r="BH230" i="1"/>
  <c r="BG230" i="1"/>
  <c r="BF230" i="1"/>
  <c r="AX230" i="1"/>
  <c r="BH229" i="1"/>
  <c r="BG229" i="1"/>
  <c r="BF229" i="1"/>
  <c r="AX229" i="1"/>
  <c r="BH228" i="1"/>
  <c r="BG228" i="1"/>
  <c r="BF228" i="1"/>
  <c r="AX228" i="1"/>
  <c r="BH227" i="1"/>
  <c r="BG227" i="1"/>
  <c r="BF227" i="1"/>
  <c r="AX227" i="1"/>
  <c r="BH226" i="1"/>
  <c r="BG226" i="1"/>
  <c r="BF226" i="1"/>
  <c r="AX226" i="1"/>
  <c r="BH225" i="1"/>
  <c r="BG225" i="1"/>
  <c r="BF225" i="1"/>
  <c r="AX225" i="1"/>
  <c r="BH224" i="1"/>
  <c r="BG224" i="1"/>
  <c r="BF224" i="1"/>
  <c r="AX224" i="1"/>
  <c r="BH223" i="1"/>
  <c r="BG223" i="1"/>
  <c r="BF223" i="1"/>
  <c r="AX223" i="1"/>
  <c r="BH222" i="1"/>
  <c r="BG222" i="1"/>
  <c r="BF222" i="1"/>
  <c r="AX222" i="1"/>
  <c r="BH221" i="1"/>
  <c r="BG221" i="1"/>
  <c r="BF221" i="1"/>
  <c r="AX221" i="1"/>
  <c r="BH220" i="1"/>
  <c r="BG220" i="1"/>
  <c r="BF220" i="1"/>
  <c r="AX220" i="1"/>
  <c r="BH219" i="1"/>
  <c r="BG219" i="1"/>
  <c r="BF219" i="1"/>
  <c r="AX219" i="1"/>
  <c r="BH218" i="1"/>
  <c r="BG218" i="1"/>
  <c r="BF218" i="1"/>
  <c r="AX218" i="1"/>
  <c r="BH217" i="1"/>
  <c r="BG217" i="1"/>
  <c r="BF217" i="1"/>
  <c r="AX217" i="1"/>
  <c r="BH216" i="1"/>
  <c r="BG216" i="1"/>
  <c r="BF216" i="1"/>
  <c r="AX216" i="1"/>
  <c r="BH215" i="1"/>
  <c r="BG215" i="1"/>
  <c r="BF215" i="1"/>
  <c r="AX215" i="1"/>
  <c r="BH214" i="1"/>
  <c r="BG214" i="1"/>
  <c r="BF214" i="1"/>
  <c r="AX214" i="1"/>
  <c r="BH213" i="1"/>
  <c r="BG213" i="1"/>
  <c r="BF213" i="1"/>
  <c r="AX213" i="1"/>
  <c r="BH212" i="1"/>
  <c r="BG212" i="1"/>
  <c r="BF212" i="1"/>
  <c r="AX212" i="1"/>
  <c r="BH211" i="1"/>
  <c r="BG211" i="1"/>
  <c r="BF211" i="1"/>
  <c r="AX211" i="1"/>
  <c r="BH210" i="1"/>
  <c r="BG210" i="1"/>
  <c r="BF210" i="1"/>
  <c r="AX210" i="1"/>
  <c r="BH209" i="1"/>
  <c r="BG209" i="1"/>
  <c r="BF209" i="1"/>
  <c r="AX209" i="1"/>
  <c r="BH208" i="1"/>
  <c r="BG208" i="1"/>
  <c r="BF208" i="1"/>
  <c r="AX208" i="1"/>
  <c r="BH207" i="1"/>
  <c r="BG207" i="1"/>
  <c r="BF207" i="1"/>
  <c r="AX207" i="1"/>
  <c r="BH206" i="1"/>
  <c r="BG206" i="1"/>
  <c r="BF206" i="1"/>
  <c r="AX206" i="1"/>
  <c r="BH205" i="1"/>
  <c r="BG205" i="1"/>
  <c r="BF205" i="1"/>
  <c r="AX205" i="1"/>
  <c r="BH204" i="1"/>
  <c r="BG204" i="1"/>
  <c r="BF204" i="1"/>
  <c r="AX204" i="1"/>
  <c r="BH203" i="1"/>
  <c r="BG203" i="1"/>
  <c r="BF203" i="1"/>
  <c r="AX203" i="1"/>
  <c r="BH202" i="1"/>
  <c r="BG202" i="1"/>
  <c r="BF202" i="1"/>
  <c r="AX202" i="1"/>
  <c r="BH201" i="1"/>
  <c r="BG201" i="1"/>
  <c r="BF201" i="1"/>
  <c r="AX201" i="1"/>
  <c r="BH200" i="1"/>
  <c r="BG200" i="1"/>
  <c r="BF200" i="1"/>
  <c r="AX200" i="1"/>
  <c r="BH199" i="1"/>
  <c r="BG199" i="1"/>
  <c r="BF199" i="1"/>
  <c r="AX199" i="1"/>
  <c r="BH198" i="1"/>
  <c r="BG198" i="1"/>
  <c r="BF198" i="1"/>
  <c r="AX198" i="1"/>
  <c r="BH197" i="1"/>
  <c r="BG197" i="1"/>
  <c r="BF197" i="1"/>
  <c r="AX197" i="1"/>
  <c r="BH196" i="1"/>
  <c r="BG196" i="1"/>
  <c r="BF196" i="1"/>
  <c r="AX196" i="1"/>
  <c r="BH195" i="1"/>
  <c r="BG195" i="1"/>
  <c r="BF195" i="1"/>
  <c r="AX195" i="1"/>
  <c r="BH194" i="1"/>
  <c r="BG194" i="1"/>
  <c r="BF194" i="1"/>
  <c r="AX194" i="1"/>
  <c r="BH193" i="1"/>
  <c r="BG193" i="1"/>
  <c r="BF193" i="1"/>
  <c r="AX193" i="1"/>
  <c r="BH192" i="1"/>
  <c r="BG192" i="1"/>
  <c r="BF192" i="1"/>
  <c r="AX192" i="1"/>
  <c r="BH191" i="1"/>
  <c r="BG191" i="1"/>
  <c r="BF191" i="1"/>
  <c r="AX191" i="1"/>
  <c r="BH190" i="1"/>
  <c r="BG190" i="1"/>
  <c r="BF190" i="1"/>
  <c r="AX190" i="1"/>
  <c r="BH189" i="1"/>
  <c r="BG189" i="1"/>
  <c r="BF189" i="1"/>
  <c r="AX189" i="1"/>
  <c r="BH188" i="1"/>
  <c r="BG188" i="1"/>
  <c r="BF188" i="1"/>
  <c r="AX188" i="1"/>
  <c r="BH187" i="1"/>
  <c r="BG187" i="1"/>
  <c r="BF187" i="1"/>
  <c r="AX187" i="1"/>
  <c r="BH186" i="1"/>
  <c r="BG186" i="1"/>
  <c r="BF186" i="1"/>
  <c r="AX186" i="1"/>
  <c r="BH185" i="1"/>
  <c r="BG185" i="1"/>
  <c r="BF185" i="1"/>
  <c r="AX185" i="1"/>
  <c r="BH184" i="1"/>
  <c r="BG184" i="1"/>
  <c r="BF184" i="1"/>
  <c r="AX184" i="1"/>
  <c r="BH183" i="1"/>
  <c r="BG183" i="1"/>
  <c r="BF183" i="1"/>
  <c r="AX183" i="1"/>
  <c r="BH182" i="1"/>
  <c r="BG182" i="1"/>
  <c r="BF182" i="1"/>
  <c r="AX182" i="1"/>
  <c r="BH181" i="1"/>
  <c r="BG181" i="1"/>
  <c r="BF181" i="1"/>
  <c r="AX181" i="1"/>
  <c r="AW181" i="1"/>
  <c r="AV181" i="1"/>
  <c r="BH180" i="1"/>
  <c r="BG180" i="1"/>
  <c r="BF180" i="1"/>
  <c r="AX180" i="1"/>
  <c r="AW180" i="1"/>
  <c r="AV180" i="1"/>
  <c r="BH179" i="1"/>
  <c r="BG179" i="1"/>
  <c r="BF179" i="1"/>
  <c r="AX179" i="1"/>
  <c r="AW179" i="1"/>
  <c r="AV179" i="1"/>
  <c r="BH178" i="1"/>
  <c r="BG178" i="1"/>
  <c r="BF178" i="1"/>
  <c r="AX178" i="1"/>
  <c r="AW178" i="1"/>
  <c r="AV178" i="1"/>
  <c r="BH177" i="1"/>
  <c r="BG177" i="1"/>
  <c r="BF177" i="1"/>
  <c r="AX177" i="1"/>
  <c r="AW177" i="1"/>
  <c r="AV177" i="1"/>
  <c r="BH176" i="1"/>
  <c r="BG176" i="1"/>
  <c r="BF176" i="1"/>
  <c r="AX176" i="1"/>
  <c r="AW176" i="1"/>
  <c r="AV176" i="1"/>
  <c r="BH175" i="1"/>
  <c r="BG175" i="1"/>
  <c r="BF175" i="1"/>
  <c r="AX175" i="1"/>
  <c r="AW175" i="1"/>
  <c r="AV175" i="1"/>
  <c r="BH174" i="1"/>
  <c r="BG174" i="1"/>
  <c r="BF174" i="1"/>
  <c r="AX174" i="1"/>
  <c r="AW174" i="1"/>
  <c r="AV174" i="1"/>
  <c r="BH173" i="1"/>
  <c r="BG173" i="1"/>
  <c r="BF173" i="1"/>
  <c r="AX173" i="1"/>
  <c r="AW173" i="1"/>
  <c r="AV173" i="1"/>
  <c r="BH172" i="1"/>
  <c r="BG172" i="1"/>
  <c r="BF172" i="1"/>
  <c r="AX172" i="1"/>
  <c r="AW172" i="1"/>
  <c r="AV172" i="1"/>
  <c r="BH171" i="1"/>
  <c r="BG171" i="1"/>
  <c r="BF171" i="1"/>
  <c r="AX171" i="1"/>
  <c r="AW171" i="1"/>
  <c r="AV171" i="1"/>
  <c r="BH170" i="1"/>
  <c r="BG170" i="1"/>
  <c r="BF170" i="1"/>
  <c r="AX170" i="1"/>
  <c r="AW170" i="1"/>
  <c r="AV170" i="1"/>
  <c r="BH169" i="1"/>
  <c r="BG169" i="1"/>
  <c r="BF169" i="1"/>
  <c r="AX169" i="1"/>
  <c r="AW169" i="1"/>
  <c r="AV169" i="1"/>
  <c r="BH168" i="1"/>
  <c r="BG168" i="1"/>
  <c r="BF168" i="1"/>
  <c r="AX168" i="1"/>
  <c r="AW168" i="1"/>
  <c r="AV168" i="1"/>
  <c r="BH167" i="1"/>
  <c r="BG167" i="1"/>
  <c r="BF167" i="1"/>
  <c r="AX167" i="1"/>
  <c r="AW167" i="1"/>
  <c r="AV167" i="1"/>
  <c r="BH166" i="1"/>
  <c r="BG166" i="1"/>
  <c r="BF166" i="1"/>
  <c r="AX166" i="1"/>
  <c r="AW166" i="1"/>
  <c r="AV166" i="1"/>
  <c r="BH165" i="1"/>
  <c r="BG165" i="1"/>
  <c r="BF165" i="1"/>
  <c r="AX165" i="1"/>
  <c r="AW165" i="1"/>
  <c r="AV165" i="1"/>
  <c r="BH164" i="1"/>
  <c r="BG164" i="1"/>
  <c r="BF164" i="1"/>
  <c r="AX164" i="1"/>
  <c r="AW164" i="1"/>
  <c r="AV164" i="1"/>
  <c r="BH163" i="1"/>
  <c r="BG163" i="1"/>
  <c r="BF163" i="1"/>
  <c r="AX163" i="1"/>
  <c r="AW163" i="1"/>
  <c r="AV163" i="1"/>
  <c r="BH162" i="1"/>
  <c r="BG162" i="1"/>
  <c r="BF162" i="1"/>
  <c r="AX162" i="1"/>
  <c r="AW162" i="1"/>
  <c r="AV162" i="1"/>
  <c r="BH161" i="1"/>
  <c r="BG161" i="1"/>
  <c r="BF161" i="1"/>
  <c r="AX161" i="1"/>
  <c r="AW161" i="1"/>
  <c r="AV161" i="1"/>
  <c r="BH160" i="1"/>
  <c r="BG160" i="1"/>
  <c r="BF160" i="1"/>
  <c r="AX160" i="1"/>
  <c r="AW160" i="1"/>
  <c r="AV160" i="1"/>
  <c r="BH159" i="1"/>
  <c r="BG159" i="1"/>
  <c r="BF159" i="1"/>
  <c r="AX159" i="1"/>
  <c r="AW159" i="1"/>
  <c r="AV159" i="1"/>
  <c r="BH158" i="1"/>
  <c r="BG158" i="1"/>
  <c r="BF158" i="1"/>
  <c r="AX158" i="1"/>
  <c r="AW158" i="1"/>
  <c r="AV158" i="1"/>
  <c r="BH157" i="1"/>
  <c r="BG157" i="1"/>
  <c r="BF157" i="1"/>
  <c r="AX157" i="1"/>
  <c r="AW157" i="1"/>
  <c r="AV157" i="1"/>
  <c r="BH156" i="1"/>
  <c r="BG156" i="1"/>
  <c r="BF156" i="1"/>
  <c r="AX156" i="1"/>
  <c r="AW156" i="1"/>
  <c r="AV156" i="1"/>
  <c r="BH155" i="1"/>
  <c r="BG155" i="1"/>
  <c r="BF155" i="1"/>
  <c r="AX155" i="1"/>
  <c r="AW155" i="1"/>
  <c r="AV155" i="1"/>
  <c r="BH154" i="1"/>
  <c r="BG154" i="1"/>
  <c r="BF154" i="1"/>
  <c r="AX154" i="1"/>
  <c r="AW154" i="1"/>
  <c r="AV154" i="1"/>
  <c r="BH153" i="1"/>
  <c r="BG153" i="1"/>
  <c r="BF153" i="1"/>
  <c r="AX153" i="1"/>
  <c r="AW153" i="1"/>
  <c r="AV153" i="1"/>
  <c r="BH152" i="1"/>
  <c r="BG152" i="1"/>
  <c r="BF152" i="1"/>
  <c r="AX152" i="1"/>
  <c r="AW152" i="1"/>
  <c r="AV152" i="1"/>
  <c r="BH151" i="1"/>
  <c r="BG151" i="1"/>
  <c r="BF151" i="1"/>
  <c r="AX151" i="1"/>
  <c r="AW151" i="1"/>
  <c r="AV151" i="1"/>
  <c r="BH150" i="1"/>
  <c r="BG150" i="1"/>
  <c r="BF150" i="1"/>
  <c r="AX150" i="1"/>
  <c r="AW150" i="1"/>
  <c r="AV150" i="1"/>
  <c r="BH149" i="1"/>
  <c r="BG149" i="1"/>
  <c r="BF149" i="1"/>
  <c r="AX149" i="1"/>
  <c r="AW149" i="1"/>
  <c r="AV149" i="1"/>
  <c r="BH148" i="1"/>
  <c r="BG148" i="1"/>
  <c r="BF148" i="1"/>
  <c r="AX148" i="1"/>
  <c r="AW148" i="1"/>
  <c r="AV148" i="1"/>
  <c r="BH147" i="1"/>
  <c r="BG147" i="1"/>
  <c r="BF147" i="1"/>
  <c r="AX147" i="1"/>
  <c r="AW147" i="1"/>
  <c r="AV147" i="1"/>
  <c r="BH146" i="1"/>
  <c r="BG146" i="1"/>
  <c r="BF146" i="1"/>
  <c r="AX146" i="1"/>
  <c r="AW146" i="1"/>
  <c r="AV146" i="1"/>
  <c r="BH145" i="1"/>
  <c r="BG145" i="1"/>
  <c r="BF145" i="1"/>
  <c r="AX145" i="1"/>
  <c r="AW145" i="1"/>
  <c r="AV145" i="1"/>
  <c r="BH144" i="1"/>
  <c r="BG144" i="1"/>
  <c r="BF144" i="1"/>
  <c r="AX144" i="1"/>
  <c r="AW144" i="1"/>
  <c r="AV144" i="1"/>
  <c r="BH143" i="1"/>
  <c r="BG143" i="1"/>
  <c r="BF143" i="1"/>
  <c r="AX143" i="1"/>
  <c r="AW143" i="1"/>
  <c r="AV143" i="1"/>
  <c r="BH142" i="1"/>
  <c r="BG142" i="1"/>
  <c r="BF142" i="1"/>
  <c r="AX142" i="1"/>
  <c r="AW142" i="1"/>
  <c r="AV142" i="1"/>
  <c r="BH141" i="1"/>
  <c r="BG141" i="1"/>
  <c r="BF141" i="1"/>
  <c r="AX141" i="1"/>
  <c r="AW141" i="1"/>
  <c r="AV141" i="1"/>
  <c r="BH140" i="1"/>
  <c r="BG140" i="1"/>
  <c r="BF140" i="1"/>
  <c r="AX140" i="1"/>
  <c r="AW140" i="1"/>
  <c r="AV140" i="1"/>
  <c r="BH139" i="1"/>
  <c r="BG139" i="1"/>
  <c r="BF139" i="1"/>
  <c r="AX139" i="1"/>
  <c r="AW139" i="1"/>
  <c r="AV139" i="1"/>
  <c r="BH138" i="1"/>
  <c r="BG138" i="1"/>
  <c r="BF138" i="1"/>
  <c r="AX138" i="1"/>
  <c r="AW138" i="1"/>
  <c r="AV138" i="1"/>
  <c r="BH137" i="1"/>
  <c r="BG137" i="1"/>
  <c r="BF137" i="1"/>
  <c r="AX137" i="1"/>
  <c r="AW137" i="1"/>
  <c r="AV137" i="1"/>
  <c r="BH136" i="1"/>
  <c r="BG136" i="1"/>
  <c r="BF136" i="1"/>
  <c r="AX136" i="1"/>
  <c r="AW136" i="1"/>
  <c r="AV136" i="1"/>
  <c r="BH135" i="1"/>
  <c r="BG135" i="1"/>
  <c r="BF135" i="1"/>
  <c r="AX135" i="1"/>
  <c r="AW135" i="1"/>
  <c r="AV135" i="1"/>
  <c r="BH134" i="1"/>
  <c r="BG134" i="1"/>
  <c r="BF134" i="1"/>
  <c r="AX134" i="1"/>
  <c r="AW134" i="1"/>
  <c r="AV134" i="1"/>
  <c r="BH133" i="1"/>
  <c r="BG133" i="1"/>
  <c r="BF133" i="1"/>
  <c r="AX133" i="1"/>
  <c r="AW133" i="1"/>
  <c r="AV133" i="1"/>
  <c r="BH132" i="1"/>
  <c r="BG132" i="1"/>
  <c r="BF132" i="1"/>
  <c r="AX132" i="1"/>
  <c r="AW132" i="1"/>
  <c r="AV132" i="1"/>
  <c r="BH131" i="1"/>
  <c r="BG131" i="1"/>
  <c r="BF131" i="1"/>
  <c r="AX131" i="1"/>
  <c r="AW131" i="1"/>
  <c r="AV131" i="1"/>
  <c r="BH130" i="1"/>
  <c r="BG130" i="1"/>
  <c r="BF130" i="1"/>
  <c r="AX130" i="1"/>
  <c r="AW130" i="1"/>
  <c r="AV130" i="1"/>
  <c r="BH129" i="1"/>
  <c r="BG129" i="1"/>
  <c r="BF129" i="1"/>
  <c r="AX129" i="1"/>
  <c r="AW129" i="1"/>
  <c r="AV129" i="1"/>
  <c r="BH128" i="1"/>
  <c r="BG128" i="1"/>
  <c r="BF128" i="1"/>
  <c r="AX128" i="1"/>
  <c r="AW128" i="1"/>
  <c r="AV128" i="1"/>
  <c r="BH127" i="1"/>
  <c r="BG127" i="1"/>
  <c r="BF127" i="1"/>
  <c r="AX127" i="1"/>
  <c r="AW127" i="1"/>
  <c r="AV127" i="1"/>
  <c r="BH126" i="1"/>
  <c r="BG126" i="1"/>
  <c r="BF126" i="1"/>
  <c r="AX126" i="1"/>
  <c r="AW126" i="1"/>
  <c r="AV126" i="1"/>
  <c r="BH125" i="1"/>
  <c r="BG125" i="1"/>
  <c r="BF125" i="1"/>
  <c r="AX125" i="1"/>
  <c r="AW125" i="1"/>
  <c r="AV125" i="1"/>
  <c r="BH124" i="1"/>
  <c r="BG124" i="1"/>
  <c r="BF124" i="1"/>
  <c r="AX124" i="1"/>
  <c r="AW124" i="1"/>
  <c r="AV124" i="1"/>
  <c r="BH123" i="1"/>
  <c r="BG123" i="1"/>
  <c r="BF123" i="1"/>
  <c r="AX123" i="1"/>
  <c r="AW123" i="1"/>
  <c r="AV123" i="1"/>
  <c r="BH122" i="1"/>
  <c r="BG122" i="1"/>
  <c r="BF122" i="1"/>
  <c r="AX122" i="1"/>
  <c r="AW122" i="1"/>
  <c r="AV122" i="1"/>
  <c r="BH121" i="1"/>
  <c r="BG121" i="1"/>
  <c r="BF121" i="1"/>
  <c r="AX121" i="1"/>
  <c r="AW121" i="1"/>
  <c r="AV121" i="1"/>
  <c r="BH120" i="1"/>
  <c r="BG120" i="1"/>
  <c r="BF120" i="1"/>
  <c r="AX120" i="1"/>
  <c r="AW120" i="1"/>
  <c r="AV120" i="1"/>
  <c r="BH119" i="1"/>
  <c r="BG119" i="1"/>
  <c r="BF119" i="1"/>
  <c r="AX119" i="1"/>
  <c r="AW119" i="1"/>
  <c r="AV119" i="1"/>
  <c r="BH118" i="1"/>
  <c r="BG118" i="1"/>
  <c r="BF118" i="1"/>
  <c r="AX118" i="1"/>
  <c r="AW118" i="1"/>
  <c r="AV118" i="1"/>
  <c r="BH117" i="1"/>
  <c r="BG117" i="1"/>
  <c r="BF117" i="1"/>
  <c r="AX117" i="1"/>
  <c r="AW117" i="1"/>
  <c r="AV117" i="1"/>
  <c r="BH116" i="1"/>
  <c r="BG116" i="1"/>
  <c r="BF116" i="1"/>
  <c r="AX116" i="1"/>
  <c r="AW116" i="1"/>
  <c r="AV116" i="1"/>
  <c r="BH115" i="1"/>
  <c r="BG115" i="1"/>
  <c r="BF115" i="1"/>
  <c r="AX115" i="1"/>
  <c r="AW115" i="1"/>
  <c r="AV115" i="1"/>
  <c r="BH114" i="1"/>
  <c r="BG114" i="1"/>
  <c r="BF114" i="1"/>
  <c r="AX114" i="1"/>
  <c r="AW114" i="1"/>
  <c r="AV114" i="1"/>
  <c r="BH113" i="1"/>
  <c r="BG113" i="1"/>
  <c r="BF113" i="1"/>
  <c r="AX113" i="1"/>
  <c r="AW113" i="1"/>
  <c r="AV113" i="1"/>
  <c r="BH112" i="1"/>
  <c r="BG112" i="1"/>
  <c r="BF112" i="1"/>
  <c r="AX112" i="1"/>
  <c r="AW112" i="1"/>
  <c r="AV112" i="1"/>
  <c r="BH111" i="1"/>
  <c r="BG111" i="1"/>
  <c r="BF111" i="1"/>
  <c r="AX111" i="1"/>
  <c r="AW111" i="1"/>
  <c r="AV111" i="1"/>
  <c r="BH110" i="1"/>
  <c r="BG110" i="1"/>
  <c r="BF110" i="1"/>
  <c r="AX110" i="1"/>
  <c r="AW110" i="1"/>
  <c r="AV110" i="1"/>
  <c r="BH109" i="1"/>
  <c r="BG109" i="1"/>
  <c r="BF109" i="1"/>
  <c r="AX109" i="1"/>
  <c r="AW109" i="1"/>
  <c r="AV109" i="1"/>
  <c r="BH108" i="1"/>
  <c r="BG108" i="1"/>
  <c r="BF108" i="1"/>
  <c r="AX108" i="1"/>
  <c r="AW108" i="1"/>
  <c r="AV108" i="1"/>
  <c r="BH107" i="1"/>
  <c r="BG107" i="1"/>
  <c r="BF107" i="1"/>
  <c r="AX107" i="1"/>
  <c r="AW107" i="1"/>
  <c r="AV107" i="1"/>
  <c r="BH106" i="1"/>
  <c r="BG106" i="1"/>
  <c r="BF106" i="1"/>
  <c r="AX106" i="1"/>
  <c r="AW106" i="1"/>
  <c r="AV106" i="1"/>
  <c r="BH105" i="1"/>
  <c r="BG105" i="1"/>
  <c r="BF105" i="1"/>
  <c r="AX105" i="1"/>
  <c r="AW105" i="1"/>
  <c r="AV105" i="1"/>
  <c r="BH104" i="1"/>
  <c r="BG104" i="1"/>
  <c r="BF104" i="1"/>
  <c r="AX104" i="1"/>
  <c r="AW104" i="1"/>
  <c r="AV104" i="1"/>
  <c r="BH103" i="1"/>
  <c r="BG103" i="1"/>
  <c r="BF103" i="1"/>
  <c r="AX103" i="1"/>
  <c r="AW103" i="1"/>
  <c r="AV103" i="1"/>
  <c r="BH102" i="1"/>
  <c r="BG102" i="1"/>
  <c r="BF102" i="1"/>
  <c r="AX102" i="1"/>
  <c r="AW102" i="1"/>
  <c r="AV102" i="1"/>
  <c r="BH101" i="1"/>
  <c r="BG101" i="1"/>
  <c r="BF101" i="1"/>
  <c r="AX101" i="1"/>
  <c r="AW101" i="1"/>
  <c r="AV101" i="1"/>
  <c r="BH100" i="1"/>
  <c r="BG100" i="1"/>
  <c r="BF100" i="1"/>
  <c r="AX100" i="1"/>
  <c r="AW100" i="1"/>
  <c r="AV100" i="1"/>
  <c r="BH99" i="1"/>
  <c r="BG99" i="1"/>
  <c r="BF99" i="1"/>
  <c r="AX99" i="1"/>
  <c r="AW99" i="1"/>
  <c r="AV99" i="1"/>
  <c r="BH98" i="1"/>
  <c r="BG98" i="1"/>
  <c r="BF98" i="1"/>
  <c r="AX98" i="1"/>
  <c r="AW98" i="1"/>
  <c r="AV98" i="1"/>
  <c r="BH97" i="1"/>
  <c r="BG97" i="1"/>
  <c r="BF97" i="1"/>
  <c r="AX97" i="1"/>
  <c r="AW97" i="1"/>
  <c r="AV97" i="1"/>
  <c r="BH96" i="1"/>
  <c r="BG96" i="1"/>
  <c r="BF96" i="1"/>
  <c r="AX96" i="1"/>
  <c r="AW96" i="1"/>
  <c r="AV96" i="1"/>
  <c r="BH95" i="1"/>
  <c r="BG95" i="1"/>
  <c r="BF95" i="1"/>
  <c r="AX95" i="1"/>
  <c r="AW95" i="1"/>
  <c r="AV95" i="1"/>
  <c r="BH94" i="1"/>
  <c r="BG94" i="1"/>
  <c r="BF94" i="1"/>
  <c r="AX94" i="1"/>
  <c r="AW94" i="1"/>
  <c r="AV94" i="1"/>
  <c r="BH93" i="1"/>
  <c r="BG93" i="1"/>
  <c r="BF93" i="1"/>
  <c r="AX93" i="1"/>
  <c r="AW93" i="1"/>
  <c r="AV93" i="1"/>
  <c r="BH92" i="1"/>
  <c r="BG92" i="1"/>
  <c r="BF92" i="1"/>
  <c r="AX92" i="1"/>
  <c r="AW92" i="1"/>
  <c r="AV92" i="1"/>
  <c r="BH91" i="1"/>
  <c r="BG91" i="1"/>
  <c r="BF91" i="1"/>
  <c r="AX91" i="1"/>
  <c r="AW91" i="1"/>
  <c r="AV91" i="1"/>
  <c r="BH90" i="1"/>
  <c r="BG90" i="1"/>
  <c r="BF90" i="1"/>
  <c r="AX90" i="1"/>
  <c r="AW90" i="1"/>
  <c r="AV90" i="1"/>
  <c r="BH89" i="1"/>
  <c r="BG89" i="1"/>
  <c r="BF89" i="1"/>
  <c r="AX89" i="1"/>
  <c r="AW89" i="1"/>
  <c r="AV89" i="1"/>
  <c r="BH88" i="1"/>
  <c r="BG88" i="1"/>
  <c r="BF88" i="1"/>
  <c r="AX88" i="1"/>
  <c r="AW88" i="1"/>
  <c r="AV88" i="1"/>
  <c r="BH87" i="1"/>
  <c r="BG87" i="1"/>
  <c r="BF87" i="1"/>
  <c r="AX87" i="1"/>
  <c r="AW87" i="1"/>
  <c r="AV87" i="1"/>
  <c r="BH86" i="1"/>
  <c r="BG86" i="1"/>
  <c r="BF86" i="1"/>
  <c r="AX86" i="1"/>
  <c r="AW86" i="1"/>
  <c r="AV86" i="1"/>
  <c r="BH85" i="1"/>
  <c r="BG85" i="1"/>
  <c r="BF85" i="1"/>
  <c r="AX85" i="1"/>
  <c r="AW85" i="1"/>
  <c r="AV85" i="1"/>
  <c r="BH84" i="1"/>
  <c r="BG84" i="1"/>
  <c r="BF84" i="1"/>
  <c r="AX84" i="1"/>
  <c r="AW84" i="1"/>
  <c r="AV84" i="1"/>
  <c r="BH83" i="1"/>
  <c r="BG83" i="1"/>
  <c r="BF83" i="1"/>
  <c r="AX83" i="1"/>
  <c r="AW83" i="1"/>
  <c r="AV83" i="1"/>
  <c r="BH82" i="1"/>
  <c r="BG82" i="1"/>
  <c r="BF82" i="1"/>
  <c r="AX82" i="1"/>
  <c r="AW82" i="1"/>
  <c r="AV82" i="1"/>
  <c r="BH81" i="1"/>
  <c r="BG81" i="1"/>
  <c r="BF81" i="1"/>
  <c r="AX81" i="1"/>
  <c r="AW81" i="1"/>
  <c r="AV81" i="1"/>
  <c r="BH80" i="1"/>
  <c r="BG80" i="1"/>
  <c r="BF80" i="1"/>
  <c r="AX80" i="1"/>
  <c r="AW80" i="1"/>
  <c r="AV80" i="1"/>
  <c r="BH79" i="1"/>
  <c r="BG79" i="1"/>
  <c r="BF79" i="1"/>
  <c r="AX79" i="1"/>
  <c r="AW79" i="1"/>
  <c r="AV79" i="1"/>
  <c r="BH78" i="1"/>
  <c r="BG78" i="1"/>
  <c r="BF78" i="1"/>
  <c r="AX78" i="1"/>
  <c r="AW78" i="1"/>
  <c r="AV78" i="1"/>
  <c r="BH77" i="1"/>
  <c r="BG77" i="1"/>
  <c r="BF77" i="1"/>
  <c r="AX77" i="1"/>
  <c r="AW77" i="1"/>
  <c r="AV77" i="1"/>
  <c r="BH76" i="1"/>
  <c r="BG76" i="1"/>
  <c r="BF76" i="1"/>
  <c r="AX76" i="1"/>
  <c r="AW76" i="1"/>
  <c r="AV76" i="1"/>
  <c r="BH75" i="1"/>
  <c r="BG75" i="1"/>
  <c r="BF75" i="1"/>
  <c r="AX75" i="1"/>
  <c r="AW75" i="1"/>
  <c r="AV75" i="1"/>
  <c r="BH74" i="1"/>
  <c r="BG74" i="1"/>
  <c r="BF74" i="1"/>
  <c r="AX74" i="1"/>
  <c r="AW74" i="1"/>
  <c r="AV74" i="1"/>
  <c r="BH73" i="1"/>
  <c r="BG73" i="1"/>
  <c r="BF73" i="1"/>
  <c r="AX73" i="1"/>
  <c r="AW73" i="1"/>
  <c r="AV73" i="1"/>
  <c r="BH72" i="1"/>
  <c r="BG72" i="1"/>
  <c r="BF72" i="1"/>
  <c r="AX72" i="1"/>
  <c r="AW72" i="1"/>
  <c r="AV72" i="1"/>
  <c r="BH71" i="1"/>
  <c r="BG71" i="1"/>
  <c r="BF71" i="1"/>
  <c r="AX71" i="1"/>
  <c r="AW71" i="1"/>
  <c r="AV71" i="1"/>
  <c r="BH70" i="1"/>
  <c r="BG70" i="1"/>
  <c r="BF70" i="1"/>
  <c r="AX70" i="1"/>
  <c r="AW70" i="1"/>
  <c r="AV70" i="1"/>
  <c r="BH69" i="1"/>
  <c r="BG69" i="1"/>
  <c r="BF69" i="1"/>
  <c r="AX69" i="1"/>
  <c r="AW69" i="1"/>
  <c r="AV69" i="1"/>
  <c r="BH68" i="1"/>
  <c r="BG68" i="1"/>
  <c r="BF68" i="1"/>
  <c r="AX68" i="1"/>
  <c r="AW68" i="1"/>
  <c r="AV68" i="1"/>
  <c r="BH67" i="1"/>
  <c r="BG67" i="1"/>
  <c r="BF67" i="1"/>
  <c r="AX67" i="1"/>
  <c r="AW67" i="1"/>
  <c r="AV67" i="1"/>
  <c r="BH66" i="1"/>
  <c r="BG66" i="1"/>
  <c r="BF66" i="1"/>
  <c r="AX66" i="1"/>
  <c r="AW66" i="1"/>
  <c r="AV66" i="1"/>
  <c r="BH65" i="1"/>
  <c r="BG65" i="1"/>
  <c r="BF65" i="1"/>
  <c r="AX65" i="1"/>
  <c r="AW65" i="1"/>
  <c r="AV65" i="1"/>
  <c r="BH64" i="1"/>
  <c r="BG64" i="1"/>
  <c r="BF64" i="1"/>
  <c r="AX64" i="1"/>
  <c r="AW64" i="1"/>
  <c r="AV64" i="1"/>
  <c r="BH63" i="1"/>
  <c r="BG63" i="1"/>
  <c r="BF63" i="1"/>
  <c r="AX63" i="1"/>
  <c r="AW63" i="1"/>
  <c r="AV63" i="1"/>
  <c r="BH61" i="1"/>
  <c r="BG61" i="1"/>
  <c r="BF61" i="1"/>
  <c r="AX61" i="1"/>
  <c r="AW61" i="1"/>
  <c r="AV61" i="1"/>
  <c r="BH60" i="1"/>
  <c r="BG60" i="1"/>
  <c r="BF60" i="1"/>
  <c r="AX60" i="1"/>
  <c r="AW60" i="1"/>
  <c r="AV60" i="1"/>
  <c r="BH59" i="1"/>
  <c r="BG59" i="1"/>
  <c r="BF59" i="1"/>
  <c r="AX59" i="1"/>
  <c r="AW59" i="1"/>
  <c r="AV59" i="1"/>
  <c r="BH58" i="1"/>
  <c r="BG58" i="1"/>
  <c r="BF58" i="1"/>
  <c r="AX58" i="1"/>
  <c r="AW58" i="1"/>
  <c r="AV58" i="1"/>
  <c r="BH57" i="1"/>
  <c r="BG57" i="1"/>
  <c r="BF57" i="1"/>
  <c r="AX57" i="1"/>
  <c r="AW57" i="1"/>
  <c r="AV57" i="1"/>
  <c r="BH56" i="1"/>
  <c r="BG56" i="1"/>
  <c r="BF56" i="1"/>
  <c r="AX56" i="1"/>
  <c r="AW56" i="1"/>
  <c r="AV56" i="1"/>
  <c r="BH55" i="1"/>
  <c r="BG55" i="1"/>
  <c r="BF55" i="1"/>
  <c r="AX55" i="1"/>
  <c r="AW55" i="1"/>
  <c r="AV55" i="1"/>
  <c r="BH54" i="1"/>
  <c r="BG54" i="1"/>
  <c r="BF54" i="1"/>
  <c r="AX54" i="1"/>
  <c r="AW54" i="1"/>
  <c r="AV54" i="1"/>
  <c r="BH53" i="1"/>
  <c r="BG53" i="1"/>
  <c r="BF53" i="1"/>
  <c r="AX53" i="1"/>
  <c r="AW53" i="1"/>
  <c r="AV53" i="1"/>
  <c r="BH52" i="1"/>
  <c r="BG52" i="1"/>
  <c r="BF52" i="1"/>
  <c r="AX52" i="1"/>
  <c r="AW52" i="1"/>
  <c r="AV52" i="1"/>
  <c r="BH51" i="1"/>
  <c r="BG51" i="1"/>
  <c r="BF51" i="1"/>
  <c r="AX51" i="1"/>
  <c r="AW51" i="1"/>
  <c r="AV51" i="1"/>
  <c r="BH50" i="1"/>
  <c r="BG50" i="1"/>
  <c r="BF50" i="1"/>
  <c r="AX50" i="1"/>
  <c r="AW50" i="1"/>
  <c r="AV50" i="1"/>
  <c r="BH49" i="1"/>
  <c r="BG49" i="1"/>
  <c r="BF49" i="1"/>
  <c r="AX49" i="1"/>
  <c r="AW49" i="1"/>
  <c r="AV49" i="1"/>
  <c r="BH48" i="1"/>
  <c r="BG48" i="1"/>
  <c r="BF48" i="1"/>
  <c r="AX48" i="1"/>
  <c r="AW48" i="1"/>
  <c r="AV48" i="1"/>
  <c r="BH47" i="1"/>
  <c r="BG47" i="1"/>
  <c r="BF47" i="1"/>
  <c r="AX47" i="1"/>
  <c r="AW47" i="1"/>
  <c r="AV47" i="1"/>
  <c r="BH46" i="1"/>
  <c r="BG46" i="1"/>
  <c r="BF46" i="1"/>
  <c r="AX46" i="1"/>
  <c r="AW46" i="1"/>
  <c r="AV46" i="1"/>
  <c r="BH45" i="1"/>
  <c r="BG45" i="1"/>
  <c r="BF45" i="1"/>
  <c r="AX45" i="1"/>
  <c r="AW45" i="1"/>
  <c r="AV45" i="1"/>
  <c r="BH44" i="1"/>
  <c r="BG44" i="1"/>
  <c r="BF44" i="1"/>
  <c r="AX44" i="1"/>
  <c r="AW44" i="1"/>
  <c r="AV44" i="1"/>
  <c r="BH43" i="1"/>
  <c r="BG43" i="1"/>
  <c r="BF43" i="1"/>
  <c r="AX43" i="1"/>
  <c r="AW43" i="1"/>
  <c r="AV43" i="1"/>
  <c r="BH42" i="1"/>
  <c r="BG42" i="1"/>
  <c r="BF42" i="1"/>
  <c r="AX42" i="1"/>
  <c r="AW42" i="1"/>
  <c r="AV42" i="1"/>
  <c r="BH41" i="1"/>
  <c r="BG41" i="1"/>
  <c r="BF41" i="1"/>
  <c r="AX41" i="1"/>
  <c r="AW41" i="1"/>
  <c r="AV41" i="1"/>
  <c r="BH39" i="1"/>
  <c r="BG39" i="1"/>
  <c r="BF39" i="1"/>
  <c r="AX39" i="1"/>
  <c r="AW39" i="1"/>
  <c r="AV39" i="1"/>
  <c r="BH38" i="1"/>
  <c r="BG38" i="1"/>
  <c r="BF38" i="1"/>
  <c r="AX38" i="1"/>
  <c r="AW38" i="1"/>
  <c r="AV38" i="1"/>
  <c r="BH37" i="1"/>
  <c r="BG37" i="1"/>
  <c r="BF37" i="1"/>
  <c r="AX37" i="1"/>
  <c r="AW37" i="1"/>
  <c r="AV37" i="1"/>
  <c r="BH36" i="1"/>
  <c r="BG36" i="1"/>
  <c r="BF36" i="1"/>
  <c r="AX36" i="1"/>
  <c r="AW36" i="1"/>
  <c r="AV36" i="1"/>
  <c r="BH35" i="1"/>
  <c r="BG35" i="1"/>
  <c r="BF35" i="1"/>
  <c r="AX35" i="1"/>
  <c r="AW35" i="1"/>
  <c r="AV35" i="1"/>
  <c r="BH34" i="1"/>
  <c r="BG34" i="1"/>
  <c r="BF34" i="1"/>
  <c r="AX34" i="1"/>
  <c r="AW34" i="1"/>
  <c r="AV34" i="1"/>
  <c r="BH33" i="1"/>
  <c r="BG33" i="1"/>
  <c r="BF33" i="1"/>
  <c r="AX33" i="1"/>
  <c r="AW33" i="1"/>
  <c r="AV33" i="1"/>
  <c r="BH32" i="1"/>
  <c r="BG32" i="1"/>
  <c r="BF32" i="1"/>
  <c r="AX32" i="1"/>
  <c r="AW32" i="1"/>
  <c r="AV32" i="1"/>
  <c r="BH31" i="1"/>
  <c r="BG31" i="1"/>
  <c r="BF31" i="1"/>
  <c r="AX31" i="1"/>
  <c r="AW31" i="1"/>
  <c r="AV31" i="1"/>
  <c r="BH30" i="1"/>
  <c r="BG30" i="1"/>
  <c r="BF30" i="1"/>
  <c r="AX30" i="1"/>
  <c r="AW30" i="1"/>
  <c r="AV30" i="1"/>
  <c r="BH29" i="1"/>
  <c r="BG29" i="1"/>
  <c r="BF29" i="1"/>
  <c r="AX29" i="1"/>
  <c r="AW29" i="1"/>
  <c r="AV29" i="1"/>
  <c r="BH28" i="1"/>
  <c r="BG28" i="1"/>
  <c r="BF28" i="1"/>
  <c r="AX28" i="1"/>
  <c r="AW28" i="1"/>
  <c r="AV28" i="1"/>
  <c r="BH27" i="1"/>
  <c r="BG27" i="1"/>
  <c r="BF27" i="1"/>
  <c r="AX27" i="1"/>
  <c r="AW27" i="1"/>
  <c r="AV27" i="1"/>
  <c r="BH26" i="1"/>
  <c r="BG26" i="1"/>
  <c r="BF26" i="1"/>
  <c r="AX26" i="1"/>
  <c r="AW26" i="1"/>
  <c r="AV26" i="1"/>
  <c r="BH25" i="1"/>
  <c r="BG25" i="1"/>
  <c r="BF25" i="1"/>
  <c r="AX25" i="1"/>
  <c r="AW25" i="1"/>
  <c r="AV25" i="1"/>
  <c r="BH24" i="1"/>
  <c r="BG24" i="1"/>
  <c r="BF24" i="1"/>
  <c r="AX24" i="1"/>
  <c r="AW24" i="1"/>
  <c r="AV24" i="1"/>
  <c r="BH23" i="1"/>
  <c r="BG23" i="1"/>
  <c r="BF23" i="1"/>
  <c r="AX23" i="1"/>
  <c r="AW23" i="1"/>
  <c r="AV23" i="1"/>
  <c r="BH22" i="1"/>
  <c r="BG22" i="1"/>
  <c r="BF22" i="1"/>
  <c r="AX22" i="1"/>
  <c r="AW22" i="1"/>
  <c r="AV22" i="1"/>
  <c r="BH21" i="1"/>
  <c r="BG21" i="1"/>
  <c r="BF21" i="1"/>
  <c r="AX21" i="1"/>
  <c r="AW21" i="1"/>
  <c r="AV21" i="1"/>
  <c r="BH20" i="1"/>
  <c r="BG20" i="1"/>
  <c r="BF20" i="1"/>
  <c r="AX20" i="1"/>
  <c r="AW20" i="1"/>
  <c r="AV20" i="1"/>
  <c r="BH19" i="1"/>
  <c r="BG19" i="1"/>
  <c r="BF19" i="1"/>
  <c r="AX19" i="1"/>
  <c r="AW19" i="1"/>
  <c r="AV19" i="1"/>
  <c r="BH18" i="1"/>
  <c r="BG18" i="1"/>
  <c r="BF18" i="1"/>
  <c r="AX18" i="1"/>
  <c r="AW18" i="1"/>
  <c r="AV18" i="1"/>
  <c r="BH17" i="1"/>
  <c r="BG17" i="1"/>
  <c r="BF17" i="1"/>
  <c r="AX17" i="1"/>
  <c r="AW17" i="1"/>
  <c r="AV17" i="1"/>
  <c r="BH16" i="1"/>
  <c r="BG16" i="1"/>
  <c r="BF16" i="1"/>
  <c r="AX16" i="1"/>
  <c r="AW16" i="1"/>
  <c r="AV16" i="1"/>
  <c r="BH15" i="1"/>
  <c r="BG15" i="1"/>
  <c r="BF15" i="1"/>
  <c r="AX15" i="1"/>
  <c r="AW15" i="1"/>
  <c r="AV15" i="1"/>
  <c r="BH14" i="1"/>
  <c r="BG14" i="1"/>
  <c r="BF14" i="1"/>
  <c r="AX14" i="1"/>
  <c r="AW14" i="1"/>
  <c r="AV14" i="1"/>
  <c r="BH13" i="1"/>
  <c r="BG13" i="1"/>
  <c r="BF13" i="1"/>
  <c r="AX13" i="1"/>
  <c r="AW13" i="1"/>
  <c r="AV13" i="1"/>
  <c r="BH12" i="1"/>
  <c r="BG12" i="1"/>
  <c r="BF12" i="1"/>
  <c r="AX12" i="1"/>
  <c r="AW12" i="1"/>
  <c r="AV12" i="1"/>
  <c r="BH11" i="1"/>
  <c r="BG11" i="1"/>
  <c r="BF11" i="1"/>
  <c r="AX11" i="1"/>
  <c r="AW11" i="1"/>
  <c r="AV11" i="1"/>
  <c r="BH10" i="1"/>
  <c r="BG10" i="1"/>
  <c r="BF10" i="1"/>
  <c r="AX10" i="1"/>
  <c r="AW10" i="1"/>
  <c r="AV10" i="1"/>
  <c r="BH9" i="1"/>
  <c r="BG9" i="1"/>
  <c r="BF9" i="1"/>
  <c r="AX9" i="1"/>
  <c r="AW9" i="1"/>
  <c r="AV9" i="1"/>
  <c r="BH8" i="1"/>
  <c r="BG8" i="1"/>
  <c r="BF8" i="1"/>
  <c r="AX8" i="1"/>
  <c r="AW8" i="1"/>
  <c r="AV8" i="1"/>
  <c r="BH7" i="1"/>
  <c r="BG7" i="1"/>
  <c r="BF7" i="1"/>
  <c r="AX7" i="1"/>
  <c r="AW7" i="1"/>
  <c r="AV7" i="1"/>
  <c r="BH6" i="1"/>
  <c r="BG6" i="1"/>
  <c r="BF6" i="1"/>
  <c r="AX6" i="1"/>
  <c r="AW6" i="1"/>
  <c r="AV6" i="1"/>
  <c r="BJ337" i="1" l="1"/>
  <c r="AR337" i="1"/>
  <c r="BK337" i="1" s="1"/>
  <c r="BJ324" i="1"/>
  <c r="AR324" i="1"/>
  <c r="BK324" i="1" s="1"/>
  <c r="AQ329" i="1"/>
  <c r="AQ312" i="1"/>
  <c r="AQ300" i="1"/>
  <c r="AQ308" i="1"/>
  <c r="AQ301" i="1"/>
  <c r="AQ335" i="1"/>
  <c r="AQ309" i="1"/>
  <c r="AZ42" i="1"/>
  <c r="AQ303" i="1"/>
  <c r="AQ319" i="1"/>
  <c r="AZ252" i="1"/>
  <c r="AZ44" i="1"/>
  <c r="AZ60" i="1"/>
  <c r="AZ100" i="1"/>
  <c r="AZ6" i="1"/>
  <c r="AZ21" i="1"/>
  <c r="AZ41" i="1"/>
  <c r="AZ112" i="1"/>
  <c r="AZ10" i="1"/>
  <c r="AZ30" i="1"/>
  <c r="AZ38" i="1"/>
  <c r="AZ96" i="1"/>
  <c r="AZ272" i="1"/>
  <c r="AZ292" i="1"/>
  <c r="AQ320" i="1"/>
  <c r="AQ332" i="1"/>
  <c r="AZ256" i="1"/>
  <c r="AZ276" i="1"/>
  <c r="AQ296" i="1"/>
  <c r="AQ304" i="1"/>
  <c r="AQ316" i="1"/>
  <c r="AQ328" i="1"/>
  <c r="AQ336" i="1"/>
  <c r="AZ14" i="1"/>
  <c r="AZ18" i="1"/>
  <c r="AZ45" i="1"/>
  <c r="AZ49" i="1"/>
  <c r="AZ74" i="1"/>
  <c r="AZ77" i="1"/>
  <c r="AZ81" i="1"/>
  <c r="AZ106" i="1"/>
  <c r="AZ109" i="1"/>
  <c r="AZ113" i="1"/>
  <c r="AZ266" i="1"/>
  <c r="AQ321" i="1"/>
  <c r="AZ19" i="1"/>
  <c r="AZ50" i="1"/>
  <c r="AZ82" i="1"/>
  <c r="AZ114" i="1"/>
  <c r="AZ250" i="1"/>
  <c r="AZ261" i="1"/>
  <c r="AQ317" i="1"/>
  <c r="AQ294" i="1"/>
  <c r="AZ294" i="1"/>
  <c r="AQ310" i="1"/>
  <c r="AZ310" i="1"/>
  <c r="AQ314" i="1"/>
  <c r="AZ314" i="1"/>
  <c r="AQ326" i="1"/>
  <c r="AZ326" i="1"/>
  <c r="AQ330" i="1"/>
  <c r="AZ330" i="1"/>
  <c r="AQ334" i="1"/>
  <c r="AZ334" i="1"/>
  <c r="AQ298" i="1"/>
  <c r="AZ298" i="1"/>
  <c r="AQ302" i="1"/>
  <c r="AZ302" i="1"/>
  <c r="AQ306" i="1"/>
  <c r="AZ306" i="1"/>
  <c r="AQ318" i="1"/>
  <c r="AZ318" i="1"/>
  <c r="AQ322" i="1"/>
  <c r="AZ322" i="1"/>
  <c r="AZ290" i="1"/>
  <c r="AQ297" i="1"/>
  <c r="AQ325" i="1"/>
  <c r="AQ333" i="1"/>
  <c r="AQ305" i="1"/>
  <c r="AQ313" i="1"/>
  <c r="AQ295" i="1"/>
  <c r="AZ295" i="1"/>
  <c r="AQ299" i="1"/>
  <c r="AZ299" i="1"/>
  <c r="AQ307" i="1"/>
  <c r="AZ307" i="1"/>
  <c r="AQ311" i="1"/>
  <c r="AZ311" i="1"/>
  <c r="AQ315" i="1"/>
  <c r="AZ315" i="1"/>
  <c r="AQ323" i="1"/>
  <c r="AZ323" i="1"/>
  <c r="AQ327" i="1"/>
  <c r="AZ327" i="1"/>
  <c r="AQ331" i="1"/>
  <c r="AZ331" i="1"/>
  <c r="AZ282" i="1"/>
  <c r="AZ277" i="1"/>
  <c r="AZ285" i="1"/>
  <c r="AZ258" i="1"/>
  <c r="AZ274" i="1"/>
  <c r="AZ249" i="1"/>
  <c r="AZ31" i="1"/>
  <c r="AZ110" i="1"/>
  <c r="AZ278" i="1"/>
  <c r="AZ35" i="1"/>
  <c r="AZ66" i="1"/>
  <c r="AZ98" i="1"/>
  <c r="AZ263" i="1"/>
  <c r="AZ279" i="1"/>
  <c r="AZ15" i="1"/>
  <c r="AZ46" i="1"/>
  <c r="AZ78" i="1"/>
  <c r="AZ94" i="1"/>
  <c r="AZ254" i="1"/>
  <c r="AZ262" i="1"/>
  <c r="AZ270" i="1"/>
  <c r="AZ286" i="1"/>
  <c r="AZ8" i="1"/>
  <c r="AZ12" i="1"/>
  <c r="AZ16" i="1"/>
  <c r="AZ20" i="1"/>
  <c r="AZ24" i="1"/>
  <c r="AZ28" i="1"/>
  <c r="AZ32" i="1"/>
  <c r="AZ36" i="1"/>
  <c r="AZ40" i="1"/>
  <c r="AZ47" i="1"/>
  <c r="AZ51" i="1"/>
  <c r="AZ59" i="1"/>
  <c r="AZ67" i="1"/>
  <c r="AZ71" i="1"/>
  <c r="AZ75" i="1"/>
  <c r="AZ83" i="1"/>
  <c r="AZ87" i="1"/>
  <c r="AZ91" i="1"/>
  <c r="AZ95" i="1"/>
  <c r="AZ99" i="1"/>
  <c r="AZ103" i="1"/>
  <c r="AZ107" i="1"/>
  <c r="AZ111" i="1"/>
  <c r="AZ115" i="1"/>
  <c r="AZ370" i="1"/>
  <c r="AY370" i="1"/>
  <c r="AY369" i="1"/>
  <c r="AY368" i="1"/>
  <c r="AZ367" i="1"/>
  <c r="AY367" i="1"/>
  <c r="AZ366" i="1"/>
  <c r="AY366" i="1"/>
  <c r="AY365" i="1"/>
  <c r="AY364" i="1"/>
  <c r="AZ363" i="1"/>
  <c r="AY363" i="1"/>
  <c r="AZ362" i="1"/>
  <c r="AY362" i="1"/>
  <c r="AY361" i="1"/>
  <c r="AY360" i="1"/>
  <c r="AZ359" i="1"/>
  <c r="AY359" i="1"/>
  <c r="AZ358" i="1"/>
  <c r="AY358" i="1"/>
  <c r="AY357" i="1"/>
  <c r="AY356" i="1"/>
  <c r="AZ355" i="1"/>
  <c r="AY355" i="1"/>
  <c r="AZ354" i="1"/>
  <c r="AY354" i="1"/>
  <c r="AY353" i="1"/>
  <c r="AY352" i="1"/>
  <c r="AZ351" i="1"/>
  <c r="AY351" i="1"/>
  <c r="AZ350" i="1"/>
  <c r="AY350" i="1"/>
  <c r="AY349" i="1"/>
  <c r="AY348" i="1"/>
  <c r="AZ347" i="1"/>
  <c r="AY347" i="1"/>
  <c r="AZ346" i="1"/>
  <c r="AY346" i="1"/>
  <c r="AY345" i="1"/>
  <c r="AY344" i="1"/>
  <c r="AQ343" i="1"/>
  <c r="AZ343" i="1"/>
  <c r="AY343" i="1"/>
  <c r="AZ342" i="1"/>
  <c r="AY342" i="1"/>
  <c r="AY341" i="1"/>
  <c r="AY340" i="1"/>
  <c r="AZ339" i="1"/>
  <c r="AY339" i="1"/>
  <c r="AQ338" i="1"/>
  <c r="BJ327" i="1" l="1"/>
  <c r="AR327" i="1"/>
  <c r="BK327" i="1" s="1"/>
  <c r="BJ311" i="1"/>
  <c r="AR311" i="1"/>
  <c r="BK311" i="1" s="1"/>
  <c r="BJ338" i="1"/>
  <c r="AR338" i="1"/>
  <c r="BK338" i="1" s="1"/>
  <c r="BJ313" i="1"/>
  <c r="AR313" i="1"/>
  <c r="BK313" i="1" s="1"/>
  <c r="BJ333" i="1"/>
  <c r="AR333" i="1"/>
  <c r="BK333" i="1" s="1"/>
  <c r="BJ297" i="1"/>
  <c r="AR297" i="1"/>
  <c r="BK297" i="1" s="1"/>
  <c r="BJ317" i="1"/>
  <c r="AR317" i="1"/>
  <c r="BK317" i="1" s="1"/>
  <c r="BJ328" i="1"/>
  <c r="AR328" i="1"/>
  <c r="BK328" i="1" s="1"/>
  <c r="BJ304" i="1"/>
  <c r="AR304" i="1"/>
  <c r="BK304" i="1" s="1"/>
  <c r="BJ332" i="1"/>
  <c r="AR332" i="1"/>
  <c r="BK332" i="1" s="1"/>
  <c r="BJ319" i="1"/>
  <c r="AR319" i="1"/>
  <c r="BK319" i="1" s="1"/>
  <c r="BJ335" i="1"/>
  <c r="AR335" i="1"/>
  <c r="BK335" i="1" s="1"/>
  <c r="BJ308" i="1"/>
  <c r="AR308" i="1"/>
  <c r="BK308" i="1" s="1"/>
  <c r="BJ312" i="1"/>
  <c r="AR312" i="1"/>
  <c r="BK312" i="1" s="1"/>
  <c r="BJ343" i="1"/>
  <c r="AR343" i="1"/>
  <c r="BK343" i="1" s="1"/>
  <c r="BJ331" i="1"/>
  <c r="AR331" i="1"/>
  <c r="BK331" i="1" s="1"/>
  <c r="BJ323" i="1"/>
  <c r="AR323" i="1"/>
  <c r="BK323" i="1" s="1"/>
  <c r="BJ315" i="1"/>
  <c r="AR315" i="1"/>
  <c r="BK315" i="1" s="1"/>
  <c r="BJ307" i="1"/>
  <c r="AR307" i="1"/>
  <c r="BK307" i="1" s="1"/>
  <c r="BJ299" i="1"/>
  <c r="AR299" i="1"/>
  <c r="BK299" i="1" s="1"/>
  <c r="BJ295" i="1"/>
  <c r="AR295" i="1"/>
  <c r="BK295" i="1" s="1"/>
  <c r="BJ305" i="1"/>
  <c r="AR305" i="1"/>
  <c r="BK305" i="1" s="1"/>
  <c r="BJ325" i="1"/>
  <c r="AR325" i="1"/>
  <c r="BK325" i="1" s="1"/>
  <c r="BJ322" i="1"/>
  <c r="AR322" i="1"/>
  <c r="BK322" i="1" s="1"/>
  <c r="BJ318" i="1"/>
  <c r="AR318" i="1"/>
  <c r="BK318" i="1" s="1"/>
  <c r="BJ306" i="1"/>
  <c r="AR306" i="1"/>
  <c r="BK306" i="1" s="1"/>
  <c r="BJ302" i="1"/>
  <c r="AR302" i="1"/>
  <c r="BK302" i="1" s="1"/>
  <c r="BJ298" i="1"/>
  <c r="AR298" i="1"/>
  <c r="BK298" i="1" s="1"/>
  <c r="BJ334" i="1"/>
  <c r="AR334" i="1"/>
  <c r="BK334" i="1" s="1"/>
  <c r="BJ330" i="1"/>
  <c r="AR330" i="1"/>
  <c r="BK330" i="1" s="1"/>
  <c r="BJ326" i="1"/>
  <c r="AR326" i="1"/>
  <c r="BK326" i="1" s="1"/>
  <c r="BJ314" i="1"/>
  <c r="AR314" i="1"/>
  <c r="BK314" i="1" s="1"/>
  <c r="BJ310" i="1"/>
  <c r="AR310" i="1"/>
  <c r="BK310" i="1" s="1"/>
  <c r="BJ294" i="1"/>
  <c r="AR294" i="1"/>
  <c r="BJ321" i="1"/>
  <c r="AR321" i="1"/>
  <c r="BK321" i="1" s="1"/>
  <c r="BJ336" i="1"/>
  <c r="AR336" i="1"/>
  <c r="BK336" i="1" s="1"/>
  <c r="BJ316" i="1"/>
  <c r="AR316" i="1"/>
  <c r="BK316" i="1" s="1"/>
  <c r="BJ296" i="1"/>
  <c r="AR296" i="1"/>
  <c r="BK296" i="1" s="1"/>
  <c r="BJ320" i="1"/>
  <c r="AR320" i="1"/>
  <c r="BK320" i="1" s="1"/>
  <c r="BJ303" i="1"/>
  <c r="AR303" i="1"/>
  <c r="BK303" i="1" s="1"/>
  <c r="BJ309" i="1"/>
  <c r="AR309" i="1"/>
  <c r="BJ301" i="1"/>
  <c r="AR301" i="1"/>
  <c r="BK301" i="1" s="1"/>
  <c r="BJ300" i="1"/>
  <c r="AR300" i="1"/>
  <c r="BK300" i="1" s="1"/>
  <c r="BJ329" i="1"/>
  <c r="AR329" i="1"/>
  <c r="BK329" i="1" s="1"/>
  <c r="AQ366" i="1"/>
  <c r="AQ351" i="1"/>
  <c r="AQ350" i="1"/>
  <c r="AQ367" i="1"/>
  <c r="AQ342" i="1"/>
  <c r="AQ359" i="1"/>
  <c r="AQ345" i="1"/>
  <c r="AZ345" i="1"/>
  <c r="AQ352" i="1"/>
  <c r="AZ352" i="1"/>
  <c r="AQ361" i="1"/>
  <c r="AZ361" i="1"/>
  <c r="AQ368" i="1"/>
  <c r="AZ368" i="1"/>
  <c r="AQ370" i="1"/>
  <c r="AQ339" i="1"/>
  <c r="AQ340" i="1"/>
  <c r="AZ340" i="1"/>
  <c r="AQ341" i="1"/>
  <c r="AZ341" i="1"/>
  <c r="AQ347" i="1"/>
  <c r="AQ348" i="1"/>
  <c r="AZ348" i="1"/>
  <c r="AQ349" i="1"/>
  <c r="AZ349" i="1"/>
  <c r="AQ355" i="1"/>
  <c r="AQ356" i="1"/>
  <c r="AZ356" i="1"/>
  <c r="AQ357" i="1"/>
  <c r="AZ357" i="1"/>
  <c r="AQ363" i="1"/>
  <c r="AQ364" i="1"/>
  <c r="AZ364" i="1"/>
  <c r="AQ365" i="1"/>
  <c r="AZ365" i="1"/>
  <c r="AQ344" i="1"/>
  <c r="AZ344" i="1"/>
  <c r="AQ353" i="1"/>
  <c r="AZ353" i="1"/>
  <c r="AQ360" i="1"/>
  <c r="AZ360" i="1"/>
  <c r="AQ369" i="1"/>
  <c r="AZ369" i="1"/>
  <c r="AQ346" i="1"/>
  <c r="AQ354" i="1"/>
  <c r="AQ362" i="1"/>
  <c r="AQ358" i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107" i="1"/>
  <c r="BM107" i="1"/>
  <c r="BN106" i="1"/>
  <c r="BM106" i="1"/>
  <c r="BN105" i="1"/>
  <c r="BM105" i="1"/>
  <c r="BN104" i="1"/>
  <c r="BM104" i="1"/>
  <c r="BN103" i="1"/>
  <c r="BM103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N83" i="1"/>
  <c r="BM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N66" i="1"/>
  <c r="BM66" i="1"/>
  <c r="BN65" i="1"/>
  <c r="BM65" i="1"/>
  <c r="BN64" i="1"/>
  <c r="BM64" i="1"/>
  <c r="BN63" i="1"/>
  <c r="BM63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BN50" i="1"/>
  <c r="BM50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1" i="1"/>
  <c r="BM41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3" i="1"/>
  <c r="BM33" i="1"/>
  <c r="BN32" i="1"/>
  <c r="BM32" i="1"/>
  <c r="BN31" i="1"/>
  <c r="BM31" i="1"/>
  <c r="BN30" i="1"/>
  <c r="BM30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19" i="1"/>
  <c r="BM19" i="1"/>
  <c r="BN18" i="1"/>
  <c r="BM18" i="1"/>
  <c r="BN17" i="1"/>
  <c r="BM17" i="1"/>
  <c r="BN16" i="1"/>
  <c r="BM16" i="1"/>
  <c r="BN15" i="1"/>
  <c r="BM15" i="1"/>
  <c r="BN14" i="1"/>
  <c r="BM14" i="1"/>
  <c r="BN13" i="1"/>
  <c r="BM13" i="1"/>
  <c r="BN12" i="1"/>
  <c r="BM12" i="1"/>
  <c r="BN11" i="1"/>
  <c r="BM11" i="1"/>
  <c r="BN10" i="1"/>
  <c r="BM10" i="1"/>
  <c r="BN9" i="1"/>
  <c r="BM9" i="1"/>
  <c r="BN8" i="1"/>
  <c r="BM8" i="1"/>
  <c r="BN7" i="1"/>
  <c r="BM7" i="1"/>
  <c r="BN6" i="1"/>
  <c r="BM6" i="1"/>
  <c r="BJ362" i="1" l="1"/>
  <c r="AR362" i="1"/>
  <c r="BK362" i="1" s="1"/>
  <c r="BJ346" i="1"/>
  <c r="AR346" i="1"/>
  <c r="BK346" i="1" s="1"/>
  <c r="BJ369" i="1"/>
  <c r="AR369" i="1"/>
  <c r="BK369" i="1" s="1"/>
  <c r="BJ360" i="1"/>
  <c r="AR360" i="1"/>
  <c r="BK360" i="1" s="1"/>
  <c r="BJ353" i="1"/>
  <c r="AR353" i="1"/>
  <c r="BK353" i="1" s="1"/>
  <c r="BJ344" i="1"/>
  <c r="AR344" i="1"/>
  <c r="BK344" i="1" s="1"/>
  <c r="BJ365" i="1"/>
  <c r="AR365" i="1"/>
  <c r="BK365" i="1" s="1"/>
  <c r="BJ364" i="1"/>
  <c r="AR364" i="1"/>
  <c r="BK364" i="1" s="1"/>
  <c r="BJ355" i="1"/>
  <c r="AR355" i="1"/>
  <c r="BK355" i="1" s="1"/>
  <c r="BJ349" i="1"/>
  <c r="AR349" i="1"/>
  <c r="BK349" i="1" s="1"/>
  <c r="BJ348" i="1"/>
  <c r="AR348" i="1"/>
  <c r="BK348" i="1" s="1"/>
  <c r="BJ339" i="1"/>
  <c r="AR339" i="1"/>
  <c r="BJ359" i="1"/>
  <c r="AR359" i="1"/>
  <c r="BK359" i="1" s="1"/>
  <c r="BJ367" i="1"/>
  <c r="AR367" i="1"/>
  <c r="BK367" i="1" s="1"/>
  <c r="BJ351" i="1"/>
  <c r="AR351" i="1"/>
  <c r="BK351" i="1" s="1"/>
  <c r="BK309" i="1"/>
  <c r="AS385" i="1"/>
  <c r="BK294" i="1"/>
  <c r="AS384" i="1"/>
  <c r="BJ358" i="1"/>
  <c r="AR358" i="1"/>
  <c r="BK358" i="1" s="1"/>
  <c r="BJ354" i="1"/>
  <c r="AR354" i="1"/>
  <c r="BK354" i="1" s="1"/>
  <c r="BJ363" i="1"/>
  <c r="AR363" i="1"/>
  <c r="BK363" i="1" s="1"/>
  <c r="BJ357" i="1"/>
  <c r="AR357" i="1"/>
  <c r="BK357" i="1" s="1"/>
  <c r="BJ356" i="1"/>
  <c r="AR356" i="1"/>
  <c r="BK356" i="1" s="1"/>
  <c r="BJ347" i="1"/>
  <c r="AR347" i="1"/>
  <c r="BK347" i="1" s="1"/>
  <c r="BJ341" i="1"/>
  <c r="AR341" i="1"/>
  <c r="BK341" i="1" s="1"/>
  <c r="BJ340" i="1"/>
  <c r="AR340" i="1"/>
  <c r="BK340" i="1" s="1"/>
  <c r="BJ370" i="1"/>
  <c r="AR370" i="1"/>
  <c r="BK370" i="1" s="1"/>
  <c r="BJ368" i="1"/>
  <c r="AR368" i="1"/>
  <c r="BK368" i="1" s="1"/>
  <c r="BJ361" i="1"/>
  <c r="AR361" i="1"/>
  <c r="BK361" i="1" s="1"/>
  <c r="BJ352" i="1"/>
  <c r="AR352" i="1"/>
  <c r="BK352" i="1" s="1"/>
  <c r="BJ345" i="1"/>
  <c r="AR345" i="1"/>
  <c r="BK345" i="1" s="1"/>
  <c r="BJ342" i="1"/>
  <c r="AR342" i="1"/>
  <c r="BK342" i="1" s="1"/>
  <c r="BJ350" i="1"/>
  <c r="AR350" i="1"/>
  <c r="BK350" i="1" s="1"/>
  <c r="BJ366" i="1"/>
  <c r="AR366" i="1"/>
  <c r="BK366" i="1" s="1"/>
  <c r="AK377" i="1"/>
  <c r="AK376" i="1"/>
  <c r="AK375" i="1"/>
  <c r="AK386" i="1"/>
  <c r="AK385" i="1"/>
  <c r="AK384" i="1"/>
  <c r="AK383" i="1"/>
  <c r="AK382" i="1"/>
  <c r="AK381" i="1"/>
  <c r="AK380" i="1"/>
  <c r="AK379" i="1"/>
  <c r="BK339" i="1" l="1"/>
  <c r="AS386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T6" i="1"/>
  <c r="AT2" i="1"/>
  <c r="AT1" i="1"/>
  <c r="BB401" i="1" l="1"/>
  <c r="BA401" i="1"/>
  <c r="BB400" i="1"/>
  <c r="BA400" i="1"/>
  <c r="BA399" i="1"/>
  <c r="BA398" i="1"/>
  <c r="BA397" i="1"/>
  <c r="BA396" i="1"/>
  <c r="BA395" i="1"/>
  <c r="BA394" i="1"/>
  <c r="BA393" i="1"/>
  <c r="BA392" i="1"/>
  <c r="BA391" i="1"/>
  <c r="BA390" i="1"/>
  <c r="BB386" i="1"/>
  <c r="BA386" i="1"/>
  <c r="BB385" i="1"/>
  <c r="BA385" i="1"/>
  <c r="BA384" i="1"/>
  <c r="BA383" i="1"/>
  <c r="BA382" i="1"/>
  <c r="BA381" i="1"/>
  <c r="BA380" i="1"/>
  <c r="BA379" i="1"/>
  <c r="BA378" i="1"/>
  <c r="BA377" i="1"/>
  <c r="BA376" i="1"/>
  <c r="BA375" i="1"/>
  <c r="AP401" i="1" l="1"/>
  <c r="AO401" i="1"/>
  <c r="AP400" i="1"/>
  <c r="AO400" i="1"/>
  <c r="AP399" i="1"/>
  <c r="AO399" i="1"/>
  <c r="AP398" i="1"/>
  <c r="AO398" i="1"/>
  <c r="AP392" i="1"/>
  <c r="AO392" i="1"/>
  <c r="AP391" i="1"/>
  <c r="AO391" i="1"/>
  <c r="AP390" i="1"/>
  <c r="AO390" i="1"/>
  <c r="AR386" i="1"/>
  <c r="AQ386" i="1"/>
  <c r="AP386" i="1"/>
  <c r="AO386" i="1"/>
  <c r="AR385" i="1"/>
  <c r="AQ385" i="1"/>
  <c r="AP385" i="1"/>
  <c r="AO385" i="1"/>
  <c r="AR384" i="1"/>
  <c r="AQ384" i="1"/>
  <c r="AP384" i="1"/>
  <c r="AO384" i="1"/>
  <c r="AR383" i="1"/>
  <c r="AQ383" i="1"/>
  <c r="AP383" i="1"/>
  <c r="AO383" i="1"/>
  <c r="AR377" i="1"/>
  <c r="AQ377" i="1"/>
  <c r="AP377" i="1"/>
  <c r="AO377" i="1"/>
  <c r="AR376" i="1"/>
  <c r="AQ376" i="1"/>
  <c r="AP376" i="1"/>
  <c r="AO376" i="1"/>
  <c r="AR375" i="1"/>
  <c r="AQ375" i="1"/>
  <c r="AP375" i="1"/>
  <c r="AO375" i="1"/>
  <c r="AL401" i="1"/>
  <c r="AK401" i="1"/>
  <c r="AL400" i="1"/>
  <c r="AK400" i="1"/>
  <c r="AL399" i="1"/>
  <c r="AK399" i="1"/>
  <c r="AL398" i="1"/>
  <c r="AK398" i="1"/>
  <c r="AL397" i="1"/>
  <c r="AK397" i="1"/>
  <c r="AL396" i="1"/>
  <c r="AK396" i="1"/>
  <c r="AK392" i="1"/>
  <c r="AK391" i="1"/>
  <c r="AK390" i="1"/>
  <c r="AL386" i="1"/>
  <c r="AL385" i="1"/>
  <c r="AL384" i="1"/>
  <c r="AL383" i="1"/>
  <c r="AL382" i="1"/>
  <c r="AL381" i="1"/>
  <c r="AE401" i="1"/>
  <c r="AD401" i="1"/>
  <c r="AC401" i="1"/>
  <c r="AE400" i="1"/>
  <c r="AD400" i="1"/>
  <c r="AC400" i="1"/>
  <c r="AE399" i="1"/>
  <c r="AD399" i="1"/>
  <c r="AC399" i="1"/>
  <c r="AE398" i="1"/>
  <c r="AD398" i="1"/>
  <c r="AC398" i="1"/>
  <c r="AE397" i="1"/>
  <c r="AD397" i="1"/>
  <c r="AC397" i="1"/>
  <c r="AE396" i="1"/>
  <c r="AD396" i="1"/>
  <c r="AC396" i="1"/>
  <c r="AE395" i="1"/>
  <c r="AD395" i="1"/>
  <c r="AC395" i="1"/>
  <c r="AE394" i="1"/>
  <c r="AD394" i="1"/>
  <c r="AC394" i="1"/>
  <c r="AE393" i="1"/>
  <c r="AD393" i="1"/>
  <c r="AC393" i="1"/>
  <c r="AE392" i="1"/>
  <c r="AD392" i="1"/>
  <c r="AC392" i="1"/>
  <c r="AE391" i="1"/>
  <c r="AD391" i="1"/>
  <c r="AC391" i="1"/>
  <c r="AE390" i="1"/>
  <c r="AD390" i="1"/>
  <c r="AC390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AE375" i="1"/>
  <c r="AD375" i="1"/>
  <c r="AC375" i="1"/>
  <c r="Y401" i="1"/>
  <c r="V401" i="1"/>
  <c r="U401" i="1"/>
  <c r="R401" i="1"/>
  <c r="O401" i="1"/>
  <c r="N401" i="1"/>
  <c r="M401" i="1"/>
  <c r="L401" i="1"/>
  <c r="K401" i="1"/>
  <c r="G401" i="1"/>
  <c r="Y400" i="1"/>
  <c r="V400" i="1"/>
  <c r="U400" i="1"/>
  <c r="R400" i="1"/>
  <c r="O400" i="1"/>
  <c r="N400" i="1"/>
  <c r="M400" i="1"/>
  <c r="L400" i="1"/>
  <c r="K400" i="1"/>
  <c r="G400" i="1"/>
  <c r="Y399" i="1"/>
  <c r="V399" i="1"/>
  <c r="U399" i="1"/>
  <c r="R399" i="1"/>
  <c r="O399" i="1"/>
  <c r="N399" i="1"/>
  <c r="M399" i="1"/>
  <c r="L399" i="1"/>
  <c r="K399" i="1"/>
  <c r="G399" i="1"/>
  <c r="Y398" i="1"/>
  <c r="V398" i="1"/>
  <c r="U398" i="1"/>
  <c r="R398" i="1"/>
  <c r="O398" i="1"/>
  <c r="N398" i="1"/>
  <c r="M398" i="1"/>
  <c r="L398" i="1"/>
  <c r="K398" i="1"/>
  <c r="G398" i="1"/>
  <c r="Y397" i="1"/>
  <c r="V397" i="1"/>
  <c r="U397" i="1"/>
  <c r="R397" i="1"/>
  <c r="O397" i="1"/>
  <c r="N397" i="1"/>
  <c r="M397" i="1"/>
  <c r="L397" i="1"/>
  <c r="K397" i="1"/>
  <c r="G397" i="1"/>
  <c r="Y396" i="1"/>
  <c r="V396" i="1"/>
  <c r="U396" i="1"/>
  <c r="R396" i="1"/>
  <c r="O396" i="1"/>
  <c r="N396" i="1"/>
  <c r="M396" i="1"/>
  <c r="L396" i="1"/>
  <c r="K396" i="1"/>
  <c r="G396" i="1"/>
  <c r="Y395" i="1"/>
  <c r="V395" i="1"/>
  <c r="U395" i="1"/>
  <c r="R395" i="1"/>
  <c r="O395" i="1"/>
  <c r="N395" i="1"/>
  <c r="M395" i="1"/>
  <c r="L395" i="1"/>
  <c r="K395" i="1"/>
  <c r="G395" i="1"/>
  <c r="Y394" i="1"/>
  <c r="V394" i="1"/>
  <c r="U394" i="1"/>
  <c r="R394" i="1"/>
  <c r="O394" i="1"/>
  <c r="N394" i="1"/>
  <c r="M394" i="1"/>
  <c r="L394" i="1"/>
  <c r="K394" i="1"/>
  <c r="G394" i="1"/>
  <c r="Y393" i="1"/>
  <c r="V393" i="1"/>
  <c r="U393" i="1"/>
  <c r="R393" i="1"/>
  <c r="O393" i="1"/>
  <c r="N393" i="1"/>
  <c r="M393" i="1"/>
  <c r="L393" i="1"/>
  <c r="K393" i="1"/>
  <c r="G393" i="1"/>
  <c r="Y392" i="1"/>
  <c r="V392" i="1"/>
  <c r="U392" i="1"/>
  <c r="R392" i="1"/>
  <c r="O392" i="1"/>
  <c r="N392" i="1"/>
  <c r="M392" i="1"/>
  <c r="L392" i="1"/>
  <c r="K392" i="1"/>
  <c r="G392" i="1"/>
  <c r="Y391" i="1"/>
  <c r="V391" i="1"/>
  <c r="U391" i="1"/>
  <c r="R391" i="1"/>
  <c r="O391" i="1"/>
  <c r="N391" i="1"/>
  <c r="M391" i="1"/>
  <c r="L391" i="1"/>
  <c r="K391" i="1"/>
  <c r="G391" i="1"/>
  <c r="Y390" i="1"/>
  <c r="V390" i="1"/>
  <c r="U390" i="1"/>
  <c r="R390" i="1"/>
  <c r="O390" i="1"/>
  <c r="N390" i="1"/>
  <c r="M390" i="1"/>
  <c r="L390" i="1"/>
  <c r="K390" i="1"/>
  <c r="G390" i="1"/>
  <c r="Y386" i="1"/>
  <c r="V386" i="1"/>
  <c r="U386" i="1"/>
  <c r="R386" i="1"/>
  <c r="O386" i="1"/>
  <c r="N386" i="1"/>
  <c r="M386" i="1"/>
  <c r="L386" i="1"/>
  <c r="K386" i="1"/>
  <c r="G386" i="1"/>
  <c r="Y385" i="1"/>
  <c r="V385" i="1"/>
  <c r="U385" i="1"/>
  <c r="R385" i="1"/>
  <c r="O385" i="1"/>
  <c r="N385" i="1"/>
  <c r="M385" i="1"/>
  <c r="L385" i="1"/>
  <c r="K385" i="1"/>
  <c r="G385" i="1"/>
  <c r="Y384" i="1"/>
  <c r="V384" i="1"/>
  <c r="U384" i="1"/>
  <c r="R384" i="1"/>
  <c r="O384" i="1"/>
  <c r="N384" i="1"/>
  <c r="M384" i="1"/>
  <c r="L384" i="1"/>
  <c r="K384" i="1"/>
  <c r="G384" i="1"/>
  <c r="Y383" i="1"/>
  <c r="V383" i="1"/>
  <c r="U383" i="1"/>
  <c r="R383" i="1"/>
  <c r="O383" i="1"/>
  <c r="N383" i="1"/>
  <c r="M383" i="1"/>
  <c r="L383" i="1"/>
  <c r="K383" i="1"/>
  <c r="G383" i="1"/>
  <c r="Y382" i="1"/>
  <c r="V382" i="1"/>
  <c r="U382" i="1"/>
  <c r="R382" i="1"/>
  <c r="O382" i="1"/>
  <c r="N382" i="1"/>
  <c r="M382" i="1"/>
  <c r="L382" i="1"/>
  <c r="K382" i="1"/>
  <c r="G382" i="1"/>
  <c r="Y381" i="1"/>
  <c r="V381" i="1"/>
  <c r="U381" i="1"/>
  <c r="R381" i="1"/>
  <c r="O381" i="1"/>
  <c r="N381" i="1"/>
  <c r="M381" i="1"/>
  <c r="L381" i="1"/>
  <c r="K381" i="1"/>
  <c r="G381" i="1"/>
  <c r="Y380" i="1"/>
  <c r="V380" i="1"/>
  <c r="U380" i="1"/>
  <c r="R380" i="1"/>
  <c r="O380" i="1"/>
  <c r="N380" i="1"/>
  <c r="M380" i="1"/>
  <c r="L380" i="1"/>
  <c r="K380" i="1"/>
  <c r="G380" i="1"/>
  <c r="Y379" i="1"/>
  <c r="V379" i="1"/>
  <c r="U379" i="1"/>
  <c r="R379" i="1"/>
  <c r="O379" i="1"/>
  <c r="N379" i="1"/>
  <c r="M379" i="1"/>
  <c r="L379" i="1"/>
  <c r="K379" i="1"/>
  <c r="G379" i="1"/>
  <c r="Y378" i="1"/>
  <c r="V378" i="1"/>
  <c r="U378" i="1"/>
  <c r="R378" i="1"/>
  <c r="O378" i="1"/>
  <c r="N378" i="1"/>
  <c r="M378" i="1"/>
  <c r="L378" i="1"/>
  <c r="K378" i="1"/>
  <c r="G378" i="1"/>
  <c r="Y377" i="1"/>
  <c r="V377" i="1"/>
  <c r="U377" i="1"/>
  <c r="R377" i="1"/>
  <c r="O377" i="1"/>
  <c r="N377" i="1"/>
  <c r="M377" i="1"/>
  <c r="L377" i="1"/>
  <c r="K377" i="1"/>
  <c r="G377" i="1"/>
  <c r="Y376" i="1"/>
  <c r="V376" i="1"/>
  <c r="U376" i="1"/>
  <c r="R376" i="1"/>
  <c r="O376" i="1"/>
  <c r="N376" i="1"/>
  <c r="M376" i="1"/>
  <c r="L376" i="1"/>
  <c r="K376" i="1"/>
  <c r="G376" i="1"/>
  <c r="Y375" i="1"/>
  <c r="V375" i="1"/>
  <c r="U375" i="1"/>
  <c r="R375" i="1"/>
  <c r="O375" i="1"/>
  <c r="N375" i="1"/>
  <c r="M375" i="1"/>
  <c r="L375" i="1"/>
  <c r="K375" i="1"/>
  <c r="G375" i="1"/>
  <c r="BB397" i="1" l="1"/>
  <c r="BB382" i="1"/>
  <c r="BB383" i="1"/>
  <c r="BB398" i="1"/>
  <c r="BB399" i="1"/>
  <c r="BB384" i="1"/>
  <c r="BB396" i="1"/>
  <c r="BB381" i="1"/>
  <c r="BB391" i="1" l="1"/>
  <c r="BB376" i="1"/>
  <c r="BB392" i="1"/>
  <c r="BB377" i="1"/>
  <c r="BB390" i="1"/>
  <c r="BB375" i="1"/>
  <c r="AL390" i="1"/>
  <c r="AL375" i="1"/>
  <c r="AO395" i="1"/>
  <c r="AO380" i="1"/>
  <c r="AP393" i="1"/>
  <c r="AP378" i="1"/>
  <c r="AQ378" i="1"/>
  <c r="AP379" i="1"/>
  <c r="AQ379" i="1"/>
  <c r="AP394" i="1"/>
  <c r="AP380" i="1"/>
  <c r="AP395" i="1"/>
  <c r="AQ380" i="1"/>
  <c r="AO381" i="1"/>
  <c r="AO396" i="1"/>
  <c r="AO397" i="1"/>
  <c r="AO382" i="1"/>
  <c r="AP381" i="1"/>
  <c r="AP396" i="1"/>
  <c r="AQ381" i="1"/>
  <c r="AP382" i="1"/>
  <c r="AP397" i="1"/>
  <c r="AQ382" i="1"/>
  <c r="AL391" i="1"/>
  <c r="AL376" i="1"/>
  <c r="AL392" i="1"/>
  <c r="AL377" i="1"/>
  <c r="AO393" i="1"/>
  <c r="AO378" i="1"/>
  <c r="AO379" i="1"/>
  <c r="AO394" i="1"/>
  <c r="AK378" i="1"/>
  <c r="AR378" i="1" l="1"/>
  <c r="AR380" i="1"/>
  <c r="AK395" i="1"/>
  <c r="AK394" i="1"/>
  <c r="AR382" i="1"/>
  <c r="AR379" i="1"/>
  <c r="AR381" i="1"/>
  <c r="AL378" i="1" l="1"/>
  <c r="AL393" i="1"/>
  <c r="AL394" i="1"/>
  <c r="AL379" i="1"/>
  <c r="AL395" i="1"/>
  <c r="AL380" i="1"/>
  <c r="AK393" i="1"/>
  <c r="A7" i="1"/>
  <c r="A8" i="1" l="1"/>
  <c r="AT7" i="1"/>
  <c r="BB395" i="1"/>
  <c r="BB380" i="1"/>
  <c r="BB393" i="1"/>
  <c r="BB378" i="1"/>
  <c r="BB394" i="1"/>
  <c r="BB379" i="1"/>
  <c r="A9" i="1" l="1"/>
  <c r="AT8" i="1"/>
  <c r="A10" i="1" l="1"/>
  <c r="AT9" i="1"/>
  <c r="A11" i="1" l="1"/>
  <c r="AT10" i="1"/>
  <c r="A12" i="1" l="1"/>
  <c r="AT11" i="1"/>
  <c r="A13" i="1" l="1"/>
  <c r="AT12" i="1"/>
  <c r="A14" i="1" l="1"/>
  <c r="AT13" i="1"/>
  <c r="A15" i="1" l="1"/>
  <c r="AT14" i="1"/>
  <c r="A16" i="1" l="1"/>
  <c r="AT15" i="1"/>
  <c r="A17" i="1" l="1"/>
  <c r="AT16" i="1"/>
  <c r="A18" i="1" l="1"/>
  <c r="AT17" i="1"/>
  <c r="A19" i="1" l="1"/>
  <c r="AT18" i="1"/>
  <c r="A20" i="1" l="1"/>
  <c r="AT19" i="1"/>
  <c r="A21" i="1" l="1"/>
  <c r="AT20" i="1"/>
  <c r="A22" i="1" l="1"/>
  <c r="AT21" i="1"/>
  <c r="A23" i="1" l="1"/>
  <c r="AT22" i="1"/>
  <c r="A24" i="1" l="1"/>
  <c r="AT23" i="1"/>
  <c r="A25" i="1" l="1"/>
  <c r="AT24" i="1"/>
  <c r="A26" i="1" l="1"/>
  <c r="AT25" i="1"/>
  <c r="A27" i="1" l="1"/>
  <c r="AT26" i="1"/>
  <c r="A28" i="1" l="1"/>
  <c r="AT27" i="1"/>
  <c r="A29" i="1" l="1"/>
  <c r="AT28" i="1"/>
  <c r="A30" i="1" l="1"/>
  <c r="AT29" i="1"/>
  <c r="A31" i="1" l="1"/>
  <c r="AT30" i="1"/>
  <c r="A32" i="1" l="1"/>
  <c r="AT31" i="1"/>
  <c r="A33" i="1" l="1"/>
  <c r="AT32" i="1"/>
  <c r="A34" i="1" l="1"/>
  <c r="AT33" i="1"/>
  <c r="A35" i="1" l="1"/>
  <c r="AT34" i="1"/>
  <c r="A36" i="1" l="1"/>
  <c r="AT35" i="1"/>
  <c r="A37" i="1" l="1"/>
  <c r="AT36" i="1"/>
  <c r="A38" i="1" l="1"/>
  <c r="AT37" i="1"/>
  <c r="A39" i="1" l="1"/>
  <c r="A40" i="1" s="1"/>
  <c r="AT38" i="1"/>
  <c r="A41" i="1" l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T40" i="1"/>
  <c r="AT39" i="1"/>
  <c r="AT62" i="1" l="1"/>
  <c r="AT182" i="1"/>
  <c r="AT41" i="1"/>
  <c r="AT183" i="1" l="1"/>
  <c r="AT42" i="1"/>
  <c r="AT184" i="1" l="1"/>
  <c r="AT43" i="1"/>
  <c r="AT185" i="1" l="1"/>
  <c r="AT44" i="1"/>
  <c r="AT186" i="1" l="1"/>
  <c r="AT45" i="1"/>
  <c r="AT187" i="1" l="1"/>
  <c r="AT46" i="1"/>
  <c r="AT188" i="1" l="1"/>
  <c r="AT47" i="1"/>
  <c r="AT189" i="1" l="1"/>
  <c r="AT48" i="1"/>
  <c r="AT190" i="1" l="1"/>
  <c r="AT49" i="1"/>
  <c r="AT191" i="1" l="1"/>
  <c r="AT50" i="1"/>
  <c r="AT192" i="1" l="1"/>
  <c r="AT51" i="1"/>
  <c r="AT193" i="1" l="1"/>
  <c r="AT52" i="1"/>
  <c r="AT194" i="1" l="1"/>
  <c r="AT53" i="1"/>
  <c r="AT195" i="1" l="1"/>
  <c r="AT54" i="1"/>
  <c r="AT196" i="1" l="1"/>
  <c r="AT55" i="1"/>
  <c r="AT197" i="1" l="1"/>
  <c r="AT56" i="1"/>
  <c r="AT198" i="1" l="1"/>
  <c r="AT57" i="1"/>
  <c r="AT199" i="1" l="1"/>
  <c r="AT58" i="1"/>
  <c r="AT200" i="1" l="1"/>
  <c r="AT59" i="1"/>
  <c r="AT201" i="1" l="1"/>
  <c r="AT60" i="1"/>
  <c r="AT202" i="1" l="1"/>
  <c r="AT61" i="1"/>
  <c r="AT203" i="1" l="1"/>
  <c r="AT204" i="1" l="1"/>
  <c r="AT63" i="1"/>
  <c r="AT205" i="1" l="1"/>
  <c r="AT64" i="1"/>
  <c r="AT206" i="1" l="1"/>
  <c r="AT65" i="1"/>
  <c r="AT207" i="1" l="1"/>
  <c r="AT66" i="1"/>
  <c r="AT208" i="1" l="1"/>
  <c r="AT67" i="1"/>
  <c r="AT209" i="1" l="1"/>
  <c r="AT68" i="1"/>
  <c r="AT210" i="1" l="1"/>
  <c r="AT69" i="1"/>
  <c r="AT211" i="1" l="1"/>
  <c r="AT70" i="1"/>
  <c r="AT212" i="1" l="1"/>
  <c r="AT71" i="1"/>
  <c r="AT213" i="1" l="1"/>
  <c r="AT72" i="1"/>
  <c r="AT214" i="1" l="1"/>
  <c r="AT73" i="1"/>
  <c r="AT215" i="1" l="1"/>
  <c r="AT74" i="1"/>
  <c r="AT216" i="1" l="1"/>
  <c r="AT75" i="1"/>
  <c r="AT217" i="1" l="1"/>
  <c r="AT76" i="1"/>
  <c r="AT218" i="1" l="1"/>
  <c r="AT77" i="1"/>
  <c r="AT219" i="1" l="1"/>
  <c r="AT78" i="1"/>
  <c r="AT220" i="1" l="1"/>
  <c r="AT79" i="1"/>
  <c r="AT221" i="1" l="1"/>
  <c r="AT80" i="1"/>
  <c r="AT222" i="1" l="1"/>
  <c r="AT81" i="1"/>
  <c r="AT223" i="1" l="1"/>
  <c r="AT82" i="1"/>
  <c r="AT224" i="1" l="1"/>
  <c r="AT83" i="1"/>
  <c r="AT225" i="1" l="1"/>
  <c r="AT84" i="1"/>
  <c r="AT226" i="1" l="1"/>
  <c r="AT85" i="1"/>
  <c r="AT227" i="1" l="1"/>
  <c r="AT86" i="1"/>
  <c r="AT228" i="1" l="1"/>
  <c r="AT87" i="1"/>
  <c r="AT229" i="1" l="1"/>
  <c r="AT88" i="1"/>
  <c r="AT230" i="1" l="1"/>
  <c r="AT89" i="1"/>
  <c r="AT231" i="1" l="1"/>
  <c r="AT90" i="1"/>
  <c r="AT232" i="1" l="1"/>
  <c r="AT91" i="1"/>
  <c r="AT233" i="1" l="1"/>
  <c r="AT92" i="1"/>
  <c r="AT234" i="1" l="1"/>
  <c r="AT93" i="1"/>
  <c r="AT235" i="1" l="1"/>
  <c r="AT94" i="1"/>
  <c r="AT236" i="1" l="1"/>
  <c r="AT95" i="1"/>
  <c r="AT237" i="1" l="1"/>
  <c r="AT96" i="1"/>
  <c r="AT238" i="1" l="1"/>
  <c r="AT97" i="1"/>
  <c r="AT239" i="1" l="1"/>
  <c r="AT98" i="1"/>
  <c r="AT240" i="1" l="1"/>
  <c r="AT99" i="1"/>
  <c r="AT241" i="1" l="1"/>
  <c r="AT100" i="1"/>
  <c r="AT242" i="1" l="1"/>
  <c r="AT101" i="1"/>
  <c r="AT243" i="1" l="1"/>
  <c r="AT102" i="1"/>
  <c r="AT244" i="1" l="1"/>
  <c r="AT103" i="1"/>
  <c r="AT245" i="1" l="1"/>
  <c r="AT104" i="1"/>
  <c r="AT246" i="1" l="1"/>
  <c r="AT105" i="1"/>
  <c r="AT247" i="1" l="1"/>
  <c r="AT106" i="1"/>
  <c r="AT248" i="1" l="1"/>
  <c r="AT107" i="1"/>
  <c r="AT249" i="1" l="1"/>
  <c r="AT108" i="1"/>
  <c r="AT250" i="1" l="1"/>
  <c r="AT109" i="1"/>
  <c r="AT251" i="1" l="1"/>
  <c r="AT110" i="1"/>
  <c r="AT252" i="1" l="1"/>
  <c r="AT111" i="1"/>
  <c r="AT253" i="1" l="1"/>
  <c r="AT112" i="1"/>
  <c r="AT254" i="1" l="1"/>
  <c r="AT113" i="1"/>
  <c r="AT255" i="1" l="1"/>
  <c r="AT114" i="1"/>
  <c r="AT256" i="1" l="1"/>
  <c r="AT115" i="1"/>
  <c r="AT257" i="1" l="1"/>
  <c r="AT116" i="1"/>
  <c r="AT258" i="1" l="1"/>
  <c r="AT117" i="1"/>
  <c r="AT259" i="1" l="1"/>
  <c r="AT118" i="1"/>
  <c r="AT260" i="1" l="1"/>
  <c r="AT119" i="1"/>
  <c r="AT261" i="1" l="1"/>
  <c r="AT120" i="1"/>
  <c r="AT262" i="1" l="1"/>
  <c r="AT121" i="1"/>
  <c r="AT263" i="1" l="1"/>
  <c r="AT122" i="1"/>
  <c r="AT264" i="1" l="1"/>
  <c r="AT123" i="1"/>
  <c r="AT265" i="1" l="1"/>
  <c r="AT124" i="1"/>
  <c r="AT266" i="1" l="1"/>
  <c r="AT125" i="1"/>
  <c r="AT267" i="1" l="1"/>
  <c r="AT126" i="1"/>
  <c r="AT268" i="1" l="1"/>
  <c r="AT127" i="1"/>
  <c r="AT269" i="1" l="1"/>
  <c r="AT128" i="1"/>
  <c r="AT270" i="1" l="1"/>
  <c r="AT129" i="1"/>
  <c r="AT271" i="1" l="1"/>
  <c r="AT130" i="1"/>
  <c r="AT272" i="1" l="1"/>
  <c r="AT131" i="1"/>
  <c r="AT273" i="1" l="1"/>
  <c r="AT132" i="1"/>
  <c r="AT274" i="1" l="1"/>
  <c r="AT133" i="1"/>
  <c r="AT275" i="1" l="1"/>
  <c r="AT134" i="1"/>
  <c r="AT276" i="1" l="1"/>
  <c r="AT135" i="1"/>
  <c r="AT277" i="1" l="1"/>
  <c r="AT136" i="1"/>
  <c r="AT278" i="1" l="1"/>
  <c r="AT137" i="1"/>
  <c r="AT279" i="1" l="1"/>
  <c r="AT138" i="1"/>
  <c r="AT280" i="1" l="1"/>
  <c r="AT139" i="1"/>
  <c r="AT281" i="1" l="1"/>
  <c r="AT140" i="1"/>
  <c r="AT282" i="1" l="1"/>
  <c r="AT141" i="1"/>
  <c r="AT283" i="1" l="1"/>
  <c r="AT142" i="1"/>
  <c r="AT284" i="1" l="1"/>
  <c r="AT143" i="1"/>
  <c r="AT285" i="1" l="1"/>
  <c r="AT144" i="1"/>
  <c r="AT286" i="1" l="1"/>
  <c r="AT145" i="1"/>
  <c r="AT287" i="1" l="1"/>
  <c r="AT146" i="1"/>
  <c r="AT288" i="1" l="1"/>
  <c r="AT147" i="1"/>
  <c r="AT289" i="1" l="1"/>
  <c r="AT148" i="1"/>
  <c r="AT290" i="1" l="1"/>
  <c r="AT149" i="1"/>
  <c r="AT291" i="1" l="1"/>
  <c r="AT150" i="1"/>
  <c r="AT292" i="1" l="1"/>
  <c r="AT151" i="1"/>
  <c r="AT293" i="1" l="1"/>
  <c r="AT152" i="1"/>
  <c r="AT153" i="1" l="1"/>
  <c r="AT154" i="1" l="1"/>
  <c r="AT155" i="1" l="1"/>
  <c r="AT156" i="1" l="1"/>
  <c r="AT157" i="1" l="1"/>
  <c r="AT158" i="1" l="1"/>
  <c r="AT159" i="1" l="1"/>
  <c r="AT160" i="1" l="1"/>
  <c r="AT161" i="1" l="1"/>
  <c r="AT162" i="1" l="1"/>
  <c r="AT163" i="1" l="1"/>
  <c r="AT164" i="1" l="1"/>
  <c r="AT165" i="1" l="1"/>
  <c r="AT166" i="1" l="1"/>
  <c r="AT167" i="1" l="1"/>
  <c r="AT168" i="1" l="1"/>
  <c r="AT169" i="1" l="1"/>
  <c r="AT170" i="1" l="1"/>
  <c r="AT171" i="1" l="1"/>
  <c r="AT172" i="1" l="1"/>
  <c r="AT173" i="1" l="1"/>
  <c r="AT174" i="1" l="1"/>
  <c r="AT175" i="1" l="1"/>
  <c r="AT176" i="1" l="1"/>
  <c r="AT177" i="1" l="1"/>
  <c r="AT178" i="1" l="1"/>
  <c r="AT179" i="1" l="1"/>
  <c r="AT180" i="1" l="1"/>
  <c r="AT181" i="1" l="1"/>
  <c r="AT294" i="1" l="1"/>
  <c r="AT295" i="1" l="1"/>
  <c r="AT296" i="1" l="1"/>
  <c r="AT297" i="1" l="1"/>
  <c r="AT298" i="1" l="1"/>
  <c r="AT299" i="1" l="1"/>
  <c r="AT300" i="1" l="1"/>
  <c r="AT301" i="1" l="1"/>
  <c r="AT302" i="1" l="1"/>
  <c r="AT303" i="1" l="1"/>
  <c r="AT304" i="1" l="1"/>
  <c r="AT305" i="1" l="1"/>
  <c r="AT306" i="1" l="1"/>
  <c r="AT307" i="1" l="1"/>
  <c r="AT308" i="1" l="1"/>
  <c r="AT309" i="1" l="1"/>
  <c r="AT310" i="1" l="1"/>
  <c r="AT311" i="1" l="1"/>
  <c r="AT312" i="1" l="1"/>
  <c r="AT313" i="1" l="1"/>
  <c r="AT314" i="1" l="1"/>
  <c r="AT315" i="1" l="1"/>
  <c r="AT316" i="1" l="1"/>
  <c r="AT317" i="1" l="1"/>
  <c r="AT318" i="1" l="1"/>
  <c r="AT319" i="1" l="1"/>
  <c r="AT320" i="1" l="1"/>
  <c r="AT321" i="1" l="1"/>
  <c r="AT322" i="1" l="1"/>
  <c r="AT323" i="1" l="1"/>
  <c r="AT324" i="1" l="1"/>
  <c r="AT325" i="1" l="1"/>
  <c r="AT326" i="1" l="1"/>
  <c r="AT327" i="1" l="1"/>
  <c r="AT328" i="1" l="1"/>
  <c r="AT329" i="1" l="1"/>
  <c r="AT330" i="1" l="1"/>
  <c r="AT331" i="1" l="1"/>
  <c r="AT332" i="1" l="1"/>
  <c r="AT333" i="1" l="1"/>
  <c r="AT334" i="1" l="1"/>
  <c r="AT335" i="1" l="1"/>
  <c r="AT336" i="1" l="1"/>
  <c r="AT337" i="1" l="1"/>
  <c r="AT338" i="1" l="1"/>
  <c r="AT339" i="1" l="1"/>
  <c r="AT340" i="1" l="1"/>
  <c r="AT341" i="1" l="1"/>
  <c r="AT342" i="1" l="1"/>
  <c r="AT343" i="1" l="1"/>
  <c r="AT344" i="1" l="1"/>
  <c r="AT345" i="1" l="1"/>
  <c r="AT346" i="1" l="1"/>
  <c r="AT347" i="1" l="1"/>
  <c r="AT348" i="1" l="1"/>
  <c r="AT349" i="1" l="1"/>
  <c r="AT350" i="1" l="1"/>
  <c r="AT351" i="1" l="1"/>
  <c r="AT352" i="1" l="1"/>
  <c r="AT353" i="1" l="1"/>
  <c r="AT354" i="1" l="1"/>
  <c r="AT355" i="1" l="1"/>
  <c r="AT356" i="1" l="1"/>
  <c r="AT357" i="1" l="1"/>
  <c r="AT358" i="1" l="1"/>
  <c r="AT359" i="1" l="1"/>
  <c r="AT360" i="1" l="1"/>
  <c r="AT361" i="1" l="1"/>
  <c r="AT362" i="1" l="1"/>
  <c r="AT363" i="1" l="1"/>
  <c r="AT364" i="1" l="1"/>
  <c r="AT365" i="1" l="1"/>
  <c r="AT366" i="1" l="1"/>
  <c r="AT367" i="1" l="1"/>
  <c r="AT368" i="1" l="1"/>
  <c r="AT370" i="1" l="1"/>
  <c r="AT369" i="1"/>
</calcChain>
</file>

<file path=xl/sharedStrings.xml><?xml version="1.0" encoding="utf-8"?>
<sst xmlns="http://schemas.openxmlformats.org/spreadsheetml/2006/main" count="827" uniqueCount="114">
  <si>
    <t>DOY</t>
  </si>
  <si>
    <t>Date</t>
  </si>
  <si>
    <t>Tair</t>
  </si>
  <si>
    <t>Site</t>
  </si>
  <si>
    <t>Comments</t>
  </si>
  <si>
    <t>Snow</t>
  </si>
  <si>
    <t>Tref</t>
  </si>
  <si>
    <t>RH</t>
  </si>
  <si>
    <t>Tsoil15</t>
  </si>
  <si>
    <t>Tsoil50</t>
  </si>
  <si>
    <t>Tsnow50</t>
  </si>
  <si>
    <t>Tsnow20</t>
  </si>
  <si>
    <t>Avg</t>
  </si>
  <si>
    <t>Min</t>
  </si>
  <si>
    <t>Max</t>
  </si>
  <si>
    <t>Depth</t>
  </si>
  <si>
    <t>Battery</t>
  </si>
  <si>
    <t>volts</t>
  </si>
  <si>
    <t>(C)</t>
  </si>
  <si>
    <t>%</t>
  </si>
  <si>
    <t>SR50A</t>
  </si>
  <si>
    <t>Distance</t>
  </si>
  <si>
    <t>(m)</t>
  </si>
  <si>
    <t>IRT Ave</t>
  </si>
  <si>
    <t>Tsurface</t>
  </si>
  <si>
    <t>C</t>
  </si>
  <si>
    <t>IRT Max</t>
  </si>
  <si>
    <t>IRT Min</t>
  </si>
  <si>
    <t>Body</t>
  </si>
  <si>
    <t>Counts</t>
  </si>
  <si>
    <t>Ave</t>
  </si>
  <si>
    <t>SnowpackTemp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</si>
  <si>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</si>
  <si>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</si>
  <si>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</si>
  <si>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</si>
  <si>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</si>
  <si>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</si>
  <si>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</si>
  <si>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Tsnow C</t>
  </si>
  <si>
    <t>Tsnow  20 and 50 cm</t>
  </si>
  <si>
    <t>Snow depth m, mm</t>
  </si>
  <si>
    <t>CSI SR50A at 2.7 m</t>
  </si>
  <si>
    <t>Meta data for PC</t>
  </si>
  <si>
    <t>Tsol005</t>
  </si>
  <si>
    <t>Tsoil005,  Tsoil 15 and Tsoil 50</t>
  </si>
  <si>
    <t>Corrected</t>
  </si>
  <si>
    <t>TaAvg</t>
  </si>
  <si>
    <t>Ts005Avg</t>
  </si>
  <si>
    <t>Ts15avg</t>
  </si>
  <si>
    <t>Ts50avg</t>
  </si>
  <si>
    <t>Txavg</t>
  </si>
  <si>
    <t>Tmaxmax</t>
  </si>
  <si>
    <t>Ts005max</t>
  </si>
  <si>
    <t>Tminavg</t>
  </si>
  <si>
    <t>TminTmin</t>
  </si>
  <si>
    <t>Ts005min</t>
  </si>
  <si>
    <t>IRTav</t>
  </si>
  <si>
    <t>IRTmax</t>
  </si>
  <si>
    <t>IRTmin</t>
  </si>
  <si>
    <t>Depth at end of month</t>
  </si>
  <si>
    <t>RHAv</t>
  </si>
  <si>
    <t>RHmin</t>
  </si>
  <si>
    <t>Rhminmin</t>
  </si>
  <si>
    <t>Vapres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</si>
  <si>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</si>
  <si>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</si>
  <si>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</si>
  <si>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</si>
  <si>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</si>
  <si>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</si>
  <si>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</si>
  <si>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</si>
  <si>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</si>
  <si>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</si>
  <si>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</si>
  <si>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</si>
  <si>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Tsnow</t>
  </si>
  <si>
    <t>vpres</t>
  </si>
  <si>
    <t>TXRHn</t>
  </si>
  <si>
    <t>kPa</t>
  </si>
  <si>
    <t>From precip analysis</t>
  </si>
  <si>
    <t>Tave</t>
  </si>
  <si>
    <t>Tmax</t>
  </si>
  <si>
    <t>Tmin</t>
  </si>
  <si>
    <t>Rhav</t>
  </si>
  <si>
    <t>Rhmin</t>
  </si>
  <si>
    <t>SnowD</t>
  </si>
  <si>
    <t>IRTSurf</t>
  </si>
  <si>
    <t>Summary</t>
  </si>
  <si>
    <t>DoY</t>
  </si>
  <si>
    <t>TIRT-Ta</t>
  </si>
  <si>
    <t>HC-S3 in shield at 2.5 m.</t>
  </si>
  <si>
    <t>IRTSurfX</t>
  </si>
  <si>
    <t>IRTSurfn</t>
  </si>
  <si>
    <t>m3/m3</t>
  </si>
  <si>
    <t>SoilH2O</t>
  </si>
  <si>
    <t>TDR probe added June 18 2021</t>
  </si>
  <si>
    <t>TS50 on the ground</t>
  </si>
  <si>
    <t>NAN</t>
  </si>
  <si>
    <t>50 cm is on the ground</t>
  </si>
  <si>
    <t>m</t>
  </si>
  <si>
    <t>vpdX</t>
  </si>
  <si>
    <t>Last edit 29/11/25</t>
  </si>
  <si>
    <t>Vapour pressure and vapour pressure deficit kPa</t>
  </si>
  <si>
    <t>Calculated from air temperature and relative humidity</t>
  </si>
  <si>
    <t>Spot</t>
  </si>
  <si>
    <t xml:space="preserve">Penticton Creek 2019 Site PC - daily data </t>
  </si>
  <si>
    <t>SR50A cable cut</t>
  </si>
  <si>
    <t>Repaired SR50A cable</t>
  </si>
  <si>
    <t>Not working April 6 to Oct 17</t>
  </si>
  <si>
    <t>TSnow50 on the ground</t>
  </si>
  <si>
    <t>Soil moisture m3/m3</t>
  </si>
  <si>
    <t>Last edit 1/01/26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</si>
</sst>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1009]d/mmm/yy;@"/>
    <numFmt numFmtId="165" formatCode="0.000"/>
    <numFmt numFmtId="166" formatCode="0.0_)"/>
    <numFmt numFmtId="167" formatCode="0.00_)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5" fontId="3" fillId="0" borderId="0" xfId="0" applyNumberFormat="1" applyFont="1"/>
    <xf numFmtId="164" fontId="3" fillId="0" borderId="0" xfId="0" applyNumberFormat="1" applyFont="1"/>
    <xf numFmtId="0" fontId="3" fillId="0" borderId="0" xfId="0" applyFont="1" applyFill="1"/>
    <xf numFmtId="0" fontId="4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0" borderId="0" xfId="0" applyFont="1" applyFill="1" applyAlignment="1" applyProtection="1">
      <alignment horizontal="center"/>
    </xf>
    <xf numFmtId="165" fontId="3" fillId="0" borderId="0" xfId="0" applyNumberFormat="1" applyFont="1"/>
    <xf numFmtId="166" fontId="3" fillId="0" borderId="0" xfId="0" applyNumberFormat="1" applyFont="1" applyFill="1"/>
    <xf numFmtId="167" fontId="3" fillId="0" borderId="0" xfId="0" applyNumberFormat="1" applyFont="1"/>
    <xf numFmtId="166" fontId="3" fillId="0" borderId="0" xfId="0" applyNumberFormat="1" applyFont="1" applyFill="1" applyBorder="1"/>
    <xf numFmtId="167" fontId="3" fillId="0" borderId="0" xfId="0" applyNumberFormat="1" applyFont="1" applyFill="1" applyBorder="1"/>
    <xf numFmtId="1" fontId="3" fillId="0" borderId="0" xfId="0" applyNumberFormat="1" applyFont="1"/>
    <xf numFmtId="0" fontId="1" fillId="0" borderId="0" xfId="0" applyFont="1"/>
    <xf numFmtId="165" fontId="3" fillId="0" borderId="0" xfId="0" applyNumberFormat="1" applyFont="1" applyProtection="1"/>
    <xf numFmtId="0" fontId="3" fillId="0" borderId="0" xfId="1" applyFont="1"/>
    <xf numFmtId="164" fontId="3" fillId="0" borderId="0" xfId="0" applyNumberFormat="1" applyFont="1" applyProtection="1"/>
    <xf numFmtId="1" fontId="3" fillId="0" borderId="0" xfId="0" applyNumberFormat="1" applyFont="1" applyProtection="1"/>
    <xf numFmtId="1" fontId="3" fillId="0" borderId="0" xfId="0" applyNumberFormat="1" applyFont="1" applyBorder="1"/>
    <xf numFmtId="0" fontId="3" fillId="0" borderId="0" xfId="0" applyFont="1" applyProtection="1"/>
    <xf numFmtId="167" fontId="3" fillId="0" borderId="0" xfId="0" applyNumberFormat="1" applyFont="1" applyFill="1"/>
    <xf numFmtId="0" fontId="3" fillId="4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7823206157466"/>
          <c:y val="0.12859737254280573"/>
          <c:w val="0.82497320676368935"/>
          <c:h val="0.8295576503670946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-3.149</c:v>
                </c:pt>
                <c:pt idx="1">
                  <c:v>-1.399</c:v>
                </c:pt>
                <c:pt idx="2">
                  <c:v>-1.3660000000000001</c:v>
                </c:pt>
                <c:pt idx="3">
                  <c:v>-2.0750000000000002</c:v>
                </c:pt>
                <c:pt idx="4">
                  <c:v>-3.016</c:v>
                </c:pt>
                <c:pt idx="5">
                  <c:v>-3.758</c:v>
                </c:pt>
                <c:pt idx="6">
                  <c:v>-8.5399999999999991</c:v>
                </c:pt>
                <c:pt idx="7">
                  <c:v>-7.867</c:v>
                </c:pt>
                <c:pt idx="8">
                  <c:v>-1.5349999999999999</c:v>
                </c:pt>
                <c:pt idx="9">
                  <c:v>-0.25</c:v>
                </c:pt>
                <c:pt idx="10">
                  <c:v>-2.073</c:v>
                </c:pt>
                <c:pt idx="11">
                  <c:v>-2.38</c:v>
                </c:pt>
                <c:pt idx="12">
                  <c:v>1.7430000000000001</c:v>
                </c:pt>
                <c:pt idx="13">
                  <c:v>2.448</c:v>
                </c:pt>
                <c:pt idx="14">
                  <c:v>-0.89200000000000002</c:v>
                </c:pt>
                <c:pt idx="15">
                  <c:v>-3.2829999999999999</c:v>
                </c:pt>
                <c:pt idx="16">
                  <c:v>-3.556</c:v>
                </c:pt>
                <c:pt idx="17">
                  <c:v>-3.4220000000000002</c:v>
                </c:pt>
                <c:pt idx="18">
                  <c:v>-3.391</c:v>
                </c:pt>
                <c:pt idx="19">
                  <c:v>-5.6470000000000002</c:v>
                </c:pt>
                <c:pt idx="20">
                  <c:v>-7.6749999999999998</c:v>
                </c:pt>
                <c:pt idx="21">
                  <c:v>-5.2409999999999997</c:v>
                </c:pt>
                <c:pt idx="22">
                  <c:v>-5.6470000000000002</c:v>
                </c:pt>
                <c:pt idx="23">
                  <c:v>-1.665</c:v>
                </c:pt>
                <c:pt idx="24">
                  <c:v>-0.14899999999999999</c:v>
                </c:pt>
                <c:pt idx="25">
                  <c:v>3.8740000000000001</c:v>
                </c:pt>
                <c:pt idx="26">
                  <c:v>3.5960000000000001</c:v>
                </c:pt>
                <c:pt idx="27">
                  <c:v>-4.0970000000000004</c:v>
                </c:pt>
                <c:pt idx="28">
                  <c:v>0.83899999999999997</c:v>
                </c:pt>
                <c:pt idx="29">
                  <c:v>1.8120000000000001</c:v>
                </c:pt>
                <c:pt idx="30">
                  <c:v>1.744</c:v>
                </c:pt>
                <c:pt idx="31">
                  <c:v>-0.55400000000000005</c:v>
                </c:pt>
                <c:pt idx="32">
                  <c:v>-2.0070000000000001</c:v>
                </c:pt>
                <c:pt idx="33">
                  <c:v>-7.9119999999999999</c:v>
                </c:pt>
                <c:pt idx="34">
                  <c:v>-19.760000000000002</c:v>
                </c:pt>
                <c:pt idx="35">
                  <c:v>-15.53</c:v>
                </c:pt>
                <c:pt idx="36">
                  <c:v>-14.96</c:v>
                </c:pt>
                <c:pt idx="37">
                  <c:v>-10.71</c:v>
                </c:pt>
                <c:pt idx="38">
                  <c:v>-11.11</c:v>
                </c:pt>
                <c:pt idx="39">
                  <c:v>-16.89</c:v>
                </c:pt>
                <c:pt idx="40">
                  <c:v>-13.27</c:v>
                </c:pt>
                <c:pt idx="41">
                  <c:v>-13.17</c:v>
                </c:pt>
                <c:pt idx="42">
                  <c:v>-10.4</c:v>
                </c:pt>
                <c:pt idx="43">
                  <c:v>-7.98</c:v>
                </c:pt>
                <c:pt idx="44">
                  <c:v>-6.56</c:v>
                </c:pt>
                <c:pt idx="45">
                  <c:v>-4.367</c:v>
                </c:pt>
                <c:pt idx="46">
                  <c:v>-6.7960000000000003</c:v>
                </c:pt>
                <c:pt idx="47">
                  <c:v>-8.9600000000000009</c:v>
                </c:pt>
                <c:pt idx="48">
                  <c:v>-10.54</c:v>
                </c:pt>
                <c:pt idx="49">
                  <c:v>-7.8440000000000003</c:v>
                </c:pt>
                <c:pt idx="50">
                  <c:v>-9.39</c:v>
                </c:pt>
                <c:pt idx="51">
                  <c:v>-9.83</c:v>
                </c:pt>
                <c:pt idx="52">
                  <c:v>-9.83</c:v>
                </c:pt>
                <c:pt idx="53">
                  <c:v>-8.4499999999999993</c:v>
                </c:pt>
                <c:pt idx="54">
                  <c:v>-9.69</c:v>
                </c:pt>
                <c:pt idx="55">
                  <c:v>-12.43</c:v>
                </c:pt>
                <c:pt idx="56">
                  <c:v>-11.86</c:v>
                </c:pt>
                <c:pt idx="57">
                  <c:v>-8.35</c:v>
                </c:pt>
                <c:pt idx="58">
                  <c:v>-8.82</c:v>
                </c:pt>
                <c:pt idx="59">
                  <c:v>-7.9459999999999997</c:v>
                </c:pt>
                <c:pt idx="60">
                  <c:v>-11.72</c:v>
                </c:pt>
                <c:pt idx="61">
                  <c:v>-10.53</c:v>
                </c:pt>
                <c:pt idx="62">
                  <c:v>-8.89</c:v>
                </c:pt>
                <c:pt idx="63">
                  <c:v>-6.2549999999999999</c:v>
                </c:pt>
                <c:pt idx="64">
                  <c:v>-5.883</c:v>
                </c:pt>
                <c:pt idx="65">
                  <c:v>-6.0860000000000003</c:v>
                </c:pt>
                <c:pt idx="66">
                  <c:v>-7.2350000000000003</c:v>
                </c:pt>
                <c:pt idx="67">
                  <c:v>-7.7770000000000001</c:v>
                </c:pt>
                <c:pt idx="68">
                  <c:v>-2.718</c:v>
                </c:pt>
                <c:pt idx="69">
                  <c:v>-6.6950000000000003</c:v>
                </c:pt>
                <c:pt idx="70">
                  <c:v>-6.12</c:v>
                </c:pt>
                <c:pt idx="71">
                  <c:v>-4.3730000000000002</c:v>
                </c:pt>
                <c:pt idx="72">
                  <c:v>-0.41899999999999998</c:v>
                </c:pt>
                <c:pt idx="73">
                  <c:v>2.1070000000000002</c:v>
                </c:pt>
                <c:pt idx="74">
                  <c:v>4.43</c:v>
                </c:pt>
                <c:pt idx="75">
                  <c:v>5.0679999999999996</c:v>
                </c:pt>
                <c:pt idx="76">
                  <c:v>7.9359999999999999</c:v>
                </c:pt>
                <c:pt idx="77">
                  <c:v>9.89</c:v>
                </c:pt>
                <c:pt idx="78">
                  <c:v>11.77</c:v>
                </c:pt>
                <c:pt idx="79">
                  <c:v>12.21</c:v>
                </c:pt>
                <c:pt idx="80">
                  <c:v>10.19</c:v>
                </c:pt>
                <c:pt idx="81">
                  <c:v>3.3519999999999999</c:v>
                </c:pt>
                <c:pt idx="82">
                  <c:v>5.0410000000000004</c:v>
                </c:pt>
                <c:pt idx="83">
                  <c:v>0.49299999999999999</c:v>
                </c:pt>
                <c:pt idx="84">
                  <c:v>-0.85899999999999999</c:v>
                </c:pt>
                <c:pt idx="85">
                  <c:v>2.4729999999999999</c:v>
                </c:pt>
                <c:pt idx="86">
                  <c:v>3.2890000000000001</c:v>
                </c:pt>
                <c:pt idx="87">
                  <c:v>4.0599999999999996</c:v>
                </c:pt>
                <c:pt idx="88">
                  <c:v>5.58</c:v>
                </c:pt>
                <c:pt idx="89">
                  <c:v>4.6399999999999997</c:v>
                </c:pt>
                <c:pt idx="90">
                  <c:v>4.2300000000000004</c:v>
                </c:pt>
                <c:pt idx="91">
                  <c:v>5.88</c:v>
                </c:pt>
                <c:pt idx="92">
                  <c:v>2.1829999999999998</c:v>
                </c:pt>
                <c:pt idx="93">
                  <c:v>4.1280000000000001</c:v>
                </c:pt>
                <c:pt idx="94">
                  <c:v>0.29099999999999998</c:v>
                </c:pt>
                <c:pt idx="95">
                  <c:v>-1.5349999999999999</c:v>
                </c:pt>
                <c:pt idx="96">
                  <c:v>1.23</c:v>
                </c:pt>
                <c:pt idx="97">
                  <c:v>0.35799999999999998</c:v>
                </c:pt>
                <c:pt idx="98">
                  <c:v>8.6999999999999994E-2</c:v>
                </c:pt>
                <c:pt idx="99">
                  <c:v>-2.2440000000000002</c:v>
                </c:pt>
                <c:pt idx="100">
                  <c:v>-1.399</c:v>
                </c:pt>
                <c:pt idx="101">
                  <c:v>0.25700000000000001</c:v>
                </c:pt>
                <c:pt idx="102">
                  <c:v>-0.96</c:v>
                </c:pt>
                <c:pt idx="103">
                  <c:v>-0.14899999999999999</c:v>
                </c:pt>
                <c:pt idx="104">
                  <c:v>-0.41899999999999998</c:v>
                </c:pt>
                <c:pt idx="105">
                  <c:v>3.657</c:v>
                </c:pt>
                <c:pt idx="106">
                  <c:v>4.9740000000000002</c:v>
                </c:pt>
                <c:pt idx="107">
                  <c:v>4.0270000000000001</c:v>
                </c:pt>
                <c:pt idx="108">
                  <c:v>4.1959999999999997</c:v>
                </c:pt>
                <c:pt idx="109">
                  <c:v>2.5070000000000001</c:v>
                </c:pt>
                <c:pt idx="110">
                  <c:v>7.8970000000000002</c:v>
                </c:pt>
                <c:pt idx="111">
                  <c:v>5.5140000000000002</c:v>
                </c:pt>
                <c:pt idx="112">
                  <c:v>5.5819999999999999</c:v>
                </c:pt>
                <c:pt idx="113">
                  <c:v>3.1829999999999998</c:v>
                </c:pt>
                <c:pt idx="114">
                  <c:v>6.149</c:v>
                </c:pt>
                <c:pt idx="115">
                  <c:v>5.4729999999999999</c:v>
                </c:pt>
                <c:pt idx="116">
                  <c:v>-2.5819999999999999</c:v>
                </c:pt>
                <c:pt idx="117">
                  <c:v>1.0209999999999999</c:v>
                </c:pt>
                <c:pt idx="118">
                  <c:v>0.83</c:v>
                </c:pt>
                <c:pt idx="119">
                  <c:v>2.1019999999999999</c:v>
                </c:pt>
                <c:pt idx="120">
                  <c:v>3.0139999999999998</c:v>
                </c:pt>
                <c:pt idx="121">
                  <c:v>5.2439999999999998</c:v>
                </c:pt>
                <c:pt idx="122">
                  <c:v>8.06</c:v>
                </c:pt>
                <c:pt idx="123">
                  <c:v>8.8800000000000008</c:v>
                </c:pt>
                <c:pt idx="124">
                  <c:v>7.4589999999999996</c:v>
                </c:pt>
                <c:pt idx="125">
                  <c:v>9.65</c:v>
                </c:pt>
                <c:pt idx="126">
                  <c:v>9.11</c:v>
                </c:pt>
                <c:pt idx="127">
                  <c:v>9.7799999999999994</c:v>
                </c:pt>
                <c:pt idx="128">
                  <c:v>12.21</c:v>
                </c:pt>
                <c:pt idx="129">
                  <c:v>14.33</c:v>
                </c:pt>
                <c:pt idx="130">
                  <c:v>16.149999999999999</c:v>
                </c:pt>
                <c:pt idx="131">
                  <c:v>14.84</c:v>
                </c:pt>
                <c:pt idx="132">
                  <c:v>12.35</c:v>
                </c:pt>
                <c:pt idx="133">
                  <c:v>8.07</c:v>
                </c:pt>
                <c:pt idx="134">
                  <c:v>9.5500000000000007</c:v>
                </c:pt>
                <c:pt idx="135">
                  <c:v>7.6040000000000001</c:v>
                </c:pt>
                <c:pt idx="136">
                  <c:v>4.298</c:v>
                </c:pt>
                <c:pt idx="137">
                  <c:v>6.0549999999999997</c:v>
                </c:pt>
                <c:pt idx="138">
                  <c:v>7.1020000000000003</c:v>
                </c:pt>
                <c:pt idx="139">
                  <c:v>7.77</c:v>
                </c:pt>
                <c:pt idx="140">
                  <c:v>5.9119999999999999</c:v>
                </c:pt>
                <c:pt idx="141">
                  <c:v>10.87</c:v>
                </c:pt>
                <c:pt idx="142">
                  <c:v>11.47</c:v>
                </c:pt>
                <c:pt idx="143">
                  <c:v>10.79</c:v>
                </c:pt>
                <c:pt idx="144">
                  <c:v>6.2210000000000001</c:v>
                </c:pt>
                <c:pt idx="145">
                  <c:v>11.17</c:v>
                </c:pt>
                <c:pt idx="146">
                  <c:v>15.57</c:v>
                </c:pt>
                <c:pt idx="147">
                  <c:v>18.37</c:v>
                </c:pt>
                <c:pt idx="148">
                  <c:v>18.510000000000002</c:v>
                </c:pt>
                <c:pt idx="149">
                  <c:v>17.47</c:v>
                </c:pt>
                <c:pt idx="150">
                  <c:v>18.62</c:v>
                </c:pt>
                <c:pt idx="151">
                  <c:v>19.86</c:v>
                </c:pt>
                <c:pt idx="152">
                  <c:v>20.03</c:v>
                </c:pt>
                <c:pt idx="153">
                  <c:v>12.58</c:v>
                </c:pt>
                <c:pt idx="154">
                  <c:v>13.09</c:v>
                </c:pt>
                <c:pt idx="155">
                  <c:v>11.41</c:v>
                </c:pt>
                <c:pt idx="156">
                  <c:v>6.258</c:v>
                </c:pt>
                <c:pt idx="157">
                  <c:v>4.3019999999999996</c:v>
                </c:pt>
                <c:pt idx="158">
                  <c:v>6.4269999999999996</c:v>
                </c:pt>
                <c:pt idx="159">
                  <c:v>12.55</c:v>
                </c:pt>
                <c:pt idx="160">
                  <c:v>9.69</c:v>
                </c:pt>
                <c:pt idx="161">
                  <c:v>16.38</c:v>
                </c:pt>
                <c:pt idx="162">
                  <c:v>20.63</c:v>
                </c:pt>
                <c:pt idx="163">
                  <c:v>20.23</c:v>
                </c:pt>
                <c:pt idx="164">
                  <c:v>16.82</c:v>
                </c:pt>
                <c:pt idx="165">
                  <c:v>18.41</c:v>
                </c:pt>
                <c:pt idx="166">
                  <c:v>18.25</c:v>
                </c:pt>
                <c:pt idx="167">
                  <c:v>20.260000000000002</c:v>
                </c:pt>
                <c:pt idx="168">
                  <c:v>15.78</c:v>
                </c:pt>
                <c:pt idx="169">
                  <c:v>4.4329999999999998</c:v>
                </c:pt>
                <c:pt idx="170">
                  <c:v>0.83199999999999996</c:v>
                </c:pt>
                <c:pt idx="171">
                  <c:v>11.27</c:v>
                </c:pt>
                <c:pt idx="172">
                  <c:v>12.52</c:v>
                </c:pt>
                <c:pt idx="173">
                  <c:v>9.83</c:v>
                </c:pt>
                <c:pt idx="174">
                  <c:v>8.2799999999999994</c:v>
                </c:pt>
                <c:pt idx="175">
                  <c:v>12.7</c:v>
                </c:pt>
                <c:pt idx="176">
                  <c:v>14.27</c:v>
                </c:pt>
                <c:pt idx="177">
                  <c:v>11.82</c:v>
                </c:pt>
                <c:pt idx="178">
                  <c:v>10.29</c:v>
                </c:pt>
                <c:pt idx="179">
                  <c:v>9.86</c:v>
                </c:pt>
                <c:pt idx="180">
                  <c:v>15.69</c:v>
                </c:pt>
                <c:pt idx="181">
                  <c:v>17.97</c:v>
                </c:pt>
                <c:pt idx="182">
                  <c:v>12.52</c:v>
                </c:pt>
                <c:pt idx="183">
                  <c:v>15.68</c:v>
                </c:pt>
                <c:pt idx="184">
                  <c:v>11.57</c:v>
                </c:pt>
                <c:pt idx="185">
                  <c:v>12.66</c:v>
                </c:pt>
                <c:pt idx="186">
                  <c:v>10.97</c:v>
                </c:pt>
                <c:pt idx="187">
                  <c:v>11.91</c:v>
                </c:pt>
                <c:pt idx="188">
                  <c:v>13.06</c:v>
                </c:pt>
                <c:pt idx="189">
                  <c:v>15.99</c:v>
                </c:pt>
                <c:pt idx="190">
                  <c:v>15.39</c:v>
                </c:pt>
                <c:pt idx="191">
                  <c:v>14.24</c:v>
                </c:pt>
                <c:pt idx="192">
                  <c:v>16.260000000000002</c:v>
                </c:pt>
                <c:pt idx="193">
                  <c:v>16.62</c:v>
                </c:pt>
                <c:pt idx="194">
                  <c:v>14.3</c:v>
                </c:pt>
                <c:pt idx="195">
                  <c:v>14.71</c:v>
                </c:pt>
                <c:pt idx="196">
                  <c:v>14.27</c:v>
                </c:pt>
                <c:pt idx="197">
                  <c:v>11.11</c:v>
                </c:pt>
                <c:pt idx="198">
                  <c:v>8.7799999999999994</c:v>
                </c:pt>
                <c:pt idx="199">
                  <c:v>9.15</c:v>
                </c:pt>
                <c:pt idx="200">
                  <c:v>11.87</c:v>
                </c:pt>
                <c:pt idx="201">
                  <c:v>19.59</c:v>
                </c:pt>
                <c:pt idx="202">
                  <c:v>23.5</c:v>
                </c:pt>
                <c:pt idx="203">
                  <c:v>20.67</c:v>
                </c:pt>
                <c:pt idx="204">
                  <c:v>10.73</c:v>
                </c:pt>
                <c:pt idx="205">
                  <c:v>17.260000000000002</c:v>
                </c:pt>
                <c:pt idx="206">
                  <c:v>22.56</c:v>
                </c:pt>
                <c:pt idx="207">
                  <c:v>15.25</c:v>
                </c:pt>
                <c:pt idx="208">
                  <c:v>15.61</c:v>
                </c:pt>
                <c:pt idx="209">
                  <c:v>20.6</c:v>
                </c:pt>
                <c:pt idx="210">
                  <c:v>18.21</c:v>
                </c:pt>
                <c:pt idx="211">
                  <c:v>20.13</c:v>
                </c:pt>
                <c:pt idx="212">
                  <c:v>20.7</c:v>
                </c:pt>
                <c:pt idx="213">
                  <c:v>17.940000000000001</c:v>
                </c:pt>
                <c:pt idx="214">
                  <c:v>14.87</c:v>
                </c:pt>
                <c:pt idx="215">
                  <c:v>17.059999999999999</c:v>
                </c:pt>
                <c:pt idx="216">
                  <c:v>21.11</c:v>
                </c:pt>
                <c:pt idx="217">
                  <c:v>23.94</c:v>
                </c:pt>
                <c:pt idx="218">
                  <c:v>24.62</c:v>
                </c:pt>
                <c:pt idx="219">
                  <c:v>23.23</c:v>
                </c:pt>
                <c:pt idx="220">
                  <c:v>20.87</c:v>
                </c:pt>
                <c:pt idx="221">
                  <c:v>15.45</c:v>
                </c:pt>
                <c:pt idx="222">
                  <c:v>9.16</c:v>
                </c:pt>
                <c:pt idx="223">
                  <c:v>15.22</c:v>
                </c:pt>
                <c:pt idx="224">
                  <c:v>15.59</c:v>
                </c:pt>
                <c:pt idx="225">
                  <c:v>16.420000000000002</c:v>
                </c:pt>
                <c:pt idx="226">
                  <c:v>17.57</c:v>
                </c:pt>
                <c:pt idx="227">
                  <c:v>12.35</c:v>
                </c:pt>
                <c:pt idx="228">
                  <c:v>13.97</c:v>
                </c:pt>
                <c:pt idx="229">
                  <c:v>18.579999999999998</c:v>
                </c:pt>
                <c:pt idx="230">
                  <c:v>17.329999999999998</c:v>
                </c:pt>
                <c:pt idx="231">
                  <c:v>22.09</c:v>
                </c:pt>
                <c:pt idx="232">
                  <c:v>16.73</c:v>
                </c:pt>
                <c:pt idx="233">
                  <c:v>13.83</c:v>
                </c:pt>
                <c:pt idx="234">
                  <c:v>11.72</c:v>
                </c:pt>
                <c:pt idx="235">
                  <c:v>13.33</c:v>
                </c:pt>
                <c:pt idx="236">
                  <c:v>10.06</c:v>
                </c:pt>
                <c:pt idx="237">
                  <c:v>12.01</c:v>
                </c:pt>
                <c:pt idx="238">
                  <c:v>19.79</c:v>
                </c:pt>
                <c:pt idx="239">
                  <c:v>19.760000000000002</c:v>
                </c:pt>
                <c:pt idx="240">
                  <c:v>21.14</c:v>
                </c:pt>
                <c:pt idx="241">
                  <c:v>18.18</c:v>
                </c:pt>
                <c:pt idx="242">
                  <c:v>18.579999999999998</c:v>
                </c:pt>
                <c:pt idx="243">
                  <c:v>17.77</c:v>
                </c:pt>
                <c:pt idx="244">
                  <c:v>16.079999999999998</c:v>
                </c:pt>
                <c:pt idx="245">
                  <c:v>21.07</c:v>
                </c:pt>
                <c:pt idx="246">
                  <c:v>16.739999999999998</c:v>
                </c:pt>
                <c:pt idx="247">
                  <c:v>20.97</c:v>
                </c:pt>
                <c:pt idx="248">
                  <c:v>20.23</c:v>
                </c:pt>
                <c:pt idx="249">
                  <c:v>19.09</c:v>
                </c:pt>
                <c:pt idx="250">
                  <c:v>11.21</c:v>
                </c:pt>
                <c:pt idx="251">
                  <c:v>9.59</c:v>
                </c:pt>
                <c:pt idx="252">
                  <c:v>9.7899999999999991</c:v>
                </c:pt>
                <c:pt idx="253">
                  <c:v>10.77</c:v>
                </c:pt>
                <c:pt idx="254">
                  <c:v>13.02</c:v>
                </c:pt>
                <c:pt idx="255">
                  <c:v>9.6999999999999993</c:v>
                </c:pt>
                <c:pt idx="256">
                  <c:v>8.68</c:v>
                </c:pt>
                <c:pt idx="257">
                  <c:v>6.1559999999999997</c:v>
                </c:pt>
                <c:pt idx="258">
                  <c:v>5.92</c:v>
                </c:pt>
                <c:pt idx="259">
                  <c:v>5.109</c:v>
                </c:pt>
                <c:pt idx="260">
                  <c:v>5.5140000000000002</c:v>
                </c:pt>
                <c:pt idx="261">
                  <c:v>7.77</c:v>
                </c:pt>
                <c:pt idx="262">
                  <c:v>6.6630000000000003</c:v>
                </c:pt>
                <c:pt idx="263">
                  <c:v>13.23</c:v>
                </c:pt>
                <c:pt idx="264">
                  <c:v>8.2100000000000009</c:v>
                </c:pt>
                <c:pt idx="265">
                  <c:v>4.67</c:v>
                </c:pt>
                <c:pt idx="266">
                  <c:v>7.8719999999999999</c:v>
                </c:pt>
                <c:pt idx="267">
                  <c:v>6.3250000000000002</c:v>
                </c:pt>
                <c:pt idx="268">
                  <c:v>6.5279999999999996</c:v>
                </c:pt>
                <c:pt idx="269">
                  <c:v>-0.183</c:v>
                </c:pt>
                <c:pt idx="270">
                  <c:v>-1.8049999999999999</c:v>
                </c:pt>
                <c:pt idx="271">
                  <c:v>-2.984</c:v>
                </c:pt>
                <c:pt idx="272">
                  <c:v>-1.5349999999999999</c:v>
                </c:pt>
                <c:pt idx="273">
                  <c:v>1.643</c:v>
                </c:pt>
                <c:pt idx="274">
                  <c:v>0.79800000000000004</c:v>
                </c:pt>
                <c:pt idx="275">
                  <c:v>1.1359999999999999</c:v>
                </c:pt>
                <c:pt idx="276">
                  <c:v>2.0779999999999998</c:v>
                </c:pt>
                <c:pt idx="277">
                  <c:v>2.4830000000000001</c:v>
                </c:pt>
                <c:pt idx="278">
                  <c:v>4.2990000000000004</c:v>
                </c:pt>
                <c:pt idx="279">
                  <c:v>5.4539999999999997</c:v>
                </c:pt>
                <c:pt idx="280">
                  <c:v>-0.82499999999999996</c:v>
                </c:pt>
                <c:pt idx="281">
                  <c:v>-6.7679999999999998</c:v>
                </c:pt>
                <c:pt idx="282">
                  <c:v>0.58799999999999997</c:v>
                </c:pt>
                <c:pt idx="283">
                  <c:v>2.7919999999999998</c:v>
                </c:pt>
                <c:pt idx="284">
                  <c:v>3.867</c:v>
                </c:pt>
                <c:pt idx="285">
                  <c:v>0.93300000000000005</c:v>
                </c:pt>
                <c:pt idx="286">
                  <c:v>2.9180000000000001</c:v>
                </c:pt>
                <c:pt idx="287">
                  <c:v>0.42599999999999999</c:v>
                </c:pt>
                <c:pt idx="288">
                  <c:v>3.5640000000000001</c:v>
                </c:pt>
                <c:pt idx="289">
                  <c:v>1.9810000000000001</c:v>
                </c:pt>
                <c:pt idx="290">
                  <c:v>-0.318</c:v>
                </c:pt>
                <c:pt idx="291">
                  <c:v>-0.48699999999999999</c:v>
                </c:pt>
                <c:pt idx="292">
                  <c:v>-1.3979999999999999</c:v>
                </c:pt>
                <c:pt idx="293">
                  <c:v>0.29099999999999998</c:v>
                </c:pt>
                <c:pt idx="294">
                  <c:v>2.0150000000000001</c:v>
                </c:pt>
                <c:pt idx="295">
                  <c:v>0.35699999999999998</c:v>
                </c:pt>
                <c:pt idx="296">
                  <c:v>7.407</c:v>
                </c:pt>
                <c:pt idx="297">
                  <c:v>5.109</c:v>
                </c:pt>
                <c:pt idx="298">
                  <c:v>-3.2240000000000002</c:v>
                </c:pt>
                <c:pt idx="299">
                  <c:v>-3.02</c:v>
                </c:pt>
                <c:pt idx="300">
                  <c:v>-4.97</c:v>
                </c:pt>
                <c:pt idx="301">
                  <c:v>-5.2080000000000002</c:v>
                </c:pt>
                <c:pt idx="302">
                  <c:v>-0.58799999999999997</c:v>
                </c:pt>
                <c:pt idx="303">
                  <c:v>-0.61799999999999999</c:v>
                </c:pt>
                <c:pt idx="304">
                  <c:v>2.657</c:v>
                </c:pt>
                <c:pt idx="305">
                  <c:v>4.8719999999999999</c:v>
                </c:pt>
                <c:pt idx="306">
                  <c:v>1.9810000000000001</c:v>
                </c:pt>
                <c:pt idx="307">
                  <c:v>6.4870000000000001</c:v>
                </c:pt>
                <c:pt idx="308">
                  <c:v>3.6219999999999999</c:v>
                </c:pt>
                <c:pt idx="309">
                  <c:v>1.913</c:v>
                </c:pt>
                <c:pt idx="310">
                  <c:v>3.7240000000000002</c:v>
                </c:pt>
                <c:pt idx="311">
                  <c:v>7.2720000000000002</c:v>
                </c:pt>
                <c:pt idx="312">
                  <c:v>3.4529999999999998</c:v>
                </c:pt>
                <c:pt idx="313">
                  <c:v>0.56100000000000005</c:v>
                </c:pt>
                <c:pt idx="314">
                  <c:v>-0.183</c:v>
                </c:pt>
                <c:pt idx="315">
                  <c:v>-0.115</c:v>
                </c:pt>
                <c:pt idx="316">
                  <c:v>1.474</c:v>
                </c:pt>
                <c:pt idx="317">
                  <c:v>-8.1000000000000003E-2</c:v>
                </c:pt>
                <c:pt idx="318">
                  <c:v>-0.52100000000000002</c:v>
                </c:pt>
                <c:pt idx="319">
                  <c:v>-0.79</c:v>
                </c:pt>
                <c:pt idx="320">
                  <c:v>2.859</c:v>
                </c:pt>
                <c:pt idx="321">
                  <c:v>1.677</c:v>
                </c:pt>
                <c:pt idx="322">
                  <c:v>-1.5009999999999999</c:v>
                </c:pt>
                <c:pt idx="323">
                  <c:v>-3.415</c:v>
                </c:pt>
                <c:pt idx="324">
                  <c:v>2.6829999999999998</c:v>
                </c:pt>
                <c:pt idx="325">
                  <c:v>2.6909999999999998</c:v>
                </c:pt>
                <c:pt idx="326">
                  <c:v>0.42599999999999999</c:v>
                </c:pt>
                <c:pt idx="327">
                  <c:v>-1.1970000000000001</c:v>
                </c:pt>
                <c:pt idx="328">
                  <c:v>-6.3230000000000004</c:v>
                </c:pt>
                <c:pt idx="329">
                  <c:v>-8.27</c:v>
                </c:pt>
                <c:pt idx="330">
                  <c:v>-10.88</c:v>
                </c:pt>
                <c:pt idx="331">
                  <c:v>-10</c:v>
                </c:pt>
                <c:pt idx="332">
                  <c:v>-7.2590000000000003</c:v>
                </c:pt>
                <c:pt idx="333">
                  <c:v>-5.9169999999999998</c:v>
                </c:pt>
                <c:pt idx="334">
                  <c:v>-6.0860000000000003</c:v>
                </c:pt>
                <c:pt idx="335">
                  <c:v>-2.0750000000000002</c:v>
                </c:pt>
                <c:pt idx="336">
                  <c:v>0.93300000000000005</c:v>
                </c:pt>
                <c:pt idx="337">
                  <c:v>-0.14899999999999999</c:v>
                </c:pt>
                <c:pt idx="338">
                  <c:v>-2.5430000000000001</c:v>
                </c:pt>
                <c:pt idx="339">
                  <c:v>-0.85899999999999999</c:v>
                </c:pt>
                <c:pt idx="340">
                  <c:v>-1.4330000000000001</c:v>
                </c:pt>
                <c:pt idx="341">
                  <c:v>-4.2050000000000001</c:v>
                </c:pt>
                <c:pt idx="342">
                  <c:v>-1.095</c:v>
                </c:pt>
                <c:pt idx="343">
                  <c:v>-0.25</c:v>
                </c:pt>
                <c:pt idx="344">
                  <c:v>-3.8610000000000002</c:v>
                </c:pt>
                <c:pt idx="345">
                  <c:v>-3.6560000000000001</c:v>
                </c:pt>
                <c:pt idx="346">
                  <c:v>-4.5999999999999996</c:v>
                </c:pt>
                <c:pt idx="347">
                  <c:v>-6.1539999999999999</c:v>
                </c:pt>
                <c:pt idx="348">
                  <c:v>-8.41</c:v>
                </c:pt>
                <c:pt idx="349">
                  <c:v>-3.9279999999999999</c:v>
                </c:pt>
                <c:pt idx="350">
                  <c:v>-3.589</c:v>
                </c:pt>
                <c:pt idx="351">
                  <c:v>-6.2469999999999999</c:v>
                </c:pt>
                <c:pt idx="352">
                  <c:v>-4.5309999999999997</c:v>
                </c:pt>
                <c:pt idx="353">
                  <c:v>-0.38500000000000001</c:v>
                </c:pt>
                <c:pt idx="354">
                  <c:v>-0.115</c:v>
                </c:pt>
                <c:pt idx="355">
                  <c:v>-4.4989999999999997</c:v>
                </c:pt>
                <c:pt idx="356">
                  <c:v>-4.8360000000000003</c:v>
                </c:pt>
                <c:pt idx="357">
                  <c:v>-6.12</c:v>
                </c:pt>
                <c:pt idx="358">
                  <c:v>-5.3079999999999998</c:v>
                </c:pt>
                <c:pt idx="359">
                  <c:v>-6.4139999999999997</c:v>
                </c:pt>
                <c:pt idx="360">
                  <c:v>-6.9989999999999997</c:v>
                </c:pt>
                <c:pt idx="361">
                  <c:v>-2.4790000000000001</c:v>
                </c:pt>
                <c:pt idx="362">
                  <c:v>-2.109</c:v>
                </c:pt>
                <c:pt idx="363">
                  <c:v>-1.635</c:v>
                </c:pt>
                <c:pt idx="364">
                  <c:v>-1.6020000000000001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Data!$U$6:$U$370</c:f>
              <c:numCache>
                <c:formatCode>General</c:formatCode>
                <c:ptCount val="365"/>
                <c:pt idx="0">
                  <c:v>-9.1199999999999992</c:v>
                </c:pt>
                <c:pt idx="1">
                  <c:v>-9.33</c:v>
                </c:pt>
                <c:pt idx="2">
                  <c:v>-6.2210000000000001</c:v>
                </c:pt>
                <c:pt idx="3">
                  <c:v>-6.4580000000000002</c:v>
                </c:pt>
                <c:pt idx="4">
                  <c:v>-5.6130000000000004</c:v>
                </c:pt>
                <c:pt idx="5">
                  <c:v>-10.34</c:v>
                </c:pt>
                <c:pt idx="6">
                  <c:v>-14.49</c:v>
                </c:pt>
                <c:pt idx="7">
                  <c:v>-15.27</c:v>
                </c:pt>
                <c:pt idx="8">
                  <c:v>-7.9020000000000001</c:v>
                </c:pt>
                <c:pt idx="9">
                  <c:v>-4.468</c:v>
                </c:pt>
                <c:pt idx="10">
                  <c:v>-5.1420000000000003</c:v>
                </c:pt>
                <c:pt idx="11">
                  <c:v>-5.109</c:v>
                </c:pt>
                <c:pt idx="12">
                  <c:v>-5.343</c:v>
                </c:pt>
                <c:pt idx="13">
                  <c:v>-4.4029999999999996</c:v>
                </c:pt>
                <c:pt idx="14">
                  <c:v>-7.3710000000000004</c:v>
                </c:pt>
                <c:pt idx="15">
                  <c:v>-7.7430000000000003</c:v>
                </c:pt>
                <c:pt idx="16">
                  <c:v>-5.5789999999999997</c:v>
                </c:pt>
                <c:pt idx="17">
                  <c:v>-5.9850000000000003</c:v>
                </c:pt>
                <c:pt idx="18">
                  <c:v>-7.6079999999999997</c:v>
                </c:pt>
                <c:pt idx="19">
                  <c:v>-9.86</c:v>
                </c:pt>
                <c:pt idx="20">
                  <c:v>-10.61</c:v>
                </c:pt>
                <c:pt idx="21">
                  <c:v>-9.6300000000000008</c:v>
                </c:pt>
                <c:pt idx="22">
                  <c:v>-8.59</c:v>
                </c:pt>
                <c:pt idx="23">
                  <c:v>-7.0670000000000002</c:v>
                </c:pt>
                <c:pt idx="24">
                  <c:v>-5.7140000000000004</c:v>
                </c:pt>
                <c:pt idx="25">
                  <c:v>-2.887</c:v>
                </c:pt>
                <c:pt idx="26">
                  <c:v>-9.2200000000000006</c:v>
                </c:pt>
                <c:pt idx="27">
                  <c:v>-10.74</c:v>
                </c:pt>
                <c:pt idx="28">
                  <c:v>-9.09</c:v>
                </c:pt>
                <c:pt idx="29">
                  <c:v>-5.6130000000000004</c:v>
                </c:pt>
                <c:pt idx="30">
                  <c:v>-1.873</c:v>
                </c:pt>
                <c:pt idx="31">
                  <c:v>-4.9130000000000003</c:v>
                </c:pt>
                <c:pt idx="32">
                  <c:v>-7.98</c:v>
                </c:pt>
                <c:pt idx="33">
                  <c:v>-21.79</c:v>
                </c:pt>
                <c:pt idx="34">
                  <c:v>-26.35</c:v>
                </c:pt>
                <c:pt idx="35">
                  <c:v>-22.8</c:v>
                </c:pt>
                <c:pt idx="36">
                  <c:v>-23.41</c:v>
                </c:pt>
                <c:pt idx="37">
                  <c:v>-16.14</c:v>
                </c:pt>
                <c:pt idx="38">
                  <c:v>-19.05</c:v>
                </c:pt>
                <c:pt idx="39">
                  <c:v>-21.62</c:v>
                </c:pt>
                <c:pt idx="40">
                  <c:v>-20.67</c:v>
                </c:pt>
                <c:pt idx="41">
                  <c:v>-21.38</c:v>
                </c:pt>
                <c:pt idx="42">
                  <c:v>-15.23</c:v>
                </c:pt>
                <c:pt idx="43">
                  <c:v>-13.99</c:v>
                </c:pt>
                <c:pt idx="44">
                  <c:v>-12.87</c:v>
                </c:pt>
                <c:pt idx="45">
                  <c:v>-8.2799999999999994</c:v>
                </c:pt>
                <c:pt idx="46">
                  <c:v>-9.06</c:v>
                </c:pt>
                <c:pt idx="47">
                  <c:v>-16.079999999999998</c:v>
                </c:pt>
                <c:pt idx="48">
                  <c:v>-17.7</c:v>
                </c:pt>
                <c:pt idx="49">
                  <c:v>-11.62</c:v>
                </c:pt>
                <c:pt idx="50">
                  <c:v>-11.42</c:v>
                </c:pt>
                <c:pt idx="51">
                  <c:v>-13.14</c:v>
                </c:pt>
                <c:pt idx="52">
                  <c:v>-12.37</c:v>
                </c:pt>
                <c:pt idx="53">
                  <c:v>-11.32</c:v>
                </c:pt>
                <c:pt idx="54">
                  <c:v>-13.62</c:v>
                </c:pt>
                <c:pt idx="55">
                  <c:v>-18.27</c:v>
                </c:pt>
                <c:pt idx="56">
                  <c:v>-20.47</c:v>
                </c:pt>
                <c:pt idx="57">
                  <c:v>-16.75</c:v>
                </c:pt>
                <c:pt idx="58">
                  <c:v>-11.15</c:v>
                </c:pt>
                <c:pt idx="59">
                  <c:v>-12.5</c:v>
                </c:pt>
                <c:pt idx="60">
                  <c:v>-17.829999999999998</c:v>
                </c:pt>
                <c:pt idx="61">
                  <c:v>-19.489999999999998</c:v>
                </c:pt>
                <c:pt idx="62">
                  <c:v>-19.690000000000001</c:v>
                </c:pt>
                <c:pt idx="63">
                  <c:v>-15.3</c:v>
                </c:pt>
                <c:pt idx="64">
                  <c:v>-8.6199999999999992</c:v>
                </c:pt>
                <c:pt idx="65">
                  <c:v>-11.96</c:v>
                </c:pt>
                <c:pt idx="66">
                  <c:v>-14.22</c:v>
                </c:pt>
                <c:pt idx="67">
                  <c:v>-12.87</c:v>
                </c:pt>
                <c:pt idx="68">
                  <c:v>-13.65</c:v>
                </c:pt>
                <c:pt idx="69">
                  <c:v>-11.11</c:v>
                </c:pt>
                <c:pt idx="70">
                  <c:v>-10.54</c:v>
                </c:pt>
                <c:pt idx="71">
                  <c:v>-11.35</c:v>
                </c:pt>
                <c:pt idx="72">
                  <c:v>-9.56</c:v>
                </c:pt>
                <c:pt idx="73">
                  <c:v>-6.2220000000000004</c:v>
                </c:pt>
                <c:pt idx="74">
                  <c:v>-6.02</c:v>
                </c:pt>
                <c:pt idx="75">
                  <c:v>-2.6840000000000002</c:v>
                </c:pt>
                <c:pt idx="76">
                  <c:v>-1.873</c:v>
                </c:pt>
                <c:pt idx="77">
                  <c:v>1.339</c:v>
                </c:pt>
                <c:pt idx="78">
                  <c:v>2.7440000000000002</c:v>
                </c:pt>
                <c:pt idx="79">
                  <c:v>2.1429999999999998</c:v>
                </c:pt>
                <c:pt idx="80">
                  <c:v>0.317</c:v>
                </c:pt>
                <c:pt idx="81">
                  <c:v>-0.85899999999999999</c:v>
                </c:pt>
                <c:pt idx="82">
                  <c:v>-0.96</c:v>
                </c:pt>
                <c:pt idx="83">
                  <c:v>-2.0419999999999998</c:v>
                </c:pt>
                <c:pt idx="84">
                  <c:v>-6.2910000000000004</c:v>
                </c:pt>
                <c:pt idx="85">
                  <c:v>-7.4050000000000002</c:v>
                </c:pt>
                <c:pt idx="86">
                  <c:v>-4.9420000000000002</c:v>
                </c:pt>
                <c:pt idx="87">
                  <c:v>-2.8860000000000001</c:v>
                </c:pt>
                <c:pt idx="88">
                  <c:v>-2.0419999999999998</c:v>
                </c:pt>
                <c:pt idx="89">
                  <c:v>-2.109</c:v>
                </c:pt>
                <c:pt idx="90">
                  <c:v>-3.5960000000000001</c:v>
                </c:pt>
                <c:pt idx="91">
                  <c:v>-3.0219999999999998</c:v>
                </c:pt>
                <c:pt idx="92">
                  <c:v>-1.5680000000000001</c:v>
                </c:pt>
                <c:pt idx="93">
                  <c:v>-2.2440000000000002</c:v>
                </c:pt>
                <c:pt idx="94">
                  <c:v>-3.7320000000000002</c:v>
                </c:pt>
                <c:pt idx="95">
                  <c:v>-5.4829999999999997</c:v>
                </c:pt>
                <c:pt idx="96">
                  <c:v>-5.8570000000000002</c:v>
                </c:pt>
                <c:pt idx="97">
                  <c:v>-6.1219999999999999</c:v>
                </c:pt>
                <c:pt idx="98">
                  <c:v>-2.7850000000000001</c:v>
                </c:pt>
                <c:pt idx="99">
                  <c:v>-5.2130000000000001</c:v>
                </c:pt>
                <c:pt idx="100">
                  <c:v>-6.0519999999999996</c:v>
                </c:pt>
                <c:pt idx="101">
                  <c:v>-6.12</c:v>
                </c:pt>
                <c:pt idx="102">
                  <c:v>-6.3620000000000001</c:v>
                </c:pt>
                <c:pt idx="103">
                  <c:v>-6.6950000000000003</c:v>
                </c:pt>
                <c:pt idx="104">
                  <c:v>-9.0299999999999994</c:v>
                </c:pt>
                <c:pt idx="105">
                  <c:v>-5.85</c:v>
                </c:pt>
                <c:pt idx="106">
                  <c:v>-2.4809999999999999</c:v>
                </c:pt>
                <c:pt idx="107">
                  <c:v>-0.45300000000000001</c:v>
                </c:pt>
                <c:pt idx="108">
                  <c:v>-1.0609999999999999</c:v>
                </c:pt>
                <c:pt idx="109">
                  <c:v>-3.2250000000000001</c:v>
                </c:pt>
                <c:pt idx="110">
                  <c:v>-2.5150000000000001</c:v>
                </c:pt>
                <c:pt idx="111">
                  <c:v>-0.115</c:v>
                </c:pt>
                <c:pt idx="112">
                  <c:v>-3.157</c:v>
                </c:pt>
                <c:pt idx="113">
                  <c:v>-2.92</c:v>
                </c:pt>
                <c:pt idx="114">
                  <c:v>-3.9980000000000002</c:v>
                </c:pt>
                <c:pt idx="115">
                  <c:v>-2.6840000000000002</c:v>
                </c:pt>
                <c:pt idx="116">
                  <c:v>-7.9119999999999999</c:v>
                </c:pt>
                <c:pt idx="117">
                  <c:v>-7.1340000000000003</c:v>
                </c:pt>
                <c:pt idx="118">
                  <c:v>-7.4729999999999999</c:v>
                </c:pt>
                <c:pt idx="119">
                  <c:v>-5.85</c:v>
                </c:pt>
                <c:pt idx="120">
                  <c:v>-3.36</c:v>
                </c:pt>
                <c:pt idx="121">
                  <c:v>-3.5630000000000002</c:v>
                </c:pt>
                <c:pt idx="122">
                  <c:v>-2.3119999999999998</c:v>
                </c:pt>
                <c:pt idx="123">
                  <c:v>0.65400000000000003</c:v>
                </c:pt>
                <c:pt idx="124">
                  <c:v>-0.58799999999999997</c:v>
                </c:pt>
                <c:pt idx="125">
                  <c:v>1.0640000000000001</c:v>
                </c:pt>
                <c:pt idx="126">
                  <c:v>1.133</c:v>
                </c:pt>
                <c:pt idx="127">
                  <c:v>2.7770000000000001</c:v>
                </c:pt>
                <c:pt idx="128">
                  <c:v>2.21</c:v>
                </c:pt>
                <c:pt idx="129">
                  <c:v>5.109</c:v>
                </c:pt>
                <c:pt idx="130">
                  <c:v>8.0399999999999991</c:v>
                </c:pt>
                <c:pt idx="131">
                  <c:v>5.7510000000000003</c:v>
                </c:pt>
                <c:pt idx="132">
                  <c:v>2.879</c:v>
                </c:pt>
                <c:pt idx="133">
                  <c:v>0.56100000000000005</c:v>
                </c:pt>
                <c:pt idx="134">
                  <c:v>-0.622</c:v>
                </c:pt>
                <c:pt idx="135">
                  <c:v>3.1150000000000002</c:v>
                </c:pt>
                <c:pt idx="136">
                  <c:v>-0.65600000000000003</c:v>
                </c:pt>
                <c:pt idx="137">
                  <c:v>-0.38500000000000001</c:v>
                </c:pt>
                <c:pt idx="138">
                  <c:v>0.56100000000000005</c:v>
                </c:pt>
                <c:pt idx="139">
                  <c:v>-0.38500000000000001</c:v>
                </c:pt>
                <c:pt idx="140">
                  <c:v>0.32400000000000001</c:v>
                </c:pt>
                <c:pt idx="141">
                  <c:v>2.2090000000000001</c:v>
                </c:pt>
                <c:pt idx="142">
                  <c:v>3.419</c:v>
                </c:pt>
                <c:pt idx="143">
                  <c:v>3.4529999999999998</c:v>
                </c:pt>
                <c:pt idx="144">
                  <c:v>3.1150000000000002</c:v>
                </c:pt>
                <c:pt idx="145">
                  <c:v>2.8460000000000001</c:v>
                </c:pt>
                <c:pt idx="146">
                  <c:v>3.7909999999999999</c:v>
                </c:pt>
                <c:pt idx="147">
                  <c:v>7.601</c:v>
                </c:pt>
                <c:pt idx="148">
                  <c:v>9.68</c:v>
                </c:pt>
                <c:pt idx="149">
                  <c:v>9.16</c:v>
                </c:pt>
                <c:pt idx="150">
                  <c:v>8.7799999999999994</c:v>
                </c:pt>
                <c:pt idx="151">
                  <c:v>7.4660000000000002</c:v>
                </c:pt>
                <c:pt idx="152">
                  <c:v>7.0270000000000001</c:v>
                </c:pt>
                <c:pt idx="153">
                  <c:v>3.9260000000000002</c:v>
                </c:pt>
                <c:pt idx="154">
                  <c:v>1.57</c:v>
                </c:pt>
                <c:pt idx="155">
                  <c:v>1.4930000000000001</c:v>
                </c:pt>
                <c:pt idx="156">
                  <c:v>-1.7370000000000001</c:v>
                </c:pt>
                <c:pt idx="157">
                  <c:v>-2.3460000000000001</c:v>
                </c:pt>
                <c:pt idx="158">
                  <c:v>-0.85899999999999999</c:v>
                </c:pt>
                <c:pt idx="159">
                  <c:v>-0.38600000000000001</c:v>
                </c:pt>
                <c:pt idx="160">
                  <c:v>2.7789999999999999</c:v>
                </c:pt>
                <c:pt idx="161">
                  <c:v>5.92</c:v>
                </c:pt>
                <c:pt idx="162">
                  <c:v>8.65</c:v>
                </c:pt>
                <c:pt idx="163">
                  <c:v>8.61</c:v>
                </c:pt>
                <c:pt idx="164">
                  <c:v>6.9930000000000003</c:v>
                </c:pt>
                <c:pt idx="165">
                  <c:v>9.16</c:v>
                </c:pt>
                <c:pt idx="166">
                  <c:v>10.47</c:v>
                </c:pt>
                <c:pt idx="167">
                  <c:v>8.01</c:v>
                </c:pt>
                <c:pt idx="168">
                  <c:v>3.6560000000000001</c:v>
                </c:pt>
                <c:pt idx="169">
                  <c:v>-0.72399999999999998</c:v>
                </c:pt>
                <c:pt idx="170">
                  <c:v>-0.79100000000000004</c:v>
                </c:pt>
                <c:pt idx="171">
                  <c:v>0.629</c:v>
                </c:pt>
                <c:pt idx="172">
                  <c:v>4.0609999999999999</c:v>
                </c:pt>
                <c:pt idx="173">
                  <c:v>2.3039999999999998</c:v>
                </c:pt>
                <c:pt idx="174">
                  <c:v>1.0269999999999999</c:v>
                </c:pt>
                <c:pt idx="175">
                  <c:v>2.3410000000000002</c:v>
                </c:pt>
                <c:pt idx="176">
                  <c:v>4.1289999999999996</c:v>
                </c:pt>
                <c:pt idx="177">
                  <c:v>2.3719999999999999</c:v>
                </c:pt>
                <c:pt idx="178">
                  <c:v>1.635</c:v>
                </c:pt>
                <c:pt idx="179">
                  <c:v>0.76300000000000001</c:v>
                </c:pt>
                <c:pt idx="180">
                  <c:v>4.5339999999999998</c:v>
                </c:pt>
                <c:pt idx="181">
                  <c:v>7.7030000000000003</c:v>
                </c:pt>
                <c:pt idx="182">
                  <c:v>6.7910000000000004</c:v>
                </c:pt>
                <c:pt idx="183">
                  <c:v>5.8860000000000001</c:v>
                </c:pt>
                <c:pt idx="184">
                  <c:v>6.8579999999999997</c:v>
                </c:pt>
                <c:pt idx="185">
                  <c:v>5.6159999999999997</c:v>
                </c:pt>
                <c:pt idx="186">
                  <c:v>4.5350000000000001</c:v>
                </c:pt>
                <c:pt idx="187">
                  <c:v>4.2640000000000002</c:v>
                </c:pt>
                <c:pt idx="188">
                  <c:v>4.5</c:v>
                </c:pt>
                <c:pt idx="189">
                  <c:v>7.298</c:v>
                </c:pt>
                <c:pt idx="190">
                  <c:v>7.601</c:v>
                </c:pt>
                <c:pt idx="191">
                  <c:v>6.7569999999999997</c:v>
                </c:pt>
                <c:pt idx="192">
                  <c:v>5.7430000000000003</c:v>
                </c:pt>
                <c:pt idx="193">
                  <c:v>7.3650000000000002</c:v>
                </c:pt>
                <c:pt idx="194">
                  <c:v>6.0810000000000004</c:v>
                </c:pt>
                <c:pt idx="195">
                  <c:v>6.0810000000000004</c:v>
                </c:pt>
                <c:pt idx="196">
                  <c:v>5.8460000000000001</c:v>
                </c:pt>
                <c:pt idx="197">
                  <c:v>6.1829999999999998</c:v>
                </c:pt>
                <c:pt idx="198">
                  <c:v>1.5609999999999999</c:v>
                </c:pt>
                <c:pt idx="199">
                  <c:v>1.4339999999999999</c:v>
                </c:pt>
                <c:pt idx="200">
                  <c:v>4.2640000000000002</c:v>
                </c:pt>
                <c:pt idx="201">
                  <c:v>6.2240000000000002</c:v>
                </c:pt>
                <c:pt idx="202">
                  <c:v>11.57</c:v>
                </c:pt>
                <c:pt idx="203">
                  <c:v>8.58</c:v>
                </c:pt>
                <c:pt idx="204">
                  <c:v>3.69</c:v>
                </c:pt>
                <c:pt idx="205">
                  <c:v>3.6219999999999999</c:v>
                </c:pt>
                <c:pt idx="206">
                  <c:v>8.5500000000000007</c:v>
                </c:pt>
                <c:pt idx="207">
                  <c:v>6.42</c:v>
                </c:pt>
                <c:pt idx="208">
                  <c:v>5.1760000000000002</c:v>
                </c:pt>
                <c:pt idx="209">
                  <c:v>8.7200000000000006</c:v>
                </c:pt>
                <c:pt idx="210">
                  <c:v>8.2799999999999994</c:v>
                </c:pt>
                <c:pt idx="211">
                  <c:v>7.6689999999999996</c:v>
                </c:pt>
                <c:pt idx="212">
                  <c:v>8.65</c:v>
                </c:pt>
                <c:pt idx="213">
                  <c:v>6.9589999999999996</c:v>
                </c:pt>
                <c:pt idx="214">
                  <c:v>4.9059999999999997</c:v>
                </c:pt>
                <c:pt idx="215">
                  <c:v>6.3239999999999998</c:v>
                </c:pt>
                <c:pt idx="216">
                  <c:v>10.33</c:v>
                </c:pt>
                <c:pt idx="217">
                  <c:v>12.21</c:v>
                </c:pt>
                <c:pt idx="218">
                  <c:v>13.79</c:v>
                </c:pt>
                <c:pt idx="219">
                  <c:v>13.09</c:v>
                </c:pt>
                <c:pt idx="220">
                  <c:v>12.25</c:v>
                </c:pt>
                <c:pt idx="221">
                  <c:v>7.431</c:v>
                </c:pt>
                <c:pt idx="222">
                  <c:v>5.6829999999999998</c:v>
                </c:pt>
                <c:pt idx="223">
                  <c:v>5.3120000000000003</c:v>
                </c:pt>
                <c:pt idx="224">
                  <c:v>7.0609999999999999</c:v>
                </c:pt>
                <c:pt idx="225">
                  <c:v>8.2100000000000009</c:v>
                </c:pt>
                <c:pt idx="226">
                  <c:v>8.2100000000000009</c:v>
                </c:pt>
                <c:pt idx="227">
                  <c:v>6.1180000000000003</c:v>
                </c:pt>
                <c:pt idx="228">
                  <c:v>4.1289999999999996</c:v>
                </c:pt>
                <c:pt idx="229">
                  <c:v>4.8049999999999997</c:v>
                </c:pt>
                <c:pt idx="230">
                  <c:v>7.8719999999999999</c:v>
                </c:pt>
                <c:pt idx="231">
                  <c:v>10.4</c:v>
                </c:pt>
                <c:pt idx="232">
                  <c:v>7.7030000000000003</c:v>
                </c:pt>
                <c:pt idx="233">
                  <c:v>5.4119999999999999</c:v>
                </c:pt>
                <c:pt idx="234">
                  <c:v>6.8920000000000003</c:v>
                </c:pt>
                <c:pt idx="235">
                  <c:v>4.3650000000000002</c:v>
                </c:pt>
                <c:pt idx="236">
                  <c:v>4.1630000000000003</c:v>
                </c:pt>
                <c:pt idx="237">
                  <c:v>3.286</c:v>
                </c:pt>
                <c:pt idx="238">
                  <c:v>5.9870000000000001</c:v>
                </c:pt>
                <c:pt idx="239">
                  <c:v>10.02</c:v>
                </c:pt>
                <c:pt idx="240">
                  <c:v>10.53</c:v>
                </c:pt>
                <c:pt idx="241">
                  <c:v>11.07</c:v>
                </c:pt>
                <c:pt idx="242">
                  <c:v>10.96</c:v>
                </c:pt>
                <c:pt idx="243">
                  <c:v>8.4499999999999993</c:v>
                </c:pt>
                <c:pt idx="244">
                  <c:v>7.2969999999999997</c:v>
                </c:pt>
                <c:pt idx="245">
                  <c:v>5.98</c:v>
                </c:pt>
                <c:pt idx="246">
                  <c:v>5.4130000000000003</c:v>
                </c:pt>
                <c:pt idx="247">
                  <c:v>8.89</c:v>
                </c:pt>
                <c:pt idx="248">
                  <c:v>10.93</c:v>
                </c:pt>
                <c:pt idx="249">
                  <c:v>9.2200000000000006</c:v>
                </c:pt>
                <c:pt idx="250">
                  <c:v>5.3120000000000003</c:v>
                </c:pt>
                <c:pt idx="251">
                  <c:v>3.69</c:v>
                </c:pt>
                <c:pt idx="252">
                  <c:v>4.399</c:v>
                </c:pt>
                <c:pt idx="253">
                  <c:v>5.0410000000000004</c:v>
                </c:pt>
                <c:pt idx="254">
                  <c:v>5.6829999999999998</c:v>
                </c:pt>
                <c:pt idx="255">
                  <c:v>4.3319999999999999</c:v>
                </c:pt>
                <c:pt idx="256">
                  <c:v>4.6360000000000001</c:v>
                </c:pt>
                <c:pt idx="257">
                  <c:v>2.879</c:v>
                </c:pt>
                <c:pt idx="258">
                  <c:v>1.67</c:v>
                </c:pt>
                <c:pt idx="259">
                  <c:v>1.8380000000000001</c:v>
                </c:pt>
                <c:pt idx="260">
                  <c:v>2.3450000000000002</c:v>
                </c:pt>
                <c:pt idx="261">
                  <c:v>2.0739999999999998</c:v>
                </c:pt>
                <c:pt idx="262">
                  <c:v>2.508</c:v>
                </c:pt>
                <c:pt idx="263">
                  <c:v>3.5939999999999999</c:v>
                </c:pt>
                <c:pt idx="264">
                  <c:v>4.5</c:v>
                </c:pt>
                <c:pt idx="265">
                  <c:v>2.71</c:v>
                </c:pt>
                <c:pt idx="266">
                  <c:v>0.629</c:v>
                </c:pt>
                <c:pt idx="267">
                  <c:v>0.39200000000000002</c:v>
                </c:pt>
                <c:pt idx="268">
                  <c:v>-1.5680000000000001</c:v>
                </c:pt>
                <c:pt idx="269">
                  <c:v>-2.4129999999999998</c:v>
                </c:pt>
                <c:pt idx="270">
                  <c:v>-5.7480000000000002</c:v>
                </c:pt>
                <c:pt idx="271">
                  <c:v>-6.6269999999999998</c:v>
                </c:pt>
                <c:pt idx="272">
                  <c:v>-6.1879999999999997</c:v>
                </c:pt>
                <c:pt idx="273">
                  <c:v>-4.9740000000000002</c:v>
                </c:pt>
                <c:pt idx="274">
                  <c:v>-2.6160000000000001</c:v>
                </c:pt>
                <c:pt idx="275">
                  <c:v>-3.0550000000000002</c:v>
                </c:pt>
                <c:pt idx="276">
                  <c:v>-2.819</c:v>
                </c:pt>
                <c:pt idx="277">
                  <c:v>-2.718</c:v>
                </c:pt>
                <c:pt idx="278">
                  <c:v>-2.819</c:v>
                </c:pt>
                <c:pt idx="279">
                  <c:v>-0.89200000000000002</c:v>
                </c:pt>
                <c:pt idx="280">
                  <c:v>-8.9600000000000009</c:v>
                </c:pt>
                <c:pt idx="281">
                  <c:v>-11.15</c:v>
                </c:pt>
                <c:pt idx="282">
                  <c:v>-10.029999999999999</c:v>
                </c:pt>
                <c:pt idx="283">
                  <c:v>-4.907</c:v>
                </c:pt>
                <c:pt idx="284">
                  <c:v>-2.9849999999999999</c:v>
                </c:pt>
                <c:pt idx="285">
                  <c:v>-1.873</c:v>
                </c:pt>
                <c:pt idx="286">
                  <c:v>-3.0219999999999998</c:v>
                </c:pt>
                <c:pt idx="287">
                  <c:v>-2.0750000000000002</c:v>
                </c:pt>
                <c:pt idx="288">
                  <c:v>-0.55400000000000005</c:v>
                </c:pt>
                <c:pt idx="289">
                  <c:v>-2.3460000000000001</c:v>
                </c:pt>
                <c:pt idx="290">
                  <c:v>-3.5630000000000002</c:v>
                </c:pt>
                <c:pt idx="291">
                  <c:v>-4.1669999999999998</c:v>
                </c:pt>
                <c:pt idx="292">
                  <c:v>-4.1319999999999997</c:v>
                </c:pt>
                <c:pt idx="293">
                  <c:v>-3.1890000000000001</c:v>
                </c:pt>
                <c:pt idx="294">
                  <c:v>-2.2440000000000002</c:v>
                </c:pt>
                <c:pt idx="295">
                  <c:v>-4.9429999999999996</c:v>
                </c:pt>
                <c:pt idx="296">
                  <c:v>-1.5349999999999999</c:v>
                </c:pt>
                <c:pt idx="297">
                  <c:v>-4.9080000000000004</c:v>
                </c:pt>
                <c:pt idx="298">
                  <c:v>-8.15</c:v>
                </c:pt>
                <c:pt idx="299">
                  <c:v>-8.85</c:v>
                </c:pt>
                <c:pt idx="300">
                  <c:v>-14.09</c:v>
                </c:pt>
                <c:pt idx="301">
                  <c:v>-15</c:v>
                </c:pt>
                <c:pt idx="302">
                  <c:v>-8.92</c:v>
                </c:pt>
                <c:pt idx="303">
                  <c:v>-5.9169999999999998</c:v>
                </c:pt>
                <c:pt idx="304">
                  <c:v>-6.4580000000000002</c:v>
                </c:pt>
                <c:pt idx="305">
                  <c:v>-0.14899999999999999</c:v>
                </c:pt>
                <c:pt idx="306">
                  <c:v>-0.58799999999999997</c:v>
                </c:pt>
                <c:pt idx="307">
                  <c:v>0.79800000000000004</c:v>
                </c:pt>
                <c:pt idx="308">
                  <c:v>-2.1429999999999998</c:v>
                </c:pt>
                <c:pt idx="309">
                  <c:v>-4.3040000000000003</c:v>
                </c:pt>
                <c:pt idx="310">
                  <c:v>-2.8860000000000001</c:v>
                </c:pt>
                <c:pt idx="311">
                  <c:v>2.8180000000000001</c:v>
                </c:pt>
                <c:pt idx="312">
                  <c:v>-0.29299999999999998</c:v>
                </c:pt>
                <c:pt idx="313">
                  <c:v>-7.1680000000000001</c:v>
                </c:pt>
                <c:pt idx="314">
                  <c:v>-6.0190000000000001</c:v>
                </c:pt>
                <c:pt idx="315">
                  <c:v>-3.427</c:v>
                </c:pt>
                <c:pt idx="316">
                  <c:v>-2.65</c:v>
                </c:pt>
                <c:pt idx="317">
                  <c:v>-3.2240000000000002</c:v>
                </c:pt>
                <c:pt idx="318">
                  <c:v>-2.6160000000000001</c:v>
                </c:pt>
                <c:pt idx="319">
                  <c:v>-3.7989999999999999</c:v>
                </c:pt>
                <c:pt idx="320">
                  <c:v>-1.0609999999999999</c:v>
                </c:pt>
                <c:pt idx="321">
                  <c:v>-2.6160000000000001</c:v>
                </c:pt>
                <c:pt idx="322">
                  <c:v>-6.7960000000000003</c:v>
                </c:pt>
                <c:pt idx="323">
                  <c:v>-8.59</c:v>
                </c:pt>
                <c:pt idx="324">
                  <c:v>-4.0599999999999996</c:v>
                </c:pt>
                <c:pt idx="325">
                  <c:v>-2.3460000000000001</c:v>
                </c:pt>
                <c:pt idx="326">
                  <c:v>-2.887</c:v>
                </c:pt>
                <c:pt idx="327">
                  <c:v>-6.492</c:v>
                </c:pt>
                <c:pt idx="328">
                  <c:v>-11.15</c:v>
                </c:pt>
                <c:pt idx="329">
                  <c:v>-13.55</c:v>
                </c:pt>
                <c:pt idx="330">
                  <c:v>-14.73</c:v>
                </c:pt>
                <c:pt idx="331">
                  <c:v>-15.71</c:v>
                </c:pt>
                <c:pt idx="332">
                  <c:v>-14.83</c:v>
                </c:pt>
                <c:pt idx="333">
                  <c:v>-12.2</c:v>
                </c:pt>
                <c:pt idx="334">
                  <c:v>-12.74</c:v>
                </c:pt>
                <c:pt idx="335">
                  <c:v>-6.7619999999999996</c:v>
                </c:pt>
                <c:pt idx="336">
                  <c:v>-2.6160000000000001</c:v>
                </c:pt>
                <c:pt idx="337">
                  <c:v>-7.98</c:v>
                </c:pt>
                <c:pt idx="338">
                  <c:v>-8.15</c:v>
                </c:pt>
                <c:pt idx="339">
                  <c:v>-3.5960000000000001</c:v>
                </c:pt>
                <c:pt idx="340">
                  <c:v>-4.1710000000000003</c:v>
                </c:pt>
                <c:pt idx="341">
                  <c:v>-11.79</c:v>
                </c:pt>
                <c:pt idx="342">
                  <c:v>-8.58</c:v>
                </c:pt>
                <c:pt idx="343">
                  <c:v>-5.7889999999999997</c:v>
                </c:pt>
                <c:pt idx="344">
                  <c:v>-7.8780000000000001</c:v>
                </c:pt>
                <c:pt idx="345">
                  <c:v>-6.29</c:v>
                </c:pt>
                <c:pt idx="346">
                  <c:v>-6.6269999999999998</c:v>
                </c:pt>
                <c:pt idx="347">
                  <c:v>-8.7200000000000006</c:v>
                </c:pt>
                <c:pt idx="348">
                  <c:v>-11.35</c:v>
                </c:pt>
                <c:pt idx="349">
                  <c:v>-12.3</c:v>
                </c:pt>
                <c:pt idx="350">
                  <c:v>-9.73</c:v>
                </c:pt>
                <c:pt idx="351">
                  <c:v>-9.76</c:v>
                </c:pt>
                <c:pt idx="352">
                  <c:v>-10.029999999999999</c:v>
                </c:pt>
                <c:pt idx="353">
                  <c:v>-5.2409999999999997</c:v>
                </c:pt>
                <c:pt idx="354">
                  <c:v>-6.593</c:v>
                </c:pt>
                <c:pt idx="355">
                  <c:v>-8.9600000000000009</c:v>
                </c:pt>
                <c:pt idx="356">
                  <c:v>-8.11</c:v>
                </c:pt>
                <c:pt idx="357">
                  <c:v>-10.4</c:v>
                </c:pt>
                <c:pt idx="358">
                  <c:v>-11.32</c:v>
                </c:pt>
                <c:pt idx="359">
                  <c:v>-11.66</c:v>
                </c:pt>
                <c:pt idx="360">
                  <c:v>-11.01</c:v>
                </c:pt>
                <c:pt idx="361">
                  <c:v>-10.07</c:v>
                </c:pt>
                <c:pt idx="362">
                  <c:v>-5.1459999999999999</c:v>
                </c:pt>
                <c:pt idx="363">
                  <c:v>-5.7530000000000001</c:v>
                </c:pt>
                <c:pt idx="364">
                  <c:v>-6.6319999999999997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-5.548</c:v>
                </c:pt>
                <c:pt idx="1">
                  <c:v>-4.4790000000000001</c:v>
                </c:pt>
                <c:pt idx="2">
                  <c:v>-3.3340000000000001</c:v>
                </c:pt>
                <c:pt idx="3">
                  <c:v>-3.9060000000000001</c:v>
                </c:pt>
                <c:pt idx="4">
                  <c:v>-4.508</c:v>
                </c:pt>
                <c:pt idx="5">
                  <c:v>-6.4980000000000002</c:v>
                </c:pt>
                <c:pt idx="6">
                  <c:v>-10.46</c:v>
                </c:pt>
                <c:pt idx="7">
                  <c:v>-11.96</c:v>
                </c:pt>
                <c:pt idx="8">
                  <c:v>-4.1529999999999996</c:v>
                </c:pt>
                <c:pt idx="9">
                  <c:v>-2.8980000000000001</c:v>
                </c:pt>
                <c:pt idx="10">
                  <c:v>-3.8279999999999998</c:v>
                </c:pt>
                <c:pt idx="11">
                  <c:v>-4.1920000000000002</c:v>
                </c:pt>
                <c:pt idx="12">
                  <c:v>-2.8959999999999999</c:v>
                </c:pt>
                <c:pt idx="13">
                  <c:v>-1.7350000000000001</c:v>
                </c:pt>
                <c:pt idx="14">
                  <c:v>-4.6740000000000004</c:v>
                </c:pt>
                <c:pt idx="15">
                  <c:v>-5.827</c:v>
                </c:pt>
                <c:pt idx="16">
                  <c:v>-4.5789999999999997</c:v>
                </c:pt>
                <c:pt idx="17">
                  <c:v>-4.7830000000000004</c:v>
                </c:pt>
                <c:pt idx="18">
                  <c:v>-5.242</c:v>
                </c:pt>
                <c:pt idx="19">
                  <c:v>-7.952</c:v>
                </c:pt>
                <c:pt idx="20">
                  <c:v>-9.32</c:v>
                </c:pt>
                <c:pt idx="21">
                  <c:v>-7.6130000000000004</c:v>
                </c:pt>
                <c:pt idx="22">
                  <c:v>-7.0590000000000002</c:v>
                </c:pt>
                <c:pt idx="23">
                  <c:v>-4.7069999999999999</c:v>
                </c:pt>
                <c:pt idx="24">
                  <c:v>-3.1930000000000001</c:v>
                </c:pt>
                <c:pt idx="25">
                  <c:v>0.67</c:v>
                </c:pt>
                <c:pt idx="26">
                  <c:v>-3.165</c:v>
                </c:pt>
                <c:pt idx="27">
                  <c:v>-7.9089999999999998</c:v>
                </c:pt>
                <c:pt idx="28">
                  <c:v>-4.6719999999999997</c:v>
                </c:pt>
                <c:pt idx="29">
                  <c:v>-0.98199999999999998</c:v>
                </c:pt>
                <c:pt idx="30">
                  <c:v>-0.33300000000000002</c:v>
                </c:pt>
                <c:pt idx="31">
                  <c:v>-2.4860000000000002</c:v>
                </c:pt>
                <c:pt idx="32">
                  <c:v>-5.0730000000000004</c:v>
                </c:pt>
                <c:pt idx="33">
                  <c:v>-12.3</c:v>
                </c:pt>
                <c:pt idx="34">
                  <c:v>-22.5</c:v>
                </c:pt>
                <c:pt idx="35">
                  <c:v>-19.899999999999999</c:v>
                </c:pt>
                <c:pt idx="36">
                  <c:v>-19.41</c:v>
                </c:pt>
                <c:pt idx="37">
                  <c:v>-12.31</c:v>
                </c:pt>
                <c:pt idx="38">
                  <c:v>-15.58</c:v>
                </c:pt>
                <c:pt idx="39">
                  <c:v>-19.57</c:v>
                </c:pt>
                <c:pt idx="40">
                  <c:v>-17.559999999999999</c:v>
                </c:pt>
                <c:pt idx="41">
                  <c:v>-17.25</c:v>
                </c:pt>
                <c:pt idx="42">
                  <c:v>-12.47</c:v>
                </c:pt>
                <c:pt idx="43">
                  <c:v>-11.28</c:v>
                </c:pt>
                <c:pt idx="44">
                  <c:v>-10.130000000000001</c:v>
                </c:pt>
                <c:pt idx="45">
                  <c:v>-6.5449999999999999</c:v>
                </c:pt>
                <c:pt idx="46">
                  <c:v>-7.8419999999999996</c:v>
                </c:pt>
                <c:pt idx="47">
                  <c:v>-12.27</c:v>
                </c:pt>
                <c:pt idx="48">
                  <c:v>-13.93</c:v>
                </c:pt>
                <c:pt idx="49">
                  <c:v>-9.6999999999999993</c:v>
                </c:pt>
                <c:pt idx="50">
                  <c:v>-10.48</c:v>
                </c:pt>
                <c:pt idx="51">
                  <c:v>-11.71</c:v>
                </c:pt>
                <c:pt idx="52">
                  <c:v>-11.16</c:v>
                </c:pt>
                <c:pt idx="53">
                  <c:v>-10.07</c:v>
                </c:pt>
                <c:pt idx="54">
                  <c:v>-11.51</c:v>
                </c:pt>
                <c:pt idx="55">
                  <c:v>-15</c:v>
                </c:pt>
                <c:pt idx="56">
                  <c:v>-16.86</c:v>
                </c:pt>
                <c:pt idx="57">
                  <c:v>-11.47</c:v>
                </c:pt>
                <c:pt idx="58">
                  <c:v>-10.09</c:v>
                </c:pt>
                <c:pt idx="59">
                  <c:v>-10.64</c:v>
                </c:pt>
                <c:pt idx="60">
                  <c:v>-14.57</c:v>
                </c:pt>
                <c:pt idx="61">
                  <c:v>-16.13</c:v>
                </c:pt>
                <c:pt idx="62">
                  <c:v>-14.87</c:v>
                </c:pt>
                <c:pt idx="63">
                  <c:v>-10.25</c:v>
                </c:pt>
                <c:pt idx="64">
                  <c:v>-7.0860000000000003</c:v>
                </c:pt>
                <c:pt idx="65">
                  <c:v>-9.15</c:v>
                </c:pt>
                <c:pt idx="66">
                  <c:v>-11.26</c:v>
                </c:pt>
                <c:pt idx="67">
                  <c:v>-10.73</c:v>
                </c:pt>
                <c:pt idx="68">
                  <c:v>-8.7100000000000009</c:v>
                </c:pt>
                <c:pt idx="69">
                  <c:v>-8.66</c:v>
                </c:pt>
                <c:pt idx="70">
                  <c:v>-7.5659999999999998</c:v>
                </c:pt>
                <c:pt idx="71">
                  <c:v>-8.66</c:v>
                </c:pt>
                <c:pt idx="72">
                  <c:v>-5.4480000000000004</c:v>
                </c:pt>
                <c:pt idx="73">
                  <c:v>-3.1880000000000002</c:v>
                </c:pt>
                <c:pt idx="74">
                  <c:v>-1.5409999999999999</c:v>
                </c:pt>
                <c:pt idx="75">
                  <c:v>0.68</c:v>
                </c:pt>
                <c:pt idx="76">
                  <c:v>2.6360000000000001</c:v>
                </c:pt>
                <c:pt idx="77">
                  <c:v>4.9089999999999998</c:v>
                </c:pt>
                <c:pt idx="78">
                  <c:v>6.3570000000000002</c:v>
                </c:pt>
                <c:pt idx="79">
                  <c:v>6.1929999999999996</c:v>
                </c:pt>
                <c:pt idx="80">
                  <c:v>4.9139999999999997</c:v>
                </c:pt>
                <c:pt idx="81">
                  <c:v>0.94299999999999995</c:v>
                </c:pt>
                <c:pt idx="82">
                  <c:v>1.3009999999999999</c:v>
                </c:pt>
                <c:pt idx="83">
                  <c:v>-1.069</c:v>
                </c:pt>
                <c:pt idx="84">
                  <c:v>-3.0259999999999998</c:v>
                </c:pt>
                <c:pt idx="85">
                  <c:v>-2.8530000000000002</c:v>
                </c:pt>
                <c:pt idx="86">
                  <c:v>-1.1100000000000001</c:v>
                </c:pt>
                <c:pt idx="87">
                  <c:v>0.20300000000000001</c:v>
                </c:pt>
                <c:pt idx="88">
                  <c:v>1.3939999999999999</c:v>
                </c:pt>
                <c:pt idx="89">
                  <c:v>0.47399999999999998</c:v>
                </c:pt>
                <c:pt idx="90">
                  <c:v>0.15</c:v>
                </c:pt>
                <c:pt idx="91">
                  <c:v>1.228</c:v>
                </c:pt>
                <c:pt idx="92">
                  <c:v>5.3999999999999999E-2</c:v>
                </c:pt>
                <c:pt idx="93">
                  <c:v>0.34</c:v>
                </c:pt>
                <c:pt idx="94">
                  <c:v>-1.141</c:v>
                </c:pt>
                <c:pt idx="95">
                  <c:v>-3.54</c:v>
                </c:pt>
                <c:pt idx="96">
                  <c:v>-2.4660000000000002</c:v>
                </c:pt>
                <c:pt idx="97">
                  <c:v>-2.2349999999999999</c:v>
                </c:pt>
                <c:pt idx="98">
                  <c:v>-1.645</c:v>
                </c:pt>
                <c:pt idx="99">
                  <c:v>-3.5870000000000002</c:v>
                </c:pt>
                <c:pt idx="100">
                  <c:v>-4.194</c:v>
                </c:pt>
                <c:pt idx="101">
                  <c:v>-2.867</c:v>
                </c:pt>
                <c:pt idx="102">
                  <c:v>-3.2389999999999999</c:v>
                </c:pt>
                <c:pt idx="103">
                  <c:v>-4.3970000000000002</c:v>
                </c:pt>
                <c:pt idx="104">
                  <c:v>-4.3529999999999998</c:v>
                </c:pt>
                <c:pt idx="105">
                  <c:v>-1.2390000000000001</c:v>
                </c:pt>
                <c:pt idx="106">
                  <c:v>0.89600000000000002</c:v>
                </c:pt>
                <c:pt idx="107">
                  <c:v>2.1160000000000001</c:v>
                </c:pt>
                <c:pt idx="108">
                  <c:v>2.294</c:v>
                </c:pt>
                <c:pt idx="109">
                  <c:v>-0.76100000000000001</c:v>
                </c:pt>
                <c:pt idx="110">
                  <c:v>2.484</c:v>
                </c:pt>
                <c:pt idx="111">
                  <c:v>2.66</c:v>
                </c:pt>
                <c:pt idx="112">
                  <c:v>1.526</c:v>
                </c:pt>
                <c:pt idx="113">
                  <c:v>-0.82699999999999996</c:v>
                </c:pt>
                <c:pt idx="114">
                  <c:v>1.1359999999999999</c:v>
                </c:pt>
                <c:pt idx="115">
                  <c:v>0.95799999999999996</c:v>
                </c:pt>
                <c:pt idx="116">
                  <c:v>-5.4349999999999996</c:v>
                </c:pt>
                <c:pt idx="117">
                  <c:v>-4.0220000000000002</c:v>
                </c:pt>
                <c:pt idx="118">
                  <c:v>-3.419</c:v>
                </c:pt>
                <c:pt idx="119">
                  <c:v>-1.8680000000000001</c:v>
                </c:pt>
                <c:pt idx="120">
                  <c:v>-0.73199999999999998</c:v>
                </c:pt>
                <c:pt idx="121">
                  <c:v>-0.01</c:v>
                </c:pt>
                <c:pt idx="122">
                  <c:v>2.84</c:v>
                </c:pt>
                <c:pt idx="123">
                  <c:v>4.6769999999999996</c:v>
                </c:pt>
                <c:pt idx="124">
                  <c:v>3.3250000000000002</c:v>
                </c:pt>
                <c:pt idx="125">
                  <c:v>4.9130000000000003</c:v>
                </c:pt>
                <c:pt idx="126">
                  <c:v>4.9379999999999997</c:v>
                </c:pt>
                <c:pt idx="127">
                  <c:v>5.54</c:v>
                </c:pt>
                <c:pt idx="128">
                  <c:v>7.2169999999999996</c:v>
                </c:pt>
                <c:pt idx="129">
                  <c:v>9.9</c:v>
                </c:pt>
                <c:pt idx="130">
                  <c:v>11.63</c:v>
                </c:pt>
                <c:pt idx="131">
                  <c:v>9.3800000000000008</c:v>
                </c:pt>
                <c:pt idx="132">
                  <c:v>7.6029999999999998</c:v>
                </c:pt>
                <c:pt idx="133">
                  <c:v>4.2320000000000002</c:v>
                </c:pt>
                <c:pt idx="134">
                  <c:v>4.3789999999999996</c:v>
                </c:pt>
                <c:pt idx="135">
                  <c:v>4.5949999999999998</c:v>
                </c:pt>
                <c:pt idx="136">
                  <c:v>2.649</c:v>
                </c:pt>
                <c:pt idx="137">
                  <c:v>1.9390000000000001</c:v>
                </c:pt>
                <c:pt idx="138">
                  <c:v>3.6619999999999999</c:v>
                </c:pt>
                <c:pt idx="139">
                  <c:v>3.3370000000000002</c:v>
                </c:pt>
                <c:pt idx="140">
                  <c:v>3.2629999999999999</c:v>
                </c:pt>
                <c:pt idx="141">
                  <c:v>6.6429999999999998</c:v>
                </c:pt>
                <c:pt idx="142">
                  <c:v>6.9989999999999997</c:v>
                </c:pt>
                <c:pt idx="143">
                  <c:v>5.5839999999999996</c:v>
                </c:pt>
                <c:pt idx="144">
                  <c:v>4.2560000000000002</c:v>
                </c:pt>
                <c:pt idx="145">
                  <c:v>6.2350000000000003</c:v>
                </c:pt>
                <c:pt idx="146">
                  <c:v>9.73</c:v>
                </c:pt>
                <c:pt idx="147">
                  <c:v>12.92</c:v>
                </c:pt>
                <c:pt idx="148">
                  <c:v>13.48</c:v>
                </c:pt>
                <c:pt idx="149">
                  <c:v>12.29</c:v>
                </c:pt>
                <c:pt idx="150">
                  <c:v>12</c:v>
                </c:pt>
                <c:pt idx="151">
                  <c:v>13.32</c:v>
                </c:pt>
                <c:pt idx="152">
                  <c:v>13.14</c:v>
                </c:pt>
                <c:pt idx="153">
                  <c:v>8.16</c:v>
                </c:pt>
                <c:pt idx="154">
                  <c:v>6.7590000000000003</c:v>
                </c:pt>
                <c:pt idx="155">
                  <c:v>5.27</c:v>
                </c:pt>
                <c:pt idx="156">
                  <c:v>1.528</c:v>
                </c:pt>
                <c:pt idx="157">
                  <c:v>0.10100000000000001</c:v>
                </c:pt>
                <c:pt idx="158">
                  <c:v>1.6459999999999999</c:v>
                </c:pt>
                <c:pt idx="159">
                  <c:v>5.1230000000000002</c:v>
                </c:pt>
                <c:pt idx="160">
                  <c:v>6.524</c:v>
                </c:pt>
                <c:pt idx="161">
                  <c:v>10.97</c:v>
                </c:pt>
                <c:pt idx="162">
                  <c:v>14.74</c:v>
                </c:pt>
                <c:pt idx="163">
                  <c:v>14.49</c:v>
                </c:pt>
                <c:pt idx="164">
                  <c:v>11.58</c:v>
                </c:pt>
                <c:pt idx="165">
                  <c:v>13.19</c:v>
                </c:pt>
                <c:pt idx="166">
                  <c:v>13.34</c:v>
                </c:pt>
                <c:pt idx="167">
                  <c:v>13.03</c:v>
                </c:pt>
                <c:pt idx="168">
                  <c:v>9.4600000000000009</c:v>
                </c:pt>
                <c:pt idx="169">
                  <c:v>1.3169999999999999</c:v>
                </c:pt>
                <c:pt idx="170">
                  <c:v>-0.124</c:v>
                </c:pt>
                <c:pt idx="171">
                  <c:v>5.907</c:v>
                </c:pt>
                <c:pt idx="172">
                  <c:v>7.9160000000000004</c:v>
                </c:pt>
                <c:pt idx="173">
                  <c:v>5.2990000000000004</c:v>
                </c:pt>
                <c:pt idx="174">
                  <c:v>4.1369999999999996</c:v>
                </c:pt>
                <c:pt idx="175">
                  <c:v>6.11</c:v>
                </c:pt>
                <c:pt idx="176">
                  <c:v>8.69</c:v>
                </c:pt>
                <c:pt idx="177">
                  <c:v>6.01</c:v>
                </c:pt>
                <c:pt idx="178">
                  <c:v>4.46</c:v>
                </c:pt>
                <c:pt idx="179">
                  <c:v>5.6790000000000003</c:v>
                </c:pt>
                <c:pt idx="180">
                  <c:v>9.17</c:v>
                </c:pt>
                <c:pt idx="181">
                  <c:v>12.02</c:v>
                </c:pt>
                <c:pt idx="182">
                  <c:v>9</c:v>
                </c:pt>
                <c:pt idx="183">
                  <c:v>10.58</c:v>
                </c:pt>
                <c:pt idx="184">
                  <c:v>8.76</c:v>
                </c:pt>
                <c:pt idx="185">
                  <c:v>7.63</c:v>
                </c:pt>
                <c:pt idx="186">
                  <c:v>7.4329999999999998</c:v>
                </c:pt>
                <c:pt idx="187">
                  <c:v>7.1929999999999996</c:v>
                </c:pt>
                <c:pt idx="188">
                  <c:v>8.26</c:v>
                </c:pt>
                <c:pt idx="189">
                  <c:v>11.64</c:v>
                </c:pt>
                <c:pt idx="190">
                  <c:v>10.029999999999999</c:v>
                </c:pt>
                <c:pt idx="191">
                  <c:v>9.9600000000000009</c:v>
                </c:pt>
                <c:pt idx="192">
                  <c:v>11.26</c:v>
                </c:pt>
                <c:pt idx="193">
                  <c:v>11.2</c:v>
                </c:pt>
                <c:pt idx="194">
                  <c:v>9.4700000000000006</c:v>
                </c:pt>
                <c:pt idx="195">
                  <c:v>9.33</c:v>
                </c:pt>
                <c:pt idx="196">
                  <c:v>9.14</c:v>
                </c:pt>
                <c:pt idx="197">
                  <c:v>8.2100000000000009</c:v>
                </c:pt>
                <c:pt idx="198">
                  <c:v>4.569</c:v>
                </c:pt>
                <c:pt idx="199">
                  <c:v>4.8600000000000003</c:v>
                </c:pt>
                <c:pt idx="200">
                  <c:v>7.0730000000000004</c:v>
                </c:pt>
                <c:pt idx="201">
                  <c:v>12.61</c:v>
                </c:pt>
                <c:pt idx="202">
                  <c:v>15.7</c:v>
                </c:pt>
                <c:pt idx="203">
                  <c:v>14.4</c:v>
                </c:pt>
                <c:pt idx="204">
                  <c:v>6.66</c:v>
                </c:pt>
                <c:pt idx="205">
                  <c:v>11.01</c:v>
                </c:pt>
                <c:pt idx="206">
                  <c:v>15.23</c:v>
                </c:pt>
                <c:pt idx="207">
                  <c:v>10.87</c:v>
                </c:pt>
                <c:pt idx="208">
                  <c:v>10.220000000000001</c:v>
                </c:pt>
                <c:pt idx="209">
                  <c:v>13.99</c:v>
                </c:pt>
                <c:pt idx="210">
                  <c:v>12.31</c:v>
                </c:pt>
                <c:pt idx="211">
                  <c:v>12.7</c:v>
                </c:pt>
                <c:pt idx="212">
                  <c:v>14.28</c:v>
                </c:pt>
                <c:pt idx="213">
                  <c:v>13.06</c:v>
                </c:pt>
                <c:pt idx="214">
                  <c:v>9.3800000000000008</c:v>
                </c:pt>
                <c:pt idx="215">
                  <c:v>11.73</c:v>
                </c:pt>
                <c:pt idx="216">
                  <c:v>15.53</c:v>
                </c:pt>
                <c:pt idx="217">
                  <c:v>18.21</c:v>
                </c:pt>
                <c:pt idx="218">
                  <c:v>18.54</c:v>
                </c:pt>
                <c:pt idx="219">
                  <c:v>17.97</c:v>
                </c:pt>
                <c:pt idx="220">
                  <c:v>15.96</c:v>
                </c:pt>
                <c:pt idx="221">
                  <c:v>11.98</c:v>
                </c:pt>
                <c:pt idx="222">
                  <c:v>7.3310000000000004</c:v>
                </c:pt>
                <c:pt idx="223">
                  <c:v>9.44</c:v>
                </c:pt>
                <c:pt idx="224">
                  <c:v>9.77</c:v>
                </c:pt>
                <c:pt idx="225">
                  <c:v>11.73</c:v>
                </c:pt>
                <c:pt idx="226">
                  <c:v>12.21</c:v>
                </c:pt>
                <c:pt idx="227">
                  <c:v>9.16</c:v>
                </c:pt>
                <c:pt idx="228">
                  <c:v>8.27</c:v>
                </c:pt>
                <c:pt idx="229">
                  <c:v>11.43</c:v>
                </c:pt>
                <c:pt idx="230">
                  <c:v>12.26</c:v>
                </c:pt>
                <c:pt idx="231">
                  <c:v>15.78</c:v>
                </c:pt>
                <c:pt idx="232">
                  <c:v>12.37</c:v>
                </c:pt>
                <c:pt idx="233">
                  <c:v>9.02</c:v>
                </c:pt>
                <c:pt idx="234">
                  <c:v>9.1</c:v>
                </c:pt>
                <c:pt idx="235">
                  <c:v>8.19</c:v>
                </c:pt>
                <c:pt idx="236">
                  <c:v>5.9649999999999999</c:v>
                </c:pt>
                <c:pt idx="237">
                  <c:v>7.5609999999999999</c:v>
                </c:pt>
                <c:pt idx="238">
                  <c:v>13.03</c:v>
                </c:pt>
                <c:pt idx="239">
                  <c:v>14.64</c:v>
                </c:pt>
                <c:pt idx="240">
                  <c:v>15.65</c:v>
                </c:pt>
                <c:pt idx="241">
                  <c:v>13.75</c:v>
                </c:pt>
                <c:pt idx="242">
                  <c:v>13.39</c:v>
                </c:pt>
                <c:pt idx="243">
                  <c:v>11.67</c:v>
                </c:pt>
                <c:pt idx="244">
                  <c:v>11.35</c:v>
                </c:pt>
                <c:pt idx="245">
                  <c:v>13.19</c:v>
                </c:pt>
                <c:pt idx="246">
                  <c:v>10.52</c:v>
                </c:pt>
                <c:pt idx="247">
                  <c:v>14.36</c:v>
                </c:pt>
                <c:pt idx="248">
                  <c:v>14.93</c:v>
                </c:pt>
                <c:pt idx="249">
                  <c:v>12.85</c:v>
                </c:pt>
                <c:pt idx="250">
                  <c:v>7.5529999999999999</c:v>
                </c:pt>
                <c:pt idx="251">
                  <c:v>5.38</c:v>
                </c:pt>
                <c:pt idx="252">
                  <c:v>5.9850000000000003</c:v>
                </c:pt>
                <c:pt idx="253">
                  <c:v>7.3239999999999998</c:v>
                </c:pt>
                <c:pt idx="254">
                  <c:v>8.48</c:v>
                </c:pt>
                <c:pt idx="255">
                  <c:v>6.4630000000000001</c:v>
                </c:pt>
                <c:pt idx="256">
                  <c:v>5.9960000000000004</c:v>
                </c:pt>
                <c:pt idx="257">
                  <c:v>4.8019999999999996</c:v>
                </c:pt>
                <c:pt idx="258">
                  <c:v>3.556</c:v>
                </c:pt>
                <c:pt idx="259">
                  <c:v>2.63</c:v>
                </c:pt>
                <c:pt idx="260">
                  <c:v>3.4209999999999998</c:v>
                </c:pt>
                <c:pt idx="261">
                  <c:v>4.5</c:v>
                </c:pt>
                <c:pt idx="262">
                  <c:v>4.2119999999999997</c:v>
                </c:pt>
                <c:pt idx="263">
                  <c:v>7.3780000000000001</c:v>
                </c:pt>
                <c:pt idx="264">
                  <c:v>6.0170000000000003</c:v>
                </c:pt>
                <c:pt idx="265">
                  <c:v>3.8149999999999999</c:v>
                </c:pt>
                <c:pt idx="266">
                  <c:v>4.0129999999999999</c:v>
                </c:pt>
                <c:pt idx="267">
                  <c:v>3.6080000000000001</c:v>
                </c:pt>
                <c:pt idx="268">
                  <c:v>1.855</c:v>
                </c:pt>
                <c:pt idx="269">
                  <c:v>-1.633</c:v>
                </c:pt>
                <c:pt idx="270">
                  <c:v>-3.3929999999999998</c:v>
                </c:pt>
                <c:pt idx="271">
                  <c:v>-5.1740000000000004</c:v>
                </c:pt>
                <c:pt idx="272">
                  <c:v>-4.2030000000000003</c:v>
                </c:pt>
                <c:pt idx="273">
                  <c:v>-1.726</c:v>
                </c:pt>
                <c:pt idx="274">
                  <c:v>-1.2410000000000001</c:v>
                </c:pt>
                <c:pt idx="275">
                  <c:v>-1.095</c:v>
                </c:pt>
                <c:pt idx="276">
                  <c:v>-0.57599999999999996</c:v>
                </c:pt>
                <c:pt idx="277">
                  <c:v>-0.34499999999999997</c:v>
                </c:pt>
                <c:pt idx="278">
                  <c:v>0.60499999999999998</c:v>
                </c:pt>
                <c:pt idx="279">
                  <c:v>2.4660000000000002</c:v>
                </c:pt>
                <c:pt idx="280">
                  <c:v>-5.7380000000000004</c:v>
                </c:pt>
                <c:pt idx="281">
                  <c:v>-9.41</c:v>
                </c:pt>
                <c:pt idx="282">
                  <c:v>-4.6500000000000004</c:v>
                </c:pt>
                <c:pt idx="283">
                  <c:v>-1.617</c:v>
                </c:pt>
                <c:pt idx="284">
                  <c:v>0.28799999999999998</c:v>
                </c:pt>
                <c:pt idx="285">
                  <c:v>-0.746</c:v>
                </c:pt>
                <c:pt idx="286">
                  <c:v>-1.0449999999999999</c:v>
                </c:pt>
                <c:pt idx="287">
                  <c:v>-0.63200000000000001</c:v>
                </c:pt>
                <c:pt idx="288">
                  <c:v>1.17</c:v>
                </c:pt>
                <c:pt idx="289">
                  <c:v>-0.126</c:v>
                </c:pt>
                <c:pt idx="290">
                  <c:v>-2.1989999999999998</c:v>
                </c:pt>
                <c:pt idx="291">
                  <c:v>-2.7429999999999999</c:v>
                </c:pt>
                <c:pt idx="292">
                  <c:v>-3.367</c:v>
                </c:pt>
                <c:pt idx="293">
                  <c:v>-1.8</c:v>
                </c:pt>
                <c:pt idx="294">
                  <c:v>-0.13100000000000001</c:v>
                </c:pt>
                <c:pt idx="295">
                  <c:v>-2.2360000000000002</c:v>
                </c:pt>
                <c:pt idx="296">
                  <c:v>2.7250000000000001</c:v>
                </c:pt>
                <c:pt idx="297">
                  <c:v>0.35599999999999998</c:v>
                </c:pt>
                <c:pt idx="298">
                  <c:v>-5.6520000000000001</c:v>
                </c:pt>
                <c:pt idx="299">
                  <c:v>-6.399</c:v>
                </c:pt>
                <c:pt idx="300">
                  <c:v>-7.88</c:v>
                </c:pt>
                <c:pt idx="301">
                  <c:v>-10.23</c:v>
                </c:pt>
                <c:pt idx="302">
                  <c:v>-4.1749999999999998</c:v>
                </c:pt>
                <c:pt idx="303">
                  <c:v>-3.2330000000000001</c:v>
                </c:pt>
                <c:pt idx="304">
                  <c:v>-1.784</c:v>
                </c:pt>
                <c:pt idx="305">
                  <c:v>2.1680000000000001</c:v>
                </c:pt>
                <c:pt idx="306">
                  <c:v>0.60099999999999998</c:v>
                </c:pt>
                <c:pt idx="307">
                  <c:v>2.8929999999999998</c:v>
                </c:pt>
                <c:pt idx="308">
                  <c:v>1.0469999999999999</c:v>
                </c:pt>
                <c:pt idx="309">
                  <c:v>-2.2069999999999999</c:v>
                </c:pt>
                <c:pt idx="310">
                  <c:v>0.70899999999999996</c:v>
                </c:pt>
                <c:pt idx="311">
                  <c:v>4.8789999999999996</c:v>
                </c:pt>
                <c:pt idx="312">
                  <c:v>1.3640000000000001</c:v>
                </c:pt>
                <c:pt idx="313">
                  <c:v>-2.7850000000000001</c:v>
                </c:pt>
                <c:pt idx="314">
                  <c:v>-3.3660000000000001</c:v>
                </c:pt>
                <c:pt idx="315">
                  <c:v>-1.77</c:v>
                </c:pt>
                <c:pt idx="316">
                  <c:v>-1.4059999999999999</c:v>
                </c:pt>
                <c:pt idx="317">
                  <c:v>-2.0539999999999998</c:v>
                </c:pt>
                <c:pt idx="318">
                  <c:v>-1.6619999999999999</c:v>
                </c:pt>
                <c:pt idx="319">
                  <c:v>-2.8090000000000002</c:v>
                </c:pt>
                <c:pt idx="320">
                  <c:v>0.98</c:v>
                </c:pt>
                <c:pt idx="321">
                  <c:v>-0.88300000000000001</c:v>
                </c:pt>
                <c:pt idx="322">
                  <c:v>-4.2699999999999996</c:v>
                </c:pt>
                <c:pt idx="323">
                  <c:v>-6.6829999999999998</c:v>
                </c:pt>
                <c:pt idx="324">
                  <c:v>-0.626</c:v>
                </c:pt>
                <c:pt idx="325">
                  <c:v>-0.26100000000000001</c:v>
                </c:pt>
                <c:pt idx="326">
                  <c:v>-1.097</c:v>
                </c:pt>
                <c:pt idx="327">
                  <c:v>-4.2050000000000001</c:v>
                </c:pt>
                <c:pt idx="328">
                  <c:v>-8.19</c:v>
                </c:pt>
                <c:pt idx="329">
                  <c:v>-11.45</c:v>
                </c:pt>
                <c:pt idx="330">
                  <c:v>-12.9</c:v>
                </c:pt>
                <c:pt idx="331">
                  <c:v>-13.61</c:v>
                </c:pt>
                <c:pt idx="332">
                  <c:v>-10.98</c:v>
                </c:pt>
                <c:pt idx="333">
                  <c:v>-8.77</c:v>
                </c:pt>
                <c:pt idx="334">
                  <c:v>-10.08</c:v>
                </c:pt>
                <c:pt idx="335">
                  <c:v>-4.1360000000000001</c:v>
                </c:pt>
                <c:pt idx="336">
                  <c:v>-0.91</c:v>
                </c:pt>
                <c:pt idx="337">
                  <c:v>-2.9409999999999998</c:v>
                </c:pt>
                <c:pt idx="338">
                  <c:v>-4.8460000000000001</c:v>
                </c:pt>
                <c:pt idx="339">
                  <c:v>-2.605</c:v>
                </c:pt>
                <c:pt idx="340">
                  <c:v>-2.4660000000000002</c:v>
                </c:pt>
                <c:pt idx="341">
                  <c:v>-9.2100000000000009</c:v>
                </c:pt>
                <c:pt idx="342">
                  <c:v>-4.6360000000000001</c:v>
                </c:pt>
                <c:pt idx="343">
                  <c:v>-2.9670000000000001</c:v>
                </c:pt>
                <c:pt idx="344">
                  <c:v>-5.4290000000000003</c:v>
                </c:pt>
                <c:pt idx="345">
                  <c:v>-5.2519999999999998</c:v>
                </c:pt>
                <c:pt idx="346">
                  <c:v>-5.6130000000000004</c:v>
                </c:pt>
                <c:pt idx="347">
                  <c:v>-7.3570000000000002</c:v>
                </c:pt>
                <c:pt idx="348">
                  <c:v>-9.4700000000000006</c:v>
                </c:pt>
                <c:pt idx="349">
                  <c:v>-8.02</c:v>
                </c:pt>
                <c:pt idx="350">
                  <c:v>-7.681</c:v>
                </c:pt>
                <c:pt idx="351">
                  <c:v>-8.58</c:v>
                </c:pt>
                <c:pt idx="352">
                  <c:v>-8.16</c:v>
                </c:pt>
                <c:pt idx="353">
                  <c:v>-2.323</c:v>
                </c:pt>
                <c:pt idx="354">
                  <c:v>-2.9079999999999999</c:v>
                </c:pt>
                <c:pt idx="355">
                  <c:v>-6.25</c:v>
                </c:pt>
                <c:pt idx="356">
                  <c:v>-6.1660000000000004</c:v>
                </c:pt>
                <c:pt idx="357">
                  <c:v>-7.7590000000000003</c:v>
                </c:pt>
                <c:pt idx="358">
                  <c:v>-8.8699999999999992</c:v>
                </c:pt>
                <c:pt idx="359">
                  <c:v>-10.51</c:v>
                </c:pt>
                <c:pt idx="360">
                  <c:v>-8.9</c:v>
                </c:pt>
                <c:pt idx="361">
                  <c:v>-5.8010000000000002</c:v>
                </c:pt>
                <c:pt idx="362">
                  <c:v>-3.609</c:v>
                </c:pt>
                <c:pt idx="363">
                  <c:v>-3.573</c:v>
                </c:pt>
                <c:pt idx="364">
                  <c:v>-3.621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59808"/>
        <c:axId val="148476288"/>
      </c:lineChart>
      <c:catAx>
        <c:axId val="1483598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762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4762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598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778354445215597"/>
          <c:y val="0.16670176213182336"/>
          <c:w val="0.10723834388590656"/>
          <c:h val="0.175127070045855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1574874053155"/>
          <c:y val="0.12859737254280573"/>
          <c:w val="0.82368451362379891"/>
          <c:h val="0.7602597324018207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95.1</c:v>
                </c:pt>
                <c:pt idx="1">
                  <c:v>94.9</c:v>
                </c:pt>
                <c:pt idx="2">
                  <c:v>96</c:v>
                </c:pt>
                <c:pt idx="3">
                  <c:v>95.1</c:v>
                </c:pt>
                <c:pt idx="4">
                  <c:v>94</c:v>
                </c:pt>
                <c:pt idx="5">
                  <c:v>93.8</c:v>
                </c:pt>
                <c:pt idx="6">
                  <c:v>91.5</c:v>
                </c:pt>
                <c:pt idx="7">
                  <c:v>91.1</c:v>
                </c:pt>
                <c:pt idx="8">
                  <c:v>95.6</c:v>
                </c:pt>
                <c:pt idx="9">
                  <c:v>95.8</c:v>
                </c:pt>
                <c:pt idx="10">
                  <c:v>94.6</c:v>
                </c:pt>
                <c:pt idx="11">
                  <c:v>94</c:v>
                </c:pt>
                <c:pt idx="12">
                  <c:v>93.7</c:v>
                </c:pt>
                <c:pt idx="13">
                  <c:v>83.2</c:v>
                </c:pt>
                <c:pt idx="14">
                  <c:v>84.9</c:v>
                </c:pt>
                <c:pt idx="15">
                  <c:v>93.3</c:v>
                </c:pt>
                <c:pt idx="16">
                  <c:v>94.3</c:v>
                </c:pt>
                <c:pt idx="17">
                  <c:v>94.2</c:v>
                </c:pt>
                <c:pt idx="18">
                  <c:v>94.2</c:v>
                </c:pt>
                <c:pt idx="19">
                  <c:v>92.8</c:v>
                </c:pt>
                <c:pt idx="20">
                  <c:v>90.9</c:v>
                </c:pt>
                <c:pt idx="21">
                  <c:v>92.6</c:v>
                </c:pt>
                <c:pt idx="22">
                  <c:v>92.7</c:v>
                </c:pt>
                <c:pt idx="23">
                  <c:v>92.2</c:v>
                </c:pt>
                <c:pt idx="24">
                  <c:v>91.2</c:v>
                </c:pt>
                <c:pt idx="25">
                  <c:v>91.5</c:v>
                </c:pt>
                <c:pt idx="26">
                  <c:v>87.8</c:v>
                </c:pt>
                <c:pt idx="27">
                  <c:v>86.5</c:v>
                </c:pt>
                <c:pt idx="28">
                  <c:v>61.7</c:v>
                </c:pt>
                <c:pt idx="29">
                  <c:v>83.3</c:v>
                </c:pt>
                <c:pt idx="30">
                  <c:v>84.6</c:v>
                </c:pt>
                <c:pt idx="31">
                  <c:v>96.1</c:v>
                </c:pt>
                <c:pt idx="32">
                  <c:v>95.1</c:v>
                </c:pt>
                <c:pt idx="33">
                  <c:v>93.3</c:v>
                </c:pt>
                <c:pt idx="34">
                  <c:v>79.900000000000006</c:v>
                </c:pt>
                <c:pt idx="35">
                  <c:v>79</c:v>
                </c:pt>
                <c:pt idx="36">
                  <c:v>80.2</c:v>
                </c:pt>
                <c:pt idx="37">
                  <c:v>88.8</c:v>
                </c:pt>
                <c:pt idx="38">
                  <c:v>88</c:v>
                </c:pt>
                <c:pt idx="39">
                  <c:v>79.900000000000006</c:v>
                </c:pt>
                <c:pt idx="40">
                  <c:v>84.8</c:v>
                </c:pt>
                <c:pt idx="41">
                  <c:v>84.2</c:v>
                </c:pt>
                <c:pt idx="42">
                  <c:v>88.8</c:v>
                </c:pt>
                <c:pt idx="43">
                  <c:v>89.9</c:v>
                </c:pt>
                <c:pt idx="44">
                  <c:v>91.4</c:v>
                </c:pt>
                <c:pt idx="45">
                  <c:v>92</c:v>
                </c:pt>
                <c:pt idx="46">
                  <c:v>91.5</c:v>
                </c:pt>
                <c:pt idx="47">
                  <c:v>91.1</c:v>
                </c:pt>
                <c:pt idx="48">
                  <c:v>87.9</c:v>
                </c:pt>
                <c:pt idx="49">
                  <c:v>89.8</c:v>
                </c:pt>
                <c:pt idx="50">
                  <c:v>88.3</c:v>
                </c:pt>
                <c:pt idx="51">
                  <c:v>88.4</c:v>
                </c:pt>
                <c:pt idx="52">
                  <c:v>88.1</c:v>
                </c:pt>
                <c:pt idx="53">
                  <c:v>88.8</c:v>
                </c:pt>
                <c:pt idx="54">
                  <c:v>87.4</c:v>
                </c:pt>
                <c:pt idx="55">
                  <c:v>84.9</c:v>
                </c:pt>
                <c:pt idx="56">
                  <c:v>83.6</c:v>
                </c:pt>
                <c:pt idx="57">
                  <c:v>90.1</c:v>
                </c:pt>
                <c:pt idx="58">
                  <c:v>89.3</c:v>
                </c:pt>
                <c:pt idx="59">
                  <c:v>88.3</c:v>
                </c:pt>
                <c:pt idx="60">
                  <c:v>86.3</c:v>
                </c:pt>
                <c:pt idx="61">
                  <c:v>82.7</c:v>
                </c:pt>
                <c:pt idx="62">
                  <c:v>81.8</c:v>
                </c:pt>
                <c:pt idx="63">
                  <c:v>90</c:v>
                </c:pt>
                <c:pt idx="64">
                  <c:v>91.8</c:v>
                </c:pt>
                <c:pt idx="65">
                  <c:v>93.1</c:v>
                </c:pt>
                <c:pt idx="66">
                  <c:v>87.4</c:v>
                </c:pt>
                <c:pt idx="67">
                  <c:v>87.7</c:v>
                </c:pt>
                <c:pt idx="68">
                  <c:v>87.4</c:v>
                </c:pt>
                <c:pt idx="69">
                  <c:v>88.7</c:v>
                </c:pt>
                <c:pt idx="70">
                  <c:v>92</c:v>
                </c:pt>
                <c:pt idx="71">
                  <c:v>87.7</c:v>
                </c:pt>
                <c:pt idx="72">
                  <c:v>85.5</c:v>
                </c:pt>
                <c:pt idx="73">
                  <c:v>88.6</c:v>
                </c:pt>
                <c:pt idx="74">
                  <c:v>88.3</c:v>
                </c:pt>
                <c:pt idx="75">
                  <c:v>78.900000000000006</c:v>
                </c:pt>
                <c:pt idx="76">
                  <c:v>65.5</c:v>
                </c:pt>
                <c:pt idx="77">
                  <c:v>51.7</c:v>
                </c:pt>
                <c:pt idx="78">
                  <c:v>54.5</c:v>
                </c:pt>
                <c:pt idx="79">
                  <c:v>45.3</c:v>
                </c:pt>
                <c:pt idx="80">
                  <c:v>92.5</c:v>
                </c:pt>
                <c:pt idx="81">
                  <c:v>95.6</c:v>
                </c:pt>
                <c:pt idx="82">
                  <c:v>96.3</c:v>
                </c:pt>
                <c:pt idx="83">
                  <c:v>96.3</c:v>
                </c:pt>
                <c:pt idx="84">
                  <c:v>95.8</c:v>
                </c:pt>
                <c:pt idx="85">
                  <c:v>88.7</c:v>
                </c:pt>
                <c:pt idx="86">
                  <c:v>79.599999999999994</c:v>
                </c:pt>
                <c:pt idx="87">
                  <c:v>68.7</c:v>
                </c:pt>
                <c:pt idx="88">
                  <c:v>65.900000000000006</c:v>
                </c:pt>
                <c:pt idx="89">
                  <c:v>93.8</c:v>
                </c:pt>
                <c:pt idx="90">
                  <c:v>79.8</c:v>
                </c:pt>
                <c:pt idx="91">
                  <c:v>63.7</c:v>
                </c:pt>
                <c:pt idx="92">
                  <c:v>96.8</c:v>
                </c:pt>
                <c:pt idx="93">
                  <c:v>89.9</c:v>
                </c:pt>
                <c:pt idx="94">
                  <c:v>96.7</c:v>
                </c:pt>
                <c:pt idx="95">
                  <c:v>94.7</c:v>
                </c:pt>
                <c:pt idx="96">
                  <c:v>94.7</c:v>
                </c:pt>
                <c:pt idx="97">
                  <c:v>95.9</c:v>
                </c:pt>
                <c:pt idx="98">
                  <c:v>96.2</c:v>
                </c:pt>
                <c:pt idx="99">
                  <c:v>94.4</c:v>
                </c:pt>
                <c:pt idx="100">
                  <c:v>93.1</c:v>
                </c:pt>
                <c:pt idx="101">
                  <c:v>91</c:v>
                </c:pt>
                <c:pt idx="102">
                  <c:v>96</c:v>
                </c:pt>
                <c:pt idx="103">
                  <c:v>86.4</c:v>
                </c:pt>
                <c:pt idx="104">
                  <c:v>91.2</c:v>
                </c:pt>
                <c:pt idx="105">
                  <c:v>83.8</c:v>
                </c:pt>
                <c:pt idx="106">
                  <c:v>86.7</c:v>
                </c:pt>
                <c:pt idx="107">
                  <c:v>97.7</c:v>
                </c:pt>
                <c:pt idx="108">
                  <c:v>97.8</c:v>
                </c:pt>
                <c:pt idx="109">
                  <c:v>96.4</c:v>
                </c:pt>
                <c:pt idx="110">
                  <c:v>56.8</c:v>
                </c:pt>
                <c:pt idx="111">
                  <c:v>85.3</c:v>
                </c:pt>
                <c:pt idx="112">
                  <c:v>86.9</c:v>
                </c:pt>
                <c:pt idx="113">
                  <c:v>82.9</c:v>
                </c:pt>
                <c:pt idx="114">
                  <c:v>64.7</c:v>
                </c:pt>
                <c:pt idx="115">
                  <c:v>79.400000000000006</c:v>
                </c:pt>
                <c:pt idx="116">
                  <c:v>92.7</c:v>
                </c:pt>
                <c:pt idx="117">
                  <c:v>92.5</c:v>
                </c:pt>
                <c:pt idx="118">
                  <c:v>89.7</c:v>
                </c:pt>
                <c:pt idx="119">
                  <c:v>76.5</c:v>
                </c:pt>
                <c:pt idx="120">
                  <c:v>84.8</c:v>
                </c:pt>
                <c:pt idx="121">
                  <c:v>92.5</c:v>
                </c:pt>
                <c:pt idx="122">
                  <c:v>85.9</c:v>
                </c:pt>
                <c:pt idx="123">
                  <c:v>78.099999999999994</c:v>
                </c:pt>
                <c:pt idx="124">
                  <c:v>80.8</c:v>
                </c:pt>
                <c:pt idx="125">
                  <c:v>76.099999999999994</c:v>
                </c:pt>
                <c:pt idx="126">
                  <c:v>80.3</c:v>
                </c:pt>
                <c:pt idx="127">
                  <c:v>68.8</c:v>
                </c:pt>
                <c:pt idx="128">
                  <c:v>59.9</c:v>
                </c:pt>
                <c:pt idx="129">
                  <c:v>56.6</c:v>
                </c:pt>
                <c:pt idx="130">
                  <c:v>60.3</c:v>
                </c:pt>
                <c:pt idx="131">
                  <c:v>57.9</c:v>
                </c:pt>
                <c:pt idx="132">
                  <c:v>56.4</c:v>
                </c:pt>
                <c:pt idx="133">
                  <c:v>96.9</c:v>
                </c:pt>
                <c:pt idx="134">
                  <c:v>94.5</c:v>
                </c:pt>
                <c:pt idx="135">
                  <c:v>98.2</c:v>
                </c:pt>
                <c:pt idx="136">
                  <c:v>97.8</c:v>
                </c:pt>
                <c:pt idx="137">
                  <c:v>97</c:v>
                </c:pt>
                <c:pt idx="138">
                  <c:v>95.6</c:v>
                </c:pt>
                <c:pt idx="139">
                  <c:v>94.5</c:v>
                </c:pt>
                <c:pt idx="140">
                  <c:v>76.099999999999994</c:v>
                </c:pt>
                <c:pt idx="141">
                  <c:v>72</c:v>
                </c:pt>
                <c:pt idx="142">
                  <c:v>84.5</c:v>
                </c:pt>
                <c:pt idx="143">
                  <c:v>96.8</c:v>
                </c:pt>
                <c:pt idx="144">
                  <c:v>97.4</c:v>
                </c:pt>
                <c:pt idx="145">
                  <c:v>95.1</c:v>
                </c:pt>
                <c:pt idx="146">
                  <c:v>70.7</c:v>
                </c:pt>
                <c:pt idx="147">
                  <c:v>60.2</c:v>
                </c:pt>
                <c:pt idx="148">
                  <c:v>55.5</c:v>
                </c:pt>
                <c:pt idx="149">
                  <c:v>91.4</c:v>
                </c:pt>
                <c:pt idx="150">
                  <c:v>96</c:v>
                </c:pt>
                <c:pt idx="151">
                  <c:v>59</c:v>
                </c:pt>
                <c:pt idx="152">
                  <c:v>70</c:v>
                </c:pt>
                <c:pt idx="153">
                  <c:v>79.400000000000006</c:v>
                </c:pt>
                <c:pt idx="154">
                  <c:v>71.7</c:v>
                </c:pt>
                <c:pt idx="155">
                  <c:v>96.2</c:v>
                </c:pt>
                <c:pt idx="156">
                  <c:v>96</c:v>
                </c:pt>
                <c:pt idx="157">
                  <c:v>96.3</c:v>
                </c:pt>
                <c:pt idx="158">
                  <c:v>97.2</c:v>
                </c:pt>
                <c:pt idx="159">
                  <c:v>88.2</c:v>
                </c:pt>
                <c:pt idx="160">
                  <c:v>84.4</c:v>
                </c:pt>
                <c:pt idx="161">
                  <c:v>86.7</c:v>
                </c:pt>
                <c:pt idx="162">
                  <c:v>77.099999999999994</c:v>
                </c:pt>
                <c:pt idx="163">
                  <c:v>64.3</c:v>
                </c:pt>
                <c:pt idx="164">
                  <c:v>70.7</c:v>
                </c:pt>
                <c:pt idx="165">
                  <c:v>69.3</c:v>
                </c:pt>
                <c:pt idx="166">
                  <c:v>70.5</c:v>
                </c:pt>
                <c:pt idx="167">
                  <c:v>76.5</c:v>
                </c:pt>
                <c:pt idx="168">
                  <c:v>84.2</c:v>
                </c:pt>
                <c:pt idx="169">
                  <c:v>96.6</c:v>
                </c:pt>
                <c:pt idx="170">
                  <c:v>97.2</c:v>
                </c:pt>
                <c:pt idx="171">
                  <c:v>97.9</c:v>
                </c:pt>
                <c:pt idx="172">
                  <c:v>92</c:v>
                </c:pt>
                <c:pt idx="173">
                  <c:v>97.7</c:v>
                </c:pt>
                <c:pt idx="174">
                  <c:v>97.4</c:v>
                </c:pt>
                <c:pt idx="175">
                  <c:v>91.8</c:v>
                </c:pt>
                <c:pt idx="176">
                  <c:v>95.2</c:v>
                </c:pt>
                <c:pt idx="177">
                  <c:v>96.9</c:v>
                </c:pt>
                <c:pt idx="178">
                  <c:v>97.5</c:v>
                </c:pt>
                <c:pt idx="179">
                  <c:v>92.3</c:v>
                </c:pt>
                <c:pt idx="180">
                  <c:v>82.4</c:v>
                </c:pt>
                <c:pt idx="181">
                  <c:v>78.2</c:v>
                </c:pt>
                <c:pt idx="182">
                  <c:v>93.4</c:v>
                </c:pt>
                <c:pt idx="183">
                  <c:v>86.7</c:v>
                </c:pt>
                <c:pt idx="184">
                  <c:v>93.9</c:v>
                </c:pt>
                <c:pt idx="185">
                  <c:v>97.6</c:v>
                </c:pt>
                <c:pt idx="186">
                  <c:v>97.4</c:v>
                </c:pt>
                <c:pt idx="187">
                  <c:v>92.9</c:v>
                </c:pt>
                <c:pt idx="188">
                  <c:v>95.5</c:v>
                </c:pt>
                <c:pt idx="189">
                  <c:v>82.8</c:v>
                </c:pt>
                <c:pt idx="190">
                  <c:v>96.6</c:v>
                </c:pt>
                <c:pt idx="191">
                  <c:v>96.1</c:v>
                </c:pt>
                <c:pt idx="192">
                  <c:v>88.8</c:v>
                </c:pt>
                <c:pt idx="193">
                  <c:v>78.099999999999994</c:v>
                </c:pt>
                <c:pt idx="194">
                  <c:v>74.900000000000006</c:v>
                </c:pt>
                <c:pt idx="195">
                  <c:v>92</c:v>
                </c:pt>
                <c:pt idx="196">
                  <c:v>97.2</c:v>
                </c:pt>
                <c:pt idx="197">
                  <c:v>97.9</c:v>
                </c:pt>
                <c:pt idx="198">
                  <c:v>93.9</c:v>
                </c:pt>
                <c:pt idx="199">
                  <c:v>96.4</c:v>
                </c:pt>
                <c:pt idx="200">
                  <c:v>94.8</c:v>
                </c:pt>
                <c:pt idx="201">
                  <c:v>87.1</c:v>
                </c:pt>
                <c:pt idx="202">
                  <c:v>88.4</c:v>
                </c:pt>
                <c:pt idx="203">
                  <c:v>93.9</c:v>
                </c:pt>
                <c:pt idx="204">
                  <c:v>95</c:v>
                </c:pt>
                <c:pt idx="205">
                  <c:v>76.8</c:v>
                </c:pt>
                <c:pt idx="206">
                  <c:v>72.2</c:v>
                </c:pt>
                <c:pt idx="207">
                  <c:v>89.2</c:v>
                </c:pt>
                <c:pt idx="208">
                  <c:v>93.2</c:v>
                </c:pt>
                <c:pt idx="209">
                  <c:v>65.3</c:v>
                </c:pt>
                <c:pt idx="210">
                  <c:v>71</c:v>
                </c:pt>
                <c:pt idx="211">
                  <c:v>79</c:v>
                </c:pt>
                <c:pt idx="212">
                  <c:v>82.8</c:v>
                </c:pt>
                <c:pt idx="213">
                  <c:v>62.8</c:v>
                </c:pt>
                <c:pt idx="214">
                  <c:v>85.5</c:v>
                </c:pt>
                <c:pt idx="215">
                  <c:v>81.3</c:v>
                </c:pt>
                <c:pt idx="216">
                  <c:v>61.6</c:v>
                </c:pt>
                <c:pt idx="217">
                  <c:v>59.1</c:v>
                </c:pt>
                <c:pt idx="218">
                  <c:v>44.8</c:v>
                </c:pt>
                <c:pt idx="219">
                  <c:v>46.8</c:v>
                </c:pt>
                <c:pt idx="220">
                  <c:v>70</c:v>
                </c:pt>
                <c:pt idx="221">
                  <c:v>96.5</c:v>
                </c:pt>
                <c:pt idx="222">
                  <c:v>97.9</c:v>
                </c:pt>
                <c:pt idx="223">
                  <c:v>97.4</c:v>
                </c:pt>
                <c:pt idx="224">
                  <c:v>95.5</c:v>
                </c:pt>
                <c:pt idx="225">
                  <c:v>84.9</c:v>
                </c:pt>
                <c:pt idx="226">
                  <c:v>81.8</c:v>
                </c:pt>
                <c:pt idx="227">
                  <c:v>93.1</c:v>
                </c:pt>
                <c:pt idx="228">
                  <c:v>92.8</c:v>
                </c:pt>
                <c:pt idx="229">
                  <c:v>91.5</c:v>
                </c:pt>
                <c:pt idx="230">
                  <c:v>65.5</c:v>
                </c:pt>
                <c:pt idx="231">
                  <c:v>52.6</c:v>
                </c:pt>
                <c:pt idx="232">
                  <c:v>93.4</c:v>
                </c:pt>
                <c:pt idx="233">
                  <c:v>87.5</c:v>
                </c:pt>
                <c:pt idx="234">
                  <c:v>95.5</c:v>
                </c:pt>
                <c:pt idx="235">
                  <c:v>85.4</c:v>
                </c:pt>
                <c:pt idx="236">
                  <c:v>97.4</c:v>
                </c:pt>
                <c:pt idx="237">
                  <c:v>96.6</c:v>
                </c:pt>
                <c:pt idx="238">
                  <c:v>73.900000000000006</c:v>
                </c:pt>
                <c:pt idx="239">
                  <c:v>66.2</c:v>
                </c:pt>
                <c:pt idx="240">
                  <c:v>64.5</c:v>
                </c:pt>
                <c:pt idx="241">
                  <c:v>83.9</c:v>
                </c:pt>
                <c:pt idx="242">
                  <c:v>91.7</c:v>
                </c:pt>
                <c:pt idx="243">
                  <c:v>87.1</c:v>
                </c:pt>
                <c:pt idx="244">
                  <c:v>88</c:v>
                </c:pt>
                <c:pt idx="245">
                  <c:v>96</c:v>
                </c:pt>
                <c:pt idx="246">
                  <c:v>96.2</c:v>
                </c:pt>
                <c:pt idx="247">
                  <c:v>73.3</c:v>
                </c:pt>
                <c:pt idx="248">
                  <c:v>83</c:v>
                </c:pt>
                <c:pt idx="249">
                  <c:v>90.9</c:v>
                </c:pt>
                <c:pt idx="250">
                  <c:v>96.8</c:v>
                </c:pt>
                <c:pt idx="251">
                  <c:v>96.7</c:v>
                </c:pt>
                <c:pt idx="252">
                  <c:v>97.2</c:v>
                </c:pt>
                <c:pt idx="253">
                  <c:v>96.9</c:v>
                </c:pt>
                <c:pt idx="254">
                  <c:v>95.6</c:v>
                </c:pt>
                <c:pt idx="255">
                  <c:v>95</c:v>
                </c:pt>
                <c:pt idx="256">
                  <c:v>97.5</c:v>
                </c:pt>
                <c:pt idx="257">
                  <c:v>97.9</c:v>
                </c:pt>
                <c:pt idx="258">
                  <c:v>96.9</c:v>
                </c:pt>
                <c:pt idx="259">
                  <c:v>97.5</c:v>
                </c:pt>
                <c:pt idx="260">
                  <c:v>97.9</c:v>
                </c:pt>
                <c:pt idx="261">
                  <c:v>97</c:v>
                </c:pt>
                <c:pt idx="262">
                  <c:v>97.8</c:v>
                </c:pt>
                <c:pt idx="263">
                  <c:v>96.1</c:v>
                </c:pt>
                <c:pt idx="264">
                  <c:v>97.9</c:v>
                </c:pt>
                <c:pt idx="265">
                  <c:v>97.9</c:v>
                </c:pt>
                <c:pt idx="266">
                  <c:v>93.6</c:v>
                </c:pt>
                <c:pt idx="267">
                  <c:v>92.3</c:v>
                </c:pt>
                <c:pt idx="268">
                  <c:v>97.7</c:v>
                </c:pt>
                <c:pt idx="269">
                  <c:v>95.5</c:v>
                </c:pt>
                <c:pt idx="270">
                  <c:v>95.3</c:v>
                </c:pt>
                <c:pt idx="271">
                  <c:v>91.9</c:v>
                </c:pt>
                <c:pt idx="272">
                  <c:v>91.6</c:v>
                </c:pt>
                <c:pt idx="273">
                  <c:v>92.4</c:v>
                </c:pt>
                <c:pt idx="274">
                  <c:v>93.1</c:v>
                </c:pt>
                <c:pt idx="275">
                  <c:v>96.4</c:v>
                </c:pt>
                <c:pt idx="276">
                  <c:v>96.7</c:v>
                </c:pt>
                <c:pt idx="277">
                  <c:v>96.6</c:v>
                </c:pt>
                <c:pt idx="278">
                  <c:v>90</c:v>
                </c:pt>
                <c:pt idx="279">
                  <c:v>97.6</c:v>
                </c:pt>
                <c:pt idx="280">
                  <c:v>93.9</c:v>
                </c:pt>
                <c:pt idx="281">
                  <c:v>90</c:v>
                </c:pt>
                <c:pt idx="282">
                  <c:v>83.2</c:v>
                </c:pt>
                <c:pt idx="283">
                  <c:v>62.3</c:v>
                </c:pt>
                <c:pt idx="284">
                  <c:v>66.2</c:v>
                </c:pt>
                <c:pt idx="285">
                  <c:v>96.6</c:v>
                </c:pt>
                <c:pt idx="286">
                  <c:v>95.7</c:v>
                </c:pt>
                <c:pt idx="287">
                  <c:v>88.3</c:v>
                </c:pt>
                <c:pt idx="288">
                  <c:v>96.4</c:v>
                </c:pt>
                <c:pt idx="289">
                  <c:v>96.6</c:v>
                </c:pt>
                <c:pt idx="290">
                  <c:v>95.3</c:v>
                </c:pt>
                <c:pt idx="291">
                  <c:v>94.6</c:v>
                </c:pt>
                <c:pt idx="292">
                  <c:v>94.8</c:v>
                </c:pt>
                <c:pt idx="293">
                  <c:v>96.7</c:v>
                </c:pt>
                <c:pt idx="294">
                  <c:v>97.3</c:v>
                </c:pt>
                <c:pt idx="295">
                  <c:v>90.9</c:v>
                </c:pt>
                <c:pt idx="296">
                  <c:v>93.1</c:v>
                </c:pt>
                <c:pt idx="297">
                  <c:v>96</c:v>
                </c:pt>
                <c:pt idx="298">
                  <c:v>93</c:v>
                </c:pt>
                <c:pt idx="299">
                  <c:v>88.4</c:v>
                </c:pt>
                <c:pt idx="300">
                  <c:v>92</c:v>
                </c:pt>
                <c:pt idx="301">
                  <c:v>64.7</c:v>
                </c:pt>
                <c:pt idx="302">
                  <c:v>53.9</c:v>
                </c:pt>
                <c:pt idx="303">
                  <c:v>82.8</c:v>
                </c:pt>
                <c:pt idx="304">
                  <c:v>87.7</c:v>
                </c:pt>
                <c:pt idx="305">
                  <c:v>93.6</c:v>
                </c:pt>
                <c:pt idx="306">
                  <c:v>95.5</c:v>
                </c:pt>
                <c:pt idx="307">
                  <c:v>97.2</c:v>
                </c:pt>
                <c:pt idx="308">
                  <c:v>92.2</c:v>
                </c:pt>
                <c:pt idx="309">
                  <c:v>95.5</c:v>
                </c:pt>
                <c:pt idx="310">
                  <c:v>81</c:v>
                </c:pt>
                <c:pt idx="311">
                  <c:v>67.5</c:v>
                </c:pt>
                <c:pt idx="312">
                  <c:v>95.7</c:v>
                </c:pt>
                <c:pt idx="313">
                  <c:v>96.5</c:v>
                </c:pt>
                <c:pt idx="314">
                  <c:v>84.8</c:v>
                </c:pt>
                <c:pt idx="315">
                  <c:v>96.3</c:v>
                </c:pt>
                <c:pt idx="316">
                  <c:v>95.6</c:v>
                </c:pt>
                <c:pt idx="317">
                  <c:v>96.2</c:v>
                </c:pt>
                <c:pt idx="318">
                  <c:v>96.7</c:v>
                </c:pt>
                <c:pt idx="319">
                  <c:v>96</c:v>
                </c:pt>
                <c:pt idx="320">
                  <c:v>97.9</c:v>
                </c:pt>
                <c:pt idx="321">
                  <c:v>95.8</c:v>
                </c:pt>
                <c:pt idx="322">
                  <c:v>95.4</c:v>
                </c:pt>
                <c:pt idx="323">
                  <c:v>93</c:v>
                </c:pt>
                <c:pt idx="324">
                  <c:v>92.4</c:v>
                </c:pt>
                <c:pt idx="325">
                  <c:v>66.8</c:v>
                </c:pt>
                <c:pt idx="326">
                  <c:v>89.8</c:v>
                </c:pt>
                <c:pt idx="327">
                  <c:v>96</c:v>
                </c:pt>
                <c:pt idx="328">
                  <c:v>92.1</c:v>
                </c:pt>
                <c:pt idx="329">
                  <c:v>88.1</c:v>
                </c:pt>
                <c:pt idx="330">
                  <c:v>84.7</c:v>
                </c:pt>
                <c:pt idx="331">
                  <c:v>80.8</c:v>
                </c:pt>
                <c:pt idx="332">
                  <c:v>80.8</c:v>
                </c:pt>
                <c:pt idx="333">
                  <c:v>86.4</c:v>
                </c:pt>
                <c:pt idx="334">
                  <c:v>91.7</c:v>
                </c:pt>
                <c:pt idx="335">
                  <c:v>95.2</c:v>
                </c:pt>
                <c:pt idx="336">
                  <c:v>95.4</c:v>
                </c:pt>
                <c:pt idx="337">
                  <c:v>95.5</c:v>
                </c:pt>
                <c:pt idx="338">
                  <c:v>95.4</c:v>
                </c:pt>
                <c:pt idx="339">
                  <c:v>95.4</c:v>
                </c:pt>
                <c:pt idx="340">
                  <c:v>95.6</c:v>
                </c:pt>
                <c:pt idx="341">
                  <c:v>93.9</c:v>
                </c:pt>
                <c:pt idx="342">
                  <c:v>86</c:v>
                </c:pt>
                <c:pt idx="343">
                  <c:v>94.6</c:v>
                </c:pt>
                <c:pt idx="344">
                  <c:v>94.8</c:v>
                </c:pt>
                <c:pt idx="345">
                  <c:v>93.4</c:v>
                </c:pt>
                <c:pt idx="346">
                  <c:v>93.1</c:v>
                </c:pt>
                <c:pt idx="347">
                  <c:v>92.2</c:v>
                </c:pt>
                <c:pt idx="348">
                  <c:v>90.3</c:v>
                </c:pt>
                <c:pt idx="349">
                  <c:v>93.4</c:v>
                </c:pt>
                <c:pt idx="350">
                  <c:v>93.4</c:v>
                </c:pt>
                <c:pt idx="351">
                  <c:v>91.5</c:v>
                </c:pt>
                <c:pt idx="352">
                  <c:v>93.1</c:v>
                </c:pt>
                <c:pt idx="353">
                  <c:v>96.5</c:v>
                </c:pt>
                <c:pt idx="354">
                  <c:v>96.7</c:v>
                </c:pt>
                <c:pt idx="355">
                  <c:v>92.8</c:v>
                </c:pt>
                <c:pt idx="356">
                  <c:v>92.4</c:v>
                </c:pt>
                <c:pt idx="357">
                  <c:v>91.8</c:v>
                </c:pt>
                <c:pt idx="358">
                  <c:v>92.5</c:v>
                </c:pt>
                <c:pt idx="359">
                  <c:v>91.2</c:v>
                </c:pt>
                <c:pt idx="360">
                  <c:v>91.5</c:v>
                </c:pt>
                <c:pt idx="361">
                  <c:v>95</c:v>
                </c:pt>
                <c:pt idx="362">
                  <c:v>94.7</c:v>
                </c:pt>
                <c:pt idx="363">
                  <c:v>95.5</c:v>
                </c:pt>
                <c:pt idx="364">
                  <c:v>95.7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Data!$AP$6:$AP$370</c:f>
              <c:numCache>
                <c:formatCode>General</c:formatCode>
                <c:ptCount val="365"/>
                <c:pt idx="0">
                  <c:v>77.3</c:v>
                </c:pt>
                <c:pt idx="1">
                  <c:v>87.3</c:v>
                </c:pt>
                <c:pt idx="2">
                  <c:v>91.3</c:v>
                </c:pt>
                <c:pt idx="3">
                  <c:v>88.8</c:v>
                </c:pt>
                <c:pt idx="4">
                  <c:v>92.3</c:v>
                </c:pt>
                <c:pt idx="5">
                  <c:v>84.8</c:v>
                </c:pt>
                <c:pt idx="6">
                  <c:v>74.099999999999994</c:v>
                </c:pt>
                <c:pt idx="7">
                  <c:v>73.8</c:v>
                </c:pt>
                <c:pt idx="8">
                  <c:v>90.5</c:v>
                </c:pt>
                <c:pt idx="9">
                  <c:v>92.9</c:v>
                </c:pt>
                <c:pt idx="10">
                  <c:v>92.5</c:v>
                </c:pt>
                <c:pt idx="11">
                  <c:v>91.7</c:v>
                </c:pt>
                <c:pt idx="12">
                  <c:v>81.900000000000006</c:v>
                </c:pt>
                <c:pt idx="13">
                  <c:v>35.299999999999997</c:v>
                </c:pt>
                <c:pt idx="14">
                  <c:v>49.9</c:v>
                </c:pt>
                <c:pt idx="15">
                  <c:v>80.400000000000006</c:v>
                </c:pt>
                <c:pt idx="16">
                  <c:v>92.2</c:v>
                </c:pt>
                <c:pt idx="17">
                  <c:v>90.2</c:v>
                </c:pt>
                <c:pt idx="18">
                  <c:v>85.2</c:v>
                </c:pt>
                <c:pt idx="19">
                  <c:v>81.599999999999994</c:v>
                </c:pt>
                <c:pt idx="20">
                  <c:v>79.900000000000006</c:v>
                </c:pt>
                <c:pt idx="21">
                  <c:v>85.3</c:v>
                </c:pt>
                <c:pt idx="22">
                  <c:v>89.4</c:v>
                </c:pt>
                <c:pt idx="23">
                  <c:v>68.5</c:v>
                </c:pt>
                <c:pt idx="24">
                  <c:v>67.2</c:v>
                </c:pt>
                <c:pt idx="25">
                  <c:v>56.8</c:v>
                </c:pt>
                <c:pt idx="26">
                  <c:v>59.7</c:v>
                </c:pt>
                <c:pt idx="27">
                  <c:v>38.5</c:v>
                </c:pt>
                <c:pt idx="28">
                  <c:v>8.1</c:v>
                </c:pt>
                <c:pt idx="29">
                  <c:v>15.3</c:v>
                </c:pt>
                <c:pt idx="30">
                  <c:v>56</c:v>
                </c:pt>
                <c:pt idx="31">
                  <c:v>71.900000000000006</c:v>
                </c:pt>
                <c:pt idx="32">
                  <c:v>63</c:v>
                </c:pt>
                <c:pt idx="33">
                  <c:v>64.3</c:v>
                </c:pt>
                <c:pt idx="34">
                  <c:v>73.7</c:v>
                </c:pt>
                <c:pt idx="35">
                  <c:v>42.6</c:v>
                </c:pt>
                <c:pt idx="36">
                  <c:v>55</c:v>
                </c:pt>
                <c:pt idx="37">
                  <c:v>37.200000000000003</c:v>
                </c:pt>
                <c:pt idx="38">
                  <c:v>79.099999999999994</c:v>
                </c:pt>
                <c:pt idx="39">
                  <c:v>76.400000000000006</c:v>
                </c:pt>
                <c:pt idx="40">
                  <c:v>74.400000000000006</c:v>
                </c:pt>
                <c:pt idx="41">
                  <c:v>76.2</c:v>
                </c:pt>
                <c:pt idx="42">
                  <c:v>83.4</c:v>
                </c:pt>
                <c:pt idx="43">
                  <c:v>81.8</c:v>
                </c:pt>
                <c:pt idx="44">
                  <c:v>83</c:v>
                </c:pt>
                <c:pt idx="45">
                  <c:v>89.1</c:v>
                </c:pt>
                <c:pt idx="46">
                  <c:v>86.6</c:v>
                </c:pt>
                <c:pt idx="47">
                  <c:v>82.2</c:v>
                </c:pt>
                <c:pt idx="48">
                  <c:v>80.599999999999994</c:v>
                </c:pt>
                <c:pt idx="49">
                  <c:v>87.2</c:v>
                </c:pt>
                <c:pt idx="50">
                  <c:v>85.9</c:v>
                </c:pt>
                <c:pt idx="51">
                  <c:v>84.5</c:v>
                </c:pt>
                <c:pt idx="52">
                  <c:v>85.6</c:v>
                </c:pt>
                <c:pt idx="53">
                  <c:v>86.3</c:v>
                </c:pt>
                <c:pt idx="54">
                  <c:v>83.8</c:v>
                </c:pt>
                <c:pt idx="55">
                  <c:v>79.900000000000006</c:v>
                </c:pt>
                <c:pt idx="56">
                  <c:v>77.5</c:v>
                </c:pt>
                <c:pt idx="57">
                  <c:v>79.2</c:v>
                </c:pt>
                <c:pt idx="58">
                  <c:v>86.3</c:v>
                </c:pt>
                <c:pt idx="59">
                  <c:v>83.2</c:v>
                </c:pt>
                <c:pt idx="60">
                  <c:v>79.599999999999994</c:v>
                </c:pt>
                <c:pt idx="61">
                  <c:v>68.599999999999994</c:v>
                </c:pt>
                <c:pt idx="62">
                  <c:v>56.2</c:v>
                </c:pt>
                <c:pt idx="63">
                  <c:v>61.3</c:v>
                </c:pt>
                <c:pt idx="64">
                  <c:v>89.5</c:v>
                </c:pt>
                <c:pt idx="65">
                  <c:v>74.5</c:v>
                </c:pt>
                <c:pt idx="66">
                  <c:v>61.7</c:v>
                </c:pt>
                <c:pt idx="67">
                  <c:v>68</c:v>
                </c:pt>
                <c:pt idx="68">
                  <c:v>45.9</c:v>
                </c:pt>
                <c:pt idx="69">
                  <c:v>70.400000000000006</c:v>
                </c:pt>
                <c:pt idx="70">
                  <c:v>86.9</c:v>
                </c:pt>
                <c:pt idx="71">
                  <c:v>58.6</c:v>
                </c:pt>
                <c:pt idx="72">
                  <c:v>44.3</c:v>
                </c:pt>
                <c:pt idx="73">
                  <c:v>52.9</c:v>
                </c:pt>
                <c:pt idx="74">
                  <c:v>45.3</c:v>
                </c:pt>
                <c:pt idx="75">
                  <c:v>38.299999999999997</c:v>
                </c:pt>
                <c:pt idx="76">
                  <c:v>21.8</c:v>
                </c:pt>
                <c:pt idx="77">
                  <c:v>23.9</c:v>
                </c:pt>
                <c:pt idx="78">
                  <c:v>22</c:v>
                </c:pt>
                <c:pt idx="79">
                  <c:v>23.7</c:v>
                </c:pt>
                <c:pt idx="80">
                  <c:v>28.4</c:v>
                </c:pt>
                <c:pt idx="81">
                  <c:v>61</c:v>
                </c:pt>
                <c:pt idx="82">
                  <c:v>60.5</c:v>
                </c:pt>
                <c:pt idx="83">
                  <c:v>89.8</c:v>
                </c:pt>
                <c:pt idx="84">
                  <c:v>63.3</c:v>
                </c:pt>
                <c:pt idx="85">
                  <c:v>57.2</c:v>
                </c:pt>
                <c:pt idx="86">
                  <c:v>46.3</c:v>
                </c:pt>
                <c:pt idx="87">
                  <c:v>34.299999999999997</c:v>
                </c:pt>
                <c:pt idx="88">
                  <c:v>33.1</c:v>
                </c:pt>
                <c:pt idx="89">
                  <c:v>39.700000000000003</c:v>
                </c:pt>
                <c:pt idx="90">
                  <c:v>28.7</c:v>
                </c:pt>
                <c:pt idx="91">
                  <c:v>23.3</c:v>
                </c:pt>
                <c:pt idx="92">
                  <c:v>39.5</c:v>
                </c:pt>
                <c:pt idx="93">
                  <c:v>58.9</c:v>
                </c:pt>
                <c:pt idx="94">
                  <c:v>87.7</c:v>
                </c:pt>
                <c:pt idx="95">
                  <c:v>90.6</c:v>
                </c:pt>
                <c:pt idx="96">
                  <c:v>51.3</c:v>
                </c:pt>
                <c:pt idx="97">
                  <c:v>74.7</c:v>
                </c:pt>
                <c:pt idx="98">
                  <c:v>80.099999999999994</c:v>
                </c:pt>
                <c:pt idx="99">
                  <c:v>81</c:v>
                </c:pt>
                <c:pt idx="100">
                  <c:v>70.599999999999994</c:v>
                </c:pt>
                <c:pt idx="101">
                  <c:v>61.7</c:v>
                </c:pt>
                <c:pt idx="102">
                  <c:v>71.599999999999994</c:v>
                </c:pt>
                <c:pt idx="103">
                  <c:v>47.8</c:v>
                </c:pt>
                <c:pt idx="104">
                  <c:v>49.5</c:v>
                </c:pt>
                <c:pt idx="105">
                  <c:v>30.5</c:v>
                </c:pt>
                <c:pt idx="106">
                  <c:v>45.1</c:v>
                </c:pt>
                <c:pt idx="107">
                  <c:v>84.8</c:v>
                </c:pt>
                <c:pt idx="108">
                  <c:v>71.2</c:v>
                </c:pt>
                <c:pt idx="109">
                  <c:v>41.8</c:v>
                </c:pt>
                <c:pt idx="110">
                  <c:v>16.7</c:v>
                </c:pt>
                <c:pt idx="111">
                  <c:v>39.1</c:v>
                </c:pt>
                <c:pt idx="112">
                  <c:v>44.5</c:v>
                </c:pt>
                <c:pt idx="113">
                  <c:v>39</c:v>
                </c:pt>
                <c:pt idx="114">
                  <c:v>22.1</c:v>
                </c:pt>
                <c:pt idx="115">
                  <c:v>25</c:v>
                </c:pt>
                <c:pt idx="116">
                  <c:v>67.2</c:v>
                </c:pt>
                <c:pt idx="117">
                  <c:v>41.8</c:v>
                </c:pt>
                <c:pt idx="118">
                  <c:v>38.799999999999997</c:v>
                </c:pt>
                <c:pt idx="119">
                  <c:v>31.6</c:v>
                </c:pt>
                <c:pt idx="120">
                  <c:v>45.9</c:v>
                </c:pt>
                <c:pt idx="121">
                  <c:v>51.7</c:v>
                </c:pt>
                <c:pt idx="122">
                  <c:v>43.1</c:v>
                </c:pt>
                <c:pt idx="123">
                  <c:v>49.3</c:v>
                </c:pt>
                <c:pt idx="124">
                  <c:v>36.5</c:v>
                </c:pt>
                <c:pt idx="125">
                  <c:v>36.5</c:v>
                </c:pt>
                <c:pt idx="126">
                  <c:v>41.8</c:v>
                </c:pt>
                <c:pt idx="127">
                  <c:v>42.9</c:v>
                </c:pt>
                <c:pt idx="128">
                  <c:v>24.7</c:v>
                </c:pt>
                <c:pt idx="129">
                  <c:v>37.6</c:v>
                </c:pt>
                <c:pt idx="130">
                  <c:v>33.6</c:v>
                </c:pt>
                <c:pt idx="131">
                  <c:v>21</c:v>
                </c:pt>
                <c:pt idx="132">
                  <c:v>31.1</c:v>
                </c:pt>
                <c:pt idx="133">
                  <c:v>45.3</c:v>
                </c:pt>
                <c:pt idx="134">
                  <c:v>46.5</c:v>
                </c:pt>
                <c:pt idx="135">
                  <c:v>93.3</c:v>
                </c:pt>
                <c:pt idx="136">
                  <c:v>75.8</c:v>
                </c:pt>
                <c:pt idx="137">
                  <c:v>79.3</c:v>
                </c:pt>
                <c:pt idx="138">
                  <c:v>61</c:v>
                </c:pt>
                <c:pt idx="139">
                  <c:v>46.2</c:v>
                </c:pt>
                <c:pt idx="140">
                  <c:v>56.4</c:v>
                </c:pt>
                <c:pt idx="141">
                  <c:v>40.299999999999997</c:v>
                </c:pt>
                <c:pt idx="142">
                  <c:v>49.5</c:v>
                </c:pt>
                <c:pt idx="143">
                  <c:v>51.7</c:v>
                </c:pt>
                <c:pt idx="144">
                  <c:v>92.9</c:v>
                </c:pt>
                <c:pt idx="145">
                  <c:v>52.6</c:v>
                </c:pt>
                <c:pt idx="146">
                  <c:v>24.5</c:v>
                </c:pt>
                <c:pt idx="147">
                  <c:v>20.399999999999999</c:v>
                </c:pt>
                <c:pt idx="148">
                  <c:v>22.2</c:v>
                </c:pt>
                <c:pt idx="149">
                  <c:v>33.5</c:v>
                </c:pt>
                <c:pt idx="150">
                  <c:v>41.5</c:v>
                </c:pt>
                <c:pt idx="151">
                  <c:v>20.5</c:v>
                </c:pt>
                <c:pt idx="152">
                  <c:v>13.9</c:v>
                </c:pt>
                <c:pt idx="153">
                  <c:v>20.2</c:v>
                </c:pt>
                <c:pt idx="154">
                  <c:v>24.3</c:v>
                </c:pt>
                <c:pt idx="155">
                  <c:v>37</c:v>
                </c:pt>
                <c:pt idx="156">
                  <c:v>48.3</c:v>
                </c:pt>
                <c:pt idx="157">
                  <c:v>60.1</c:v>
                </c:pt>
                <c:pt idx="158">
                  <c:v>59.7</c:v>
                </c:pt>
                <c:pt idx="159">
                  <c:v>25.5</c:v>
                </c:pt>
                <c:pt idx="160">
                  <c:v>64.900000000000006</c:v>
                </c:pt>
                <c:pt idx="161">
                  <c:v>46.2</c:v>
                </c:pt>
                <c:pt idx="162">
                  <c:v>29.3</c:v>
                </c:pt>
                <c:pt idx="163">
                  <c:v>33</c:v>
                </c:pt>
                <c:pt idx="164">
                  <c:v>33.5</c:v>
                </c:pt>
                <c:pt idx="165">
                  <c:v>24.1</c:v>
                </c:pt>
                <c:pt idx="166">
                  <c:v>31.2</c:v>
                </c:pt>
                <c:pt idx="167">
                  <c:v>29.3</c:v>
                </c:pt>
                <c:pt idx="168">
                  <c:v>30.3</c:v>
                </c:pt>
                <c:pt idx="169">
                  <c:v>59.2</c:v>
                </c:pt>
                <c:pt idx="170">
                  <c:v>96.3</c:v>
                </c:pt>
                <c:pt idx="171">
                  <c:v>58.2</c:v>
                </c:pt>
                <c:pt idx="172">
                  <c:v>54.9</c:v>
                </c:pt>
                <c:pt idx="173">
                  <c:v>39.799999999999997</c:v>
                </c:pt>
                <c:pt idx="174">
                  <c:v>65</c:v>
                </c:pt>
                <c:pt idx="175">
                  <c:v>40.4</c:v>
                </c:pt>
                <c:pt idx="176">
                  <c:v>35.700000000000003</c:v>
                </c:pt>
                <c:pt idx="177">
                  <c:v>47.1</c:v>
                </c:pt>
                <c:pt idx="178">
                  <c:v>51.5</c:v>
                </c:pt>
                <c:pt idx="179">
                  <c:v>56.6</c:v>
                </c:pt>
                <c:pt idx="180">
                  <c:v>38</c:v>
                </c:pt>
                <c:pt idx="181">
                  <c:v>29.2</c:v>
                </c:pt>
                <c:pt idx="182">
                  <c:v>52.3</c:v>
                </c:pt>
                <c:pt idx="183">
                  <c:v>32.799999999999997</c:v>
                </c:pt>
                <c:pt idx="184">
                  <c:v>69.599999999999994</c:v>
                </c:pt>
                <c:pt idx="185">
                  <c:v>59.7</c:v>
                </c:pt>
                <c:pt idx="186">
                  <c:v>70.5</c:v>
                </c:pt>
                <c:pt idx="187">
                  <c:v>56.8</c:v>
                </c:pt>
                <c:pt idx="188">
                  <c:v>54.7</c:v>
                </c:pt>
                <c:pt idx="189">
                  <c:v>50.5</c:v>
                </c:pt>
                <c:pt idx="190">
                  <c:v>60.2</c:v>
                </c:pt>
                <c:pt idx="191">
                  <c:v>56.5</c:v>
                </c:pt>
                <c:pt idx="192">
                  <c:v>55.9</c:v>
                </c:pt>
                <c:pt idx="193">
                  <c:v>44.8</c:v>
                </c:pt>
                <c:pt idx="194">
                  <c:v>47.4</c:v>
                </c:pt>
                <c:pt idx="195">
                  <c:v>39.200000000000003</c:v>
                </c:pt>
                <c:pt idx="196">
                  <c:v>53.9</c:v>
                </c:pt>
                <c:pt idx="197">
                  <c:v>74.5</c:v>
                </c:pt>
                <c:pt idx="198">
                  <c:v>54.5</c:v>
                </c:pt>
                <c:pt idx="199">
                  <c:v>58.8</c:v>
                </c:pt>
                <c:pt idx="200">
                  <c:v>59.7</c:v>
                </c:pt>
                <c:pt idx="201">
                  <c:v>33.6</c:v>
                </c:pt>
                <c:pt idx="202">
                  <c:v>30.1</c:v>
                </c:pt>
                <c:pt idx="203">
                  <c:v>43.4</c:v>
                </c:pt>
                <c:pt idx="204">
                  <c:v>53.4</c:v>
                </c:pt>
                <c:pt idx="205">
                  <c:v>40.5</c:v>
                </c:pt>
                <c:pt idx="206">
                  <c:v>20.9</c:v>
                </c:pt>
                <c:pt idx="207">
                  <c:v>39.700000000000003</c:v>
                </c:pt>
                <c:pt idx="208">
                  <c:v>38.200000000000003</c:v>
                </c:pt>
                <c:pt idx="209">
                  <c:v>24.6</c:v>
                </c:pt>
                <c:pt idx="210">
                  <c:v>27.9</c:v>
                </c:pt>
                <c:pt idx="211">
                  <c:v>39</c:v>
                </c:pt>
                <c:pt idx="212">
                  <c:v>29.6</c:v>
                </c:pt>
                <c:pt idx="213">
                  <c:v>40.799999999999997</c:v>
                </c:pt>
                <c:pt idx="214">
                  <c:v>39.1</c:v>
                </c:pt>
                <c:pt idx="215">
                  <c:v>25.5</c:v>
                </c:pt>
                <c:pt idx="216">
                  <c:v>29.6</c:v>
                </c:pt>
                <c:pt idx="217">
                  <c:v>11.2</c:v>
                </c:pt>
                <c:pt idx="218">
                  <c:v>14.5</c:v>
                </c:pt>
                <c:pt idx="219">
                  <c:v>17</c:v>
                </c:pt>
                <c:pt idx="220">
                  <c:v>27.9</c:v>
                </c:pt>
                <c:pt idx="221">
                  <c:v>58.2</c:v>
                </c:pt>
                <c:pt idx="222">
                  <c:v>85.3</c:v>
                </c:pt>
                <c:pt idx="223">
                  <c:v>42.7</c:v>
                </c:pt>
                <c:pt idx="224">
                  <c:v>51.2</c:v>
                </c:pt>
                <c:pt idx="225">
                  <c:v>38.1</c:v>
                </c:pt>
                <c:pt idx="226">
                  <c:v>35.700000000000003</c:v>
                </c:pt>
                <c:pt idx="227">
                  <c:v>62.3</c:v>
                </c:pt>
                <c:pt idx="228">
                  <c:v>50.4</c:v>
                </c:pt>
                <c:pt idx="229">
                  <c:v>30.1</c:v>
                </c:pt>
                <c:pt idx="230">
                  <c:v>30.9</c:v>
                </c:pt>
                <c:pt idx="231">
                  <c:v>28.9</c:v>
                </c:pt>
                <c:pt idx="232">
                  <c:v>36</c:v>
                </c:pt>
                <c:pt idx="233">
                  <c:v>40.5</c:v>
                </c:pt>
                <c:pt idx="234">
                  <c:v>46.4</c:v>
                </c:pt>
                <c:pt idx="235">
                  <c:v>37.299999999999997</c:v>
                </c:pt>
                <c:pt idx="236">
                  <c:v>61.6</c:v>
                </c:pt>
                <c:pt idx="237">
                  <c:v>49.8</c:v>
                </c:pt>
                <c:pt idx="238">
                  <c:v>32.1</c:v>
                </c:pt>
                <c:pt idx="239">
                  <c:v>34.799999999999997</c:v>
                </c:pt>
                <c:pt idx="240">
                  <c:v>19.5</c:v>
                </c:pt>
                <c:pt idx="241">
                  <c:v>46.7</c:v>
                </c:pt>
                <c:pt idx="242">
                  <c:v>46.3</c:v>
                </c:pt>
                <c:pt idx="243">
                  <c:v>44.2</c:v>
                </c:pt>
                <c:pt idx="244">
                  <c:v>39.700000000000003</c:v>
                </c:pt>
                <c:pt idx="245">
                  <c:v>29</c:v>
                </c:pt>
                <c:pt idx="246">
                  <c:v>38.700000000000003</c:v>
                </c:pt>
                <c:pt idx="247">
                  <c:v>34.200000000000003</c:v>
                </c:pt>
                <c:pt idx="248">
                  <c:v>28.2</c:v>
                </c:pt>
                <c:pt idx="249">
                  <c:v>55.2</c:v>
                </c:pt>
                <c:pt idx="250">
                  <c:v>62.8</c:v>
                </c:pt>
                <c:pt idx="251">
                  <c:v>69.5</c:v>
                </c:pt>
                <c:pt idx="252">
                  <c:v>72.7</c:v>
                </c:pt>
                <c:pt idx="253">
                  <c:v>60.9</c:v>
                </c:pt>
                <c:pt idx="254">
                  <c:v>53.5</c:v>
                </c:pt>
                <c:pt idx="255">
                  <c:v>65.2</c:v>
                </c:pt>
                <c:pt idx="256">
                  <c:v>77</c:v>
                </c:pt>
                <c:pt idx="257">
                  <c:v>93.4</c:v>
                </c:pt>
                <c:pt idx="258">
                  <c:v>77.400000000000006</c:v>
                </c:pt>
                <c:pt idx="259">
                  <c:v>82</c:v>
                </c:pt>
                <c:pt idx="260">
                  <c:v>96.4</c:v>
                </c:pt>
                <c:pt idx="261">
                  <c:v>72.400000000000006</c:v>
                </c:pt>
                <c:pt idx="262">
                  <c:v>71.8</c:v>
                </c:pt>
                <c:pt idx="263">
                  <c:v>57.5</c:v>
                </c:pt>
                <c:pt idx="264">
                  <c:v>84.5</c:v>
                </c:pt>
                <c:pt idx="265">
                  <c:v>83</c:v>
                </c:pt>
                <c:pt idx="266">
                  <c:v>58.8</c:v>
                </c:pt>
                <c:pt idx="267">
                  <c:v>57</c:v>
                </c:pt>
                <c:pt idx="268">
                  <c:v>75.2</c:v>
                </c:pt>
                <c:pt idx="269">
                  <c:v>80.400000000000006</c:v>
                </c:pt>
                <c:pt idx="270">
                  <c:v>87.4</c:v>
                </c:pt>
                <c:pt idx="271">
                  <c:v>85</c:v>
                </c:pt>
                <c:pt idx="272">
                  <c:v>76.5</c:v>
                </c:pt>
                <c:pt idx="273">
                  <c:v>70.2</c:v>
                </c:pt>
                <c:pt idx="274">
                  <c:v>83.1</c:v>
                </c:pt>
                <c:pt idx="275">
                  <c:v>85.7</c:v>
                </c:pt>
                <c:pt idx="276">
                  <c:v>64.099999999999994</c:v>
                </c:pt>
                <c:pt idx="277">
                  <c:v>68.5</c:v>
                </c:pt>
                <c:pt idx="278">
                  <c:v>58.3</c:v>
                </c:pt>
                <c:pt idx="279">
                  <c:v>51.6</c:v>
                </c:pt>
                <c:pt idx="280">
                  <c:v>78.599999999999994</c:v>
                </c:pt>
                <c:pt idx="281">
                  <c:v>77.400000000000006</c:v>
                </c:pt>
                <c:pt idx="282">
                  <c:v>28.2</c:v>
                </c:pt>
                <c:pt idx="283">
                  <c:v>35.6</c:v>
                </c:pt>
                <c:pt idx="284">
                  <c:v>36.299999999999997</c:v>
                </c:pt>
                <c:pt idx="285">
                  <c:v>51.9</c:v>
                </c:pt>
                <c:pt idx="286">
                  <c:v>67.3</c:v>
                </c:pt>
                <c:pt idx="287">
                  <c:v>76.7</c:v>
                </c:pt>
                <c:pt idx="288">
                  <c:v>57</c:v>
                </c:pt>
                <c:pt idx="289">
                  <c:v>72.3</c:v>
                </c:pt>
                <c:pt idx="290">
                  <c:v>73.400000000000006</c:v>
                </c:pt>
                <c:pt idx="291">
                  <c:v>80.8</c:v>
                </c:pt>
                <c:pt idx="292">
                  <c:v>75.3</c:v>
                </c:pt>
                <c:pt idx="293">
                  <c:v>93.8</c:v>
                </c:pt>
                <c:pt idx="294">
                  <c:v>75.3</c:v>
                </c:pt>
                <c:pt idx="295">
                  <c:v>65</c:v>
                </c:pt>
                <c:pt idx="296">
                  <c:v>64.099999999999994</c:v>
                </c:pt>
                <c:pt idx="297">
                  <c:v>72.2</c:v>
                </c:pt>
                <c:pt idx="298">
                  <c:v>76.2</c:v>
                </c:pt>
                <c:pt idx="299">
                  <c:v>55.5</c:v>
                </c:pt>
                <c:pt idx="300">
                  <c:v>34.4</c:v>
                </c:pt>
                <c:pt idx="301">
                  <c:v>21.7</c:v>
                </c:pt>
                <c:pt idx="302">
                  <c:v>31.1</c:v>
                </c:pt>
                <c:pt idx="303">
                  <c:v>44.7</c:v>
                </c:pt>
                <c:pt idx="304">
                  <c:v>24.7</c:v>
                </c:pt>
                <c:pt idx="305">
                  <c:v>44.5</c:v>
                </c:pt>
                <c:pt idx="306">
                  <c:v>70</c:v>
                </c:pt>
                <c:pt idx="307">
                  <c:v>62.2</c:v>
                </c:pt>
                <c:pt idx="308">
                  <c:v>60</c:v>
                </c:pt>
                <c:pt idx="309">
                  <c:v>48.8</c:v>
                </c:pt>
                <c:pt idx="310">
                  <c:v>38.9</c:v>
                </c:pt>
                <c:pt idx="311">
                  <c:v>38.200000000000003</c:v>
                </c:pt>
                <c:pt idx="312">
                  <c:v>47.3</c:v>
                </c:pt>
                <c:pt idx="313">
                  <c:v>74.2</c:v>
                </c:pt>
                <c:pt idx="314">
                  <c:v>62.2</c:v>
                </c:pt>
                <c:pt idx="315">
                  <c:v>64.099999999999994</c:v>
                </c:pt>
                <c:pt idx="316">
                  <c:v>85.5</c:v>
                </c:pt>
                <c:pt idx="317">
                  <c:v>87.9</c:v>
                </c:pt>
                <c:pt idx="318">
                  <c:v>92.8</c:v>
                </c:pt>
                <c:pt idx="319">
                  <c:v>86.1</c:v>
                </c:pt>
                <c:pt idx="320">
                  <c:v>72.2</c:v>
                </c:pt>
                <c:pt idx="321">
                  <c:v>40.700000000000003</c:v>
                </c:pt>
                <c:pt idx="322">
                  <c:v>91.7</c:v>
                </c:pt>
                <c:pt idx="323">
                  <c:v>87</c:v>
                </c:pt>
                <c:pt idx="324">
                  <c:v>46.2</c:v>
                </c:pt>
                <c:pt idx="325">
                  <c:v>27.2</c:v>
                </c:pt>
                <c:pt idx="326">
                  <c:v>62.7</c:v>
                </c:pt>
                <c:pt idx="327">
                  <c:v>64.8</c:v>
                </c:pt>
                <c:pt idx="328">
                  <c:v>84.3</c:v>
                </c:pt>
                <c:pt idx="329">
                  <c:v>71.3</c:v>
                </c:pt>
                <c:pt idx="330">
                  <c:v>73.8</c:v>
                </c:pt>
                <c:pt idx="331">
                  <c:v>61.4</c:v>
                </c:pt>
                <c:pt idx="332">
                  <c:v>50.1</c:v>
                </c:pt>
                <c:pt idx="333">
                  <c:v>49</c:v>
                </c:pt>
                <c:pt idx="334">
                  <c:v>86.1</c:v>
                </c:pt>
                <c:pt idx="335">
                  <c:v>91.4</c:v>
                </c:pt>
                <c:pt idx="336">
                  <c:v>80.099999999999994</c:v>
                </c:pt>
                <c:pt idx="337">
                  <c:v>80.3</c:v>
                </c:pt>
                <c:pt idx="338">
                  <c:v>77.099999999999994</c:v>
                </c:pt>
                <c:pt idx="339">
                  <c:v>89.8</c:v>
                </c:pt>
                <c:pt idx="340">
                  <c:v>94</c:v>
                </c:pt>
                <c:pt idx="341">
                  <c:v>81.2</c:v>
                </c:pt>
                <c:pt idx="342">
                  <c:v>65.5</c:v>
                </c:pt>
                <c:pt idx="343">
                  <c:v>63.7</c:v>
                </c:pt>
                <c:pt idx="344">
                  <c:v>90.6</c:v>
                </c:pt>
                <c:pt idx="345">
                  <c:v>91.9</c:v>
                </c:pt>
                <c:pt idx="346">
                  <c:v>91.2</c:v>
                </c:pt>
                <c:pt idx="347">
                  <c:v>89.6</c:v>
                </c:pt>
                <c:pt idx="348">
                  <c:v>87.1</c:v>
                </c:pt>
                <c:pt idx="349">
                  <c:v>86</c:v>
                </c:pt>
                <c:pt idx="350">
                  <c:v>88.6</c:v>
                </c:pt>
                <c:pt idx="351">
                  <c:v>89.1</c:v>
                </c:pt>
                <c:pt idx="352">
                  <c:v>88.6</c:v>
                </c:pt>
                <c:pt idx="353">
                  <c:v>92.3</c:v>
                </c:pt>
                <c:pt idx="354">
                  <c:v>90.4</c:v>
                </c:pt>
                <c:pt idx="355">
                  <c:v>88.4</c:v>
                </c:pt>
                <c:pt idx="356">
                  <c:v>89.8</c:v>
                </c:pt>
                <c:pt idx="357">
                  <c:v>88.1</c:v>
                </c:pt>
                <c:pt idx="358">
                  <c:v>87.1</c:v>
                </c:pt>
                <c:pt idx="359">
                  <c:v>86.7</c:v>
                </c:pt>
                <c:pt idx="360">
                  <c:v>87.6</c:v>
                </c:pt>
                <c:pt idx="361">
                  <c:v>88.1</c:v>
                </c:pt>
                <c:pt idx="362">
                  <c:v>92</c:v>
                </c:pt>
                <c:pt idx="363">
                  <c:v>92.2</c:v>
                </c:pt>
                <c:pt idx="364">
                  <c:v>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617088"/>
        <c:axId val="148941440"/>
      </c:lineChart>
      <c:catAx>
        <c:axId val="1486170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9414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941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6170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800824488135272"/>
          <c:y val="0.67900888808879878"/>
          <c:w val="0.10914819845154188"/>
          <c:h val="0.116751380030570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and soil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2786774216894814"/>
          <c:w val="0.82760136604941426"/>
          <c:h val="0.83052469901532744"/>
        </c:manualLayout>
      </c:layout>
      <c:lineChart>
        <c:grouping val="standard"/>
        <c:varyColors val="0"/>
        <c:ser>
          <c:idx val="0"/>
          <c:order val="0"/>
          <c:tx>
            <c:v>TS50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-0.122</c:v>
                </c:pt>
                <c:pt idx="1">
                  <c:v>-0.111</c:v>
                </c:pt>
                <c:pt idx="2">
                  <c:v>-9.7000000000000003E-2</c:v>
                </c:pt>
                <c:pt idx="3">
                  <c:v>-7.3999999999999996E-2</c:v>
                </c:pt>
                <c:pt idx="4">
                  <c:v>-7.3999999999999996E-2</c:v>
                </c:pt>
                <c:pt idx="5">
                  <c:v>-0.08</c:v>
                </c:pt>
                <c:pt idx="6">
                  <c:v>-0.109</c:v>
                </c:pt>
                <c:pt idx="7">
                  <c:v>-0.159</c:v>
                </c:pt>
                <c:pt idx="8">
                  <c:v>-0.159</c:v>
                </c:pt>
                <c:pt idx="9">
                  <c:v>-0.13200000000000001</c:v>
                </c:pt>
                <c:pt idx="10">
                  <c:v>-0.104</c:v>
                </c:pt>
                <c:pt idx="11">
                  <c:v>-0.09</c:v>
                </c:pt>
                <c:pt idx="12">
                  <c:v>-7.0999999999999994E-2</c:v>
                </c:pt>
                <c:pt idx="13">
                  <c:v>-5.3999999999999999E-2</c:v>
                </c:pt>
                <c:pt idx="14">
                  <c:v>-7.0999999999999994E-2</c:v>
                </c:pt>
                <c:pt idx="15">
                  <c:v>-9.4E-2</c:v>
                </c:pt>
                <c:pt idx="16">
                  <c:v>-0.10299999999999999</c:v>
                </c:pt>
                <c:pt idx="17">
                  <c:v>-9.5000000000000001E-2</c:v>
                </c:pt>
                <c:pt idx="18">
                  <c:v>-8.6999999999999994E-2</c:v>
                </c:pt>
                <c:pt idx="19">
                  <c:v>-0.10100000000000001</c:v>
                </c:pt>
                <c:pt idx="20">
                  <c:v>-0.11600000000000001</c:v>
                </c:pt>
                <c:pt idx="21">
                  <c:v>-0.125</c:v>
                </c:pt>
                <c:pt idx="22">
                  <c:v>-0.13100000000000001</c:v>
                </c:pt>
                <c:pt idx="23">
                  <c:v>-0.111</c:v>
                </c:pt>
                <c:pt idx="24">
                  <c:v>-0.09</c:v>
                </c:pt>
                <c:pt idx="25">
                  <c:v>-4.7E-2</c:v>
                </c:pt>
                <c:pt idx="26">
                  <c:v>-4.2000000000000003E-2</c:v>
                </c:pt>
                <c:pt idx="27">
                  <c:v>-6.7000000000000004E-2</c:v>
                </c:pt>
                <c:pt idx="28">
                  <c:v>-6.3E-2</c:v>
                </c:pt>
                <c:pt idx="29">
                  <c:v>-5.8000000000000003E-2</c:v>
                </c:pt>
                <c:pt idx="30">
                  <c:v>-4.5999999999999999E-2</c:v>
                </c:pt>
                <c:pt idx="31">
                  <c:v>-4.7E-2</c:v>
                </c:pt>
                <c:pt idx="32">
                  <c:v>-4.3999999999999997E-2</c:v>
                </c:pt>
                <c:pt idx="33">
                  <c:v>-7.5999999999999998E-2</c:v>
                </c:pt>
                <c:pt idx="34">
                  <c:v>-0.16600000000000001</c:v>
                </c:pt>
                <c:pt idx="35">
                  <c:v>-0.216</c:v>
                </c:pt>
                <c:pt idx="36">
                  <c:v>-0.27500000000000002</c:v>
                </c:pt>
                <c:pt idx="37">
                  <c:v>-0.28899999999999998</c:v>
                </c:pt>
                <c:pt idx="38">
                  <c:v>-0.311</c:v>
                </c:pt>
                <c:pt idx="39">
                  <c:v>-0.32500000000000001</c:v>
                </c:pt>
                <c:pt idx="40">
                  <c:v>-0.32</c:v>
                </c:pt>
                <c:pt idx="41">
                  <c:v>-0.32800000000000001</c:v>
                </c:pt>
                <c:pt idx="42">
                  <c:v>-0.311</c:v>
                </c:pt>
                <c:pt idx="43">
                  <c:v>-0.29499999999999998</c:v>
                </c:pt>
                <c:pt idx="44">
                  <c:v>-0.28000000000000003</c:v>
                </c:pt>
                <c:pt idx="45">
                  <c:v>-0.24</c:v>
                </c:pt>
                <c:pt idx="46">
                  <c:v>-0.223</c:v>
                </c:pt>
                <c:pt idx="47">
                  <c:v>-0.219</c:v>
                </c:pt>
                <c:pt idx="48">
                  <c:v>-0.219</c:v>
                </c:pt>
                <c:pt idx="49">
                  <c:v>-0.187</c:v>
                </c:pt>
                <c:pt idx="50">
                  <c:v>-0.189</c:v>
                </c:pt>
                <c:pt idx="51">
                  <c:v>-0.193</c:v>
                </c:pt>
                <c:pt idx="52">
                  <c:v>-0.183</c:v>
                </c:pt>
                <c:pt idx="53">
                  <c:v>-0.17399999999999999</c:v>
                </c:pt>
                <c:pt idx="54">
                  <c:v>-0.18</c:v>
                </c:pt>
                <c:pt idx="55">
                  <c:v>-0.20200000000000001</c:v>
                </c:pt>
                <c:pt idx="56">
                  <c:v>-0.214</c:v>
                </c:pt>
                <c:pt idx="57">
                  <c:v>-0.186</c:v>
                </c:pt>
                <c:pt idx="58">
                  <c:v>-0.17899999999999999</c:v>
                </c:pt>
                <c:pt idx="59">
                  <c:v>-0.191</c:v>
                </c:pt>
                <c:pt idx="60">
                  <c:v>-0.20899999999999999</c:v>
                </c:pt>
                <c:pt idx="61">
                  <c:v>-0.218</c:v>
                </c:pt>
                <c:pt idx="62">
                  <c:v>-0.222</c:v>
                </c:pt>
                <c:pt idx="63">
                  <c:v>-0.20599999999999999</c:v>
                </c:pt>
                <c:pt idx="64">
                  <c:v>-0.191</c:v>
                </c:pt>
                <c:pt idx="65">
                  <c:v>-0.19800000000000001</c:v>
                </c:pt>
                <c:pt idx="66">
                  <c:v>-0.20599999999999999</c:v>
                </c:pt>
                <c:pt idx="67">
                  <c:v>-0.192</c:v>
                </c:pt>
                <c:pt idx="68">
                  <c:v>-0.17599999999999999</c:v>
                </c:pt>
                <c:pt idx="69">
                  <c:v>-0.17</c:v>
                </c:pt>
                <c:pt idx="70">
                  <c:v>-0.156</c:v>
                </c:pt>
                <c:pt idx="71">
                  <c:v>-0.16900000000000001</c:v>
                </c:pt>
                <c:pt idx="72">
                  <c:v>-0.14499999999999999</c:v>
                </c:pt>
                <c:pt idx="73">
                  <c:v>-0.11700000000000001</c:v>
                </c:pt>
                <c:pt idx="74">
                  <c:v>-0.10100000000000001</c:v>
                </c:pt>
                <c:pt idx="75">
                  <c:v>-7.9000000000000001E-2</c:v>
                </c:pt>
                <c:pt idx="76">
                  <c:v>2E-3</c:v>
                </c:pt>
                <c:pt idx="77">
                  <c:v>0.08</c:v>
                </c:pt>
                <c:pt idx="78">
                  <c:v>6.9000000000000006E-2</c:v>
                </c:pt>
                <c:pt idx="79">
                  <c:v>5.6000000000000001E-2</c:v>
                </c:pt>
                <c:pt idx="80">
                  <c:v>5.5E-2</c:v>
                </c:pt>
                <c:pt idx="81">
                  <c:v>0.05</c:v>
                </c:pt>
                <c:pt idx="82">
                  <c:v>0.05</c:v>
                </c:pt>
                <c:pt idx="83">
                  <c:v>3.5999999999999997E-2</c:v>
                </c:pt>
                <c:pt idx="84">
                  <c:v>1.4E-2</c:v>
                </c:pt>
                <c:pt idx="85">
                  <c:v>0.02</c:v>
                </c:pt>
                <c:pt idx="86">
                  <c:v>2.9000000000000001E-2</c:v>
                </c:pt>
                <c:pt idx="87">
                  <c:v>4.4999999999999998E-2</c:v>
                </c:pt>
                <c:pt idx="88">
                  <c:v>4.7E-2</c:v>
                </c:pt>
                <c:pt idx="89">
                  <c:v>4.9000000000000002E-2</c:v>
                </c:pt>
                <c:pt idx="90">
                  <c:v>0.03</c:v>
                </c:pt>
                <c:pt idx="91">
                  <c:v>2.8000000000000001E-2</c:v>
                </c:pt>
                <c:pt idx="92">
                  <c:v>5.1999999999999998E-2</c:v>
                </c:pt>
                <c:pt idx="93">
                  <c:v>2.9000000000000001E-2</c:v>
                </c:pt>
                <c:pt idx="94">
                  <c:v>4.3999999999999997E-2</c:v>
                </c:pt>
                <c:pt idx="95">
                  <c:v>8.0000000000000002E-3</c:v>
                </c:pt>
                <c:pt idx="96">
                  <c:v>1.6E-2</c:v>
                </c:pt>
                <c:pt idx="97">
                  <c:v>2.7E-2</c:v>
                </c:pt>
                <c:pt idx="98">
                  <c:v>2.3E-2</c:v>
                </c:pt>
                <c:pt idx="99">
                  <c:v>8.0000000000000002E-3</c:v>
                </c:pt>
                <c:pt idx="100">
                  <c:v>5.0000000000000001E-3</c:v>
                </c:pt>
                <c:pt idx="101">
                  <c:v>1.2999999999999999E-2</c:v>
                </c:pt>
                <c:pt idx="102">
                  <c:v>2.1000000000000001E-2</c:v>
                </c:pt>
                <c:pt idx="103">
                  <c:v>4.0000000000000001E-3</c:v>
                </c:pt>
                <c:pt idx="104">
                  <c:v>0</c:v>
                </c:pt>
                <c:pt idx="105">
                  <c:v>2.5000000000000001E-2</c:v>
                </c:pt>
                <c:pt idx="106">
                  <c:v>0.05</c:v>
                </c:pt>
                <c:pt idx="107">
                  <c:v>5.1999999999999998E-2</c:v>
                </c:pt>
                <c:pt idx="108">
                  <c:v>4.8000000000000001E-2</c:v>
                </c:pt>
                <c:pt idx="109">
                  <c:v>3.1E-2</c:v>
                </c:pt>
                <c:pt idx="110">
                  <c:v>3.2000000000000001E-2</c:v>
                </c:pt>
                <c:pt idx="111">
                  <c:v>5.2999999999999999E-2</c:v>
                </c:pt>
                <c:pt idx="112">
                  <c:v>5.1999999999999998E-2</c:v>
                </c:pt>
                <c:pt idx="113">
                  <c:v>2.1999999999999999E-2</c:v>
                </c:pt>
                <c:pt idx="114">
                  <c:v>2.7E-2</c:v>
                </c:pt>
                <c:pt idx="115">
                  <c:v>0.04</c:v>
                </c:pt>
                <c:pt idx="116">
                  <c:v>-1E-3</c:v>
                </c:pt>
                <c:pt idx="117">
                  <c:v>1.4999999999999999E-2</c:v>
                </c:pt>
                <c:pt idx="118">
                  <c:v>1.2E-2</c:v>
                </c:pt>
                <c:pt idx="119">
                  <c:v>2.1000000000000001E-2</c:v>
                </c:pt>
                <c:pt idx="120">
                  <c:v>2.3E-2</c:v>
                </c:pt>
                <c:pt idx="121">
                  <c:v>2.7E-2</c:v>
                </c:pt>
                <c:pt idx="122">
                  <c:v>3.9E-2</c:v>
                </c:pt>
                <c:pt idx="123">
                  <c:v>5.1999999999999998E-2</c:v>
                </c:pt>
                <c:pt idx="124">
                  <c:v>4.8000000000000001E-2</c:v>
                </c:pt>
                <c:pt idx="125">
                  <c:v>5.2999999999999999E-2</c:v>
                </c:pt>
                <c:pt idx="126">
                  <c:v>5.5E-2</c:v>
                </c:pt>
                <c:pt idx="127">
                  <c:v>5.2999999999999999E-2</c:v>
                </c:pt>
                <c:pt idx="128">
                  <c:v>5.2999999999999999E-2</c:v>
                </c:pt>
                <c:pt idx="129">
                  <c:v>5.8999999999999997E-2</c:v>
                </c:pt>
                <c:pt idx="130">
                  <c:v>6.0999999999999999E-2</c:v>
                </c:pt>
                <c:pt idx="131">
                  <c:v>6.3E-2</c:v>
                </c:pt>
                <c:pt idx="132">
                  <c:v>5.8999999999999997E-2</c:v>
                </c:pt>
                <c:pt idx="133">
                  <c:v>7.1999999999999995E-2</c:v>
                </c:pt>
                <c:pt idx="134">
                  <c:v>4.9000000000000002E-2</c:v>
                </c:pt>
                <c:pt idx="135">
                  <c:v>7.6999999999999999E-2</c:v>
                </c:pt>
                <c:pt idx="136">
                  <c:v>0.35599999999999998</c:v>
                </c:pt>
                <c:pt idx="137">
                  <c:v>2.1150000000000002</c:v>
                </c:pt>
                <c:pt idx="138">
                  <c:v>3.6760000000000002</c:v>
                </c:pt>
                <c:pt idx="139">
                  <c:v>3.4369999999999998</c:v>
                </c:pt>
                <c:pt idx="140">
                  <c:v>3.3620000000000001</c:v>
                </c:pt>
                <c:pt idx="141">
                  <c:v>6.359</c:v>
                </c:pt>
                <c:pt idx="142">
                  <c:v>7.5149999999999997</c:v>
                </c:pt>
                <c:pt idx="143">
                  <c:v>6.5679999999999996</c:v>
                </c:pt>
                <c:pt idx="144">
                  <c:v>4.3540000000000001</c:v>
                </c:pt>
                <c:pt idx="145">
                  <c:v>5.9889999999999999</c:v>
                </c:pt>
                <c:pt idx="146">
                  <c:v>9.56</c:v>
                </c:pt>
                <c:pt idx="147">
                  <c:v>12.27</c:v>
                </c:pt>
                <c:pt idx="148">
                  <c:v>13.45</c:v>
                </c:pt>
                <c:pt idx="149">
                  <c:v>11.23</c:v>
                </c:pt>
                <c:pt idx="150">
                  <c:v>10.62</c:v>
                </c:pt>
                <c:pt idx="151">
                  <c:v>12.97</c:v>
                </c:pt>
                <c:pt idx="152">
                  <c:v>13.33</c:v>
                </c:pt>
                <c:pt idx="153">
                  <c:v>9</c:v>
                </c:pt>
                <c:pt idx="154">
                  <c:v>7.56</c:v>
                </c:pt>
                <c:pt idx="155">
                  <c:v>5.7770000000000001</c:v>
                </c:pt>
                <c:pt idx="156">
                  <c:v>1.9990000000000001</c:v>
                </c:pt>
                <c:pt idx="157">
                  <c:v>0.68200000000000005</c:v>
                </c:pt>
                <c:pt idx="158">
                  <c:v>1.552</c:v>
                </c:pt>
                <c:pt idx="159">
                  <c:v>5.319</c:v>
                </c:pt>
                <c:pt idx="160">
                  <c:v>6.5739999999999998</c:v>
                </c:pt>
                <c:pt idx="161">
                  <c:v>11.42</c:v>
                </c:pt>
                <c:pt idx="162">
                  <c:v>14.44</c:v>
                </c:pt>
                <c:pt idx="163">
                  <c:v>14.54</c:v>
                </c:pt>
                <c:pt idx="164">
                  <c:v>11.96</c:v>
                </c:pt>
                <c:pt idx="165">
                  <c:v>13.43</c:v>
                </c:pt>
                <c:pt idx="166">
                  <c:v>12.83</c:v>
                </c:pt>
                <c:pt idx="167">
                  <c:v>13.44</c:v>
                </c:pt>
                <c:pt idx="168">
                  <c:v>10.07</c:v>
                </c:pt>
                <c:pt idx="169">
                  <c:v>1.5549999999999999</c:v>
                </c:pt>
                <c:pt idx="170">
                  <c:v>-6.9000000000000006E-2</c:v>
                </c:pt>
                <c:pt idx="171">
                  <c:v>4.0759999999999996</c:v>
                </c:pt>
                <c:pt idx="172">
                  <c:v>8.07</c:v>
                </c:pt>
                <c:pt idx="173">
                  <c:v>5.5209999999999999</c:v>
                </c:pt>
                <c:pt idx="174">
                  <c:v>4.4160000000000004</c:v>
                </c:pt>
                <c:pt idx="175">
                  <c:v>6.335</c:v>
                </c:pt>
                <c:pt idx="176">
                  <c:v>8.4</c:v>
                </c:pt>
                <c:pt idx="177">
                  <c:v>6.2</c:v>
                </c:pt>
                <c:pt idx="178">
                  <c:v>4.9669999999999996</c:v>
                </c:pt>
                <c:pt idx="179">
                  <c:v>5.5860000000000003</c:v>
                </c:pt>
                <c:pt idx="180">
                  <c:v>8.52</c:v>
                </c:pt>
                <c:pt idx="181">
                  <c:v>11.7</c:v>
                </c:pt>
                <c:pt idx="182">
                  <c:v>9.01</c:v>
                </c:pt>
                <c:pt idx="183">
                  <c:v>10.67</c:v>
                </c:pt>
                <c:pt idx="184">
                  <c:v>8.89</c:v>
                </c:pt>
                <c:pt idx="185">
                  <c:v>7.6980000000000004</c:v>
                </c:pt>
                <c:pt idx="186">
                  <c:v>7.5389999999999997</c:v>
                </c:pt>
                <c:pt idx="187">
                  <c:v>7.3890000000000002</c:v>
                </c:pt>
                <c:pt idx="188">
                  <c:v>7.69</c:v>
                </c:pt>
                <c:pt idx="189">
                  <c:v>10.74</c:v>
                </c:pt>
                <c:pt idx="190">
                  <c:v>9.86</c:v>
                </c:pt>
                <c:pt idx="191">
                  <c:v>9.68</c:v>
                </c:pt>
                <c:pt idx="192">
                  <c:v>11.05</c:v>
                </c:pt>
                <c:pt idx="193">
                  <c:v>11.03</c:v>
                </c:pt>
                <c:pt idx="194">
                  <c:v>9.57</c:v>
                </c:pt>
                <c:pt idx="195">
                  <c:v>9.58</c:v>
                </c:pt>
                <c:pt idx="196">
                  <c:v>8.66</c:v>
                </c:pt>
                <c:pt idx="197">
                  <c:v>7.891</c:v>
                </c:pt>
                <c:pt idx="198">
                  <c:v>4.7169999999999996</c:v>
                </c:pt>
                <c:pt idx="199">
                  <c:v>5.1539999999999999</c:v>
                </c:pt>
                <c:pt idx="200">
                  <c:v>6.976</c:v>
                </c:pt>
                <c:pt idx="201">
                  <c:v>12.07</c:v>
                </c:pt>
                <c:pt idx="202">
                  <c:v>14.45</c:v>
                </c:pt>
                <c:pt idx="203">
                  <c:v>13.53</c:v>
                </c:pt>
                <c:pt idx="204">
                  <c:v>6.5279999999999996</c:v>
                </c:pt>
                <c:pt idx="205">
                  <c:v>10.83</c:v>
                </c:pt>
                <c:pt idx="206">
                  <c:v>14.81</c:v>
                </c:pt>
                <c:pt idx="207">
                  <c:v>11.3</c:v>
                </c:pt>
                <c:pt idx="208">
                  <c:v>10.39</c:v>
                </c:pt>
                <c:pt idx="209">
                  <c:v>13.68</c:v>
                </c:pt>
                <c:pt idx="210">
                  <c:v>12.55</c:v>
                </c:pt>
                <c:pt idx="211">
                  <c:v>12.79</c:v>
                </c:pt>
                <c:pt idx="212">
                  <c:v>14.04</c:v>
                </c:pt>
                <c:pt idx="213">
                  <c:v>12.92</c:v>
                </c:pt>
                <c:pt idx="214">
                  <c:v>9.75</c:v>
                </c:pt>
                <c:pt idx="215">
                  <c:v>11.66</c:v>
                </c:pt>
                <c:pt idx="216">
                  <c:v>15.05</c:v>
                </c:pt>
                <c:pt idx="217">
                  <c:v>17.63</c:v>
                </c:pt>
                <c:pt idx="218">
                  <c:v>18.18</c:v>
                </c:pt>
                <c:pt idx="219">
                  <c:v>17.73</c:v>
                </c:pt>
                <c:pt idx="220">
                  <c:v>15.84</c:v>
                </c:pt>
                <c:pt idx="221">
                  <c:v>11.59</c:v>
                </c:pt>
                <c:pt idx="222">
                  <c:v>7.3120000000000003</c:v>
                </c:pt>
                <c:pt idx="223">
                  <c:v>9.49</c:v>
                </c:pt>
                <c:pt idx="224">
                  <c:v>9.31</c:v>
                </c:pt>
                <c:pt idx="225">
                  <c:v>11.12</c:v>
                </c:pt>
                <c:pt idx="226">
                  <c:v>11.83</c:v>
                </c:pt>
                <c:pt idx="227">
                  <c:v>9.0299999999999994</c:v>
                </c:pt>
                <c:pt idx="228">
                  <c:v>8.25</c:v>
                </c:pt>
                <c:pt idx="229">
                  <c:v>11.32</c:v>
                </c:pt>
                <c:pt idx="230">
                  <c:v>12.06</c:v>
                </c:pt>
                <c:pt idx="231">
                  <c:v>15.07</c:v>
                </c:pt>
                <c:pt idx="232">
                  <c:v>11.65</c:v>
                </c:pt>
                <c:pt idx="233">
                  <c:v>9.2100000000000009</c:v>
                </c:pt>
                <c:pt idx="234">
                  <c:v>8.5299999999999994</c:v>
                </c:pt>
                <c:pt idx="235">
                  <c:v>8.15</c:v>
                </c:pt>
                <c:pt idx="236">
                  <c:v>5.9770000000000003</c:v>
                </c:pt>
                <c:pt idx="237">
                  <c:v>7.2510000000000003</c:v>
                </c:pt>
                <c:pt idx="238">
                  <c:v>12.44</c:v>
                </c:pt>
                <c:pt idx="239">
                  <c:v>14.05</c:v>
                </c:pt>
                <c:pt idx="240">
                  <c:v>14.85</c:v>
                </c:pt>
                <c:pt idx="241">
                  <c:v>13.64</c:v>
                </c:pt>
                <c:pt idx="242">
                  <c:v>12.94</c:v>
                </c:pt>
                <c:pt idx="243">
                  <c:v>11.74</c:v>
                </c:pt>
                <c:pt idx="244">
                  <c:v>11.29</c:v>
                </c:pt>
                <c:pt idx="245">
                  <c:v>13.01</c:v>
                </c:pt>
                <c:pt idx="246">
                  <c:v>9.9600000000000009</c:v>
                </c:pt>
                <c:pt idx="247">
                  <c:v>13.47</c:v>
                </c:pt>
                <c:pt idx="248">
                  <c:v>14.46</c:v>
                </c:pt>
                <c:pt idx="249">
                  <c:v>12.51</c:v>
                </c:pt>
                <c:pt idx="250">
                  <c:v>7.4169999999999998</c:v>
                </c:pt>
                <c:pt idx="251">
                  <c:v>5.3319999999999999</c:v>
                </c:pt>
                <c:pt idx="252">
                  <c:v>6.01</c:v>
                </c:pt>
                <c:pt idx="253">
                  <c:v>7.2450000000000001</c:v>
                </c:pt>
                <c:pt idx="254">
                  <c:v>8.25</c:v>
                </c:pt>
                <c:pt idx="255">
                  <c:v>6.3040000000000003</c:v>
                </c:pt>
                <c:pt idx="256">
                  <c:v>5.9539999999999997</c:v>
                </c:pt>
                <c:pt idx="257">
                  <c:v>4.8259999999999996</c:v>
                </c:pt>
                <c:pt idx="258">
                  <c:v>3.661</c:v>
                </c:pt>
                <c:pt idx="259">
                  <c:v>2.73</c:v>
                </c:pt>
                <c:pt idx="260">
                  <c:v>3.504</c:v>
                </c:pt>
                <c:pt idx="261">
                  <c:v>4.4569999999999999</c:v>
                </c:pt>
                <c:pt idx="262">
                  <c:v>4.133</c:v>
                </c:pt>
                <c:pt idx="263">
                  <c:v>7.0439999999999996</c:v>
                </c:pt>
                <c:pt idx="264">
                  <c:v>5.7969999999999997</c:v>
                </c:pt>
                <c:pt idx="265">
                  <c:v>3.702</c:v>
                </c:pt>
                <c:pt idx="266">
                  <c:v>3.8839999999999999</c:v>
                </c:pt>
                <c:pt idx="267">
                  <c:v>3.488</c:v>
                </c:pt>
                <c:pt idx="268">
                  <c:v>1.994</c:v>
                </c:pt>
                <c:pt idx="269">
                  <c:v>-1.5129999999999999</c:v>
                </c:pt>
                <c:pt idx="270">
                  <c:v>-0.79200000000000004</c:v>
                </c:pt>
                <c:pt idx="271">
                  <c:v>-0.58199999999999996</c:v>
                </c:pt>
                <c:pt idx="272">
                  <c:v>-8.3000000000000004E-2</c:v>
                </c:pt>
                <c:pt idx="273">
                  <c:v>0.13</c:v>
                </c:pt>
                <c:pt idx="274">
                  <c:v>0.25800000000000001</c:v>
                </c:pt>
                <c:pt idx="275">
                  <c:v>0.38800000000000001</c:v>
                </c:pt>
                <c:pt idx="276">
                  <c:v>0.40500000000000003</c:v>
                </c:pt>
                <c:pt idx="277">
                  <c:v>0.38500000000000001</c:v>
                </c:pt>
                <c:pt idx="278">
                  <c:v>0.42199999999999999</c:v>
                </c:pt>
                <c:pt idx="279">
                  <c:v>0.33</c:v>
                </c:pt>
                <c:pt idx="280">
                  <c:v>-0.434</c:v>
                </c:pt>
                <c:pt idx="281">
                  <c:v>-0.86499999999999999</c:v>
                </c:pt>
                <c:pt idx="282">
                  <c:v>-0.75700000000000001</c:v>
                </c:pt>
                <c:pt idx="283">
                  <c:v>-0.52600000000000002</c:v>
                </c:pt>
                <c:pt idx="284">
                  <c:v>-0.313</c:v>
                </c:pt>
                <c:pt idx="285">
                  <c:v>7.9000000000000001E-2</c:v>
                </c:pt>
                <c:pt idx="286">
                  <c:v>0.10199999999999999</c:v>
                </c:pt>
                <c:pt idx="287">
                  <c:v>0.106</c:v>
                </c:pt>
                <c:pt idx="288">
                  <c:v>0.26100000000000001</c:v>
                </c:pt>
                <c:pt idx="289">
                  <c:v>0.28199999999999997</c:v>
                </c:pt>
                <c:pt idx="290">
                  <c:v>5.0999999999999997E-2</c:v>
                </c:pt>
                <c:pt idx="291">
                  <c:v>0.17799999999999999</c:v>
                </c:pt>
                <c:pt idx="292">
                  <c:v>-2E-3</c:v>
                </c:pt>
                <c:pt idx="293">
                  <c:v>0.23300000000000001</c:v>
                </c:pt>
                <c:pt idx="294">
                  <c:v>0.29499999999999998</c:v>
                </c:pt>
                <c:pt idx="295">
                  <c:v>0.26500000000000001</c:v>
                </c:pt>
                <c:pt idx="296">
                  <c:v>0.32200000000000001</c:v>
                </c:pt>
                <c:pt idx="297">
                  <c:v>0.28599999999999998</c:v>
                </c:pt>
                <c:pt idx="298">
                  <c:v>-1.2999999999999999E-2</c:v>
                </c:pt>
                <c:pt idx="299">
                  <c:v>-0.83799999999999997</c:v>
                </c:pt>
                <c:pt idx="300">
                  <c:v>-1.0049999999999999</c:v>
                </c:pt>
                <c:pt idx="301">
                  <c:v>-1.5169999999999999</c:v>
                </c:pt>
                <c:pt idx="302">
                  <c:v>-0.93</c:v>
                </c:pt>
                <c:pt idx="303">
                  <c:v>-0.66700000000000004</c:v>
                </c:pt>
                <c:pt idx="304">
                  <c:v>-0.64</c:v>
                </c:pt>
                <c:pt idx="305">
                  <c:v>-2.1000000000000001E-2</c:v>
                </c:pt>
                <c:pt idx="306">
                  <c:v>4.7E-2</c:v>
                </c:pt>
                <c:pt idx="307">
                  <c:v>6.2E-2</c:v>
                </c:pt>
                <c:pt idx="308">
                  <c:v>6.2E-2</c:v>
                </c:pt>
                <c:pt idx="309">
                  <c:v>-0.66400000000000003</c:v>
                </c:pt>
                <c:pt idx="310">
                  <c:v>-0.505</c:v>
                </c:pt>
                <c:pt idx="311">
                  <c:v>6.9000000000000006E-2</c:v>
                </c:pt>
                <c:pt idx="312">
                  <c:v>7.6999999999999999E-2</c:v>
                </c:pt>
                <c:pt idx="313">
                  <c:v>-0.70799999999999996</c:v>
                </c:pt>
                <c:pt idx="314">
                  <c:v>-1.367</c:v>
                </c:pt>
                <c:pt idx="315">
                  <c:v>-0.28199999999999997</c:v>
                </c:pt>
                <c:pt idx="316">
                  <c:v>-0.17499999999999999</c:v>
                </c:pt>
                <c:pt idx="317">
                  <c:v>-0.33200000000000002</c:v>
                </c:pt>
                <c:pt idx="318">
                  <c:v>-0.21</c:v>
                </c:pt>
                <c:pt idx="319">
                  <c:v>-0.34100000000000003</c:v>
                </c:pt>
                <c:pt idx="320">
                  <c:v>1.7999999999999999E-2</c:v>
                </c:pt>
                <c:pt idx="321">
                  <c:v>-9.4E-2</c:v>
                </c:pt>
                <c:pt idx="322">
                  <c:v>-0.19600000000000001</c:v>
                </c:pt>
                <c:pt idx="323">
                  <c:v>-0.437</c:v>
                </c:pt>
                <c:pt idx="324">
                  <c:v>-0.16500000000000001</c:v>
                </c:pt>
                <c:pt idx="325">
                  <c:v>-0.27600000000000002</c:v>
                </c:pt>
                <c:pt idx="326">
                  <c:v>-0.17599999999999999</c:v>
                </c:pt>
                <c:pt idx="327">
                  <c:v>-0.44400000000000001</c:v>
                </c:pt>
                <c:pt idx="328">
                  <c:v>-0.48399999999999999</c:v>
                </c:pt>
                <c:pt idx="329">
                  <c:v>-0.751</c:v>
                </c:pt>
                <c:pt idx="330">
                  <c:v>-0.91800000000000004</c:v>
                </c:pt>
                <c:pt idx="331">
                  <c:v>-1.06</c:v>
                </c:pt>
                <c:pt idx="332">
                  <c:v>-1.0860000000000001</c:v>
                </c:pt>
                <c:pt idx="333">
                  <c:v>-0.85099999999999998</c:v>
                </c:pt>
                <c:pt idx="334">
                  <c:v>-0.99399999999999999</c:v>
                </c:pt>
                <c:pt idx="335">
                  <c:v>-0.441</c:v>
                </c:pt>
                <c:pt idx="336">
                  <c:v>-0.17799999999999999</c:v>
                </c:pt>
                <c:pt idx="337">
                  <c:v>-0.17499999999999999</c:v>
                </c:pt>
                <c:pt idx="338">
                  <c:v>-0.44800000000000001</c:v>
                </c:pt>
                <c:pt idx="339">
                  <c:v>-0.23400000000000001</c:v>
                </c:pt>
                <c:pt idx="340">
                  <c:v>-0.2</c:v>
                </c:pt>
                <c:pt idx="341">
                  <c:v>-0.32200000000000001</c:v>
                </c:pt>
                <c:pt idx="342">
                  <c:v>-0.374</c:v>
                </c:pt>
                <c:pt idx="343">
                  <c:v>-0.217</c:v>
                </c:pt>
                <c:pt idx="344">
                  <c:v>-0.23400000000000001</c:v>
                </c:pt>
                <c:pt idx="345">
                  <c:v>-0.24299999999999999</c:v>
                </c:pt>
                <c:pt idx="346">
                  <c:v>-0.20699999999999999</c:v>
                </c:pt>
                <c:pt idx="347">
                  <c:v>-0.20799999999999999</c:v>
                </c:pt>
                <c:pt idx="348">
                  <c:v>-0.25</c:v>
                </c:pt>
                <c:pt idx="349">
                  <c:v>-0.32200000000000001</c:v>
                </c:pt>
                <c:pt idx="350">
                  <c:v>-0.249</c:v>
                </c:pt>
                <c:pt idx="351">
                  <c:v>-0.30299999999999999</c:v>
                </c:pt>
                <c:pt idx="352">
                  <c:v>-0.32800000000000001</c:v>
                </c:pt>
                <c:pt idx="353">
                  <c:v>-0.22900000000000001</c:v>
                </c:pt>
                <c:pt idx="354">
                  <c:v>-0.10199999999999999</c:v>
                </c:pt>
                <c:pt idx="355">
                  <c:v>-0.122</c:v>
                </c:pt>
                <c:pt idx="356">
                  <c:v>-0.14299999999999999</c:v>
                </c:pt>
                <c:pt idx="357">
                  <c:v>-0.16200000000000001</c:v>
                </c:pt>
                <c:pt idx="358">
                  <c:v>-0.19800000000000001</c:v>
                </c:pt>
                <c:pt idx="359">
                  <c:v>-0.26700000000000002</c:v>
                </c:pt>
                <c:pt idx="360">
                  <c:v>-0.29499999999999998</c:v>
                </c:pt>
                <c:pt idx="361">
                  <c:v>-0.26500000000000001</c:v>
                </c:pt>
                <c:pt idx="362">
                  <c:v>-0.192</c:v>
                </c:pt>
                <c:pt idx="363">
                  <c:v>-0.14799999999999999</c:v>
                </c:pt>
                <c:pt idx="364">
                  <c:v>-0.13700000000000001</c:v>
                </c:pt>
              </c:numCache>
            </c:numRef>
          </c:val>
          <c:smooth val="0"/>
        </c:ser>
        <c:ser>
          <c:idx val="1"/>
          <c:order val="1"/>
          <c:tx>
            <c:v>TS20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-1.181</c:v>
                </c:pt>
                <c:pt idx="1">
                  <c:v>-1.1359999999999999</c:v>
                </c:pt>
                <c:pt idx="2">
                  <c:v>-0.98699999999999999</c:v>
                </c:pt>
                <c:pt idx="3">
                  <c:v>-0.84699999999999998</c:v>
                </c:pt>
                <c:pt idx="4">
                  <c:v>-0.79400000000000004</c:v>
                </c:pt>
                <c:pt idx="5">
                  <c:v>-0.82299999999999995</c:v>
                </c:pt>
                <c:pt idx="6">
                  <c:v>-0.94599999999999995</c:v>
                </c:pt>
                <c:pt idx="7">
                  <c:v>-1.2929999999999999</c:v>
                </c:pt>
                <c:pt idx="8">
                  <c:v>-1.629</c:v>
                </c:pt>
                <c:pt idx="9">
                  <c:v>-1.452</c:v>
                </c:pt>
                <c:pt idx="10">
                  <c:v>-1.1439999999999999</c:v>
                </c:pt>
                <c:pt idx="11">
                  <c:v>-1.008</c:v>
                </c:pt>
                <c:pt idx="12">
                  <c:v>-0.97099999999999997</c:v>
                </c:pt>
                <c:pt idx="13">
                  <c:v>-0.91300000000000003</c:v>
                </c:pt>
                <c:pt idx="14">
                  <c:v>-0.90700000000000003</c:v>
                </c:pt>
                <c:pt idx="15">
                  <c:v>-1.0680000000000001</c:v>
                </c:pt>
                <c:pt idx="16">
                  <c:v>-1.1739999999999999</c:v>
                </c:pt>
                <c:pt idx="17">
                  <c:v>-1.101</c:v>
                </c:pt>
                <c:pt idx="18">
                  <c:v>-1.0489999999999999</c:v>
                </c:pt>
                <c:pt idx="19">
                  <c:v>-1.0409999999999999</c:v>
                </c:pt>
                <c:pt idx="20">
                  <c:v>-1.1559999999999999</c:v>
                </c:pt>
                <c:pt idx="21">
                  <c:v>-1.3220000000000001</c:v>
                </c:pt>
                <c:pt idx="22">
                  <c:v>-1.3939999999999999</c:v>
                </c:pt>
                <c:pt idx="23">
                  <c:v>-1.3</c:v>
                </c:pt>
                <c:pt idx="24">
                  <c:v>-1.17</c:v>
                </c:pt>
                <c:pt idx="25">
                  <c:v>-0.998</c:v>
                </c:pt>
                <c:pt idx="26">
                  <c:v>-0.69199999999999995</c:v>
                </c:pt>
                <c:pt idx="27">
                  <c:v>-0.67900000000000005</c:v>
                </c:pt>
                <c:pt idx="28">
                  <c:v>-1.028</c:v>
                </c:pt>
                <c:pt idx="29">
                  <c:v>-1.24</c:v>
                </c:pt>
                <c:pt idx="30">
                  <c:v>-1.111</c:v>
                </c:pt>
                <c:pt idx="31">
                  <c:v>-0.85599999999999998</c:v>
                </c:pt>
                <c:pt idx="32">
                  <c:v>-0.72599999999999998</c:v>
                </c:pt>
                <c:pt idx="33">
                  <c:v>-0.82099999999999995</c:v>
                </c:pt>
                <c:pt idx="34">
                  <c:v>-1.2869999999999999</c:v>
                </c:pt>
                <c:pt idx="35">
                  <c:v>-2.1019999999999999</c:v>
                </c:pt>
                <c:pt idx="36">
                  <c:v>-2.778</c:v>
                </c:pt>
                <c:pt idx="37">
                  <c:v>-3.173</c:v>
                </c:pt>
                <c:pt idx="38">
                  <c:v>-3.117</c:v>
                </c:pt>
                <c:pt idx="39">
                  <c:v>-2.8889999999999998</c:v>
                </c:pt>
                <c:pt idx="40">
                  <c:v>-2.8279999999999998</c:v>
                </c:pt>
                <c:pt idx="41">
                  <c:v>-2.8820000000000001</c:v>
                </c:pt>
                <c:pt idx="42">
                  <c:v>-2.911</c:v>
                </c:pt>
                <c:pt idx="43">
                  <c:v>-2.7519999999999998</c:v>
                </c:pt>
                <c:pt idx="44">
                  <c:v>-2.5190000000000001</c:v>
                </c:pt>
                <c:pt idx="45">
                  <c:v>-2.298</c:v>
                </c:pt>
                <c:pt idx="46">
                  <c:v>-2.0230000000000001</c:v>
                </c:pt>
                <c:pt idx="47">
                  <c:v>-1.776</c:v>
                </c:pt>
                <c:pt idx="48">
                  <c:v>-1.64</c:v>
                </c:pt>
                <c:pt idx="49">
                  <c:v>-1.579</c:v>
                </c:pt>
                <c:pt idx="50">
                  <c:v>-1.5549999999999999</c:v>
                </c:pt>
                <c:pt idx="51">
                  <c:v>-1.492</c:v>
                </c:pt>
                <c:pt idx="52">
                  <c:v>-1.4370000000000001</c:v>
                </c:pt>
                <c:pt idx="53">
                  <c:v>-1.411</c:v>
                </c:pt>
                <c:pt idx="54">
                  <c:v>-1.3879999999999999</c:v>
                </c:pt>
                <c:pt idx="55">
                  <c:v>-1.371</c:v>
                </c:pt>
                <c:pt idx="56">
                  <c:v>-1.3740000000000001</c:v>
                </c:pt>
                <c:pt idx="57">
                  <c:v>-1.401</c:v>
                </c:pt>
                <c:pt idx="58">
                  <c:v>-1.468</c:v>
                </c:pt>
                <c:pt idx="59">
                  <c:v>-1.4770000000000001</c:v>
                </c:pt>
                <c:pt idx="60">
                  <c:v>-1.4530000000000001</c:v>
                </c:pt>
                <c:pt idx="61">
                  <c:v>-1.4470000000000001</c:v>
                </c:pt>
                <c:pt idx="62">
                  <c:v>-1.5129999999999999</c:v>
                </c:pt>
                <c:pt idx="63">
                  <c:v>-1.605</c:v>
                </c:pt>
                <c:pt idx="64">
                  <c:v>-1.66</c:v>
                </c:pt>
                <c:pt idx="65">
                  <c:v>-1.613</c:v>
                </c:pt>
                <c:pt idx="66">
                  <c:v>-1.504</c:v>
                </c:pt>
                <c:pt idx="67">
                  <c:v>-1.3939999999999999</c:v>
                </c:pt>
                <c:pt idx="68">
                  <c:v>-1.333</c:v>
                </c:pt>
                <c:pt idx="69">
                  <c:v>-1.319</c:v>
                </c:pt>
                <c:pt idx="70">
                  <c:v>-1.286</c:v>
                </c:pt>
                <c:pt idx="71">
                  <c:v>-1.2509999999999999</c:v>
                </c:pt>
                <c:pt idx="72">
                  <c:v>-1.1830000000000001</c:v>
                </c:pt>
                <c:pt idx="73">
                  <c:v>-1.111</c:v>
                </c:pt>
                <c:pt idx="74">
                  <c:v>-1.03</c:v>
                </c:pt>
                <c:pt idx="75">
                  <c:v>-0.91300000000000003</c:v>
                </c:pt>
                <c:pt idx="76">
                  <c:v>-0.50800000000000001</c:v>
                </c:pt>
                <c:pt idx="77">
                  <c:v>4.2999999999999997E-2</c:v>
                </c:pt>
                <c:pt idx="78">
                  <c:v>6.6000000000000003E-2</c:v>
                </c:pt>
                <c:pt idx="79">
                  <c:v>5.8000000000000003E-2</c:v>
                </c:pt>
                <c:pt idx="80">
                  <c:v>5.6000000000000001E-2</c:v>
                </c:pt>
                <c:pt idx="81">
                  <c:v>4.8000000000000001E-2</c:v>
                </c:pt>
                <c:pt idx="82">
                  <c:v>4.9000000000000002E-2</c:v>
                </c:pt>
                <c:pt idx="83">
                  <c:v>3.5999999999999997E-2</c:v>
                </c:pt>
                <c:pt idx="84">
                  <c:v>1.2E-2</c:v>
                </c:pt>
                <c:pt idx="85">
                  <c:v>1.7000000000000001E-2</c:v>
                </c:pt>
                <c:pt idx="86">
                  <c:v>2.5000000000000001E-2</c:v>
                </c:pt>
                <c:pt idx="87">
                  <c:v>4.1000000000000002E-2</c:v>
                </c:pt>
                <c:pt idx="88">
                  <c:v>4.3999999999999997E-2</c:v>
                </c:pt>
                <c:pt idx="89">
                  <c:v>4.8000000000000001E-2</c:v>
                </c:pt>
                <c:pt idx="90">
                  <c:v>0.03</c:v>
                </c:pt>
                <c:pt idx="91">
                  <c:v>2.9000000000000001E-2</c:v>
                </c:pt>
                <c:pt idx="92">
                  <c:v>4.8000000000000001E-2</c:v>
                </c:pt>
                <c:pt idx="93">
                  <c:v>2.8000000000000001E-2</c:v>
                </c:pt>
                <c:pt idx="94">
                  <c:v>4.2000000000000003E-2</c:v>
                </c:pt>
                <c:pt idx="95">
                  <c:v>6.0000000000000001E-3</c:v>
                </c:pt>
                <c:pt idx="96">
                  <c:v>1.4999999999999999E-2</c:v>
                </c:pt>
                <c:pt idx="97">
                  <c:v>2.4E-2</c:v>
                </c:pt>
                <c:pt idx="98">
                  <c:v>0.02</c:v>
                </c:pt>
                <c:pt idx="99">
                  <c:v>7.0000000000000001E-3</c:v>
                </c:pt>
                <c:pt idx="100">
                  <c:v>5.0000000000000001E-3</c:v>
                </c:pt>
                <c:pt idx="101">
                  <c:v>1.2E-2</c:v>
                </c:pt>
                <c:pt idx="102">
                  <c:v>1.9E-2</c:v>
                </c:pt>
                <c:pt idx="103">
                  <c:v>4.0000000000000001E-3</c:v>
                </c:pt>
                <c:pt idx="104">
                  <c:v>0</c:v>
                </c:pt>
                <c:pt idx="105">
                  <c:v>2.4E-2</c:v>
                </c:pt>
                <c:pt idx="106">
                  <c:v>4.7E-2</c:v>
                </c:pt>
                <c:pt idx="107">
                  <c:v>4.8000000000000001E-2</c:v>
                </c:pt>
                <c:pt idx="108">
                  <c:v>4.5999999999999999E-2</c:v>
                </c:pt>
                <c:pt idx="109">
                  <c:v>2.8000000000000001E-2</c:v>
                </c:pt>
                <c:pt idx="110">
                  <c:v>2.8000000000000001E-2</c:v>
                </c:pt>
                <c:pt idx="111">
                  <c:v>4.8000000000000001E-2</c:v>
                </c:pt>
                <c:pt idx="112">
                  <c:v>4.7E-2</c:v>
                </c:pt>
                <c:pt idx="113">
                  <c:v>0.02</c:v>
                </c:pt>
                <c:pt idx="114">
                  <c:v>2.4E-2</c:v>
                </c:pt>
                <c:pt idx="115">
                  <c:v>3.6999999999999998E-2</c:v>
                </c:pt>
                <c:pt idx="116">
                  <c:v>-6.0000000000000001E-3</c:v>
                </c:pt>
                <c:pt idx="117">
                  <c:v>1.2999999999999999E-2</c:v>
                </c:pt>
                <c:pt idx="118">
                  <c:v>6.0000000000000001E-3</c:v>
                </c:pt>
                <c:pt idx="119">
                  <c:v>1.7000000000000001E-2</c:v>
                </c:pt>
                <c:pt idx="120">
                  <c:v>1.7000000000000001E-2</c:v>
                </c:pt>
                <c:pt idx="121">
                  <c:v>2.1000000000000001E-2</c:v>
                </c:pt>
                <c:pt idx="122">
                  <c:v>3.2000000000000001E-2</c:v>
                </c:pt>
                <c:pt idx="123">
                  <c:v>4.4999999999999998E-2</c:v>
                </c:pt>
                <c:pt idx="124">
                  <c:v>4.2000000000000003E-2</c:v>
                </c:pt>
                <c:pt idx="125">
                  <c:v>4.8000000000000001E-2</c:v>
                </c:pt>
                <c:pt idx="126">
                  <c:v>4.9000000000000002E-2</c:v>
                </c:pt>
                <c:pt idx="127">
                  <c:v>4.8000000000000001E-2</c:v>
                </c:pt>
                <c:pt idx="128">
                  <c:v>4.7E-2</c:v>
                </c:pt>
                <c:pt idx="129">
                  <c:v>5.3999999999999999E-2</c:v>
                </c:pt>
                <c:pt idx="130">
                  <c:v>5.8000000000000003E-2</c:v>
                </c:pt>
                <c:pt idx="131">
                  <c:v>7.8E-2</c:v>
                </c:pt>
                <c:pt idx="132">
                  <c:v>0.39400000000000002</c:v>
                </c:pt>
                <c:pt idx="133">
                  <c:v>1.6779999999999999</c:v>
                </c:pt>
                <c:pt idx="134">
                  <c:v>2.9159999999999999</c:v>
                </c:pt>
                <c:pt idx="135">
                  <c:v>3.4950000000000001</c:v>
                </c:pt>
                <c:pt idx="136">
                  <c:v>2.2909999999999999</c:v>
                </c:pt>
                <c:pt idx="137">
                  <c:v>1.7509999999999999</c:v>
                </c:pt>
                <c:pt idx="138">
                  <c:v>3.3039999999999998</c:v>
                </c:pt>
                <c:pt idx="139">
                  <c:v>3.1539999999999999</c:v>
                </c:pt>
                <c:pt idx="140">
                  <c:v>3.0710000000000002</c:v>
                </c:pt>
                <c:pt idx="141">
                  <c:v>6.14</c:v>
                </c:pt>
                <c:pt idx="142">
                  <c:v>6.97</c:v>
                </c:pt>
                <c:pt idx="143">
                  <c:v>5.9349999999999996</c:v>
                </c:pt>
                <c:pt idx="144">
                  <c:v>4.1529999999999996</c:v>
                </c:pt>
                <c:pt idx="145">
                  <c:v>5.8239999999999998</c:v>
                </c:pt>
                <c:pt idx="146">
                  <c:v>9.27</c:v>
                </c:pt>
                <c:pt idx="147">
                  <c:v>12.18</c:v>
                </c:pt>
                <c:pt idx="148">
                  <c:v>13.22</c:v>
                </c:pt>
                <c:pt idx="149">
                  <c:v>11.43</c:v>
                </c:pt>
                <c:pt idx="150">
                  <c:v>10.8</c:v>
                </c:pt>
                <c:pt idx="151">
                  <c:v>12.93</c:v>
                </c:pt>
                <c:pt idx="152">
                  <c:v>13.13</c:v>
                </c:pt>
                <c:pt idx="153">
                  <c:v>8.6999999999999993</c:v>
                </c:pt>
                <c:pt idx="154">
                  <c:v>7.2110000000000003</c:v>
                </c:pt>
                <c:pt idx="155">
                  <c:v>5.444</c:v>
                </c:pt>
                <c:pt idx="156">
                  <c:v>1.7130000000000001</c:v>
                </c:pt>
                <c:pt idx="157">
                  <c:v>0.44600000000000001</c:v>
                </c:pt>
                <c:pt idx="158">
                  <c:v>1.385</c:v>
                </c:pt>
                <c:pt idx="159">
                  <c:v>5.0640000000000001</c:v>
                </c:pt>
                <c:pt idx="160">
                  <c:v>6.4660000000000002</c:v>
                </c:pt>
                <c:pt idx="161">
                  <c:v>11.12</c:v>
                </c:pt>
                <c:pt idx="162">
                  <c:v>14.33</c:v>
                </c:pt>
                <c:pt idx="163">
                  <c:v>14.43</c:v>
                </c:pt>
                <c:pt idx="164">
                  <c:v>11.75</c:v>
                </c:pt>
                <c:pt idx="165">
                  <c:v>13.22</c:v>
                </c:pt>
                <c:pt idx="166">
                  <c:v>12.87</c:v>
                </c:pt>
                <c:pt idx="167">
                  <c:v>13.18</c:v>
                </c:pt>
                <c:pt idx="168">
                  <c:v>9.84</c:v>
                </c:pt>
                <c:pt idx="169">
                  <c:v>1.375</c:v>
                </c:pt>
                <c:pt idx="170">
                  <c:v>-0.16</c:v>
                </c:pt>
                <c:pt idx="171">
                  <c:v>5.0720000000000001</c:v>
                </c:pt>
                <c:pt idx="172">
                  <c:v>7.9139999999999997</c:v>
                </c:pt>
                <c:pt idx="173">
                  <c:v>5.282</c:v>
                </c:pt>
                <c:pt idx="174">
                  <c:v>4.101</c:v>
                </c:pt>
                <c:pt idx="175">
                  <c:v>5.9950000000000001</c:v>
                </c:pt>
                <c:pt idx="176">
                  <c:v>8.3800000000000008</c:v>
                </c:pt>
                <c:pt idx="177">
                  <c:v>6.024</c:v>
                </c:pt>
                <c:pt idx="178">
                  <c:v>4.72</c:v>
                </c:pt>
                <c:pt idx="179">
                  <c:v>5.5679999999999996</c:v>
                </c:pt>
                <c:pt idx="180">
                  <c:v>8.65</c:v>
                </c:pt>
                <c:pt idx="181">
                  <c:v>11.74</c:v>
                </c:pt>
                <c:pt idx="182">
                  <c:v>9.01</c:v>
                </c:pt>
                <c:pt idx="183">
                  <c:v>10.62</c:v>
                </c:pt>
                <c:pt idx="184">
                  <c:v>8.8699999999999992</c:v>
                </c:pt>
                <c:pt idx="185">
                  <c:v>7.5869999999999997</c:v>
                </c:pt>
                <c:pt idx="186">
                  <c:v>7.2880000000000003</c:v>
                </c:pt>
                <c:pt idx="187">
                  <c:v>7.3109999999999999</c:v>
                </c:pt>
                <c:pt idx="188">
                  <c:v>7.6849999999999996</c:v>
                </c:pt>
                <c:pt idx="189">
                  <c:v>10.88</c:v>
                </c:pt>
                <c:pt idx="190">
                  <c:v>9.84</c:v>
                </c:pt>
                <c:pt idx="191">
                  <c:v>9.57</c:v>
                </c:pt>
                <c:pt idx="192">
                  <c:v>11.06</c:v>
                </c:pt>
                <c:pt idx="193">
                  <c:v>11.08</c:v>
                </c:pt>
                <c:pt idx="194">
                  <c:v>9.57</c:v>
                </c:pt>
                <c:pt idx="195">
                  <c:v>9.51</c:v>
                </c:pt>
                <c:pt idx="196">
                  <c:v>8.59</c:v>
                </c:pt>
                <c:pt idx="197">
                  <c:v>7.8449999999999998</c:v>
                </c:pt>
                <c:pt idx="198">
                  <c:v>4.5860000000000003</c:v>
                </c:pt>
                <c:pt idx="199">
                  <c:v>5.0599999999999996</c:v>
                </c:pt>
                <c:pt idx="200">
                  <c:v>6.9480000000000004</c:v>
                </c:pt>
                <c:pt idx="201">
                  <c:v>12.14</c:v>
                </c:pt>
                <c:pt idx="202">
                  <c:v>14.71</c:v>
                </c:pt>
                <c:pt idx="203">
                  <c:v>13.65</c:v>
                </c:pt>
                <c:pt idx="204">
                  <c:v>6.4939999999999998</c:v>
                </c:pt>
                <c:pt idx="205">
                  <c:v>10.88</c:v>
                </c:pt>
                <c:pt idx="206">
                  <c:v>14.88</c:v>
                </c:pt>
                <c:pt idx="207">
                  <c:v>11.25</c:v>
                </c:pt>
                <c:pt idx="208">
                  <c:v>10.41</c:v>
                </c:pt>
                <c:pt idx="209">
                  <c:v>13.78</c:v>
                </c:pt>
                <c:pt idx="210">
                  <c:v>12.53</c:v>
                </c:pt>
                <c:pt idx="211">
                  <c:v>12.79</c:v>
                </c:pt>
                <c:pt idx="212">
                  <c:v>14.09</c:v>
                </c:pt>
                <c:pt idx="213">
                  <c:v>12.96</c:v>
                </c:pt>
                <c:pt idx="214">
                  <c:v>9.67</c:v>
                </c:pt>
                <c:pt idx="215">
                  <c:v>11.7</c:v>
                </c:pt>
                <c:pt idx="216">
                  <c:v>15.14</c:v>
                </c:pt>
                <c:pt idx="217">
                  <c:v>17.7</c:v>
                </c:pt>
                <c:pt idx="218">
                  <c:v>18.22</c:v>
                </c:pt>
                <c:pt idx="219">
                  <c:v>17.72</c:v>
                </c:pt>
                <c:pt idx="220">
                  <c:v>15.9</c:v>
                </c:pt>
                <c:pt idx="221">
                  <c:v>11.65</c:v>
                </c:pt>
                <c:pt idx="222">
                  <c:v>7.1989999999999998</c:v>
                </c:pt>
                <c:pt idx="223">
                  <c:v>9.2200000000000006</c:v>
                </c:pt>
                <c:pt idx="224">
                  <c:v>9.33</c:v>
                </c:pt>
                <c:pt idx="225">
                  <c:v>11.19</c:v>
                </c:pt>
                <c:pt idx="226">
                  <c:v>11.83</c:v>
                </c:pt>
                <c:pt idx="227">
                  <c:v>8.98</c:v>
                </c:pt>
                <c:pt idx="228">
                  <c:v>8.1999999999999993</c:v>
                </c:pt>
                <c:pt idx="229">
                  <c:v>11.31</c:v>
                </c:pt>
                <c:pt idx="230">
                  <c:v>12.08</c:v>
                </c:pt>
                <c:pt idx="231">
                  <c:v>15.18</c:v>
                </c:pt>
                <c:pt idx="232">
                  <c:v>11.82</c:v>
                </c:pt>
                <c:pt idx="233">
                  <c:v>9.1300000000000008</c:v>
                </c:pt>
                <c:pt idx="234">
                  <c:v>8.59</c:v>
                </c:pt>
                <c:pt idx="235">
                  <c:v>8.1199999999999992</c:v>
                </c:pt>
                <c:pt idx="236">
                  <c:v>5.875</c:v>
                </c:pt>
                <c:pt idx="237">
                  <c:v>7.2169999999999996</c:v>
                </c:pt>
                <c:pt idx="238">
                  <c:v>12.49</c:v>
                </c:pt>
                <c:pt idx="239">
                  <c:v>14.15</c:v>
                </c:pt>
                <c:pt idx="240">
                  <c:v>15</c:v>
                </c:pt>
                <c:pt idx="241">
                  <c:v>13.65</c:v>
                </c:pt>
                <c:pt idx="242">
                  <c:v>13.01</c:v>
                </c:pt>
                <c:pt idx="243">
                  <c:v>11.7</c:v>
                </c:pt>
                <c:pt idx="244">
                  <c:v>11.3</c:v>
                </c:pt>
                <c:pt idx="245">
                  <c:v>13.02</c:v>
                </c:pt>
                <c:pt idx="246">
                  <c:v>9.83</c:v>
                </c:pt>
                <c:pt idx="247">
                  <c:v>13.59</c:v>
                </c:pt>
                <c:pt idx="248">
                  <c:v>14.51</c:v>
                </c:pt>
                <c:pt idx="249">
                  <c:v>12.51</c:v>
                </c:pt>
                <c:pt idx="250">
                  <c:v>7.3570000000000002</c:v>
                </c:pt>
                <c:pt idx="251">
                  <c:v>5.25</c:v>
                </c:pt>
                <c:pt idx="252">
                  <c:v>5.8840000000000003</c:v>
                </c:pt>
                <c:pt idx="253">
                  <c:v>7.0960000000000001</c:v>
                </c:pt>
                <c:pt idx="254">
                  <c:v>8.18</c:v>
                </c:pt>
                <c:pt idx="255">
                  <c:v>6.2439999999999998</c:v>
                </c:pt>
                <c:pt idx="256">
                  <c:v>5.8879999999999999</c:v>
                </c:pt>
                <c:pt idx="257">
                  <c:v>4.7809999999999997</c:v>
                </c:pt>
                <c:pt idx="258">
                  <c:v>3.4969999999999999</c:v>
                </c:pt>
                <c:pt idx="259">
                  <c:v>2.65</c:v>
                </c:pt>
                <c:pt idx="260">
                  <c:v>3.4289999999999998</c:v>
                </c:pt>
                <c:pt idx="261">
                  <c:v>4.33</c:v>
                </c:pt>
                <c:pt idx="262">
                  <c:v>4.0430000000000001</c:v>
                </c:pt>
                <c:pt idx="263">
                  <c:v>6.9569999999999999</c:v>
                </c:pt>
                <c:pt idx="264">
                  <c:v>5.7889999999999997</c:v>
                </c:pt>
                <c:pt idx="265">
                  <c:v>3.633</c:v>
                </c:pt>
                <c:pt idx="266">
                  <c:v>3.75</c:v>
                </c:pt>
                <c:pt idx="267">
                  <c:v>3.44</c:v>
                </c:pt>
                <c:pt idx="268">
                  <c:v>1.835</c:v>
                </c:pt>
                <c:pt idx="269">
                  <c:v>-1.6240000000000001</c:v>
                </c:pt>
                <c:pt idx="270">
                  <c:v>-1.9410000000000001</c:v>
                </c:pt>
                <c:pt idx="271">
                  <c:v>-2.694</c:v>
                </c:pt>
                <c:pt idx="272">
                  <c:v>-2.4500000000000002</c:v>
                </c:pt>
                <c:pt idx="273">
                  <c:v>-1.546</c:v>
                </c:pt>
                <c:pt idx="274">
                  <c:v>-1.133</c:v>
                </c:pt>
                <c:pt idx="275">
                  <c:v>-0.92500000000000004</c:v>
                </c:pt>
                <c:pt idx="276">
                  <c:v>-0.61899999999999999</c:v>
                </c:pt>
                <c:pt idx="277">
                  <c:v>-0.53600000000000003</c:v>
                </c:pt>
                <c:pt idx="278">
                  <c:v>-0.86799999999999999</c:v>
                </c:pt>
                <c:pt idx="279">
                  <c:v>1.01</c:v>
                </c:pt>
                <c:pt idx="280">
                  <c:v>-5.4349999999999996</c:v>
                </c:pt>
                <c:pt idx="281">
                  <c:v>-9.19</c:v>
                </c:pt>
                <c:pt idx="282">
                  <c:v>-5.2309999999999999</c:v>
                </c:pt>
                <c:pt idx="283">
                  <c:v>-2.6179999999999999</c:v>
                </c:pt>
                <c:pt idx="284">
                  <c:v>-0.67700000000000005</c:v>
                </c:pt>
                <c:pt idx="285">
                  <c:v>-0.84</c:v>
                </c:pt>
                <c:pt idx="286">
                  <c:v>-1.345</c:v>
                </c:pt>
                <c:pt idx="287">
                  <c:v>-1.0549999999999999</c:v>
                </c:pt>
                <c:pt idx="288">
                  <c:v>0.48299999999999998</c:v>
                </c:pt>
                <c:pt idx="289">
                  <c:v>-0.30499999999999999</c:v>
                </c:pt>
                <c:pt idx="290">
                  <c:v>-2.298</c:v>
                </c:pt>
                <c:pt idx="291">
                  <c:v>-2.665</c:v>
                </c:pt>
                <c:pt idx="292">
                  <c:v>-2.4809999999999999</c:v>
                </c:pt>
                <c:pt idx="293">
                  <c:v>-0.872</c:v>
                </c:pt>
                <c:pt idx="294">
                  <c:v>0</c:v>
                </c:pt>
                <c:pt idx="295">
                  <c:v>-0.89400000000000002</c:v>
                </c:pt>
                <c:pt idx="296">
                  <c:v>-0.34399999999999997</c:v>
                </c:pt>
                <c:pt idx="297">
                  <c:v>-0.91600000000000004</c:v>
                </c:pt>
                <c:pt idx="298">
                  <c:v>-5.48</c:v>
                </c:pt>
                <c:pt idx="299">
                  <c:v>-6.923</c:v>
                </c:pt>
                <c:pt idx="300">
                  <c:v>-8.1199999999999992</c:v>
                </c:pt>
                <c:pt idx="301">
                  <c:v>-10.63</c:v>
                </c:pt>
                <c:pt idx="302">
                  <c:v>-5.3330000000000002</c:v>
                </c:pt>
                <c:pt idx="303">
                  <c:v>-3.9430000000000001</c:v>
                </c:pt>
                <c:pt idx="304">
                  <c:v>-2.883</c:v>
                </c:pt>
                <c:pt idx="305">
                  <c:v>1.069</c:v>
                </c:pt>
                <c:pt idx="306">
                  <c:v>0.307</c:v>
                </c:pt>
                <c:pt idx="307">
                  <c:v>1.623</c:v>
                </c:pt>
                <c:pt idx="308">
                  <c:v>0.37</c:v>
                </c:pt>
                <c:pt idx="309">
                  <c:v>-2.48</c:v>
                </c:pt>
                <c:pt idx="310">
                  <c:v>-0.45800000000000002</c:v>
                </c:pt>
                <c:pt idx="311">
                  <c:v>2.714</c:v>
                </c:pt>
                <c:pt idx="312">
                  <c:v>0.85599999999999998</c:v>
                </c:pt>
                <c:pt idx="313">
                  <c:v>-2.7090000000000001</c:v>
                </c:pt>
                <c:pt idx="314">
                  <c:v>-3.4649999999999999</c:v>
                </c:pt>
                <c:pt idx="315">
                  <c:v>-1.8420000000000001</c:v>
                </c:pt>
                <c:pt idx="316">
                  <c:v>-1.663</c:v>
                </c:pt>
                <c:pt idx="317">
                  <c:v>-2.1970000000000001</c:v>
                </c:pt>
                <c:pt idx="318">
                  <c:v>-1.681</c:v>
                </c:pt>
                <c:pt idx="319">
                  <c:v>-2.637</c:v>
                </c:pt>
                <c:pt idx="320">
                  <c:v>0.20699999999999999</c:v>
                </c:pt>
                <c:pt idx="321">
                  <c:v>-1.377</c:v>
                </c:pt>
                <c:pt idx="322">
                  <c:v>-2.9550000000000001</c:v>
                </c:pt>
                <c:pt idx="323">
                  <c:v>-5.1189999999999998</c:v>
                </c:pt>
                <c:pt idx="324">
                  <c:v>-1.944</c:v>
                </c:pt>
                <c:pt idx="325">
                  <c:v>-3.0680000000000001</c:v>
                </c:pt>
                <c:pt idx="326">
                  <c:v>-1.859</c:v>
                </c:pt>
                <c:pt idx="327">
                  <c:v>-4.4690000000000003</c:v>
                </c:pt>
                <c:pt idx="328">
                  <c:v>-5.0810000000000004</c:v>
                </c:pt>
                <c:pt idx="329">
                  <c:v>-7.7080000000000002</c:v>
                </c:pt>
                <c:pt idx="330">
                  <c:v>-8.69</c:v>
                </c:pt>
                <c:pt idx="331">
                  <c:v>-9.51</c:v>
                </c:pt>
                <c:pt idx="332">
                  <c:v>-8.5</c:v>
                </c:pt>
                <c:pt idx="333">
                  <c:v>-6.9420000000000002</c:v>
                </c:pt>
                <c:pt idx="334">
                  <c:v>-7.319</c:v>
                </c:pt>
                <c:pt idx="335">
                  <c:v>-2.8380000000000001</c:v>
                </c:pt>
                <c:pt idx="336">
                  <c:v>-1.0589999999999999</c:v>
                </c:pt>
                <c:pt idx="337">
                  <c:v>-1.708</c:v>
                </c:pt>
                <c:pt idx="338">
                  <c:v>-3.3740000000000001</c:v>
                </c:pt>
                <c:pt idx="339">
                  <c:v>-1.706</c:v>
                </c:pt>
                <c:pt idx="340">
                  <c:v>-1.4370000000000001</c:v>
                </c:pt>
                <c:pt idx="341">
                  <c:v>-2.5289999999999999</c:v>
                </c:pt>
                <c:pt idx="342">
                  <c:v>-2.621</c:v>
                </c:pt>
                <c:pt idx="343">
                  <c:v>-1.5229999999999999</c:v>
                </c:pt>
                <c:pt idx="344">
                  <c:v>-1.7729999999999999</c:v>
                </c:pt>
                <c:pt idx="345">
                  <c:v>-1.7569999999999999</c:v>
                </c:pt>
                <c:pt idx="346">
                  <c:v>-1.452</c:v>
                </c:pt>
                <c:pt idx="347">
                  <c:v>-1.5009999999999999</c:v>
                </c:pt>
                <c:pt idx="348">
                  <c:v>-1.8089999999999999</c:v>
                </c:pt>
                <c:pt idx="349">
                  <c:v>-2.27</c:v>
                </c:pt>
                <c:pt idx="350">
                  <c:v>-1.7729999999999999</c:v>
                </c:pt>
                <c:pt idx="351">
                  <c:v>-2.15</c:v>
                </c:pt>
                <c:pt idx="352">
                  <c:v>-2.3540000000000001</c:v>
                </c:pt>
                <c:pt idx="353">
                  <c:v>-1.627</c:v>
                </c:pt>
                <c:pt idx="354">
                  <c:v>-0.72199999999999998</c:v>
                </c:pt>
                <c:pt idx="355">
                  <c:v>-0.83799999999999997</c:v>
                </c:pt>
                <c:pt idx="356">
                  <c:v>-1.0740000000000001</c:v>
                </c:pt>
                <c:pt idx="357">
                  <c:v>-1.1850000000000001</c:v>
                </c:pt>
                <c:pt idx="358">
                  <c:v>-1.4590000000000001</c:v>
                </c:pt>
                <c:pt idx="359">
                  <c:v>-1.8720000000000001</c:v>
                </c:pt>
                <c:pt idx="360">
                  <c:v>-2.0870000000000002</c:v>
                </c:pt>
                <c:pt idx="361">
                  <c:v>-1.8340000000000001</c:v>
                </c:pt>
                <c:pt idx="362">
                  <c:v>-1.3320000000000001</c:v>
                </c:pt>
                <c:pt idx="363">
                  <c:v>-1.01</c:v>
                </c:pt>
                <c:pt idx="364">
                  <c:v>-0.94099999999999995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-6.6000000000000003E-2</c:v>
                </c:pt>
                <c:pt idx="1">
                  <c:v>-5.7000000000000002E-2</c:v>
                </c:pt>
                <c:pt idx="2">
                  <c:v>-0.05</c:v>
                </c:pt>
                <c:pt idx="3">
                  <c:v>-3.9E-2</c:v>
                </c:pt>
                <c:pt idx="4">
                  <c:v>-0.04</c:v>
                </c:pt>
                <c:pt idx="5">
                  <c:v>-4.4999999999999998E-2</c:v>
                </c:pt>
                <c:pt idx="6">
                  <c:v>-6.4000000000000001E-2</c:v>
                </c:pt>
                <c:pt idx="7">
                  <c:v>-8.2000000000000003E-2</c:v>
                </c:pt>
                <c:pt idx="8">
                  <c:v>-5.1999999999999998E-2</c:v>
                </c:pt>
                <c:pt idx="9">
                  <c:v>-4.5999999999999999E-2</c:v>
                </c:pt>
                <c:pt idx="10">
                  <c:v>-0.05</c:v>
                </c:pt>
                <c:pt idx="11">
                  <c:v>-4.7E-2</c:v>
                </c:pt>
                <c:pt idx="12">
                  <c:v>-2.5999999999999999E-2</c:v>
                </c:pt>
                <c:pt idx="13">
                  <c:v>-1.0999999999999999E-2</c:v>
                </c:pt>
                <c:pt idx="14">
                  <c:v>-3.1E-2</c:v>
                </c:pt>
                <c:pt idx="15">
                  <c:v>-0.04</c:v>
                </c:pt>
                <c:pt idx="16">
                  <c:v>-4.1000000000000002E-2</c:v>
                </c:pt>
                <c:pt idx="17">
                  <c:v>-4.1000000000000002E-2</c:v>
                </c:pt>
                <c:pt idx="18">
                  <c:v>-3.5999999999999997E-2</c:v>
                </c:pt>
                <c:pt idx="19">
                  <c:v>-5.2999999999999999E-2</c:v>
                </c:pt>
                <c:pt idx="20">
                  <c:v>-6.2E-2</c:v>
                </c:pt>
                <c:pt idx="21">
                  <c:v>-5.8000000000000003E-2</c:v>
                </c:pt>
                <c:pt idx="22">
                  <c:v>-6.2E-2</c:v>
                </c:pt>
                <c:pt idx="23">
                  <c:v>-5.0999999999999997E-2</c:v>
                </c:pt>
                <c:pt idx="24">
                  <c:v>-3.9E-2</c:v>
                </c:pt>
                <c:pt idx="25">
                  <c:v>-5.0000000000000001E-3</c:v>
                </c:pt>
                <c:pt idx="26">
                  <c:v>-1.7000000000000001E-2</c:v>
                </c:pt>
                <c:pt idx="27">
                  <c:v>-5.0999999999999997E-2</c:v>
                </c:pt>
                <c:pt idx="28">
                  <c:v>-2.7E-2</c:v>
                </c:pt>
                <c:pt idx="29">
                  <c:v>-7.0000000000000001E-3</c:v>
                </c:pt>
                <c:pt idx="30">
                  <c:v>-3.0000000000000001E-3</c:v>
                </c:pt>
                <c:pt idx="31">
                  <c:v>-2.3E-2</c:v>
                </c:pt>
                <c:pt idx="32">
                  <c:v>-2.8000000000000001E-2</c:v>
                </c:pt>
                <c:pt idx="33">
                  <c:v>-6.0999999999999999E-2</c:v>
                </c:pt>
                <c:pt idx="34">
                  <c:v>-0.13400000000000001</c:v>
                </c:pt>
                <c:pt idx="35">
                  <c:v>-0.13100000000000001</c:v>
                </c:pt>
                <c:pt idx="36">
                  <c:v>-0.155</c:v>
                </c:pt>
                <c:pt idx="37">
                  <c:v>-0.153</c:v>
                </c:pt>
                <c:pt idx="38">
                  <c:v>-0.193</c:v>
                </c:pt>
                <c:pt idx="39">
                  <c:v>-0.23100000000000001</c:v>
                </c:pt>
                <c:pt idx="40">
                  <c:v>-0.22900000000000001</c:v>
                </c:pt>
                <c:pt idx="41">
                  <c:v>-0.23499999999999999</c:v>
                </c:pt>
                <c:pt idx="42">
                  <c:v>-0.214</c:v>
                </c:pt>
                <c:pt idx="43">
                  <c:v>-0.21</c:v>
                </c:pt>
                <c:pt idx="44">
                  <c:v>-0.2</c:v>
                </c:pt>
                <c:pt idx="45">
                  <c:v>-0.17</c:v>
                </c:pt>
                <c:pt idx="46">
                  <c:v>-0.16500000000000001</c:v>
                </c:pt>
                <c:pt idx="47">
                  <c:v>-0.17499999999999999</c:v>
                </c:pt>
                <c:pt idx="48">
                  <c:v>-0.17799999999999999</c:v>
                </c:pt>
                <c:pt idx="49">
                  <c:v>-0.14499999999999999</c:v>
                </c:pt>
                <c:pt idx="50">
                  <c:v>-0.15</c:v>
                </c:pt>
                <c:pt idx="51">
                  <c:v>-0.158</c:v>
                </c:pt>
                <c:pt idx="52">
                  <c:v>-0.15</c:v>
                </c:pt>
                <c:pt idx="53">
                  <c:v>-0.14199999999999999</c:v>
                </c:pt>
                <c:pt idx="54">
                  <c:v>-0.14699999999999999</c:v>
                </c:pt>
                <c:pt idx="55">
                  <c:v>-0.17199999999999999</c:v>
                </c:pt>
                <c:pt idx="56">
                  <c:v>-0.186</c:v>
                </c:pt>
                <c:pt idx="57">
                  <c:v>-0.14899999999999999</c:v>
                </c:pt>
                <c:pt idx="58">
                  <c:v>-0.13900000000000001</c:v>
                </c:pt>
                <c:pt idx="59">
                  <c:v>-0.152</c:v>
                </c:pt>
                <c:pt idx="60">
                  <c:v>-0.17699999999999999</c:v>
                </c:pt>
                <c:pt idx="61">
                  <c:v>-0.19</c:v>
                </c:pt>
                <c:pt idx="62">
                  <c:v>-0.188</c:v>
                </c:pt>
                <c:pt idx="63">
                  <c:v>-0.16</c:v>
                </c:pt>
                <c:pt idx="64">
                  <c:v>-0.14499999999999999</c:v>
                </c:pt>
                <c:pt idx="65">
                  <c:v>-0.158</c:v>
                </c:pt>
                <c:pt idx="66">
                  <c:v>-0.17299999999999999</c:v>
                </c:pt>
                <c:pt idx="67">
                  <c:v>-0.16400000000000001</c:v>
                </c:pt>
                <c:pt idx="68">
                  <c:v>-0.14799999999999999</c:v>
                </c:pt>
                <c:pt idx="69">
                  <c:v>-0.14199999999999999</c:v>
                </c:pt>
                <c:pt idx="70">
                  <c:v>-0.13</c:v>
                </c:pt>
                <c:pt idx="71">
                  <c:v>-0.14299999999999999</c:v>
                </c:pt>
                <c:pt idx="72">
                  <c:v>-0.11899999999999999</c:v>
                </c:pt>
                <c:pt idx="73">
                  <c:v>-9.4E-2</c:v>
                </c:pt>
                <c:pt idx="74">
                  <c:v>-8.1000000000000003E-2</c:v>
                </c:pt>
                <c:pt idx="75">
                  <c:v>-6.5000000000000002E-2</c:v>
                </c:pt>
                <c:pt idx="76">
                  <c:v>-3.7999999999999999E-2</c:v>
                </c:pt>
                <c:pt idx="77">
                  <c:v>-8.0000000000000002E-3</c:v>
                </c:pt>
                <c:pt idx="78">
                  <c:v>1.9E-2</c:v>
                </c:pt>
                <c:pt idx="79">
                  <c:v>3.9E-2</c:v>
                </c:pt>
                <c:pt idx="80">
                  <c:v>4.2000000000000003E-2</c:v>
                </c:pt>
                <c:pt idx="81">
                  <c:v>3.7999999999999999E-2</c:v>
                </c:pt>
                <c:pt idx="82">
                  <c:v>3.7999999999999999E-2</c:v>
                </c:pt>
                <c:pt idx="83">
                  <c:v>2.4E-2</c:v>
                </c:pt>
                <c:pt idx="84">
                  <c:v>0</c:v>
                </c:pt>
                <c:pt idx="85">
                  <c:v>6.0000000000000001E-3</c:v>
                </c:pt>
                <c:pt idx="86">
                  <c:v>1.6E-2</c:v>
                </c:pt>
                <c:pt idx="87">
                  <c:v>0.03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0.02</c:v>
                </c:pt>
                <c:pt idx="91">
                  <c:v>2.1000000000000001E-2</c:v>
                </c:pt>
                <c:pt idx="92">
                  <c:v>4.2000000000000003E-2</c:v>
                </c:pt>
                <c:pt idx="93">
                  <c:v>2.1999999999999999E-2</c:v>
                </c:pt>
                <c:pt idx="94">
                  <c:v>3.4000000000000002E-2</c:v>
                </c:pt>
                <c:pt idx="95">
                  <c:v>-3.0000000000000001E-3</c:v>
                </c:pt>
                <c:pt idx="96">
                  <c:v>7.0000000000000001E-3</c:v>
                </c:pt>
                <c:pt idx="97">
                  <c:v>1.7999999999999999E-2</c:v>
                </c:pt>
                <c:pt idx="98">
                  <c:v>1.2999999999999999E-2</c:v>
                </c:pt>
                <c:pt idx="99">
                  <c:v>-2E-3</c:v>
                </c:pt>
                <c:pt idx="100">
                  <c:v>-4.0000000000000001E-3</c:v>
                </c:pt>
                <c:pt idx="101">
                  <c:v>4.0000000000000001E-3</c:v>
                </c:pt>
                <c:pt idx="102">
                  <c:v>1.0999999999999999E-2</c:v>
                </c:pt>
                <c:pt idx="103">
                  <c:v>-5.0000000000000001E-3</c:v>
                </c:pt>
                <c:pt idx="104">
                  <c:v>-0.01</c:v>
                </c:pt>
                <c:pt idx="105">
                  <c:v>1.7999999999999999E-2</c:v>
                </c:pt>
                <c:pt idx="106">
                  <c:v>3.7999999999999999E-2</c:v>
                </c:pt>
                <c:pt idx="107">
                  <c:v>4.3999999999999997E-2</c:v>
                </c:pt>
                <c:pt idx="108">
                  <c:v>4.1000000000000002E-2</c:v>
                </c:pt>
                <c:pt idx="109">
                  <c:v>2.3E-2</c:v>
                </c:pt>
                <c:pt idx="110">
                  <c:v>2.7E-2</c:v>
                </c:pt>
                <c:pt idx="111">
                  <c:v>4.5999999999999999E-2</c:v>
                </c:pt>
                <c:pt idx="112">
                  <c:v>4.2999999999999997E-2</c:v>
                </c:pt>
                <c:pt idx="113">
                  <c:v>1.2999999999999999E-2</c:v>
                </c:pt>
                <c:pt idx="114">
                  <c:v>2.1999999999999999E-2</c:v>
                </c:pt>
                <c:pt idx="115">
                  <c:v>3.1E-2</c:v>
                </c:pt>
                <c:pt idx="116">
                  <c:v>-1.2E-2</c:v>
                </c:pt>
                <c:pt idx="117">
                  <c:v>4.0000000000000001E-3</c:v>
                </c:pt>
                <c:pt idx="118">
                  <c:v>-2E-3</c:v>
                </c:pt>
                <c:pt idx="119">
                  <c:v>1.0999999999999999E-2</c:v>
                </c:pt>
                <c:pt idx="120">
                  <c:v>0.01</c:v>
                </c:pt>
                <c:pt idx="121">
                  <c:v>1.6E-2</c:v>
                </c:pt>
                <c:pt idx="122">
                  <c:v>2.7E-2</c:v>
                </c:pt>
                <c:pt idx="123">
                  <c:v>4.2000000000000003E-2</c:v>
                </c:pt>
                <c:pt idx="124">
                  <c:v>3.9E-2</c:v>
                </c:pt>
                <c:pt idx="125">
                  <c:v>4.4999999999999998E-2</c:v>
                </c:pt>
                <c:pt idx="126">
                  <c:v>4.5999999999999999E-2</c:v>
                </c:pt>
                <c:pt idx="127">
                  <c:v>4.2000000000000003E-2</c:v>
                </c:pt>
                <c:pt idx="128">
                  <c:v>4.4999999999999998E-2</c:v>
                </c:pt>
                <c:pt idx="129">
                  <c:v>0.05</c:v>
                </c:pt>
                <c:pt idx="130">
                  <c:v>5.2999999999999999E-2</c:v>
                </c:pt>
                <c:pt idx="131">
                  <c:v>0.05</c:v>
                </c:pt>
                <c:pt idx="132">
                  <c:v>4.8000000000000001E-2</c:v>
                </c:pt>
                <c:pt idx="133">
                  <c:v>5.5E-2</c:v>
                </c:pt>
                <c:pt idx="134">
                  <c:v>3.5000000000000003E-2</c:v>
                </c:pt>
                <c:pt idx="135">
                  <c:v>5.8999999999999997E-2</c:v>
                </c:pt>
                <c:pt idx="136">
                  <c:v>7.1999999999999995E-2</c:v>
                </c:pt>
                <c:pt idx="137">
                  <c:v>0.23400000000000001</c:v>
                </c:pt>
                <c:pt idx="138">
                  <c:v>1.38</c:v>
                </c:pt>
                <c:pt idx="139">
                  <c:v>2.4009999999999998</c:v>
                </c:pt>
                <c:pt idx="140">
                  <c:v>2.5590000000000002</c:v>
                </c:pt>
                <c:pt idx="141">
                  <c:v>4.2990000000000004</c:v>
                </c:pt>
                <c:pt idx="142">
                  <c:v>6.1539999999999999</c:v>
                </c:pt>
                <c:pt idx="143">
                  <c:v>6.3639999999999999</c:v>
                </c:pt>
                <c:pt idx="144">
                  <c:v>5.1079999999999997</c:v>
                </c:pt>
                <c:pt idx="145">
                  <c:v>5.62</c:v>
                </c:pt>
                <c:pt idx="146">
                  <c:v>7.0590000000000002</c:v>
                </c:pt>
                <c:pt idx="147">
                  <c:v>8.0500000000000007</c:v>
                </c:pt>
                <c:pt idx="148">
                  <c:v>9.36</c:v>
                </c:pt>
                <c:pt idx="149">
                  <c:v>8.94</c:v>
                </c:pt>
                <c:pt idx="150">
                  <c:v>8.98</c:v>
                </c:pt>
                <c:pt idx="151">
                  <c:v>9.66</c:v>
                </c:pt>
                <c:pt idx="152">
                  <c:v>9.98</c:v>
                </c:pt>
                <c:pt idx="153">
                  <c:v>8.6300000000000008</c:v>
                </c:pt>
                <c:pt idx="154">
                  <c:v>7.1070000000000002</c:v>
                </c:pt>
                <c:pt idx="155">
                  <c:v>6.4779999999999998</c:v>
                </c:pt>
                <c:pt idx="156">
                  <c:v>4.7370000000000001</c:v>
                </c:pt>
                <c:pt idx="157">
                  <c:v>3.18</c:v>
                </c:pt>
                <c:pt idx="158">
                  <c:v>2.85</c:v>
                </c:pt>
                <c:pt idx="159">
                  <c:v>4.8689999999999998</c:v>
                </c:pt>
                <c:pt idx="160">
                  <c:v>5.6340000000000003</c:v>
                </c:pt>
                <c:pt idx="161">
                  <c:v>8.65</c:v>
                </c:pt>
                <c:pt idx="162">
                  <c:v>10.29</c:v>
                </c:pt>
                <c:pt idx="163">
                  <c:v>10.53</c:v>
                </c:pt>
                <c:pt idx="164">
                  <c:v>9.83</c:v>
                </c:pt>
                <c:pt idx="165">
                  <c:v>10.48</c:v>
                </c:pt>
                <c:pt idx="166">
                  <c:v>9.8800000000000008</c:v>
                </c:pt>
                <c:pt idx="167">
                  <c:v>10.68</c:v>
                </c:pt>
                <c:pt idx="168">
                  <c:v>9.4700000000000006</c:v>
                </c:pt>
                <c:pt idx="169">
                  <c:v>5.1509999999999998</c:v>
                </c:pt>
                <c:pt idx="170">
                  <c:v>2.7570000000000001</c:v>
                </c:pt>
                <c:pt idx="171">
                  <c:v>3.2360000000000002</c:v>
                </c:pt>
                <c:pt idx="172">
                  <c:v>6.6280000000000001</c:v>
                </c:pt>
                <c:pt idx="173">
                  <c:v>6.0229999999999997</c:v>
                </c:pt>
                <c:pt idx="174">
                  <c:v>5.7670000000000003</c:v>
                </c:pt>
                <c:pt idx="175">
                  <c:v>6.3029999999999999</c:v>
                </c:pt>
                <c:pt idx="176">
                  <c:v>7.13</c:v>
                </c:pt>
                <c:pt idx="177">
                  <c:v>7.3550000000000004</c:v>
                </c:pt>
                <c:pt idx="178">
                  <c:v>6.8769999999999998</c:v>
                </c:pt>
                <c:pt idx="179">
                  <c:v>6.0060000000000002</c:v>
                </c:pt>
                <c:pt idx="180">
                  <c:v>7.19</c:v>
                </c:pt>
                <c:pt idx="181">
                  <c:v>8.89</c:v>
                </c:pt>
                <c:pt idx="182">
                  <c:v>8.4499999999999993</c:v>
                </c:pt>
                <c:pt idx="183">
                  <c:v>9.11</c:v>
                </c:pt>
                <c:pt idx="184">
                  <c:v>8.8000000000000007</c:v>
                </c:pt>
                <c:pt idx="185">
                  <c:v>8.35</c:v>
                </c:pt>
                <c:pt idx="186">
                  <c:v>8.2899999999999991</c:v>
                </c:pt>
                <c:pt idx="187">
                  <c:v>7.9870000000000001</c:v>
                </c:pt>
                <c:pt idx="188">
                  <c:v>7.8840000000000003</c:v>
                </c:pt>
                <c:pt idx="189">
                  <c:v>8.91</c:v>
                </c:pt>
                <c:pt idx="190">
                  <c:v>9.65</c:v>
                </c:pt>
                <c:pt idx="191">
                  <c:v>9.5</c:v>
                </c:pt>
                <c:pt idx="192">
                  <c:v>10.1</c:v>
                </c:pt>
                <c:pt idx="193">
                  <c:v>9.98</c:v>
                </c:pt>
                <c:pt idx="194">
                  <c:v>9.23</c:v>
                </c:pt>
                <c:pt idx="195">
                  <c:v>9.16</c:v>
                </c:pt>
                <c:pt idx="196">
                  <c:v>8.73</c:v>
                </c:pt>
                <c:pt idx="197">
                  <c:v>8.4700000000000006</c:v>
                </c:pt>
                <c:pt idx="198">
                  <c:v>6.7009999999999996</c:v>
                </c:pt>
                <c:pt idx="199">
                  <c:v>6.4059999999999997</c:v>
                </c:pt>
                <c:pt idx="200">
                  <c:v>7.2389999999999999</c:v>
                </c:pt>
                <c:pt idx="201">
                  <c:v>9.56</c:v>
                </c:pt>
                <c:pt idx="202">
                  <c:v>11.18</c:v>
                </c:pt>
                <c:pt idx="203">
                  <c:v>11.82</c:v>
                </c:pt>
                <c:pt idx="204">
                  <c:v>8.56</c:v>
                </c:pt>
                <c:pt idx="205">
                  <c:v>9.11</c:v>
                </c:pt>
                <c:pt idx="206">
                  <c:v>11.21</c:v>
                </c:pt>
                <c:pt idx="207">
                  <c:v>10.87</c:v>
                </c:pt>
                <c:pt idx="208">
                  <c:v>10.210000000000001</c:v>
                </c:pt>
                <c:pt idx="209">
                  <c:v>11.14</c:v>
                </c:pt>
                <c:pt idx="210">
                  <c:v>11.17</c:v>
                </c:pt>
                <c:pt idx="211">
                  <c:v>11.33</c:v>
                </c:pt>
                <c:pt idx="212">
                  <c:v>11.75</c:v>
                </c:pt>
                <c:pt idx="213">
                  <c:v>11.45</c:v>
                </c:pt>
                <c:pt idx="214">
                  <c:v>10.16</c:v>
                </c:pt>
                <c:pt idx="215">
                  <c:v>10.52</c:v>
                </c:pt>
                <c:pt idx="216">
                  <c:v>11.82</c:v>
                </c:pt>
                <c:pt idx="217">
                  <c:v>12.66</c:v>
                </c:pt>
                <c:pt idx="218">
                  <c:v>12.92</c:v>
                </c:pt>
                <c:pt idx="219">
                  <c:v>12.89</c:v>
                </c:pt>
                <c:pt idx="220">
                  <c:v>13.07</c:v>
                </c:pt>
                <c:pt idx="221">
                  <c:v>12.18</c:v>
                </c:pt>
                <c:pt idx="222">
                  <c:v>9.3000000000000007</c:v>
                </c:pt>
                <c:pt idx="223">
                  <c:v>9.9700000000000006</c:v>
                </c:pt>
                <c:pt idx="224">
                  <c:v>9.66</c:v>
                </c:pt>
                <c:pt idx="225">
                  <c:v>10.45</c:v>
                </c:pt>
                <c:pt idx="226">
                  <c:v>10.58</c:v>
                </c:pt>
                <c:pt idx="227">
                  <c:v>9.49</c:v>
                </c:pt>
                <c:pt idx="228">
                  <c:v>8.69</c:v>
                </c:pt>
                <c:pt idx="229">
                  <c:v>9.69</c:v>
                </c:pt>
                <c:pt idx="230">
                  <c:v>10.039999999999999</c:v>
                </c:pt>
                <c:pt idx="231">
                  <c:v>11.31</c:v>
                </c:pt>
                <c:pt idx="232">
                  <c:v>10.85</c:v>
                </c:pt>
                <c:pt idx="233">
                  <c:v>9.67</c:v>
                </c:pt>
                <c:pt idx="234">
                  <c:v>9.02</c:v>
                </c:pt>
                <c:pt idx="235">
                  <c:v>8.23</c:v>
                </c:pt>
                <c:pt idx="236">
                  <c:v>7.7</c:v>
                </c:pt>
                <c:pt idx="237">
                  <c:v>8.02</c:v>
                </c:pt>
                <c:pt idx="238">
                  <c:v>9.9</c:v>
                </c:pt>
                <c:pt idx="239">
                  <c:v>11.32</c:v>
                </c:pt>
                <c:pt idx="240">
                  <c:v>11.35</c:v>
                </c:pt>
                <c:pt idx="241">
                  <c:v>11.94</c:v>
                </c:pt>
                <c:pt idx="242">
                  <c:v>11.94</c:v>
                </c:pt>
                <c:pt idx="243">
                  <c:v>11.45</c:v>
                </c:pt>
                <c:pt idx="244">
                  <c:v>10.77</c:v>
                </c:pt>
                <c:pt idx="245">
                  <c:v>11.35</c:v>
                </c:pt>
                <c:pt idx="246">
                  <c:v>10.14</c:v>
                </c:pt>
                <c:pt idx="247">
                  <c:v>11.28</c:v>
                </c:pt>
                <c:pt idx="248">
                  <c:v>11.94</c:v>
                </c:pt>
                <c:pt idx="249">
                  <c:v>11.58</c:v>
                </c:pt>
                <c:pt idx="250">
                  <c:v>9.24</c:v>
                </c:pt>
                <c:pt idx="251">
                  <c:v>7.1740000000000004</c:v>
                </c:pt>
                <c:pt idx="252">
                  <c:v>7.3179999999999996</c:v>
                </c:pt>
                <c:pt idx="253">
                  <c:v>8.0399999999999991</c:v>
                </c:pt>
                <c:pt idx="254">
                  <c:v>8.32</c:v>
                </c:pt>
                <c:pt idx="255">
                  <c:v>7.2519999999999998</c:v>
                </c:pt>
                <c:pt idx="256">
                  <c:v>7.2229999999999999</c:v>
                </c:pt>
                <c:pt idx="257">
                  <c:v>6.26</c:v>
                </c:pt>
                <c:pt idx="258">
                  <c:v>5.6950000000000003</c:v>
                </c:pt>
                <c:pt idx="259">
                  <c:v>4.6630000000000003</c:v>
                </c:pt>
                <c:pt idx="260">
                  <c:v>5.0339999999999998</c:v>
                </c:pt>
                <c:pt idx="261">
                  <c:v>5.4290000000000003</c:v>
                </c:pt>
                <c:pt idx="262">
                  <c:v>5.617</c:v>
                </c:pt>
                <c:pt idx="263">
                  <c:v>6.5270000000000001</c:v>
                </c:pt>
                <c:pt idx="264">
                  <c:v>6.4660000000000002</c:v>
                </c:pt>
                <c:pt idx="265">
                  <c:v>5.1879999999999997</c:v>
                </c:pt>
                <c:pt idx="266">
                  <c:v>4.9669999999999996</c:v>
                </c:pt>
                <c:pt idx="267">
                  <c:v>4.2329999999999997</c:v>
                </c:pt>
                <c:pt idx="268">
                  <c:v>4.1100000000000003</c:v>
                </c:pt>
                <c:pt idx="269">
                  <c:v>2.1230000000000002</c:v>
                </c:pt>
                <c:pt idx="270">
                  <c:v>1.821</c:v>
                </c:pt>
                <c:pt idx="271">
                  <c:v>1.645</c:v>
                </c:pt>
                <c:pt idx="272">
                  <c:v>1.5349999999999999</c:v>
                </c:pt>
                <c:pt idx="273">
                  <c:v>1.4319999999999999</c:v>
                </c:pt>
                <c:pt idx="274">
                  <c:v>1.335</c:v>
                </c:pt>
                <c:pt idx="275">
                  <c:v>1.2889999999999999</c:v>
                </c:pt>
                <c:pt idx="276">
                  <c:v>1.248</c:v>
                </c:pt>
                <c:pt idx="277">
                  <c:v>1.1850000000000001</c:v>
                </c:pt>
                <c:pt idx="278">
                  <c:v>1.1579999999999999</c:v>
                </c:pt>
                <c:pt idx="279">
                  <c:v>1.0629999999999999</c:v>
                </c:pt>
                <c:pt idx="280">
                  <c:v>0.92</c:v>
                </c:pt>
                <c:pt idx="281">
                  <c:v>0.65</c:v>
                </c:pt>
                <c:pt idx="282">
                  <c:v>0.308</c:v>
                </c:pt>
                <c:pt idx="283">
                  <c:v>0.25600000000000001</c:v>
                </c:pt>
                <c:pt idx="284">
                  <c:v>0.28100000000000003</c:v>
                </c:pt>
                <c:pt idx="285">
                  <c:v>0.45100000000000001</c:v>
                </c:pt>
                <c:pt idx="286">
                  <c:v>0.52200000000000002</c:v>
                </c:pt>
                <c:pt idx="287">
                  <c:v>0.58899999999999997</c:v>
                </c:pt>
                <c:pt idx="288">
                  <c:v>0.66300000000000003</c:v>
                </c:pt>
                <c:pt idx="289">
                  <c:v>0.71899999999999997</c:v>
                </c:pt>
                <c:pt idx="290">
                  <c:v>0.75700000000000001</c:v>
                </c:pt>
                <c:pt idx="291">
                  <c:v>0.76</c:v>
                </c:pt>
                <c:pt idx="292">
                  <c:v>0.66600000000000004</c:v>
                </c:pt>
                <c:pt idx="293">
                  <c:v>0.70699999999999996</c:v>
                </c:pt>
                <c:pt idx="294">
                  <c:v>0.73199999999999998</c:v>
                </c:pt>
                <c:pt idx="295">
                  <c:v>0.68</c:v>
                </c:pt>
                <c:pt idx="296">
                  <c:v>0.68500000000000005</c:v>
                </c:pt>
                <c:pt idx="297">
                  <c:v>0.58799999999999997</c:v>
                </c:pt>
                <c:pt idx="298">
                  <c:v>0.60699999999999998</c:v>
                </c:pt>
                <c:pt idx="299">
                  <c:v>0.38400000000000001</c:v>
                </c:pt>
                <c:pt idx="300">
                  <c:v>0.13600000000000001</c:v>
                </c:pt>
                <c:pt idx="301">
                  <c:v>-0.121</c:v>
                </c:pt>
                <c:pt idx="302">
                  <c:v>-0.10299999999999999</c:v>
                </c:pt>
                <c:pt idx="303">
                  <c:v>-6.8000000000000005E-2</c:v>
                </c:pt>
                <c:pt idx="304">
                  <c:v>-8.7999999999999995E-2</c:v>
                </c:pt>
                <c:pt idx="305">
                  <c:v>1.7999999999999999E-2</c:v>
                </c:pt>
                <c:pt idx="306">
                  <c:v>3.5999999999999997E-2</c:v>
                </c:pt>
                <c:pt idx="307">
                  <c:v>4.5999999999999999E-2</c:v>
                </c:pt>
                <c:pt idx="308">
                  <c:v>4.8000000000000001E-2</c:v>
                </c:pt>
                <c:pt idx="309">
                  <c:v>2.5000000000000001E-2</c:v>
                </c:pt>
                <c:pt idx="310">
                  <c:v>1E-3</c:v>
                </c:pt>
                <c:pt idx="311">
                  <c:v>8.1000000000000003E-2</c:v>
                </c:pt>
                <c:pt idx="312">
                  <c:v>9.1999999999999998E-2</c:v>
                </c:pt>
                <c:pt idx="313">
                  <c:v>7.0999999999999994E-2</c:v>
                </c:pt>
                <c:pt idx="314">
                  <c:v>-7.6999999999999999E-2</c:v>
                </c:pt>
                <c:pt idx="315">
                  <c:v>-2.7E-2</c:v>
                </c:pt>
                <c:pt idx="316">
                  <c:v>8.9999999999999993E-3</c:v>
                </c:pt>
                <c:pt idx="317">
                  <c:v>-1.6E-2</c:v>
                </c:pt>
                <c:pt idx="318">
                  <c:v>0</c:v>
                </c:pt>
                <c:pt idx="319">
                  <c:v>-2.9000000000000001E-2</c:v>
                </c:pt>
                <c:pt idx="320">
                  <c:v>4.1000000000000002E-2</c:v>
                </c:pt>
                <c:pt idx="321">
                  <c:v>3.4000000000000002E-2</c:v>
                </c:pt>
                <c:pt idx="322">
                  <c:v>1.2E-2</c:v>
                </c:pt>
                <c:pt idx="323">
                  <c:v>-0.02</c:v>
                </c:pt>
                <c:pt idx="324">
                  <c:v>1.2999999999999999E-2</c:v>
                </c:pt>
                <c:pt idx="325">
                  <c:v>1.7000000000000001E-2</c:v>
                </c:pt>
                <c:pt idx="326">
                  <c:v>1.4E-2</c:v>
                </c:pt>
                <c:pt idx="327">
                  <c:v>-2.1999999999999999E-2</c:v>
                </c:pt>
                <c:pt idx="328">
                  <c:v>-6.8000000000000005E-2</c:v>
                </c:pt>
                <c:pt idx="329">
                  <c:v>-0.126</c:v>
                </c:pt>
                <c:pt idx="330">
                  <c:v>-0.191</c:v>
                </c:pt>
                <c:pt idx="331">
                  <c:v>-0.27800000000000002</c:v>
                </c:pt>
                <c:pt idx="332">
                  <c:v>-0.35399999999999998</c:v>
                </c:pt>
                <c:pt idx="333">
                  <c:v>-0.32800000000000001</c:v>
                </c:pt>
                <c:pt idx="334">
                  <c:v>-0.44400000000000001</c:v>
                </c:pt>
                <c:pt idx="335">
                  <c:v>-0.23</c:v>
                </c:pt>
                <c:pt idx="336">
                  <c:v>-9.0999999999999998E-2</c:v>
                </c:pt>
                <c:pt idx="337">
                  <c:v>-6.6000000000000003E-2</c:v>
                </c:pt>
                <c:pt idx="338">
                  <c:v>-0.17599999999999999</c:v>
                </c:pt>
                <c:pt idx="339">
                  <c:v>-0.123</c:v>
                </c:pt>
                <c:pt idx="340">
                  <c:v>-0.1</c:v>
                </c:pt>
                <c:pt idx="341">
                  <c:v>-0.13600000000000001</c:v>
                </c:pt>
                <c:pt idx="342">
                  <c:v>-0.17699999999999999</c:v>
                </c:pt>
                <c:pt idx="343">
                  <c:v>-0.11899999999999999</c:v>
                </c:pt>
                <c:pt idx="344">
                  <c:v>-0.11799999999999999</c:v>
                </c:pt>
                <c:pt idx="345">
                  <c:v>-0.128</c:v>
                </c:pt>
                <c:pt idx="346">
                  <c:v>-0.112</c:v>
                </c:pt>
                <c:pt idx="347">
                  <c:v>-0.11899999999999999</c:v>
                </c:pt>
                <c:pt idx="348">
                  <c:v>-0.13900000000000001</c:v>
                </c:pt>
                <c:pt idx="349">
                  <c:v>-0.16500000000000001</c:v>
                </c:pt>
                <c:pt idx="350">
                  <c:v>-0.14799999999999999</c:v>
                </c:pt>
                <c:pt idx="351">
                  <c:v>-0.16400000000000001</c:v>
                </c:pt>
                <c:pt idx="352">
                  <c:v>-0.18099999999999999</c:v>
                </c:pt>
                <c:pt idx="353">
                  <c:v>-0.13100000000000001</c:v>
                </c:pt>
                <c:pt idx="354">
                  <c:v>-7.3999999999999996E-2</c:v>
                </c:pt>
                <c:pt idx="355">
                  <c:v>-8.5000000000000006E-2</c:v>
                </c:pt>
                <c:pt idx="356">
                  <c:v>-8.4000000000000005E-2</c:v>
                </c:pt>
                <c:pt idx="357">
                  <c:v>-9.6000000000000002E-2</c:v>
                </c:pt>
                <c:pt idx="358">
                  <c:v>-0.112</c:v>
                </c:pt>
                <c:pt idx="359">
                  <c:v>-0.14899999999999999</c:v>
                </c:pt>
                <c:pt idx="360">
                  <c:v>-0.16800000000000001</c:v>
                </c:pt>
                <c:pt idx="361">
                  <c:v>-0.157</c:v>
                </c:pt>
                <c:pt idx="362">
                  <c:v>-0.124</c:v>
                </c:pt>
                <c:pt idx="363">
                  <c:v>-0.1</c:v>
                </c:pt>
                <c:pt idx="364">
                  <c:v>-8.7999999999999995E-2</c:v>
                </c:pt>
              </c:numCache>
            </c:numRef>
          </c:val>
          <c:smooth val="0"/>
        </c:ser>
        <c:ser>
          <c:idx val="3"/>
          <c:order val="3"/>
          <c:tx>
            <c:v>Ts15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0.39500000000000002</c:v>
                </c:pt>
                <c:pt idx="1">
                  <c:v>0.39900000000000002</c:v>
                </c:pt>
                <c:pt idx="2">
                  <c:v>0.40100000000000002</c:v>
                </c:pt>
                <c:pt idx="3">
                  <c:v>0.40400000000000003</c:v>
                </c:pt>
                <c:pt idx="4">
                  <c:v>0.39700000000000002</c:v>
                </c:pt>
                <c:pt idx="5">
                  <c:v>0.38800000000000001</c:v>
                </c:pt>
                <c:pt idx="6">
                  <c:v>0.36399999999999999</c:v>
                </c:pt>
                <c:pt idx="7">
                  <c:v>0.35</c:v>
                </c:pt>
                <c:pt idx="8">
                  <c:v>0.39200000000000002</c:v>
                </c:pt>
                <c:pt idx="9">
                  <c:v>0.39900000000000002</c:v>
                </c:pt>
                <c:pt idx="10">
                  <c:v>0.38600000000000001</c:v>
                </c:pt>
                <c:pt idx="11">
                  <c:v>0.38</c:v>
                </c:pt>
                <c:pt idx="12">
                  <c:v>0.39700000000000002</c:v>
                </c:pt>
                <c:pt idx="13">
                  <c:v>0.40799999999999997</c:v>
                </c:pt>
                <c:pt idx="14">
                  <c:v>0.38500000000000001</c:v>
                </c:pt>
                <c:pt idx="15">
                  <c:v>0.376</c:v>
                </c:pt>
                <c:pt idx="16">
                  <c:v>0.378</c:v>
                </c:pt>
                <c:pt idx="17">
                  <c:v>0.375</c:v>
                </c:pt>
                <c:pt idx="18">
                  <c:v>0.376</c:v>
                </c:pt>
                <c:pt idx="19">
                  <c:v>0.35399999999999998</c:v>
                </c:pt>
                <c:pt idx="20">
                  <c:v>0.34399999999999997</c:v>
                </c:pt>
                <c:pt idx="21">
                  <c:v>0.35299999999999998</c:v>
                </c:pt>
                <c:pt idx="22">
                  <c:v>0.35099999999999998</c:v>
                </c:pt>
                <c:pt idx="23">
                  <c:v>0.36199999999999999</c:v>
                </c:pt>
                <c:pt idx="24">
                  <c:v>0.36799999999999999</c:v>
                </c:pt>
                <c:pt idx="25">
                  <c:v>0.39600000000000002</c:v>
                </c:pt>
                <c:pt idx="26">
                  <c:v>0.373</c:v>
                </c:pt>
                <c:pt idx="27">
                  <c:v>0.33400000000000002</c:v>
                </c:pt>
                <c:pt idx="28">
                  <c:v>0.35799999999999998</c:v>
                </c:pt>
                <c:pt idx="29">
                  <c:v>0.38500000000000001</c:v>
                </c:pt>
                <c:pt idx="30">
                  <c:v>0.38800000000000001</c:v>
                </c:pt>
                <c:pt idx="31">
                  <c:v>0.36299999999999999</c:v>
                </c:pt>
                <c:pt idx="32">
                  <c:v>0.35</c:v>
                </c:pt>
                <c:pt idx="33">
                  <c:v>0.31</c:v>
                </c:pt>
                <c:pt idx="34">
                  <c:v>0.23699999999999999</c:v>
                </c:pt>
                <c:pt idx="35">
                  <c:v>0.253</c:v>
                </c:pt>
                <c:pt idx="36">
                  <c:v>0.252</c:v>
                </c:pt>
                <c:pt idx="37">
                  <c:v>0.27900000000000003</c:v>
                </c:pt>
                <c:pt idx="38">
                  <c:v>0.249</c:v>
                </c:pt>
                <c:pt idx="39">
                  <c:v>0.20399999999999999</c:v>
                </c:pt>
                <c:pt idx="40">
                  <c:v>0.20499999999999999</c:v>
                </c:pt>
                <c:pt idx="41">
                  <c:v>0.19700000000000001</c:v>
                </c:pt>
                <c:pt idx="42">
                  <c:v>0.219</c:v>
                </c:pt>
                <c:pt idx="43">
                  <c:v>0.219</c:v>
                </c:pt>
                <c:pt idx="44">
                  <c:v>0.215</c:v>
                </c:pt>
                <c:pt idx="45">
                  <c:v>0.23300000000000001</c:v>
                </c:pt>
                <c:pt idx="46">
                  <c:v>0.22</c:v>
                </c:pt>
                <c:pt idx="47">
                  <c:v>0.192</c:v>
                </c:pt>
                <c:pt idx="48">
                  <c:v>0.17399999999999999</c:v>
                </c:pt>
                <c:pt idx="49">
                  <c:v>0.19800000000000001</c:v>
                </c:pt>
                <c:pt idx="50">
                  <c:v>0.191</c:v>
                </c:pt>
                <c:pt idx="51">
                  <c:v>0.17899999999999999</c:v>
                </c:pt>
                <c:pt idx="52">
                  <c:v>0.17899999999999999</c:v>
                </c:pt>
                <c:pt idx="53">
                  <c:v>0.183</c:v>
                </c:pt>
                <c:pt idx="54">
                  <c:v>0.17399999999999999</c:v>
                </c:pt>
                <c:pt idx="55">
                  <c:v>0.14499999999999999</c:v>
                </c:pt>
                <c:pt idx="56">
                  <c:v>0.129</c:v>
                </c:pt>
                <c:pt idx="57">
                  <c:v>0.161</c:v>
                </c:pt>
                <c:pt idx="58">
                  <c:v>0.17499999999999999</c:v>
                </c:pt>
                <c:pt idx="59">
                  <c:v>0.16300000000000001</c:v>
                </c:pt>
                <c:pt idx="60">
                  <c:v>0.13600000000000001</c:v>
                </c:pt>
                <c:pt idx="61">
                  <c:v>0.12</c:v>
                </c:pt>
                <c:pt idx="62">
                  <c:v>0.121</c:v>
                </c:pt>
                <c:pt idx="63">
                  <c:v>0.14899999999999999</c:v>
                </c:pt>
                <c:pt idx="64">
                  <c:v>0.16900000000000001</c:v>
                </c:pt>
                <c:pt idx="65">
                  <c:v>0.156</c:v>
                </c:pt>
                <c:pt idx="66">
                  <c:v>0.13400000000000001</c:v>
                </c:pt>
                <c:pt idx="67">
                  <c:v>0.13400000000000001</c:v>
                </c:pt>
                <c:pt idx="68">
                  <c:v>0.14299999999999999</c:v>
                </c:pt>
                <c:pt idx="69">
                  <c:v>0.14499999999999999</c:v>
                </c:pt>
                <c:pt idx="70">
                  <c:v>0.154</c:v>
                </c:pt>
                <c:pt idx="71">
                  <c:v>0.13700000000000001</c:v>
                </c:pt>
                <c:pt idx="72">
                  <c:v>0.154</c:v>
                </c:pt>
                <c:pt idx="73">
                  <c:v>0.17399999999999999</c:v>
                </c:pt>
                <c:pt idx="74">
                  <c:v>0.183</c:v>
                </c:pt>
                <c:pt idx="75">
                  <c:v>0.193</c:v>
                </c:pt>
                <c:pt idx="76">
                  <c:v>0.21</c:v>
                </c:pt>
                <c:pt idx="77">
                  <c:v>0.223</c:v>
                </c:pt>
                <c:pt idx="78">
                  <c:v>0.22700000000000001</c:v>
                </c:pt>
                <c:pt idx="79">
                  <c:v>0.22600000000000001</c:v>
                </c:pt>
                <c:pt idx="80">
                  <c:v>0.22600000000000001</c:v>
                </c:pt>
                <c:pt idx="81">
                  <c:v>0.224</c:v>
                </c:pt>
                <c:pt idx="82">
                  <c:v>0.22800000000000001</c:v>
                </c:pt>
                <c:pt idx="83">
                  <c:v>0.21</c:v>
                </c:pt>
                <c:pt idx="84">
                  <c:v>0.187</c:v>
                </c:pt>
                <c:pt idx="85">
                  <c:v>0.193</c:v>
                </c:pt>
                <c:pt idx="86">
                  <c:v>0.20399999999999999</c:v>
                </c:pt>
                <c:pt idx="87">
                  <c:v>0.22</c:v>
                </c:pt>
                <c:pt idx="88">
                  <c:v>0.224</c:v>
                </c:pt>
                <c:pt idx="89">
                  <c:v>0.22700000000000001</c:v>
                </c:pt>
                <c:pt idx="90">
                  <c:v>0.21</c:v>
                </c:pt>
                <c:pt idx="91">
                  <c:v>0.21099999999999999</c:v>
                </c:pt>
                <c:pt idx="92">
                  <c:v>0.23200000000000001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0.21099999999999999</c:v>
                </c:pt>
                <c:pt idx="98">
                  <c:v>0.20899999999999999</c:v>
                </c:pt>
                <c:pt idx="99">
                  <c:v>0.19500000000000001</c:v>
                </c:pt>
                <c:pt idx="100">
                  <c:v>0.19400000000000001</c:v>
                </c:pt>
                <c:pt idx="101">
                  <c:v>0.20300000000000001</c:v>
                </c:pt>
                <c:pt idx="102">
                  <c:v>0.21099999999999999</c:v>
                </c:pt>
                <c:pt idx="103">
                  <c:v>0.19800000000000001</c:v>
                </c:pt>
                <c:pt idx="104">
                  <c:v>0.193</c:v>
                </c:pt>
                <c:pt idx="105">
                  <c:v>0.223</c:v>
                </c:pt>
                <c:pt idx="106">
                  <c:v>0.24299999999999999</c:v>
                </c:pt>
                <c:pt idx="107">
                  <c:v>0.24399999999999999</c:v>
                </c:pt>
                <c:pt idx="108">
                  <c:v>0.21099999999999999</c:v>
                </c:pt>
                <c:pt idx="109">
                  <c:v>0.20799999999999999</c:v>
                </c:pt>
                <c:pt idx="110">
                  <c:v>0.224</c:v>
                </c:pt>
                <c:pt idx="111">
                  <c:v>0.24399999999999999</c:v>
                </c:pt>
                <c:pt idx="112">
                  <c:v>0.24</c:v>
                </c:pt>
                <c:pt idx="113">
                  <c:v>0.20799999999999999</c:v>
                </c:pt>
                <c:pt idx="114">
                  <c:v>0.221</c:v>
                </c:pt>
                <c:pt idx="115">
                  <c:v>0.23200000000000001</c:v>
                </c:pt>
                <c:pt idx="116">
                  <c:v>0.187</c:v>
                </c:pt>
                <c:pt idx="117">
                  <c:v>0.20899999999999999</c:v>
                </c:pt>
                <c:pt idx="118">
                  <c:v>0.20799999999999999</c:v>
                </c:pt>
                <c:pt idx="119">
                  <c:v>0.224</c:v>
                </c:pt>
                <c:pt idx="120">
                  <c:v>0.23</c:v>
                </c:pt>
                <c:pt idx="121">
                  <c:v>0.23499999999999999</c:v>
                </c:pt>
                <c:pt idx="122">
                  <c:v>0.248</c:v>
                </c:pt>
                <c:pt idx="123">
                  <c:v>0.249</c:v>
                </c:pt>
                <c:pt idx="124">
                  <c:v>0.23699999999999999</c:v>
                </c:pt>
                <c:pt idx="125">
                  <c:v>0.24399999999999999</c:v>
                </c:pt>
                <c:pt idx="126">
                  <c:v>0.23899999999999999</c:v>
                </c:pt>
                <c:pt idx="127">
                  <c:v>0.23100000000000001</c:v>
                </c:pt>
                <c:pt idx="128">
                  <c:v>0.23499999999999999</c:v>
                </c:pt>
                <c:pt idx="129">
                  <c:v>0.23400000000000001</c:v>
                </c:pt>
                <c:pt idx="130">
                  <c:v>0.23200000000000001</c:v>
                </c:pt>
                <c:pt idx="131">
                  <c:v>0.22900000000000001</c:v>
                </c:pt>
                <c:pt idx="132">
                  <c:v>0.23200000000000001</c:v>
                </c:pt>
                <c:pt idx="133">
                  <c:v>0.246</c:v>
                </c:pt>
                <c:pt idx="134">
                  <c:v>0.23200000000000001</c:v>
                </c:pt>
                <c:pt idx="135">
                  <c:v>0.254</c:v>
                </c:pt>
                <c:pt idx="136">
                  <c:v>0.28100000000000003</c:v>
                </c:pt>
                <c:pt idx="137">
                  <c:v>0.34599999999999997</c:v>
                </c:pt>
                <c:pt idx="138">
                  <c:v>0.69399999999999995</c:v>
                </c:pt>
                <c:pt idx="139">
                  <c:v>1.4239999999999999</c:v>
                </c:pt>
                <c:pt idx="140">
                  <c:v>1.83</c:v>
                </c:pt>
                <c:pt idx="141">
                  <c:v>2.5350000000000001</c:v>
                </c:pt>
                <c:pt idx="142">
                  <c:v>3.7360000000000002</c:v>
                </c:pt>
                <c:pt idx="143">
                  <c:v>4.4359999999999999</c:v>
                </c:pt>
                <c:pt idx="144">
                  <c:v>4.3949999999999996</c:v>
                </c:pt>
                <c:pt idx="145">
                  <c:v>4.2450000000000001</c:v>
                </c:pt>
                <c:pt idx="146">
                  <c:v>4.79</c:v>
                </c:pt>
                <c:pt idx="147">
                  <c:v>5.657</c:v>
                </c:pt>
                <c:pt idx="148">
                  <c:v>6.5449999999999999</c:v>
                </c:pt>
                <c:pt idx="149">
                  <c:v>7.0179999999999998</c:v>
                </c:pt>
                <c:pt idx="150">
                  <c:v>7.0529999999999999</c:v>
                </c:pt>
                <c:pt idx="151">
                  <c:v>7.34</c:v>
                </c:pt>
                <c:pt idx="152">
                  <c:v>7.7380000000000004</c:v>
                </c:pt>
                <c:pt idx="153">
                  <c:v>7.6340000000000003</c:v>
                </c:pt>
                <c:pt idx="154">
                  <c:v>6.5010000000000003</c:v>
                </c:pt>
                <c:pt idx="155">
                  <c:v>6.1689999999999996</c:v>
                </c:pt>
                <c:pt idx="156">
                  <c:v>5.3029999999999999</c:v>
                </c:pt>
                <c:pt idx="157">
                  <c:v>4.1660000000000004</c:v>
                </c:pt>
                <c:pt idx="158">
                  <c:v>3.5760000000000001</c:v>
                </c:pt>
                <c:pt idx="159">
                  <c:v>3.8849999999999998</c:v>
                </c:pt>
                <c:pt idx="160">
                  <c:v>4.7380000000000004</c:v>
                </c:pt>
                <c:pt idx="161">
                  <c:v>5.9359999999999999</c:v>
                </c:pt>
                <c:pt idx="162">
                  <c:v>7.4089999999999998</c:v>
                </c:pt>
                <c:pt idx="163">
                  <c:v>8.35</c:v>
                </c:pt>
                <c:pt idx="164">
                  <c:v>8.0500000000000007</c:v>
                </c:pt>
                <c:pt idx="165">
                  <c:v>8.4</c:v>
                </c:pt>
                <c:pt idx="166">
                  <c:v>8.4600000000000009</c:v>
                </c:pt>
                <c:pt idx="167">
                  <c:v>8.61</c:v>
                </c:pt>
                <c:pt idx="168">
                  <c:v>8.57</c:v>
                </c:pt>
                <c:pt idx="169">
                  <c:v>6.8049999999999997</c:v>
                </c:pt>
                <c:pt idx="170">
                  <c:v>4.7539999999999996</c:v>
                </c:pt>
                <c:pt idx="171">
                  <c:v>3.681</c:v>
                </c:pt>
                <c:pt idx="172">
                  <c:v>5.1040000000000001</c:v>
                </c:pt>
                <c:pt idx="173">
                  <c:v>5.6849999999999996</c:v>
                </c:pt>
                <c:pt idx="174">
                  <c:v>5.468</c:v>
                </c:pt>
                <c:pt idx="175">
                  <c:v>5.5910000000000002</c:v>
                </c:pt>
                <c:pt idx="176">
                  <c:v>6.0270000000000001</c:v>
                </c:pt>
                <c:pt idx="177">
                  <c:v>6.5330000000000004</c:v>
                </c:pt>
                <c:pt idx="178">
                  <c:v>6.319</c:v>
                </c:pt>
                <c:pt idx="179">
                  <c:v>5.9290000000000003</c:v>
                </c:pt>
                <c:pt idx="180">
                  <c:v>6.0869999999999997</c:v>
                </c:pt>
                <c:pt idx="181">
                  <c:v>6.952</c:v>
                </c:pt>
                <c:pt idx="182">
                  <c:v>7.4390000000000001</c:v>
                </c:pt>
                <c:pt idx="183">
                  <c:v>7.4889999999999999</c:v>
                </c:pt>
                <c:pt idx="184">
                  <c:v>7.8410000000000002</c:v>
                </c:pt>
                <c:pt idx="185">
                  <c:v>7.6379999999999999</c:v>
                </c:pt>
                <c:pt idx="186">
                  <c:v>7.4539999999999997</c:v>
                </c:pt>
                <c:pt idx="187">
                  <c:v>7.306</c:v>
                </c:pt>
                <c:pt idx="188">
                  <c:v>7.1680000000000001</c:v>
                </c:pt>
                <c:pt idx="189">
                  <c:v>7.5019999999999998</c:v>
                </c:pt>
                <c:pt idx="190">
                  <c:v>8.1999999999999993</c:v>
                </c:pt>
                <c:pt idx="191">
                  <c:v>8.24</c:v>
                </c:pt>
                <c:pt idx="192">
                  <c:v>8.5</c:v>
                </c:pt>
                <c:pt idx="193">
                  <c:v>8.73</c:v>
                </c:pt>
                <c:pt idx="194">
                  <c:v>8.52</c:v>
                </c:pt>
                <c:pt idx="195">
                  <c:v>8.23</c:v>
                </c:pt>
                <c:pt idx="196">
                  <c:v>8.1199999999999992</c:v>
                </c:pt>
                <c:pt idx="197">
                  <c:v>8.01</c:v>
                </c:pt>
                <c:pt idx="198">
                  <c:v>7.258</c:v>
                </c:pt>
                <c:pt idx="199">
                  <c:v>6.548</c:v>
                </c:pt>
                <c:pt idx="200">
                  <c:v>6.758</c:v>
                </c:pt>
                <c:pt idx="201">
                  <c:v>7.5670000000000002</c:v>
                </c:pt>
                <c:pt idx="202">
                  <c:v>8.9600000000000009</c:v>
                </c:pt>
                <c:pt idx="203">
                  <c:v>9.82</c:v>
                </c:pt>
                <c:pt idx="204">
                  <c:v>9.06</c:v>
                </c:pt>
                <c:pt idx="205">
                  <c:v>8.09</c:v>
                </c:pt>
                <c:pt idx="206">
                  <c:v>9.1199999999999992</c:v>
                </c:pt>
                <c:pt idx="207">
                  <c:v>9.7100000000000009</c:v>
                </c:pt>
                <c:pt idx="208">
                  <c:v>9.2100000000000009</c:v>
                </c:pt>
                <c:pt idx="209">
                  <c:v>9.51</c:v>
                </c:pt>
                <c:pt idx="210">
                  <c:v>9.86</c:v>
                </c:pt>
                <c:pt idx="211">
                  <c:v>9.91</c:v>
                </c:pt>
                <c:pt idx="212">
                  <c:v>10.220000000000001</c:v>
                </c:pt>
                <c:pt idx="213">
                  <c:v>10.4</c:v>
                </c:pt>
                <c:pt idx="214">
                  <c:v>9.68</c:v>
                </c:pt>
                <c:pt idx="215">
                  <c:v>9.5299999999999994</c:v>
                </c:pt>
                <c:pt idx="216">
                  <c:v>10.050000000000001</c:v>
                </c:pt>
                <c:pt idx="217">
                  <c:v>10.79</c:v>
                </c:pt>
                <c:pt idx="218">
                  <c:v>11.13</c:v>
                </c:pt>
                <c:pt idx="219">
                  <c:v>11.31</c:v>
                </c:pt>
                <c:pt idx="220">
                  <c:v>11.52</c:v>
                </c:pt>
                <c:pt idx="221">
                  <c:v>11.31</c:v>
                </c:pt>
                <c:pt idx="222">
                  <c:v>10.06</c:v>
                </c:pt>
                <c:pt idx="223">
                  <c:v>9.2799999999999994</c:v>
                </c:pt>
                <c:pt idx="224">
                  <c:v>9.4600000000000009</c:v>
                </c:pt>
                <c:pt idx="225">
                  <c:v>9.4499999999999993</c:v>
                </c:pt>
                <c:pt idx="226">
                  <c:v>9.75</c:v>
                </c:pt>
                <c:pt idx="227">
                  <c:v>9.5299999999999994</c:v>
                </c:pt>
                <c:pt idx="228">
                  <c:v>8.9</c:v>
                </c:pt>
                <c:pt idx="229">
                  <c:v>8.8800000000000008</c:v>
                </c:pt>
                <c:pt idx="230">
                  <c:v>9.32</c:v>
                </c:pt>
                <c:pt idx="231">
                  <c:v>9.75</c:v>
                </c:pt>
                <c:pt idx="232">
                  <c:v>10.220000000000001</c:v>
                </c:pt>
                <c:pt idx="233">
                  <c:v>9.57</c:v>
                </c:pt>
                <c:pt idx="234">
                  <c:v>9.19</c:v>
                </c:pt>
                <c:pt idx="235">
                  <c:v>8.61</c:v>
                </c:pt>
                <c:pt idx="236">
                  <c:v>8.19</c:v>
                </c:pt>
                <c:pt idx="237">
                  <c:v>7.9790000000000001</c:v>
                </c:pt>
                <c:pt idx="238">
                  <c:v>8.5299999999999994</c:v>
                </c:pt>
                <c:pt idx="239">
                  <c:v>9.65</c:v>
                </c:pt>
                <c:pt idx="240">
                  <c:v>10.07</c:v>
                </c:pt>
                <c:pt idx="241">
                  <c:v>10.44</c:v>
                </c:pt>
                <c:pt idx="242">
                  <c:v>10.71</c:v>
                </c:pt>
                <c:pt idx="243">
                  <c:v>10.5</c:v>
                </c:pt>
                <c:pt idx="244">
                  <c:v>10.210000000000001</c:v>
                </c:pt>
                <c:pt idx="245">
                  <c:v>10.210000000000001</c:v>
                </c:pt>
                <c:pt idx="246">
                  <c:v>9.98</c:v>
                </c:pt>
                <c:pt idx="247">
                  <c:v>10.06</c:v>
                </c:pt>
                <c:pt idx="248">
                  <c:v>10.67</c:v>
                </c:pt>
                <c:pt idx="249">
                  <c:v>10.7</c:v>
                </c:pt>
                <c:pt idx="250">
                  <c:v>9.98</c:v>
                </c:pt>
                <c:pt idx="251">
                  <c:v>8.4700000000000006</c:v>
                </c:pt>
                <c:pt idx="252">
                  <c:v>7.61</c:v>
                </c:pt>
                <c:pt idx="253">
                  <c:v>7.8760000000000003</c:v>
                </c:pt>
                <c:pt idx="254">
                  <c:v>8.15</c:v>
                </c:pt>
                <c:pt idx="255">
                  <c:v>8.01</c:v>
                </c:pt>
                <c:pt idx="256">
                  <c:v>7.6710000000000003</c:v>
                </c:pt>
                <c:pt idx="257">
                  <c:v>7.2830000000000004</c:v>
                </c:pt>
                <c:pt idx="258">
                  <c:v>6.7460000000000004</c:v>
                </c:pt>
                <c:pt idx="259">
                  <c:v>6.258</c:v>
                </c:pt>
                <c:pt idx="260">
                  <c:v>5.8949999999999996</c:v>
                </c:pt>
                <c:pt idx="261">
                  <c:v>5.97</c:v>
                </c:pt>
                <c:pt idx="262">
                  <c:v>6.1929999999999996</c:v>
                </c:pt>
                <c:pt idx="263">
                  <c:v>6.2549999999999999</c:v>
                </c:pt>
                <c:pt idx="264">
                  <c:v>6.71</c:v>
                </c:pt>
                <c:pt idx="265">
                  <c:v>6.2939999999999996</c:v>
                </c:pt>
                <c:pt idx="266">
                  <c:v>5.8310000000000004</c:v>
                </c:pt>
                <c:pt idx="267">
                  <c:v>5.35</c:v>
                </c:pt>
                <c:pt idx="268">
                  <c:v>5.2549999999999999</c:v>
                </c:pt>
                <c:pt idx="269">
                  <c:v>4.2439999999999998</c:v>
                </c:pt>
                <c:pt idx="270">
                  <c:v>3.6680000000000001</c:v>
                </c:pt>
                <c:pt idx="271">
                  <c:v>3.351</c:v>
                </c:pt>
                <c:pt idx="272">
                  <c:v>3.1539999999999999</c:v>
                </c:pt>
                <c:pt idx="273">
                  <c:v>3.01</c:v>
                </c:pt>
                <c:pt idx="274">
                  <c:v>2.8740000000000001</c:v>
                </c:pt>
                <c:pt idx="275">
                  <c:v>2.7730000000000001</c:v>
                </c:pt>
                <c:pt idx="276">
                  <c:v>2.6890000000000001</c:v>
                </c:pt>
                <c:pt idx="277">
                  <c:v>2.597</c:v>
                </c:pt>
                <c:pt idx="278">
                  <c:v>2.5249999999999999</c:v>
                </c:pt>
                <c:pt idx="279">
                  <c:v>2.4239999999999999</c:v>
                </c:pt>
                <c:pt idx="280">
                  <c:v>2.1739999999999999</c:v>
                </c:pt>
                <c:pt idx="281">
                  <c:v>2.0649999999999999</c:v>
                </c:pt>
                <c:pt idx="282">
                  <c:v>1.931</c:v>
                </c:pt>
                <c:pt idx="283">
                  <c:v>1.823</c:v>
                </c:pt>
                <c:pt idx="284">
                  <c:v>1.7569999999999999</c:v>
                </c:pt>
                <c:pt idx="285">
                  <c:v>1.73</c:v>
                </c:pt>
                <c:pt idx="286">
                  <c:v>1.72</c:v>
                </c:pt>
                <c:pt idx="287">
                  <c:v>1.7350000000000001</c:v>
                </c:pt>
                <c:pt idx="288">
                  <c:v>1.762</c:v>
                </c:pt>
                <c:pt idx="289">
                  <c:v>1.746</c:v>
                </c:pt>
                <c:pt idx="290">
                  <c:v>1.722</c:v>
                </c:pt>
                <c:pt idx="291">
                  <c:v>1.7150000000000001</c:v>
                </c:pt>
                <c:pt idx="292">
                  <c:v>1.681</c:v>
                </c:pt>
                <c:pt idx="293">
                  <c:v>1.66</c:v>
                </c:pt>
                <c:pt idx="294">
                  <c:v>1.673</c:v>
                </c:pt>
                <c:pt idx="295">
                  <c:v>1.6180000000000001</c:v>
                </c:pt>
                <c:pt idx="296">
                  <c:v>1.6279999999999999</c:v>
                </c:pt>
                <c:pt idx="297">
                  <c:v>1.5</c:v>
                </c:pt>
                <c:pt idx="298">
                  <c:v>1.4379999999999999</c:v>
                </c:pt>
                <c:pt idx="299">
                  <c:v>1.395</c:v>
                </c:pt>
                <c:pt idx="300">
                  <c:v>1.2849999999999999</c:v>
                </c:pt>
                <c:pt idx="301">
                  <c:v>1.147</c:v>
                </c:pt>
                <c:pt idx="302">
                  <c:v>1.0740000000000001</c:v>
                </c:pt>
                <c:pt idx="303">
                  <c:v>1.0149999999999999</c:v>
                </c:pt>
                <c:pt idx="304">
                  <c:v>0.96699999999999997</c:v>
                </c:pt>
                <c:pt idx="305">
                  <c:v>0.97099999999999997</c:v>
                </c:pt>
                <c:pt idx="306">
                  <c:v>0.94799999999999995</c:v>
                </c:pt>
                <c:pt idx="307">
                  <c:v>0.93700000000000006</c:v>
                </c:pt>
                <c:pt idx="308">
                  <c:v>0.90600000000000003</c:v>
                </c:pt>
                <c:pt idx="309">
                  <c:v>0.88500000000000001</c:v>
                </c:pt>
                <c:pt idx="310">
                  <c:v>0.91</c:v>
                </c:pt>
                <c:pt idx="311">
                  <c:v>0.93300000000000005</c:v>
                </c:pt>
                <c:pt idx="312">
                  <c:v>0.90200000000000002</c:v>
                </c:pt>
                <c:pt idx="313">
                  <c:v>0.876</c:v>
                </c:pt>
                <c:pt idx="314">
                  <c:v>0.85699999999999998</c:v>
                </c:pt>
                <c:pt idx="315">
                  <c:v>0.83299999999999996</c:v>
                </c:pt>
                <c:pt idx="316">
                  <c:v>0.82599999999999996</c:v>
                </c:pt>
                <c:pt idx="317">
                  <c:v>0.80100000000000005</c:v>
                </c:pt>
                <c:pt idx="318">
                  <c:v>0.79900000000000004</c:v>
                </c:pt>
                <c:pt idx="319">
                  <c:v>0.77200000000000002</c:v>
                </c:pt>
                <c:pt idx="320">
                  <c:v>0.78400000000000003</c:v>
                </c:pt>
                <c:pt idx="321">
                  <c:v>0.74399999999999999</c:v>
                </c:pt>
                <c:pt idx="322">
                  <c:v>0.73899999999999999</c:v>
                </c:pt>
                <c:pt idx="323">
                  <c:v>0.72299999999999998</c:v>
                </c:pt>
                <c:pt idx="324">
                  <c:v>0.75700000000000001</c:v>
                </c:pt>
                <c:pt idx="325">
                  <c:v>0.75800000000000001</c:v>
                </c:pt>
                <c:pt idx="326">
                  <c:v>0.73799999999999999</c:v>
                </c:pt>
                <c:pt idx="327">
                  <c:v>0.70599999999999996</c:v>
                </c:pt>
                <c:pt idx="328">
                  <c:v>0.66300000000000003</c:v>
                </c:pt>
                <c:pt idx="329">
                  <c:v>0.61799999999999999</c:v>
                </c:pt>
                <c:pt idx="330">
                  <c:v>0.57899999999999996</c:v>
                </c:pt>
                <c:pt idx="331">
                  <c:v>0.53</c:v>
                </c:pt>
                <c:pt idx="332">
                  <c:v>0.49199999999999999</c:v>
                </c:pt>
                <c:pt idx="333">
                  <c:v>0.46800000000000003</c:v>
                </c:pt>
                <c:pt idx="334">
                  <c:v>0.41799999999999998</c:v>
                </c:pt>
                <c:pt idx="335">
                  <c:v>0.42</c:v>
                </c:pt>
                <c:pt idx="336">
                  <c:v>0.436</c:v>
                </c:pt>
                <c:pt idx="337">
                  <c:v>0.42099999999999999</c:v>
                </c:pt>
                <c:pt idx="338">
                  <c:v>0.39</c:v>
                </c:pt>
                <c:pt idx="339">
                  <c:v>0.39300000000000002</c:v>
                </c:pt>
                <c:pt idx="340">
                  <c:v>0.38600000000000001</c:v>
                </c:pt>
                <c:pt idx="341">
                  <c:v>0.34699999999999998</c:v>
                </c:pt>
                <c:pt idx="342">
                  <c:v>0.35599999999999998</c:v>
                </c:pt>
                <c:pt idx="343">
                  <c:v>0.35899999999999999</c:v>
                </c:pt>
                <c:pt idx="344">
                  <c:v>0.34200000000000003</c:v>
                </c:pt>
                <c:pt idx="345">
                  <c:v>0.33800000000000002</c:v>
                </c:pt>
                <c:pt idx="346">
                  <c:v>0.33300000000000002</c:v>
                </c:pt>
                <c:pt idx="347">
                  <c:v>0.313</c:v>
                </c:pt>
                <c:pt idx="348">
                  <c:v>0.3</c:v>
                </c:pt>
                <c:pt idx="349">
                  <c:v>0.29499999999999998</c:v>
                </c:pt>
                <c:pt idx="350">
                  <c:v>0.29699999999999999</c:v>
                </c:pt>
                <c:pt idx="351">
                  <c:v>0.28499999999999998</c:v>
                </c:pt>
                <c:pt idx="352">
                  <c:v>0.28000000000000003</c:v>
                </c:pt>
                <c:pt idx="353">
                  <c:v>0.309</c:v>
                </c:pt>
                <c:pt idx="354">
                  <c:v>0.317</c:v>
                </c:pt>
                <c:pt idx="355">
                  <c:v>0.28100000000000003</c:v>
                </c:pt>
                <c:pt idx="356">
                  <c:v>0.28799999999999998</c:v>
                </c:pt>
                <c:pt idx="357">
                  <c:v>0.27600000000000002</c:v>
                </c:pt>
                <c:pt idx="358">
                  <c:v>0.26900000000000002</c:v>
                </c:pt>
                <c:pt idx="359">
                  <c:v>0.249</c:v>
                </c:pt>
                <c:pt idx="360">
                  <c:v>0.252</c:v>
                </c:pt>
                <c:pt idx="361">
                  <c:v>0.26300000000000001</c:v>
                </c:pt>
                <c:pt idx="362">
                  <c:v>0.27300000000000002</c:v>
                </c:pt>
                <c:pt idx="363">
                  <c:v>0.26900000000000002</c:v>
                </c:pt>
                <c:pt idx="364">
                  <c:v>0.26500000000000001</c:v>
                </c:pt>
              </c:numCache>
            </c:numRef>
          </c:val>
          <c:smooth val="0"/>
        </c:ser>
        <c:ser>
          <c:idx val="4"/>
          <c:order val="4"/>
          <c:tx>
            <c:v>Ts50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1.204</c:v>
                </c:pt>
                <c:pt idx="1">
                  <c:v>1.202</c:v>
                </c:pt>
                <c:pt idx="2">
                  <c:v>1.1950000000000001</c:v>
                </c:pt>
                <c:pt idx="3">
                  <c:v>1.196</c:v>
                </c:pt>
                <c:pt idx="4">
                  <c:v>1.181</c:v>
                </c:pt>
                <c:pt idx="5">
                  <c:v>1.1679999999999999</c:v>
                </c:pt>
                <c:pt idx="6">
                  <c:v>1.1399999999999999</c:v>
                </c:pt>
                <c:pt idx="7">
                  <c:v>1.1140000000000001</c:v>
                </c:pt>
                <c:pt idx="8">
                  <c:v>1.149</c:v>
                </c:pt>
                <c:pt idx="9">
                  <c:v>1.155</c:v>
                </c:pt>
                <c:pt idx="10">
                  <c:v>1.1399999999999999</c:v>
                </c:pt>
                <c:pt idx="11">
                  <c:v>1.129</c:v>
                </c:pt>
                <c:pt idx="12">
                  <c:v>1.137</c:v>
                </c:pt>
                <c:pt idx="13">
                  <c:v>1.143</c:v>
                </c:pt>
                <c:pt idx="14">
                  <c:v>1.1160000000000001</c:v>
                </c:pt>
                <c:pt idx="15">
                  <c:v>1.1020000000000001</c:v>
                </c:pt>
                <c:pt idx="16">
                  <c:v>1.1020000000000001</c:v>
                </c:pt>
                <c:pt idx="17">
                  <c:v>1.0960000000000001</c:v>
                </c:pt>
                <c:pt idx="18">
                  <c:v>1.0920000000000001</c:v>
                </c:pt>
                <c:pt idx="19">
                  <c:v>1.069</c:v>
                </c:pt>
                <c:pt idx="20">
                  <c:v>1.0549999999999999</c:v>
                </c:pt>
                <c:pt idx="21">
                  <c:v>1.0580000000000001</c:v>
                </c:pt>
                <c:pt idx="22">
                  <c:v>1.054</c:v>
                </c:pt>
                <c:pt idx="23">
                  <c:v>1.0609999999999999</c:v>
                </c:pt>
                <c:pt idx="24">
                  <c:v>1.0660000000000001</c:v>
                </c:pt>
                <c:pt idx="25">
                  <c:v>1.089</c:v>
                </c:pt>
                <c:pt idx="26">
                  <c:v>1.069</c:v>
                </c:pt>
                <c:pt idx="27">
                  <c:v>1.0209999999999999</c:v>
                </c:pt>
                <c:pt idx="28">
                  <c:v>1.04</c:v>
                </c:pt>
                <c:pt idx="29">
                  <c:v>1.0580000000000001</c:v>
                </c:pt>
                <c:pt idx="30">
                  <c:v>1.06</c:v>
                </c:pt>
                <c:pt idx="31">
                  <c:v>1.034</c:v>
                </c:pt>
                <c:pt idx="32">
                  <c:v>1.0209999999999999</c:v>
                </c:pt>
                <c:pt idx="33">
                  <c:v>0.98299999999999998</c:v>
                </c:pt>
                <c:pt idx="34">
                  <c:v>0.90400000000000003</c:v>
                </c:pt>
                <c:pt idx="35">
                  <c:v>0.91600000000000004</c:v>
                </c:pt>
                <c:pt idx="36">
                  <c:v>0.91500000000000004</c:v>
                </c:pt>
                <c:pt idx="37">
                  <c:v>0.94299999999999995</c:v>
                </c:pt>
                <c:pt idx="38">
                  <c:v>0.92300000000000004</c:v>
                </c:pt>
                <c:pt idx="39">
                  <c:v>0.88400000000000001</c:v>
                </c:pt>
                <c:pt idx="40">
                  <c:v>0.88</c:v>
                </c:pt>
                <c:pt idx="41">
                  <c:v>0.86899999999999999</c:v>
                </c:pt>
                <c:pt idx="42">
                  <c:v>0.88700000000000001</c:v>
                </c:pt>
                <c:pt idx="43">
                  <c:v>0.88800000000000001</c:v>
                </c:pt>
                <c:pt idx="44">
                  <c:v>0.88100000000000001</c:v>
                </c:pt>
                <c:pt idx="45">
                  <c:v>0.89600000000000002</c:v>
                </c:pt>
                <c:pt idx="46">
                  <c:v>0.88100000000000001</c:v>
                </c:pt>
                <c:pt idx="47">
                  <c:v>0.85399999999999998</c:v>
                </c:pt>
                <c:pt idx="48">
                  <c:v>0.83099999999999996</c:v>
                </c:pt>
                <c:pt idx="49">
                  <c:v>0.85299999999999998</c:v>
                </c:pt>
                <c:pt idx="50">
                  <c:v>0.84399999999999997</c:v>
                </c:pt>
                <c:pt idx="51">
                  <c:v>0.82799999999999996</c:v>
                </c:pt>
                <c:pt idx="52">
                  <c:v>0.82699999999999996</c:v>
                </c:pt>
                <c:pt idx="53">
                  <c:v>0.82799999999999996</c:v>
                </c:pt>
                <c:pt idx="54">
                  <c:v>0.81699999999999995</c:v>
                </c:pt>
                <c:pt idx="55">
                  <c:v>0.78900000000000003</c:v>
                </c:pt>
                <c:pt idx="56">
                  <c:v>0.76800000000000002</c:v>
                </c:pt>
                <c:pt idx="57">
                  <c:v>0.79700000000000004</c:v>
                </c:pt>
                <c:pt idx="58">
                  <c:v>0.81</c:v>
                </c:pt>
                <c:pt idx="59">
                  <c:v>0.79500000000000004</c:v>
                </c:pt>
                <c:pt idx="60">
                  <c:v>0.77</c:v>
                </c:pt>
                <c:pt idx="61">
                  <c:v>0.75</c:v>
                </c:pt>
                <c:pt idx="62">
                  <c:v>0.749</c:v>
                </c:pt>
                <c:pt idx="63">
                  <c:v>0.77400000000000002</c:v>
                </c:pt>
                <c:pt idx="64">
                  <c:v>0.79300000000000004</c:v>
                </c:pt>
                <c:pt idx="65">
                  <c:v>0.78100000000000003</c:v>
                </c:pt>
                <c:pt idx="66">
                  <c:v>0.75700000000000001</c:v>
                </c:pt>
                <c:pt idx="67">
                  <c:v>0.75600000000000001</c:v>
                </c:pt>
                <c:pt idx="68">
                  <c:v>0.75800000000000001</c:v>
                </c:pt>
                <c:pt idx="69">
                  <c:v>0.76</c:v>
                </c:pt>
                <c:pt idx="70">
                  <c:v>0.76800000000000002</c:v>
                </c:pt>
                <c:pt idx="71">
                  <c:v>0.749</c:v>
                </c:pt>
                <c:pt idx="72">
                  <c:v>0.76300000000000001</c:v>
                </c:pt>
                <c:pt idx="73">
                  <c:v>0.78100000000000003</c:v>
                </c:pt>
                <c:pt idx="74">
                  <c:v>0.78700000000000003</c:v>
                </c:pt>
                <c:pt idx="75">
                  <c:v>0.79600000000000004</c:v>
                </c:pt>
                <c:pt idx="76">
                  <c:v>0.80600000000000005</c:v>
                </c:pt>
                <c:pt idx="77">
                  <c:v>0.81200000000000006</c:v>
                </c:pt>
                <c:pt idx="78">
                  <c:v>0.81100000000000005</c:v>
                </c:pt>
                <c:pt idx="79">
                  <c:v>0.79600000000000004</c:v>
                </c:pt>
                <c:pt idx="80">
                  <c:v>0.78900000000000003</c:v>
                </c:pt>
                <c:pt idx="81">
                  <c:v>0.78100000000000003</c:v>
                </c:pt>
                <c:pt idx="82">
                  <c:v>0.77900000000000003</c:v>
                </c:pt>
                <c:pt idx="83">
                  <c:v>0.76</c:v>
                </c:pt>
                <c:pt idx="84">
                  <c:v>0.73599999999999999</c:v>
                </c:pt>
                <c:pt idx="85">
                  <c:v>0.73499999999999999</c:v>
                </c:pt>
                <c:pt idx="86">
                  <c:v>0.74399999999999999</c:v>
                </c:pt>
                <c:pt idx="87">
                  <c:v>0.75700000000000001</c:v>
                </c:pt>
                <c:pt idx="88">
                  <c:v>0.75700000000000001</c:v>
                </c:pt>
                <c:pt idx="89">
                  <c:v>0.75800000000000001</c:v>
                </c:pt>
                <c:pt idx="90">
                  <c:v>0.73499999999999999</c:v>
                </c:pt>
                <c:pt idx="91">
                  <c:v>0.73299999999999998</c:v>
                </c:pt>
                <c:pt idx="92">
                  <c:v>0.753</c:v>
                </c:pt>
                <c:pt idx="93">
                  <c:v>0.73</c:v>
                </c:pt>
                <c:pt idx="94">
                  <c:v>0.73899999999999999</c:v>
                </c:pt>
                <c:pt idx="95">
                  <c:v>0.70199999999999996</c:v>
                </c:pt>
                <c:pt idx="96">
                  <c:v>0.71499999999999997</c:v>
                </c:pt>
                <c:pt idx="97">
                  <c:v>0.71899999999999997</c:v>
                </c:pt>
                <c:pt idx="98">
                  <c:v>0.71599999999999997</c:v>
                </c:pt>
                <c:pt idx="99">
                  <c:v>0.70099999999999996</c:v>
                </c:pt>
                <c:pt idx="100">
                  <c:v>0.69699999999999995</c:v>
                </c:pt>
                <c:pt idx="101">
                  <c:v>0.70399999999999996</c:v>
                </c:pt>
                <c:pt idx="102">
                  <c:v>0.71</c:v>
                </c:pt>
                <c:pt idx="103">
                  <c:v>0.69799999999999995</c:v>
                </c:pt>
                <c:pt idx="104">
                  <c:v>0.68899999999999995</c:v>
                </c:pt>
                <c:pt idx="105">
                  <c:v>0.71799999999999997</c:v>
                </c:pt>
                <c:pt idx="106">
                  <c:v>0.73499999999999999</c:v>
                </c:pt>
                <c:pt idx="107">
                  <c:v>0.73699999999999999</c:v>
                </c:pt>
                <c:pt idx="108">
                  <c:v>0.71</c:v>
                </c:pt>
                <c:pt idx="109">
                  <c:v>0.68700000000000006</c:v>
                </c:pt>
                <c:pt idx="110">
                  <c:v>0.69699999999999995</c:v>
                </c:pt>
                <c:pt idx="111">
                  <c:v>0.71599999999999997</c:v>
                </c:pt>
                <c:pt idx="112">
                  <c:v>0.71799999999999997</c:v>
                </c:pt>
                <c:pt idx="113">
                  <c:v>0.68100000000000005</c:v>
                </c:pt>
                <c:pt idx="114">
                  <c:v>0.69</c:v>
                </c:pt>
                <c:pt idx="115">
                  <c:v>0.70199999999999996</c:v>
                </c:pt>
                <c:pt idx="116">
                  <c:v>0.65600000000000003</c:v>
                </c:pt>
                <c:pt idx="117">
                  <c:v>0.67600000000000005</c:v>
                </c:pt>
                <c:pt idx="118">
                  <c:v>0.66900000000000004</c:v>
                </c:pt>
                <c:pt idx="119">
                  <c:v>0.68200000000000005</c:v>
                </c:pt>
                <c:pt idx="120">
                  <c:v>0.68200000000000005</c:v>
                </c:pt>
                <c:pt idx="121">
                  <c:v>0.68700000000000006</c:v>
                </c:pt>
                <c:pt idx="122">
                  <c:v>0.69899999999999995</c:v>
                </c:pt>
                <c:pt idx="123">
                  <c:v>0.70899999999999996</c:v>
                </c:pt>
                <c:pt idx="124">
                  <c:v>0.69299999999999995</c:v>
                </c:pt>
                <c:pt idx="125">
                  <c:v>0.69299999999999995</c:v>
                </c:pt>
                <c:pt idx="126">
                  <c:v>0.67900000000000005</c:v>
                </c:pt>
                <c:pt idx="127">
                  <c:v>0.66100000000000003</c:v>
                </c:pt>
                <c:pt idx="128">
                  <c:v>0.65200000000000002</c:v>
                </c:pt>
                <c:pt idx="129">
                  <c:v>0.64600000000000002</c:v>
                </c:pt>
                <c:pt idx="130">
                  <c:v>0.63200000000000001</c:v>
                </c:pt>
                <c:pt idx="131">
                  <c:v>0.621</c:v>
                </c:pt>
                <c:pt idx="132">
                  <c:v>0.61299999999999999</c:v>
                </c:pt>
                <c:pt idx="133">
                  <c:v>0.624</c:v>
                </c:pt>
                <c:pt idx="134">
                  <c:v>0.60599999999999998</c:v>
                </c:pt>
                <c:pt idx="135">
                  <c:v>0.63</c:v>
                </c:pt>
                <c:pt idx="136">
                  <c:v>0.64400000000000002</c:v>
                </c:pt>
                <c:pt idx="137">
                  <c:v>0.67900000000000005</c:v>
                </c:pt>
                <c:pt idx="138">
                  <c:v>0.746</c:v>
                </c:pt>
                <c:pt idx="139">
                  <c:v>0.85799999999999998</c:v>
                </c:pt>
                <c:pt idx="140">
                  <c:v>1.03</c:v>
                </c:pt>
                <c:pt idx="141">
                  <c:v>1.2250000000000001</c:v>
                </c:pt>
                <c:pt idx="142">
                  <c:v>1.5409999999999999</c:v>
                </c:pt>
                <c:pt idx="143">
                  <c:v>1.9259999999999999</c:v>
                </c:pt>
                <c:pt idx="144">
                  <c:v>2.2930000000000001</c:v>
                </c:pt>
                <c:pt idx="145">
                  <c:v>2.4670000000000001</c:v>
                </c:pt>
                <c:pt idx="146">
                  <c:v>2.6139999999999999</c:v>
                </c:pt>
                <c:pt idx="147">
                  <c:v>2.8919999999999999</c:v>
                </c:pt>
                <c:pt idx="148">
                  <c:v>3.2480000000000002</c:v>
                </c:pt>
                <c:pt idx="149">
                  <c:v>3.6579999999999999</c:v>
                </c:pt>
                <c:pt idx="150">
                  <c:v>3.9660000000000002</c:v>
                </c:pt>
                <c:pt idx="151">
                  <c:v>4.202</c:v>
                </c:pt>
                <c:pt idx="152">
                  <c:v>4.45</c:v>
                </c:pt>
                <c:pt idx="153">
                  <c:v>4.6989999999999998</c:v>
                </c:pt>
                <c:pt idx="154">
                  <c:v>4.7750000000000004</c:v>
                </c:pt>
                <c:pt idx="155">
                  <c:v>4.7300000000000004</c:v>
                </c:pt>
                <c:pt idx="156">
                  <c:v>4.6319999999999997</c:v>
                </c:pt>
                <c:pt idx="157">
                  <c:v>4.41</c:v>
                </c:pt>
                <c:pt idx="158">
                  <c:v>4.141</c:v>
                </c:pt>
                <c:pt idx="159">
                  <c:v>3.899</c:v>
                </c:pt>
                <c:pt idx="160">
                  <c:v>3.8809999999999998</c:v>
                </c:pt>
                <c:pt idx="161">
                  <c:v>3.9870000000000001</c:v>
                </c:pt>
                <c:pt idx="162">
                  <c:v>4.3040000000000003</c:v>
                </c:pt>
                <c:pt idx="163">
                  <c:v>4.7510000000000003</c:v>
                </c:pt>
                <c:pt idx="164">
                  <c:v>5.109</c:v>
                </c:pt>
                <c:pt idx="165">
                  <c:v>5.319</c:v>
                </c:pt>
                <c:pt idx="166">
                  <c:v>5.55</c:v>
                </c:pt>
                <c:pt idx="167">
                  <c:v>5.7050000000000001</c:v>
                </c:pt>
                <c:pt idx="168">
                  <c:v>5.8680000000000003</c:v>
                </c:pt>
                <c:pt idx="169">
                  <c:v>5.8810000000000002</c:v>
                </c:pt>
                <c:pt idx="170">
                  <c:v>5.5519999999999996</c:v>
                </c:pt>
                <c:pt idx="171">
                  <c:v>4.99</c:v>
                </c:pt>
                <c:pt idx="172">
                  <c:v>4.6509999999999998</c:v>
                </c:pt>
                <c:pt idx="173">
                  <c:v>4.8</c:v>
                </c:pt>
                <c:pt idx="174">
                  <c:v>4.8780000000000001</c:v>
                </c:pt>
                <c:pt idx="175">
                  <c:v>4.8710000000000004</c:v>
                </c:pt>
                <c:pt idx="176">
                  <c:v>4.9119999999999999</c:v>
                </c:pt>
                <c:pt idx="177">
                  <c:v>5.0460000000000003</c:v>
                </c:pt>
                <c:pt idx="178">
                  <c:v>5.1349999999999998</c:v>
                </c:pt>
                <c:pt idx="179">
                  <c:v>5.17</c:v>
                </c:pt>
                <c:pt idx="180">
                  <c:v>5.13</c:v>
                </c:pt>
                <c:pt idx="181">
                  <c:v>5.194</c:v>
                </c:pt>
                <c:pt idx="182">
                  <c:v>5.415</c:v>
                </c:pt>
                <c:pt idx="183">
                  <c:v>5.5750000000000002</c:v>
                </c:pt>
                <c:pt idx="184">
                  <c:v>5.7389999999999999</c:v>
                </c:pt>
                <c:pt idx="185">
                  <c:v>5.8970000000000002</c:v>
                </c:pt>
                <c:pt idx="186">
                  <c:v>6.0880000000000001</c:v>
                </c:pt>
                <c:pt idx="187">
                  <c:v>5.9779999999999998</c:v>
                </c:pt>
                <c:pt idx="188">
                  <c:v>5.9710000000000001</c:v>
                </c:pt>
                <c:pt idx="189">
                  <c:v>5.9740000000000002</c:v>
                </c:pt>
                <c:pt idx="190">
                  <c:v>6.085</c:v>
                </c:pt>
                <c:pt idx="191">
                  <c:v>6.2569999999999997</c:v>
                </c:pt>
                <c:pt idx="192">
                  <c:v>6.3689999999999998</c:v>
                </c:pt>
                <c:pt idx="193">
                  <c:v>6.5090000000000003</c:v>
                </c:pt>
                <c:pt idx="194">
                  <c:v>6.64</c:v>
                </c:pt>
                <c:pt idx="195">
                  <c:v>6.6710000000000003</c:v>
                </c:pt>
                <c:pt idx="196">
                  <c:v>6.694</c:v>
                </c:pt>
                <c:pt idx="197">
                  <c:v>6.6929999999999996</c:v>
                </c:pt>
                <c:pt idx="198">
                  <c:v>6.64</c:v>
                </c:pt>
                <c:pt idx="199">
                  <c:v>6.4669999999999996</c:v>
                </c:pt>
                <c:pt idx="200">
                  <c:v>6.306</c:v>
                </c:pt>
                <c:pt idx="201">
                  <c:v>6.2750000000000004</c:v>
                </c:pt>
                <c:pt idx="202">
                  <c:v>6.4770000000000003</c:v>
                </c:pt>
                <c:pt idx="203">
                  <c:v>6.8230000000000004</c:v>
                </c:pt>
                <c:pt idx="204">
                  <c:v>7.0910000000000002</c:v>
                </c:pt>
                <c:pt idx="205">
                  <c:v>7.0380000000000003</c:v>
                </c:pt>
                <c:pt idx="206">
                  <c:v>7.0019999999999998</c:v>
                </c:pt>
                <c:pt idx="207">
                  <c:v>7.2039999999999997</c:v>
                </c:pt>
                <c:pt idx="208">
                  <c:v>7.343</c:v>
                </c:pt>
                <c:pt idx="209">
                  <c:v>7.3949999999999996</c:v>
                </c:pt>
                <c:pt idx="210">
                  <c:v>7.5209999999999999</c:v>
                </c:pt>
                <c:pt idx="211">
                  <c:v>7.649</c:v>
                </c:pt>
                <c:pt idx="212">
                  <c:v>7.7649999999999997</c:v>
                </c:pt>
                <c:pt idx="213">
                  <c:v>7.9109999999999996</c:v>
                </c:pt>
                <c:pt idx="214">
                  <c:v>7.9669999999999996</c:v>
                </c:pt>
                <c:pt idx="215">
                  <c:v>7.9160000000000004</c:v>
                </c:pt>
                <c:pt idx="216">
                  <c:v>7.9320000000000004</c:v>
                </c:pt>
                <c:pt idx="217">
                  <c:v>8.07</c:v>
                </c:pt>
                <c:pt idx="218">
                  <c:v>8.2899999999999991</c:v>
                </c:pt>
                <c:pt idx="219">
                  <c:v>8.4700000000000006</c:v>
                </c:pt>
                <c:pt idx="220">
                  <c:v>8.6199999999999992</c:v>
                </c:pt>
                <c:pt idx="221">
                  <c:v>8.74</c:v>
                </c:pt>
                <c:pt idx="222">
                  <c:v>8.73</c:v>
                </c:pt>
                <c:pt idx="223">
                  <c:v>8.52</c:v>
                </c:pt>
                <c:pt idx="224">
                  <c:v>8.4</c:v>
                </c:pt>
                <c:pt idx="225">
                  <c:v>8.34</c:v>
                </c:pt>
                <c:pt idx="226">
                  <c:v>8.33</c:v>
                </c:pt>
                <c:pt idx="227">
                  <c:v>8.3699999999999992</c:v>
                </c:pt>
                <c:pt idx="228">
                  <c:v>8.2799999999999994</c:v>
                </c:pt>
                <c:pt idx="229">
                  <c:v>8.15</c:v>
                </c:pt>
                <c:pt idx="230">
                  <c:v>8.1199999999999992</c:v>
                </c:pt>
                <c:pt idx="231">
                  <c:v>8.17</c:v>
                </c:pt>
                <c:pt idx="232">
                  <c:v>8.31</c:v>
                </c:pt>
                <c:pt idx="233">
                  <c:v>8.36</c:v>
                </c:pt>
                <c:pt idx="234">
                  <c:v>8.31</c:v>
                </c:pt>
                <c:pt idx="235">
                  <c:v>8.19</c:v>
                </c:pt>
                <c:pt idx="236">
                  <c:v>8.0299999999999994</c:v>
                </c:pt>
                <c:pt idx="237">
                  <c:v>7.867</c:v>
                </c:pt>
                <c:pt idx="238">
                  <c:v>7.7729999999999997</c:v>
                </c:pt>
                <c:pt idx="239">
                  <c:v>7.859</c:v>
                </c:pt>
                <c:pt idx="240">
                  <c:v>8.0500000000000007</c:v>
                </c:pt>
                <c:pt idx="241">
                  <c:v>8.1999999999999993</c:v>
                </c:pt>
                <c:pt idx="242">
                  <c:v>8.36</c:v>
                </c:pt>
                <c:pt idx="243">
                  <c:v>8.4700000000000006</c:v>
                </c:pt>
                <c:pt idx="244">
                  <c:v>8.49</c:v>
                </c:pt>
                <c:pt idx="245">
                  <c:v>8.49</c:v>
                </c:pt>
                <c:pt idx="246">
                  <c:v>8.5</c:v>
                </c:pt>
                <c:pt idx="247">
                  <c:v>8.48</c:v>
                </c:pt>
                <c:pt idx="248">
                  <c:v>8.5399999999999991</c:v>
                </c:pt>
                <c:pt idx="249">
                  <c:v>8.65</c:v>
                </c:pt>
                <c:pt idx="250">
                  <c:v>8.68</c:v>
                </c:pt>
                <c:pt idx="251">
                  <c:v>8.39</c:v>
                </c:pt>
                <c:pt idx="252">
                  <c:v>7.9359999999999999</c:v>
                </c:pt>
                <c:pt idx="253">
                  <c:v>7.9029999999999996</c:v>
                </c:pt>
                <c:pt idx="254">
                  <c:v>7.8840000000000003</c:v>
                </c:pt>
                <c:pt idx="255">
                  <c:v>7.8710000000000004</c:v>
                </c:pt>
                <c:pt idx="256">
                  <c:v>7.782</c:v>
                </c:pt>
                <c:pt idx="257">
                  <c:v>7.625</c:v>
                </c:pt>
                <c:pt idx="258">
                  <c:v>7.4420000000000002</c:v>
                </c:pt>
                <c:pt idx="259">
                  <c:v>7.2619999999999996</c:v>
                </c:pt>
                <c:pt idx="260">
                  <c:v>7.0439999999999996</c:v>
                </c:pt>
                <c:pt idx="261">
                  <c:v>6.8730000000000002</c:v>
                </c:pt>
                <c:pt idx="262">
                  <c:v>6.7679999999999998</c:v>
                </c:pt>
                <c:pt idx="263">
                  <c:v>6.6980000000000004</c:v>
                </c:pt>
                <c:pt idx="264">
                  <c:v>6.6980000000000004</c:v>
                </c:pt>
                <c:pt idx="265">
                  <c:v>6.6950000000000003</c:v>
                </c:pt>
                <c:pt idx="266">
                  <c:v>6.5830000000000002</c:v>
                </c:pt>
                <c:pt idx="267">
                  <c:v>6.4260000000000002</c:v>
                </c:pt>
                <c:pt idx="268">
                  <c:v>6.2</c:v>
                </c:pt>
                <c:pt idx="269">
                  <c:v>6.0190000000000001</c:v>
                </c:pt>
                <c:pt idx="270">
                  <c:v>5.742</c:v>
                </c:pt>
                <c:pt idx="271">
                  <c:v>5.4550000000000001</c:v>
                </c:pt>
                <c:pt idx="272">
                  <c:v>5.2190000000000003</c:v>
                </c:pt>
                <c:pt idx="273">
                  <c:v>5.0250000000000004</c:v>
                </c:pt>
                <c:pt idx="274">
                  <c:v>4.8410000000000002</c:v>
                </c:pt>
                <c:pt idx="275">
                  <c:v>4.6749999999999998</c:v>
                </c:pt>
                <c:pt idx="276">
                  <c:v>4.53</c:v>
                </c:pt>
                <c:pt idx="277">
                  <c:v>4.3929999999999998</c:v>
                </c:pt>
                <c:pt idx="278">
                  <c:v>4.2649999999999997</c:v>
                </c:pt>
                <c:pt idx="279">
                  <c:v>4.1539999999999999</c:v>
                </c:pt>
                <c:pt idx="280">
                  <c:v>3.93</c:v>
                </c:pt>
                <c:pt idx="281">
                  <c:v>3.8010000000000002</c:v>
                </c:pt>
                <c:pt idx="282">
                  <c:v>3.7120000000000002</c:v>
                </c:pt>
                <c:pt idx="283">
                  <c:v>3.613</c:v>
                </c:pt>
                <c:pt idx="284">
                  <c:v>3.5129999999999999</c:v>
                </c:pt>
                <c:pt idx="285">
                  <c:v>3.4119999999999999</c:v>
                </c:pt>
                <c:pt idx="286">
                  <c:v>3.3130000000000002</c:v>
                </c:pt>
                <c:pt idx="287">
                  <c:v>3.2549999999999999</c:v>
                </c:pt>
                <c:pt idx="288">
                  <c:v>3.214</c:v>
                </c:pt>
                <c:pt idx="289">
                  <c:v>3.1440000000000001</c:v>
                </c:pt>
                <c:pt idx="290">
                  <c:v>3.0710000000000002</c:v>
                </c:pt>
                <c:pt idx="291">
                  <c:v>3.0150000000000001</c:v>
                </c:pt>
                <c:pt idx="292">
                  <c:v>2.9689999999999999</c:v>
                </c:pt>
                <c:pt idx="293">
                  <c:v>2.927</c:v>
                </c:pt>
                <c:pt idx="294">
                  <c:v>2.9039999999999999</c:v>
                </c:pt>
                <c:pt idx="295">
                  <c:v>2.8380000000000001</c:v>
                </c:pt>
                <c:pt idx="296">
                  <c:v>2.8239999999999998</c:v>
                </c:pt>
                <c:pt idx="297">
                  <c:v>2.7080000000000002</c:v>
                </c:pt>
                <c:pt idx="298">
                  <c:v>2.6059999999999999</c:v>
                </c:pt>
                <c:pt idx="299">
                  <c:v>2.581</c:v>
                </c:pt>
                <c:pt idx="300">
                  <c:v>2.5449999999999999</c:v>
                </c:pt>
                <c:pt idx="301">
                  <c:v>2.464</c:v>
                </c:pt>
                <c:pt idx="302">
                  <c:v>2.427</c:v>
                </c:pt>
                <c:pt idx="303">
                  <c:v>2.3570000000000002</c:v>
                </c:pt>
                <c:pt idx="304">
                  <c:v>2.2879999999999998</c:v>
                </c:pt>
                <c:pt idx="305">
                  <c:v>2.2650000000000001</c:v>
                </c:pt>
                <c:pt idx="306">
                  <c:v>2.2080000000000002</c:v>
                </c:pt>
                <c:pt idx="307">
                  <c:v>2.1720000000000002</c:v>
                </c:pt>
                <c:pt idx="308">
                  <c:v>2.1179999999999999</c:v>
                </c:pt>
                <c:pt idx="309">
                  <c:v>2.056</c:v>
                </c:pt>
                <c:pt idx="310">
                  <c:v>2.0459999999999998</c:v>
                </c:pt>
                <c:pt idx="311">
                  <c:v>2.0550000000000002</c:v>
                </c:pt>
                <c:pt idx="312">
                  <c:v>2.0110000000000001</c:v>
                </c:pt>
                <c:pt idx="313">
                  <c:v>1.9570000000000001</c:v>
                </c:pt>
                <c:pt idx="314">
                  <c:v>1.921</c:v>
                </c:pt>
                <c:pt idx="315">
                  <c:v>1.903</c:v>
                </c:pt>
                <c:pt idx="316">
                  <c:v>1.88</c:v>
                </c:pt>
                <c:pt idx="317">
                  <c:v>1.84</c:v>
                </c:pt>
                <c:pt idx="318">
                  <c:v>1.821</c:v>
                </c:pt>
                <c:pt idx="319">
                  <c:v>1.784</c:v>
                </c:pt>
                <c:pt idx="320">
                  <c:v>1.7989999999999999</c:v>
                </c:pt>
                <c:pt idx="321">
                  <c:v>1.742</c:v>
                </c:pt>
                <c:pt idx="322">
                  <c:v>1.7050000000000001</c:v>
                </c:pt>
                <c:pt idx="323">
                  <c:v>1.669</c:v>
                </c:pt>
                <c:pt idx="324">
                  <c:v>1.6910000000000001</c:v>
                </c:pt>
                <c:pt idx="325">
                  <c:v>1.69</c:v>
                </c:pt>
                <c:pt idx="326">
                  <c:v>1.6619999999999999</c:v>
                </c:pt>
                <c:pt idx="327">
                  <c:v>1.6220000000000001</c:v>
                </c:pt>
                <c:pt idx="328">
                  <c:v>1.58</c:v>
                </c:pt>
                <c:pt idx="329">
                  <c:v>1.5349999999999999</c:v>
                </c:pt>
                <c:pt idx="330">
                  <c:v>1.504</c:v>
                </c:pt>
                <c:pt idx="331">
                  <c:v>1.4690000000000001</c:v>
                </c:pt>
                <c:pt idx="332">
                  <c:v>1.4470000000000001</c:v>
                </c:pt>
                <c:pt idx="333">
                  <c:v>1.431</c:v>
                </c:pt>
                <c:pt idx="334">
                  <c:v>1.3819999999999999</c:v>
                </c:pt>
                <c:pt idx="335">
                  <c:v>1.379</c:v>
                </c:pt>
                <c:pt idx="336">
                  <c:v>1.377</c:v>
                </c:pt>
                <c:pt idx="337">
                  <c:v>1.3440000000000001</c:v>
                </c:pt>
                <c:pt idx="338">
                  <c:v>1.3049999999999999</c:v>
                </c:pt>
                <c:pt idx="339">
                  <c:v>1.3</c:v>
                </c:pt>
                <c:pt idx="340">
                  <c:v>1.2829999999999999</c:v>
                </c:pt>
                <c:pt idx="341">
                  <c:v>1.236</c:v>
                </c:pt>
                <c:pt idx="342">
                  <c:v>1.236</c:v>
                </c:pt>
                <c:pt idx="343">
                  <c:v>1.2330000000000001</c:v>
                </c:pt>
                <c:pt idx="344">
                  <c:v>1.2050000000000001</c:v>
                </c:pt>
                <c:pt idx="345">
                  <c:v>1.1930000000000001</c:v>
                </c:pt>
                <c:pt idx="346">
                  <c:v>1.181</c:v>
                </c:pt>
                <c:pt idx="347">
                  <c:v>1.1519999999999999</c:v>
                </c:pt>
                <c:pt idx="348">
                  <c:v>1.1319999999999999</c:v>
                </c:pt>
                <c:pt idx="349">
                  <c:v>1.123</c:v>
                </c:pt>
                <c:pt idx="350">
                  <c:v>1.1180000000000001</c:v>
                </c:pt>
                <c:pt idx="351">
                  <c:v>1.1000000000000001</c:v>
                </c:pt>
                <c:pt idx="352">
                  <c:v>1.091</c:v>
                </c:pt>
                <c:pt idx="353">
                  <c:v>1.1140000000000001</c:v>
                </c:pt>
                <c:pt idx="354">
                  <c:v>1.111</c:v>
                </c:pt>
                <c:pt idx="355">
                  <c:v>1.07</c:v>
                </c:pt>
                <c:pt idx="356">
                  <c:v>1.0680000000000001</c:v>
                </c:pt>
                <c:pt idx="357">
                  <c:v>1.05</c:v>
                </c:pt>
                <c:pt idx="358">
                  <c:v>1.0369999999999999</c:v>
                </c:pt>
                <c:pt idx="359">
                  <c:v>1.0149999999999999</c:v>
                </c:pt>
                <c:pt idx="360">
                  <c:v>1.016</c:v>
                </c:pt>
                <c:pt idx="361">
                  <c:v>1.024</c:v>
                </c:pt>
                <c:pt idx="362">
                  <c:v>1.0289999999999999</c:v>
                </c:pt>
                <c:pt idx="363">
                  <c:v>1.02</c:v>
                </c:pt>
                <c:pt idx="364">
                  <c:v>1.0089999999999999</c:v>
                </c:pt>
              </c:numCache>
            </c:numRef>
          </c:val>
          <c:smooth val="0"/>
        </c:ser>
        <c:ser>
          <c:idx val="5"/>
          <c:order val="5"/>
          <c:tx>
            <c:v>TsIRT</c:v>
          </c:tx>
          <c:spPr>
            <a:ln w="19050"/>
          </c:spPr>
          <c:marker>
            <c:symbol val="none"/>
          </c:marker>
          <c:val>
            <c:numRef>
              <c:f>Data!$AC$6:$AC$371</c:f>
              <c:numCache>
                <c:formatCode>General</c:formatCode>
                <c:ptCount val="366"/>
                <c:pt idx="0">
                  <c:v>-6.1139999999999999</c:v>
                </c:pt>
                <c:pt idx="1">
                  <c:v>-5.0069999999999997</c:v>
                </c:pt>
                <c:pt idx="2">
                  <c:v>-3.7879999999999998</c:v>
                </c:pt>
                <c:pt idx="3">
                  <c:v>-5.0860000000000003</c:v>
                </c:pt>
                <c:pt idx="4">
                  <c:v>-5.0449999999999999</c:v>
                </c:pt>
                <c:pt idx="5">
                  <c:v>-7.4009999999999998</c:v>
                </c:pt>
                <c:pt idx="6">
                  <c:v>-11.32</c:v>
                </c:pt>
                <c:pt idx="7">
                  <c:v>-12.52</c:v>
                </c:pt>
                <c:pt idx="8">
                  <c:v>-4.6980000000000004</c:v>
                </c:pt>
                <c:pt idx="9">
                  <c:v>-4.069</c:v>
                </c:pt>
                <c:pt idx="10">
                  <c:v>-4.6109999999999998</c:v>
                </c:pt>
                <c:pt idx="11">
                  <c:v>-5.5650000000000004</c:v>
                </c:pt>
                <c:pt idx="12">
                  <c:v>-4.4089999999999998</c:v>
                </c:pt>
                <c:pt idx="13">
                  <c:v>-4.399</c:v>
                </c:pt>
                <c:pt idx="14">
                  <c:v>-6.6239999999999997</c:v>
                </c:pt>
                <c:pt idx="15">
                  <c:v>-6.21</c:v>
                </c:pt>
                <c:pt idx="16">
                  <c:v>-4.952</c:v>
                </c:pt>
                <c:pt idx="17">
                  <c:v>-5.5609999999999999</c:v>
                </c:pt>
                <c:pt idx="18">
                  <c:v>-6.077</c:v>
                </c:pt>
                <c:pt idx="19">
                  <c:v>-9.0500000000000007</c:v>
                </c:pt>
                <c:pt idx="20">
                  <c:v>-10.18</c:v>
                </c:pt>
                <c:pt idx="21">
                  <c:v>-7.9470000000000001</c:v>
                </c:pt>
                <c:pt idx="22">
                  <c:v>-7.633</c:v>
                </c:pt>
                <c:pt idx="23">
                  <c:v>-6.093</c:v>
                </c:pt>
                <c:pt idx="24">
                  <c:v>-4.6050000000000004</c:v>
                </c:pt>
                <c:pt idx="25">
                  <c:v>-1.9590000000000001</c:v>
                </c:pt>
                <c:pt idx="26">
                  <c:v>-5.2130000000000001</c:v>
                </c:pt>
                <c:pt idx="27">
                  <c:v>-10.02</c:v>
                </c:pt>
                <c:pt idx="28">
                  <c:v>-8.44</c:v>
                </c:pt>
                <c:pt idx="29">
                  <c:v>-4.093</c:v>
                </c:pt>
                <c:pt idx="30">
                  <c:v>-2.1379999999999999</c:v>
                </c:pt>
                <c:pt idx="31">
                  <c:v>-3.2349999999999999</c:v>
                </c:pt>
                <c:pt idx="32">
                  <c:v>-6.319</c:v>
                </c:pt>
                <c:pt idx="33">
                  <c:v>-11.61</c:v>
                </c:pt>
                <c:pt idx="34">
                  <c:v>-22.14</c:v>
                </c:pt>
                <c:pt idx="35">
                  <c:v>-20.84</c:v>
                </c:pt>
                <c:pt idx="36">
                  <c:v>-20.87</c:v>
                </c:pt>
                <c:pt idx="37">
                  <c:v>-13.32</c:v>
                </c:pt>
                <c:pt idx="38">
                  <c:v>-15.68</c:v>
                </c:pt>
                <c:pt idx="39">
                  <c:v>-19.84</c:v>
                </c:pt>
                <c:pt idx="40">
                  <c:v>-18.260000000000002</c:v>
                </c:pt>
                <c:pt idx="41">
                  <c:v>-17.920000000000002</c:v>
                </c:pt>
                <c:pt idx="42">
                  <c:v>-13.05</c:v>
                </c:pt>
                <c:pt idx="43">
                  <c:v>-12.86</c:v>
                </c:pt>
                <c:pt idx="44">
                  <c:v>-11.03</c:v>
                </c:pt>
                <c:pt idx="45">
                  <c:v>-7.34</c:v>
                </c:pt>
                <c:pt idx="46">
                  <c:v>-8.3800000000000008</c:v>
                </c:pt>
                <c:pt idx="47">
                  <c:v>-12.55</c:v>
                </c:pt>
                <c:pt idx="48">
                  <c:v>-14.84</c:v>
                </c:pt>
                <c:pt idx="49">
                  <c:v>-10.029999999999999</c:v>
                </c:pt>
                <c:pt idx="50">
                  <c:v>-10.85</c:v>
                </c:pt>
                <c:pt idx="51">
                  <c:v>-12.45</c:v>
                </c:pt>
                <c:pt idx="52">
                  <c:v>-11.53</c:v>
                </c:pt>
                <c:pt idx="53">
                  <c:v>-10.77</c:v>
                </c:pt>
                <c:pt idx="54">
                  <c:v>-11.97</c:v>
                </c:pt>
                <c:pt idx="55">
                  <c:v>-15.56</c:v>
                </c:pt>
                <c:pt idx="56">
                  <c:v>-18.22</c:v>
                </c:pt>
                <c:pt idx="57">
                  <c:v>-12.1</c:v>
                </c:pt>
                <c:pt idx="58">
                  <c:v>-10.43</c:v>
                </c:pt>
                <c:pt idx="59">
                  <c:v>-11.05</c:v>
                </c:pt>
                <c:pt idx="60">
                  <c:v>-15.86</c:v>
                </c:pt>
                <c:pt idx="61">
                  <c:v>-17.760000000000002</c:v>
                </c:pt>
                <c:pt idx="62">
                  <c:v>-16.739999999999998</c:v>
                </c:pt>
                <c:pt idx="63">
                  <c:v>-11.27</c:v>
                </c:pt>
                <c:pt idx="64">
                  <c:v>-7.399</c:v>
                </c:pt>
                <c:pt idx="65">
                  <c:v>-9.5399999999999991</c:v>
                </c:pt>
                <c:pt idx="66">
                  <c:v>-12.69</c:v>
                </c:pt>
                <c:pt idx="67">
                  <c:v>-11.65</c:v>
                </c:pt>
                <c:pt idx="68">
                  <c:v>-10.6</c:v>
                </c:pt>
                <c:pt idx="69">
                  <c:v>-9.0399999999999991</c:v>
                </c:pt>
                <c:pt idx="70">
                  <c:v>-8.18</c:v>
                </c:pt>
                <c:pt idx="71">
                  <c:v>-10.34</c:v>
                </c:pt>
                <c:pt idx="72">
                  <c:v>-6.8920000000000003</c:v>
                </c:pt>
                <c:pt idx="73">
                  <c:v>-4.6989999999999998</c:v>
                </c:pt>
                <c:pt idx="74">
                  <c:v>-3.5870000000000002</c:v>
                </c:pt>
                <c:pt idx="75">
                  <c:v>-2.4870000000000001</c:v>
                </c:pt>
                <c:pt idx="76">
                  <c:v>-1.7130000000000001</c:v>
                </c:pt>
                <c:pt idx="77">
                  <c:v>-0.80900000000000005</c:v>
                </c:pt>
                <c:pt idx="78">
                  <c:v>-0.23699999999999999</c:v>
                </c:pt>
                <c:pt idx="79">
                  <c:v>-0.40400000000000003</c:v>
                </c:pt>
                <c:pt idx="80">
                  <c:v>-0.152</c:v>
                </c:pt>
                <c:pt idx="81">
                  <c:v>-0.34899999999999998</c:v>
                </c:pt>
                <c:pt idx="82">
                  <c:v>-0.45400000000000001</c:v>
                </c:pt>
                <c:pt idx="83">
                  <c:v>-1.2410000000000001</c:v>
                </c:pt>
                <c:pt idx="84">
                  <c:v>-3.8119999999999998</c:v>
                </c:pt>
                <c:pt idx="85">
                  <c:v>-4.3780000000000001</c:v>
                </c:pt>
                <c:pt idx="86">
                  <c:v>-3.0219999999999998</c:v>
                </c:pt>
                <c:pt idx="87">
                  <c:v>-2.46</c:v>
                </c:pt>
                <c:pt idx="88">
                  <c:v>-1.7430000000000001</c:v>
                </c:pt>
                <c:pt idx="89">
                  <c:v>-1.2030000000000001</c:v>
                </c:pt>
                <c:pt idx="90">
                  <c:v>-2.2970000000000002</c:v>
                </c:pt>
                <c:pt idx="91">
                  <c:v>-1.998</c:v>
                </c:pt>
                <c:pt idx="92">
                  <c:v>-0.80200000000000005</c:v>
                </c:pt>
                <c:pt idx="93">
                  <c:v>-1.288</c:v>
                </c:pt>
                <c:pt idx="94">
                  <c:v>-1.26</c:v>
                </c:pt>
                <c:pt idx="95">
                  <c:v>-4.0060000000000002</c:v>
                </c:pt>
                <c:pt idx="96">
                  <c:v>-3.44</c:v>
                </c:pt>
                <c:pt idx="97">
                  <c:v>-3.0979999999999999</c:v>
                </c:pt>
                <c:pt idx="98">
                  <c:v>-2.169</c:v>
                </c:pt>
                <c:pt idx="99">
                  <c:v>-3.97</c:v>
                </c:pt>
                <c:pt idx="100">
                  <c:v>-4.5640000000000001</c:v>
                </c:pt>
                <c:pt idx="101">
                  <c:v>-4.0970000000000004</c:v>
                </c:pt>
                <c:pt idx="102">
                  <c:v>-3.7719999999999998</c:v>
                </c:pt>
                <c:pt idx="103">
                  <c:v>-5.58</c:v>
                </c:pt>
                <c:pt idx="104">
                  <c:v>-5.6950000000000003</c:v>
                </c:pt>
                <c:pt idx="105">
                  <c:v>-3.38</c:v>
                </c:pt>
                <c:pt idx="106">
                  <c:v>-1.2310000000000001</c:v>
                </c:pt>
                <c:pt idx="107">
                  <c:v>1.4999999999999999E-2</c:v>
                </c:pt>
                <c:pt idx="108">
                  <c:v>0.10100000000000001</c:v>
                </c:pt>
                <c:pt idx="109">
                  <c:v>-1.6890000000000001</c:v>
                </c:pt>
                <c:pt idx="110">
                  <c:v>-1.728</c:v>
                </c:pt>
                <c:pt idx="111">
                  <c:v>-0.46500000000000002</c:v>
                </c:pt>
                <c:pt idx="112">
                  <c:v>-0.54300000000000004</c:v>
                </c:pt>
                <c:pt idx="113">
                  <c:v>-1.998</c:v>
                </c:pt>
                <c:pt idx="114">
                  <c:v>-1.7589999999999999</c:v>
                </c:pt>
                <c:pt idx="115">
                  <c:v>-1.3979999999999999</c:v>
                </c:pt>
                <c:pt idx="116">
                  <c:v>-5.3440000000000003</c:v>
                </c:pt>
                <c:pt idx="117">
                  <c:v>-4.4249999999999998</c:v>
                </c:pt>
                <c:pt idx="118">
                  <c:v>-4.9269999999999996</c:v>
                </c:pt>
                <c:pt idx="119">
                  <c:v>-3.855</c:v>
                </c:pt>
                <c:pt idx="120">
                  <c:v>-2.37</c:v>
                </c:pt>
                <c:pt idx="121">
                  <c:v>-1.6180000000000001</c:v>
                </c:pt>
                <c:pt idx="122">
                  <c:v>-0.92</c:v>
                </c:pt>
                <c:pt idx="123">
                  <c:v>-3.1E-2</c:v>
                </c:pt>
                <c:pt idx="124">
                  <c:v>-0.33400000000000002</c:v>
                </c:pt>
                <c:pt idx="125">
                  <c:v>-0.125</c:v>
                </c:pt>
                <c:pt idx="126">
                  <c:v>-0.04</c:v>
                </c:pt>
                <c:pt idx="127">
                  <c:v>3.3000000000000002E-2</c:v>
                </c:pt>
                <c:pt idx="128">
                  <c:v>2.4E-2</c:v>
                </c:pt>
                <c:pt idx="129">
                  <c:v>0.222</c:v>
                </c:pt>
                <c:pt idx="130">
                  <c:v>0.34</c:v>
                </c:pt>
                <c:pt idx="131">
                  <c:v>0.312</c:v>
                </c:pt>
                <c:pt idx="132">
                  <c:v>0.311</c:v>
                </c:pt>
                <c:pt idx="133">
                  <c:v>0.20699999999999999</c:v>
                </c:pt>
                <c:pt idx="134">
                  <c:v>0.24399999999999999</c:v>
                </c:pt>
                <c:pt idx="135">
                  <c:v>0.99199999999999999</c:v>
                </c:pt>
                <c:pt idx="136">
                  <c:v>0.751</c:v>
                </c:pt>
                <c:pt idx="137">
                  <c:v>0.86899999999999999</c:v>
                </c:pt>
                <c:pt idx="138">
                  <c:v>2.5979999999999999</c:v>
                </c:pt>
                <c:pt idx="139">
                  <c:v>3.1309999999999998</c:v>
                </c:pt>
                <c:pt idx="140">
                  <c:v>3.0670000000000002</c:v>
                </c:pt>
                <c:pt idx="141">
                  <c:v>5.8979999999999997</c:v>
                </c:pt>
                <c:pt idx="142">
                  <c:v>7.3449999999999998</c:v>
                </c:pt>
                <c:pt idx="143">
                  <c:v>7.07</c:v>
                </c:pt>
                <c:pt idx="144">
                  <c:v>4.7169999999999996</c:v>
                </c:pt>
                <c:pt idx="145">
                  <c:v>6.1360000000000001</c:v>
                </c:pt>
                <c:pt idx="146">
                  <c:v>8.81</c:v>
                </c:pt>
                <c:pt idx="147">
                  <c:v>11.13</c:v>
                </c:pt>
                <c:pt idx="148">
                  <c:v>12.92</c:v>
                </c:pt>
                <c:pt idx="149">
                  <c:v>10.75</c:v>
                </c:pt>
                <c:pt idx="150">
                  <c:v>10.26</c:v>
                </c:pt>
                <c:pt idx="151">
                  <c:v>12.13</c:v>
                </c:pt>
                <c:pt idx="152">
                  <c:v>13.16</c:v>
                </c:pt>
                <c:pt idx="153">
                  <c:v>9.77</c:v>
                </c:pt>
                <c:pt idx="154">
                  <c:v>8.3800000000000008</c:v>
                </c:pt>
                <c:pt idx="155">
                  <c:v>6.5590000000000002</c:v>
                </c:pt>
                <c:pt idx="156">
                  <c:v>3.0430000000000001</c:v>
                </c:pt>
                <c:pt idx="157">
                  <c:v>1.3560000000000001</c:v>
                </c:pt>
                <c:pt idx="158">
                  <c:v>1.5489999999999999</c:v>
                </c:pt>
                <c:pt idx="159">
                  <c:v>5.1879999999999997</c:v>
                </c:pt>
                <c:pt idx="160">
                  <c:v>6.5220000000000002</c:v>
                </c:pt>
                <c:pt idx="161">
                  <c:v>11.52</c:v>
                </c:pt>
                <c:pt idx="162">
                  <c:v>14.32</c:v>
                </c:pt>
                <c:pt idx="163">
                  <c:v>14.09</c:v>
                </c:pt>
                <c:pt idx="164">
                  <c:v>12.55</c:v>
                </c:pt>
                <c:pt idx="165">
                  <c:v>13.98</c:v>
                </c:pt>
                <c:pt idx="166">
                  <c:v>12.75</c:v>
                </c:pt>
                <c:pt idx="167">
                  <c:v>13.73</c:v>
                </c:pt>
                <c:pt idx="168">
                  <c:v>10.8</c:v>
                </c:pt>
                <c:pt idx="169">
                  <c:v>1.8380000000000001</c:v>
                </c:pt>
                <c:pt idx="170">
                  <c:v>-0.122</c:v>
                </c:pt>
                <c:pt idx="171">
                  <c:v>3.512</c:v>
                </c:pt>
                <c:pt idx="172">
                  <c:v>7.9649999999999999</c:v>
                </c:pt>
                <c:pt idx="173">
                  <c:v>5.649</c:v>
                </c:pt>
                <c:pt idx="174">
                  <c:v>5.2190000000000003</c:v>
                </c:pt>
                <c:pt idx="175">
                  <c:v>6.1909999999999998</c:v>
                </c:pt>
                <c:pt idx="176">
                  <c:v>8.27</c:v>
                </c:pt>
                <c:pt idx="177">
                  <c:v>6.7210000000000001</c:v>
                </c:pt>
                <c:pt idx="178">
                  <c:v>5.9980000000000002</c:v>
                </c:pt>
                <c:pt idx="179">
                  <c:v>5.7460000000000004</c:v>
                </c:pt>
                <c:pt idx="180">
                  <c:v>8.1199999999999992</c:v>
                </c:pt>
                <c:pt idx="181">
                  <c:v>11.43</c:v>
                </c:pt>
                <c:pt idx="182">
                  <c:v>9.31</c:v>
                </c:pt>
                <c:pt idx="183">
                  <c:v>10.92</c:v>
                </c:pt>
                <c:pt idx="184">
                  <c:v>9.24</c:v>
                </c:pt>
                <c:pt idx="185">
                  <c:v>8.07</c:v>
                </c:pt>
                <c:pt idx="186">
                  <c:v>8.07</c:v>
                </c:pt>
                <c:pt idx="187">
                  <c:v>7.8460000000000001</c:v>
                </c:pt>
                <c:pt idx="188">
                  <c:v>7.7110000000000003</c:v>
                </c:pt>
                <c:pt idx="189">
                  <c:v>9.94</c:v>
                </c:pt>
                <c:pt idx="190">
                  <c:v>10.07</c:v>
                </c:pt>
                <c:pt idx="191">
                  <c:v>9.7899999999999991</c:v>
                </c:pt>
                <c:pt idx="192">
                  <c:v>10.95</c:v>
                </c:pt>
                <c:pt idx="193">
                  <c:v>11.08</c:v>
                </c:pt>
                <c:pt idx="194">
                  <c:v>9.9</c:v>
                </c:pt>
                <c:pt idx="195">
                  <c:v>10.220000000000001</c:v>
                </c:pt>
                <c:pt idx="196">
                  <c:v>8.6300000000000008</c:v>
                </c:pt>
                <c:pt idx="197">
                  <c:v>8.16</c:v>
                </c:pt>
                <c:pt idx="198">
                  <c:v>5.181</c:v>
                </c:pt>
                <c:pt idx="199">
                  <c:v>5.766</c:v>
                </c:pt>
                <c:pt idx="200">
                  <c:v>7.3810000000000002</c:v>
                </c:pt>
                <c:pt idx="201">
                  <c:v>11.76</c:v>
                </c:pt>
                <c:pt idx="202">
                  <c:v>13.95</c:v>
                </c:pt>
                <c:pt idx="203">
                  <c:v>12.83</c:v>
                </c:pt>
                <c:pt idx="204">
                  <c:v>6.9729999999999999</c:v>
                </c:pt>
                <c:pt idx="205">
                  <c:v>10.57</c:v>
                </c:pt>
                <c:pt idx="206">
                  <c:v>14.38</c:v>
                </c:pt>
                <c:pt idx="207">
                  <c:v>12.06</c:v>
                </c:pt>
                <c:pt idx="208">
                  <c:v>11.46</c:v>
                </c:pt>
                <c:pt idx="209">
                  <c:v>14.13</c:v>
                </c:pt>
                <c:pt idx="210">
                  <c:v>13.45</c:v>
                </c:pt>
                <c:pt idx="211">
                  <c:v>13.76</c:v>
                </c:pt>
                <c:pt idx="212">
                  <c:v>14.37</c:v>
                </c:pt>
                <c:pt idx="213">
                  <c:v>13.35</c:v>
                </c:pt>
                <c:pt idx="214">
                  <c:v>11.14</c:v>
                </c:pt>
                <c:pt idx="215">
                  <c:v>12.68</c:v>
                </c:pt>
                <c:pt idx="216">
                  <c:v>15.75</c:v>
                </c:pt>
                <c:pt idx="217">
                  <c:v>17.670000000000002</c:v>
                </c:pt>
                <c:pt idx="218">
                  <c:v>18.3</c:v>
                </c:pt>
                <c:pt idx="219">
                  <c:v>17.95</c:v>
                </c:pt>
                <c:pt idx="220">
                  <c:v>16.59</c:v>
                </c:pt>
                <c:pt idx="221">
                  <c:v>11.98</c:v>
                </c:pt>
                <c:pt idx="222">
                  <c:v>7.83</c:v>
                </c:pt>
                <c:pt idx="223">
                  <c:v>9.93</c:v>
                </c:pt>
                <c:pt idx="224">
                  <c:v>9.43</c:v>
                </c:pt>
                <c:pt idx="225">
                  <c:v>11.02</c:v>
                </c:pt>
                <c:pt idx="226">
                  <c:v>11.64</c:v>
                </c:pt>
                <c:pt idx="227">
                  <c:v>8.9700000000000006</c:v>
                </c:pt>
                <c:pt idx="228">
                  <c:v>8.33</c:v>
                </c:pt>
                <c:pt idx="229">
                  <c:v>11.25</c:v>
                </c:pt>
                <c:pt idx="230">
                  <c:v>12.17</c:v>
                </c:pt>
                <c:pt idx="231">
                  <c:v>14.96</c:v>
                </c:pt>
                <c:pt idx="232">
                  <c:v>11.53</c:v>
                </c:pt>
                <c:pt idx="233">
                  <c:v>9.9700000000000006</c:v>
                </c:pt>
                <c:pt idx="234">
                  <c:v>8.61</c:v>
                </c:pt>
                <c:pt idx="235">
                  <c:v>8.15</c:v>
                </c:pt>
                <c:pt idx="236">
                  <c:v>6.6539999999999999</c:v>
                </c:pt>
                <c:pt idx="237">
                  <c:v>7.47</c:v>
                </c:pt>
                <c:pt idx="238">
                  <c:v>11.61</c:v>
                </c:pt>
                <c:pt idx="239">
                  <c:v>13.76</c:v>
                </c:pt>
                <c:pt idx="240">
                  <c:v>14.49</c:v>
                </c:pt>
                <c:pt idx="241">
                  <c:v>13.95</c:v>
                </c:pt>
                <c:pt idx="242">
                  <c:v>13.03</c:v>
                </c:pt>
                <c:pt idx="243">
                  <c:v>11.81</c:v>
                </c:pt>
                <c:pt idx="244">
                  <c:v>11.82</c:v>
                </c:pt>
                <c:pt idx="245">
                  <c:v>13.63</c:v>
                </c:pt>
                <c:pt idx="246">
                  <c:v>9.7100000000000009</c:v>
                </c:pt>
                <c:pt idx="247">
                  <c:v>13.02</c:v>
                </c:pt>
                <c:pt idx="248">
                  <c:v>14.33</c:v>
                </c:pt>
                <c:pt idx="249">
                  <c:v>12.47</c:v>
                </c:pt>
                <c:pt idx="250">
                  <c:v>7.8929999999999998</c:v>
                </c:pt>
                <c:pt idx="251">
                  <c:v>5.8040000000000003</c:v>
                </c:pt>
                <c:pt idx="252">
                  <c:v>6.7690000000000001</c:v>
                </c:pt>
                <c:pt idx="253">
                  <c:v>7.7560000000000002</c:v>
                </c:pt>
                <c:pt idx="254">
                  <c:v>8.07</c:v>
                </c:pt>
                <c:pt idx="255">
                  <c:v>6.242</c:v>
                </c:pt>
                <c:pt idx="256">
                  <c:v>6.383</c:v>
                </c:pt>
                <c:pt idx="257">
                  <c:v>5.1689999999999996</c:v>
                </c:pt>
                <c:pt idx="258">
                  <c:v>4.4260000000000002</c:v>
                </c:pt>
                <c:pt idx="259">
                  <c:v>3.214</c:v>
                </c:pt>
                <c:pt idx="260">
                  <c:v>4.0890000000000004</c:v>
                </c:pt>
                <c:pt idx="261">
                  <c:v>4.8550000000000004</c:v>
                </c:pt>
                <c:pt idx="262">
                  <c:v>4.4180000000000001</c:v>
                </c:pt>
                <c:pt idx="263">
                  <c:v>6.5940000000000003</c:v>
                </c:pt>
                <c:pt idx="264">
                  <c:v>5.8739999999999997</c:v>
                </c:pt>
                <c:pt idx="265">
                  <c:v>3.9</c:v>
                </c:pt>
                <c:pt idx="266">
                  <c:v>3.8069999999999999</c:v>
                </c:pt>
                <c:pt idx="267">
                  <c:v>3.4420000000000002</c:v>
                </c:pt>
                <c:pt idx="268">
                  <c:v>2.4319999999999999</c:v>
                </c:pt>
                <c:pt idx="269">
                  <c:v>-1.421</c:v>
                </c:pt>
                <c:pt idx="270">
                  <c:v>-3.6850000000000001</c:v>
                </c:pt>
                <c:pt idx="271">
                  <c:v>-5.508</c:v>
                </c:pt>
                <c:pt idx="272">
                  <c:v>-4.5279999999999996</c:v>
                </c:pt>
                <c:pt idx="273">
                  <c:v>-2.875</c:v>
                </c:pt>
                <c:pt idx="274">
                  <c:v>-1.7210000000000001</c:v>
                </c:pt>
                <c:pt idx="275">
                  <c:v>-1.419</c:v>
                </c:pt>
                <c:pt idx="276">
                  <c:v>-1.1379999999999999</c:v>
                </c:pt>
                <c:pt idx="277">
                  <c:v>-1.2050000000000001</c:v>
                </c:pt>
                <c:pt idx="278">
                  <c:v>-1.2809999999999999</c:v>
                </c:pt>
                <c:pt idx="279">
                  <c:v>9.4E-2</c:v>
                </c:pt>
                <c:pt idx="280">
                  <c:v>-4.7590000000000003</c:v>
                </c:pt>
                <c:pt idx="281">
                  <c:v>-9</c:v>
                </c:pt>
                <c:pt idx="282">
                  <c:v>-6.101</c:v>
                </c:pt>
                <c:pt idx="283">
                  <c:v>-3.8820000000000001</c:v>
                </c:pt>
                <c:pt idx="284">
                  <c:v>-1.8620000000000001</c:v>
                </c:pt>
                <c:pt idx="285">
                  <c:v>-0.95099999999999996</c:v>
                </c:pt>
                <c:pt idx="286">
                  <c:v>-1.6719999999999999</c:v>
                </c:pt>
                <c:pt idx="287">
                  <c:v>-1.571</c:v>
                </c:pt>
                <c:pt idx="288">
                  <c:v>-0.45900000000000002</c:v>
                </c:pt>
                <c:pt idx="289">
                  <c:v>-0.57499999999999996</c:v>
                </c:pt>
                <c:pt idx="290">
                  <c:v>-2.7109999999999999</c:v>
                </c:pt>
                <c:pt idx="291">
                  <c:v>-3.456</c:v>
                </c:pt>
                <c:pt idx="292">
                  <c:v>-3.601</c:v>
                </c:pt>
                <c:pt idx="293">
                  <c:v>-2.077</c:v>
                </c:pt>
                <c:pt idx="294">
                  <c:v>-0.78100000000000003</c:v>
                </c:pt>
                <c:pt idx="295">
                  <c:v>-3.5329999999999999</c:v>
                </c:pt>
                <c:pt idx="296">
                  <c:v>-0.58899999999999997</c:v>
                </c:pt>
                <c:pt idx="297">
                  <c:v>-1.419</c:v>
                </c:pt>
                <c:pt idx="298">
                  <c:v>-5.5940000000000003</c:v>
                </c:pt>
                <c:pt idx="299">
                  <c:v>-7.4710000000000001</c:v>
                </c:pt>
                <c:pt idx="300">
                  <c:v>-8.4</c:v>
                </c:pt>
                <c:pt idx="301">
                  <c:v>-10.97</c:v>
                </c:pt>
                <c:pt idx="302">
                  <c:v>-6.1470000000000002</c:v>
                </c:pt>
                <c:pt idx="303">
                  <c:v>-4.6639999999999997</c:v>
                </c:pt>
                <c:pt idx="304">
                  <c:v>-3.891</c:v>
                </c:pt>
                <c:pt idx="305">
                  <c:v>-0.16600000000000001</c:v>
                </c:pt>
                <c:pt idx="306">
                  <c:v>-0.16900000000000001</c:v>
                </c:pt>
                <c:pt idx="307">
                  <c:v>5.5E-2</c:v>
                </c:pt>
                <c:pt idx="308">
                  <c:v>-0.64600000000000002</c:v>
                </c:pt>
                <c:pt idx="309">
                  <c:v>-2.7970000000000002</c:v>
                </c:pt>
                <c:pt idx="310">
                  <c:v>-1.5980000000000001</c:v>
                </c:pt>
                <c:pt idx="311">
                  <c:v>6.9000000000000006E-2</c:v>
                </c:pt>
                <c:pt idx="312">
                  <c:v>-7.8E-2</c:v>
                </c:pt>
                <c:pt idx="313">
                  <c:v>-2.3050000000000002</c:v>
                </c:pt>
                <c:pt idx="314">
                  <c:v>-3.3420000000000001</c:v>
                </c:pt>
                <c:pt idx="315">
                  <c:v>-1.871</c:v>
                </c:pt>
                <c:pt idx="316">
                  <c:v>-2.1539999999999999</c:v>
                </c:pt>
                <c:pt idx="317">
                  <c:v>-2.4889999999999999</c:v>
                </c:pt>
                <c:pt idx="318">
                  <c:v>-1.796</c:v>
                </c:pt>
                <c:pt idx="319">
                  <c:v>-3.0950000000000002</c:v>
                </c:pt>
                <c:pt idx="320">
                  <c:v>-0.22600000000000001</c:v>
                </c:pt>
                <c:pt idx="321">
                  <c:v>-1.917</c:v>
                </c:pt>
                <c:pt idx="322">
                  <c:v>-4.2539999999999996</c:v>
                </c:pt>
                <c:pt idx="323">
                  <c:v>-7.3440000000000003</c:v>
                </c:pt>
                <c:pt idx="324">
                  <c:v>-2.5270000000000001</c:v>
                </c:pt>
                <c:pt idx="325">
                  <c:v>-3.4079999999999999</c:v>
                </c:pt>
                <c:pt idx="326">
                  <c:v>-2.097</c:v>
                </c:pt>
                <c:pt idx="327">
                  <c:v>-4.8470000000000004</c:v>
                </c:pt>
                <c:pt idx="328">
                  <c:v>-8.16</c:v>
                </c:pt>
                <c:pt idx="329">
                  <c:v>-11.96</c:v>
                </c:pt>
                <c:pt idx="330">
                  <c:v>-13.06</c:v>
                </c:pt>
                <c:pt idx="331">
                  <c:v>-14.14</c:v>
                </c:pt>
                <c:pt idx="332">
                  <c:v>-12.24</c:v>
                </c:pt>
                <c:pt idx="333">
                  <c:v>-9.74</c:v>
                </c:pt>
                <c:pt idx="334">
                  <c:v>-9.9499999999999993</c:v>
                </c:pt>
                <c:pt idx="335">
                  <c:v>-4.1719999999999997</c:v>
                </c:pt>
                <c:pt idx="336">
                  <c:v>-1.76</c:v>
                </c:pt>
                <c:pt idx="337">
                  <c:v>-3.5339999999999998</c:v>
                </c:pt>
                <c:pt idx="338">
                  <c:v>-5.593</c:v>
                </c:pt>
                <c:pt idx="339">
                  <c:v>-2.891</c:v>
                </c:pt>
                <c:pt idx="340">
                  <c:v>-2.657</c:v>
                </c:pt>
                <c:pt idx="341">
                  <c:v>-9.9600000000000009</c:v>
                </c:pt>
                <c:pt idx="342">
                  <c:v>-6.665</c:v>
                </c:pt>
                <c:pt idx="343">
                  <c:v>-4.2</c:v>
                </c:pt>
                <c:pt idx="344">
                  <c:v>-5.8029999999999999</c:v>
                </c:pt>
                <c:pt idx="345">
                  <c:v>-5.8019999999999996</c:v>
                </c:pt>
                <c:pt idx="346">
                  <c:v>-5.9930000000000003</c:v>
                </c:pt>
                <c:pt idx="347">
                  <c:v>-7.52</c:v>
                </c:pt>
                <c:pt idx="348">
                  <c:v>-9.9600000000000009</c:v>
                </c:pt>
                <c:pt idx="349">
                  <c:v>-8.73</c:v>
                </c:pt>
                <c:pt idx="350">
                  <c:v>-7.9459999999999997</c:v>
                </c:pt>
                <c:pt idx="351">
                  <c:v>-8.69</c:v>
                </c:pt>
                <c:pt idx="352">
                  <c:v>-8.44</c:v>
                </c:pt>
                <c:pt idx="353">
                  <c:v>-2.82</c:v>
                </c:pt>
                <c:pt idx="354">
                  <c:v>-3.294</c:v>
                </c:pt>
                <c:pt idx="355">
                  <c:v>-6.9850000000000003</c:v>
                </c:pt>
                <c:pt idx="356">
                  <c:v>-7.1820000000000004</c:v>
                </c:pt>
                <c:pt idx="357">
                  <c:v>-8.3699999999999992</c:v>
                </c:pt>
                <c:pt idx="358">
                  <c:v>-10.34</c:v>
                </c:pt>
                <c:pt idx="359">
                  <c:v>-11.64</c:v>
                </c:pt>
                <c:pt idx="360">
                  <c:v>-9.25</c:v>
                </c:pt>
                <c:pt idx="361">
                  <c:v>-6.6749999999999998</c:v>
                </c:pt>
                <c:pt idx="362">
                  <c:v>-4.6740000000000004</c:v>
                </c:pt>
                <c:pt idx="363">
                  <c:v>-4.2990000000000004</c:v>
                </c:pt>
                <c:pt idx="364">
                  <c:v>-4.0149999999999997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52672"/>
        <c:axId val="204254208"/>
      </c:lineChart>
      <c:catAx>
        <c:axId val="2042526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2542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4254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Average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2526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528469469946525"/>
          <c:y val="5.1266052193212765E-2"/>
          <c:w val="0.1237005712633189"/>
          <c:h val="0.34826688285521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57135178103454"/>
          <c:y val="0.11129296235679216"/>
          <c:w val="0.83153126098279284"/>
          <c:h val="0.7796272463607348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0.75099999999999989</c:v>
                </c:pt>
                <c:pt idx="1">
                  <c:v>0.72099999999999986</c:v>
                </c:pt>
                <c:pt idx="2">
                  <c:v>0.72499999999999987</c:v>
                </c:pt>
                <c:pt idx="3">
                  <c:v>0.71</c:v>
                </c:pt>
                <c:pt idx="4">
                  <c:v>0.71399999999999997</c:v>
                </c:pt>
                <c:pt idx="5">
                  <c:v>0.70599999999999996</c:v>
                </c:pt>
                <c:pt idx="6">
                  <c:v>0.66499999999999981</c:v>
                </c:pt>
                <c:pt idx="7">
                  <c:v>0.73799999999999999</c:v>
                </c:pt>
                <c:pt idx="8">
                  <c:v>0.71599999999999997</c:v>
                </c:pt>
                <c:pt idx="9">
                  <c:v>0.71799999999999997</c:v>
                </c:pt>
                <c:pt idx="10">
                  <c:v>0.69399999999999995</c:v>
                </c:pt>
                <c:pt idx="11">
                  <c:v>0.69799999999999995</c:v>
                </c:pt>
                <c:pt idx="12">
                  <c:v>0.69499999999999984</c:v>
                </c:pt>
                <c:pt idx="13">
                  <c:v>0.68399999999999994</c:v>
                </c:pt>
                <c:pt idx="14">
                  <c:v>0.67799999999999994</c:v>
                </c:pt>
                <c:pt idx="15">
                  <c:v>0.67199999999999993</c:v>
                </c:pt>
                <c:pt idx="16">
                  <c:v>0.66499999999999981</c:v>
                </c:pt>
                <c:pt idx="17">
                  <c:v>0.71599999999999997</c:v>
                </c:pt>
                <c:pt idx="18">
                  <c:v>0.73199999999999998</c:v>
                </c:pt>
                <c:pt idx="19">
                  <c:v>0.72299999999999986</c:v>
                </c:pt>
                <c:pt idx="20">
                  <c:v>0.71399999999999997</c:v>
                </c:pt>
                <c:pt idx="21">
                  <c:v>0.77699999999999991</c:v>
                </c:pt>
                <c:pt idx="22">
                  <c:v>0.81599999999999984</c:v>
                </c:pt>
                <c:pt idx="23">
                  <c:v>0.79999999999999982</c:v>
                </c:pt>
                <c:pt idx="24">
                  <c:v>0.78599999999999981</c:v>
                </c:pt>
                <c:pt idx="25">
                  <c:v>0.77499999999999991</c:v>
                </c:pt>
                <c:pt idx="26">
                  <c:v>0.76600000000000001</c:v>
                </c:pt>
                <c:pt idx="27">
                  <c:v>0.75800000000000001</c:v>
                </c:pt>
                <c:pt idx="28">
                  <c:v>0.74699999999999989</c:v>
                </c:pt>
                <c:pt idx="29">
                  <c:v>0.73699999999999988</c:v>
                </c:pt>
                <c:pt idx="30">
                  <c:v>0.73299999999999987</c:v>
                </c:pt>
                <c:pt idx="31">
                  <c:v>0.71699999999999986</c:v>
                </c:pt>
                <c:pt idx="32">
                  <c:v>0.73699999999999988</c:v>
                </c:pt>
                <c:pt idx="33">
                  <c:v>0.73099999999999987</c:v>
                </c:pt>
                <c:pt idx="34">
                  <c:v>0.73399999999999999</c:v>
                </c:pt>
                <c:pt idx="35">
                  <c:v>0.73299999999999987</c:v>
                </c:pt>
                <c:pt idx="36">
                  <c:v>0.73</c:v>
                </c:pt>
                <c:pt idx="37">
                  <c:v>0.73299999999999987</c:v>
                </c:pt>
                <c:pt idx="38">
                  <c:v>0.79599999999999982</c:v>
                </c:pt>
                <c:pt idx="39">
                  <c:v>0.78499999999999992</c:v>
                </c:pt>
                <c:pt idx="40">
                  <c:v>0.79299999999999993</c:v>
                </c:pt>
                <c:pt idx="41">
                  <c:v>0.80399999999999983</c:v>
                </c:pt>
                <c:pt idx="42">
                  <c:v>0.85399999999999987</c:v>
                </c:pt>
                <c:pt idx="43">
                  <c:v>0.82699999999999996</c:v>
                </c:pt>
                <c:pt idx="44">
                  <c:v>0.873</c:v>
                </c:pt>
                <c:pt idx="45">
                  <c:v>0.88100000000000001</c:v>
                </c:pt>
                <c:pt idx="46">
                  <c:v>0.873</c:v>
                </c:pt>
                <c:pt idx="47">
                  <c:v>0.89700000000000002</c:v>
                </c:pt>
                <c:pt idx="48">
                  <c:v>0.89500000000000002</c:v>
                </c:pt>
                <c:pt idx="49">
                  <c:v>0.89599999999999991</c:v>
                </c:pt>
                <c:pt idx="50">
                  <c:v>0.93299999999999983</c:v>
                </c:pt>
                <c:pt idx="51">
                  <c:v>0.8919999999999999</c:v>
                </c:pt>
                <c:pt idx="52">
                  <c:v>0.996</c:v>
                </c:pt>
                <c:pt idx="53">
                  <c:v>0.97</c:v>
                </c:pt>
                <c:pt idx="54">
                  <c:v>0.998</c:v>
                </c:pt>
                <c:pt idx="55">
                  <c:v>0.96899999999999986</c:v>
                </c:pt>
                <c:pt idx="56">
                  <c:v>0.96699999999999986</c:v>
                </c:pt>
                <c:pt idx="57">
                  <c:v>0.97199999999999998</c:v>
                </c:pt>
                <c:pt idx="58">
                  <c:v>1.018</c:v>
                </c:pt>
                <c:pt idx="59">
                  <c:v>1</c:v>
                </c:pt>
                <c:pt idx="60">
                  <c:v>0.97599999999999998</c:v>
                </c:pt>
                <c:pt idx="61">
                  <c:v>0.99</c:v>
                </c:pt>
                <c:pt idx="62">
                  <c:v>0.97199999999999998</c:v>
                </c:pt>
                <c:pt idx="63">
                  <c:v>0.96199999999999997</c:v>
                </c:pt>
                <c:pt idx="64">
                  <c:v>1.0549999999999999</c:v>
                </c:pt>
                <c:pt idx="65">
                  <c:v>1.0919999999999999</c:v>
                </c:pt>
                <c:pt idx="66">
                  <c:v>1.069</c:v>
                </c:pt>
                <c:pt idx="67">
                  <c:v>1.0559999999999998</c:v>
                </c:pt>
                <c:pt idx="68">
                  <c:v>1.0409999999999999</c:v>
                </c:pt>
                <c:pt idx="69">
                  <c:v>1.0289999999999999</c:v>
                </c:pt>
                <c:pt idx="70">
                  <c:v>1.0649999999999999</c:v>
                </c:pt>
                <c:pt idx="71">
                  <c:v>1.0569999999999999</c:v>
                </c:pt>
                <c:pt idx="72">
                  <c:v>1.0459999999999998</c:v>
                </c:pt>
                <c:pt idx="73">
                  <c:v>1.0339999999999998</c:v>
                </c:pt>
                <c:pt idx="74">
                  <c:v>1.012</c:v>
                </c:pt>
                <c:pt idx="75">
                  <c:v>0.99499999999999988</c:v>
                </c:pt>
                <c:pt idx="76">
                  <c:v>0.97099999999999986</c:v>
                </c:pt>
                <c:pt idx="77">
                  <c:v>0.94099999999999984</c:v>
                </c:pt>
                <c:pt idx="78">
                  <c:v>0.9049999999999998</c:v>
                </c:pt>
                <c:pt idx="79">
                  <c:v>0.85199999999999987</c:v>
                </c:pt>
                <c:pt idx="80">
                  <c:v>0.82699999999999996</c:v>
                </c:pt>
                <c:pt idx="81">
                  <c:v>0.81899999999999995</c:v>
                </c:pt>
                <c:pt idx="82">
                  <c:v>0.82899999999999996</c:v>
                </c:pt>
                <c:pt idx="83">
                  <c:v>0.82799999999999985</c:v>
                </c:pt>
                <c:pt idx="84">
                  <c:v>0.89500000000000002</c:v>
                </c:pt>
                <c:pt idx="85">
                  <c:v>0.871</c:v>
                </c:pt>
                <c:pt idx="86">
                  <c:v>0.85799999999999987</c:v>
                </c:pt>
                <c:pt idx="87">
                  <c:v>0.84099999999999997</c:v>
                </c:pt>
                <c:pt idx="88">
                  <c:v>0.81599999999999984</c:v>
                </c:pt>
                <c:pt idx="89">
                  <c:v>0.82599999999999985</c:v>
                </c:pt>
                <c:pt idx="90">
                  <c:v>0.82199999999999984</c:v>
                </c:pt>
                <c:pt idx="91">
                  <c:v>0.79999999999999982</c:v>
                </c:pt>
                <c:pt idx="92">
                  <c:v>0.80899999999999994</c:v>
                </c:pt>
                <c:pt idx="93">
                  <c:v>0.80199999999999982</c:v>
                </c:pt>
                <c:pt idx="94">
                  <c:v>0.86799999999999988</c:v>
                </c:pt>
                <c:pt idx="95">
                  <c:v>0.86399999999999988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0.10699999999999976</c:v>
                </c:pt>
                <c:pt idx="290">
                  <c:v>0.11099999999999977</c:v>
                </c:pt>
                <c:pt idx="291">
                  <c:v>0.1120000000000001</c:v>
                </c:pt>
                <c:pt idx="292">
                  <c:v>0.18799999999999972</c:v>
                </c:pt>
                <c:pt idx="293">
                  <c:v>0.23399999999999999</c:v>
                </c:pt>
                <c:pt idx="294">
                  <c:v>0.20699999999999985</c:v>
                </c:pt>
                <c:pt idx="295">
                  <c:v>0.21099999999999985</c:v>
                </c:pt>
                <c:pt idx="296">
                  <c:v>0.16799999999999971</c:v>
                </c:pt>
                <c:pt idx="297">
                  <c:v>0.12800000000000011</c:v>
                </c:pt>
                <c:pt idx="298">
                  <c:v>0.15300000000000002</c:v>
                </c:pt>
                <c:pt idx="299">
                  <c:v>0.1509999999999998</c:v>
                </c:pt>
                <c:pt idx="300">
                  <c:v>0.14900000000000002</c:v>
                </c:pt>
                <c:pt idx="301">
                  <c:v>0.14999999999999991</c:v>
                </c:pt>
                <c:pt idx="302">
                  <c:v>0.14400000000000013</c:v>
                </c:pt>
                <c:pt idx="303">
                  <c:v>0.14800000000000013</c:v>
                </c:pt>
                <c:pt idx="304">
                  <c:v>0.14599999999999991</c:v>
                </c:pt>
                <c:pt idx="305">
                  <c:v>0.14500000000000002</c:v>
                </c:pt>
                <c:pt idx="306">
                  <c:v>0.14400000000000013</c:v>
                </c:pt>
                <c:pt idx="307">
                  <c:v>0.12999999999999989</c:v>
                </c:pt>
                <c:pt idx="308">
                  <c:v>0.11899999999999977</c:v>
                </c:pt>
                <c:pt idx="309">
                  <c:v>0.1120000000000001</c:v>
                </c:pt>
                <c:pt idx="310">
                  <c:v>0.11699999999999999</c:v>
                </c:pt>
                <c:pt idx="311">
                  <c:v>0.10000000000000009</c:v>
                </c:pt>
                <c:pt idx="312">
                  <c:v>9.6000000000000085E-2</c:v>
                </c:pt>
                <c:pt idx="313">
                  <c:v>9.6000000000000085E-2</c:v>
                </c:pt>
                <c:pt idx="314">
                  <c:v>9.6999999999999975E-2</c:v>
                </c:pt>
                <c:pt idx="315">
                  <c:v>0.14000000000000012</c:v>
                </c:pt>
                <c:pt idx="316">
                  <c:v>0.13600000000000012</c:v>
                </c:pt>
                <c:pt idx="317">
                  <c:v>0.12999999999999989</c:v>
                </c:pt>
                <c:pt idx="318">
                  <c:v>0.13300000000000001</c:v>
                </c:pt>
                <c:pt idx="319">
                  <c:v>0.19399999999999995</c:v>
                </c:pt>
                <c:pt idx="320">
                  <c:v>0.15199999999999969</c:v>
                </c:pt>
                <c:pt idx="321">
                  <c:v>0.17399999999999993</c:v>
                </c:pt>
                <c:pt idx="322">
                  <c:v>0.21399999999999997</c:v>
                </c:pt>
                <c:pt idx="323">
                  <c:v>0.19499999999999984</c:v>
                </c:pt>
                <c:pt idx="324">
                  <c:v>0.18799999999999972</c:v>
                </c:pt>
                <c:pt idx="325">
                  <c:v>0.19099999999999984</c:v>
                </c:pt>
                <c:pt idx="326">
                  <c:v>0.18699999999999983</c:v>
                </c:pt>
                <c:pt idx="327">
                  <c:v>0.19399999999999995</c:v>
                </c:pt>
                <c:pt idx="328">
                  <c:v>0.19899999999999984</c:v>
                </c:pt>
                <c:pt idx="329">
                  <c:v>0.20599999999999996</c:v>
                </c:pt>
                <c:pt idx="330">
                  <c:v>0.21099999999999985</c:v>
                </c:pt>
                <c:pt idx="331">
                  <c:v>0.21199999999999974</c:v>
                </c:pt>
                <c:pt idx="332">
                  <c:v>0.21199999999999974</c:v>
                </c:pt>
                <c:pt idx="333">
                  <c:v>0.20900000000000007</c:v>
                </c:pt>
                <c:pt idx="334">
                  <c:v>0.21700000000000008</c:v>
                </c:pt>
                <c:pt idx="335">
                  <c:v>0.22599999999999998</c:v>
                </c:pt>
                <c:pt idx="336">
                  <c:v>0.21999999999999975</c:v>
                </c:pt>
                <c:pt idx="337">
                  <c:v>0.23399999999999999</c:v>
                </c:pt>
                <c:pt idx="338">
                  <c:v>0.23199999999999976</c:v>
                </c:pt>
                <c:pt idx="339">
                  <c:v>0.22999999999999998</c:v>
                </c:pt>
                <c:pt idx="340">
                  <c:v>0.34499999999999997</c:v>
                </c:pt>
                <c:pt idx="341">
                  <c:v>0.33499999999999996</c:v>
                </c:pt>
                <c:pt idx="342">
                  <c:v>0.32099999999999995</c:v>
                </c:pt>
                <c:pt idx="343">
                  <c:v>0.34299999999999997</c:v>
                </c:pt>
                <c:pt idx="344">
                  <c:v>0.35499999999999998</c:v>
                </c:pt>
                <c:pt idx="345">
                  <c:v>0.45899999999999985</c:v>
                </c:pt>
                <c:pt idx="346">
                  <c:v>0.43199999999999994</c:v>
                </c:pt>
                <c:pt idx="347">
                  <c:v>0.42499999999999982</c:v>
                </c:pt>
                <c:pt idx="348">
                  <c:v>0.42799999999999994</c:v>
                </c:pt>
                <c:pt idx="349">
                  <c:v>0.43099999999999983</c:v>
                </c:pt>
                <c:pt idx="350">
                  <c:v>0.41099999999999981</c:v>
                </c:pt>
                <c:pt idx="351">
                  <c:v>0.40999999999999992</c:v>
                </c:pt>
                <c:pt idx="352">
                  <c:v>0.5109999999999999</c:v>
                </c:pt>
                <c:pt idx="353">
                  <c:v>0.55799999999999983</c:v>
                </c:pt>
                <c:pt idx="354">
                  <c:v>0.57399999999999984</c:v>
                </c:pt>
                <c:pt idx="355">
                  <c:v>0.59399999999999986</c:v>
                </c:pt>
                <c:pt idx="356">
                  <c:v>0.58199999999999985</c:v>
                </c:pt>
                <c:pt idx="357">
                  <c:v>0.56699999999999995</c:v>
                </c:pt>
                <c:pt idx="358">
                  <c:v>0.55599999999999983</c:v>
                </c:pt>
                <c:pt idx="359">
                  <c:v>0.54899999999999993</c:v>
                </c:pt>
                <c:pt idx="360">
                  <c:v>0.55199999999999982</c:v>
                </c:pt>
                <c:pt idx="361">
                  <c:v>0.56299999999999994</c:v>
                </c:pt>
                <c:pt idx="362">
                  <c:v>0.55299999999999994</c:v>
                </c:pt>
                <c:pt idx="363">
                  <c:v>0.59299999999999997</c:v>
                </c:pt>
                <c:pt idx="364">
                  <c:v>0.66699999999999982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607680"/>
        <c:axId val="205609216"/>
      </c:lineChart>
      <c:catAx>
        <c:axId val="2056076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092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56092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63025977203757E-2"/>
              <c:y val="0.379087897315841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076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surface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17247009108363"/>
          <c:y val="0.13198646822356699"/>
          <c:w val="0.84445408118325016"/>
          <c:h val="0.8250657589735328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-3.6259999999999999</c:v>
                </c:pt>
                <c:pt idx="1">
                  <c:v>-2.42</c:v>
                </c:pt>
                <c:pt idx="2">
                  <c:v>-1.9570000000000001</c:v>
                </c:pt>
                <c:pt idx="3">
                  <c:v>-2.6280000000000001</c:v>
                </c:pt>
                <c:pt idx="4">
                  <c:v>-3.2789999999999999</c:v>
                </c:pt>
                <c:pt idx="5">
                  <c:v>-4.3220000000000001</c:v>
                </c:pt>
                <c:pt idx="6">
                  <c:v>-9.01</c:v>
                </c:pt>
                <c:pt idx="7">
                  <c:v>-8.11</c:v>
                </c:pt>
                <c:pt idx="8">
                  <c:v>-2.2679999999999998</c:v>
                </c:pt>
                <c:pt idx="9">
                  <c:v>-1.4179999999999999</c:v>
                </c:pt>
                <c:pt idx="10">
                  <c:v>-2.7610000000000001</c:v>
                </c:pt>
                <c:pt idx="11">
                  <c:v>-4.0739999999999998</c:v>
                </c:pt>
                <c:pt idx="12">
                  <c:v>-0.47399999999999998</c:v>
                </c:pt>
                <c:pt idx="13">
                  <c:v>-0.63</c:v>
                </c:pt>
                <c:pt idx="14">
                  <c:v>-2.7589999999999999</c:v>
                </c:pt>
                <c:pt idx="15">
                  <c:v>-4.0220000000000002</c:v>
                </c:pt>
                <c:pt idx="16">
                  <c:v>-3.956</c:v>
                </c:pt>
                <c:pt idx="17">
                  <c:v>-4.4530000000000003</c:v>
                </c:pt>
                <c:pt idx="18">
                  <c:v>-3.956</c:v>
                </c:pt>
                <c:pt idx="19">
                  <c:v>-6.7460000000000004</c:v>
                </c:pt>
                <c:pt idx="20">
                  <c:v>-7.2679999999999998</c:v>
                </c:pt>
                <c:pt idx="21">
                  <c:v>-5.7729999999999997</c:v>
                </c:pt>
                <c:pt idx="22">
                  <c:v>-5.8789999999999996</c:v>
                </c:pt>
                <c:pt idx="23">
                  <c:v>-3.4910000000000001</c:v>
                </c:pt>
                <c:pt idx="24">
                  <c:v>-2.105</c:v>
                </c:pt>
                <c:pt idx="25">
                  <c:v>1.2999999999999999E-2</c:v>
                </c:pt>
                <c:pt idx="26">
                  <c:v>3.0000000000000001E-3</c:v>
                </c:pt>
                <c:pt idx="27">
                  <c:v>-6.0830000000000002</c:v>
                </c:pt>
                <c:pt idx="28">
                  <c:v>-3.09</c:v>
                </c:pt>
                <c:pt idx="29">
                  <c:v>-1.466</c:v>
                </c:pt>
                <c:pt idx="30">
                  <c:v>-0.54</c:v>
                </c:pt>
                <c:pt idx="31">
                  <c:v>-2.0990000000000002</c:v>
                </c:pt>
                <c:pt idx="32">
                  <c:v>-3.2610000000000001</c:v>
                </c:pt>
                <c:pt idx="33">
                  <c:v>-7.86</c:v>
                </c:pt>
                <c:pt idx="34">
                  <c:v>-19.03</c:v>
                </c:pt>
                <c:pt idx="35">
                  <c:v>-15.05</c:v>
                </c:pt>
                <c:pt idx="36">
                  <c:v>-15.98</c:v>
                </c:pt>
                <c:pt idx="37">
                  <c:v>-11.06</c:v>
                </c:pt>
                <c:pt idx="38">
                  <c:v>-11.52</c:v>
                </c:pt>
                <c:pt idx="39">
                  <c:v>-17.059999999999999</c:v>
                </c:pt>
                <c:pt idx="40">
                  <c:v>-13.26</c:v>
                </c:pt>
                <c:pt idx="41">
                  <c:v>-13.44</c:v>
                </c:pt>
                <c:pt idx="42">
                  <c:v>-11.23</c:v>
                </c:pt>
                <c:pt idx="43">
                  <c:v>-9.4499999999999993</c:v>
                </c:pt>
                <c:pt idx="44">
                  <c:v>-7.1</c:v>
                </c:pt>
                <c:pt idx="45">
                  <c:v>-4.7329999999999997</c:v>
                </c:pt>
                <c:pt idx="46">
                  <c:v>-6.8529999999999998</c:v>
                </c:pt>
                <c:pt idx="47">
                  <c:v>-9.16</c:v>
                </c:pt>
                <c:pt idx="48">
                  <c:v>-11.11</c:v>
                </c:pt>
                <c:pt idx="49">
                  <c:v>-8.1199999999999992</c:v>
                </c:pt>
                <c:pt idx="50">
                  <c:v>-9.2799999999999994</c:v>
                </c:pt>
                <c:pt idx="51">
                  <c:v>-9.44</c:v>
                </c:pt>
                <c:pt idx="52">
                  <c:v>-10.32</c:v>
                </c:pt>
                <c:pt idx="53">
                  <c:v>-9.02</c:v>
                </c:pt>
                <c:pt idx="54">
                  <c:v>-8.32</c:v>
                </c:pt>
                <c:pt idx="55">
                  <c:v>-12.4</c:v>
                </c:pt>
                <c:pt idx="56">
                  <c:v>-12.9</c:v>
                </c:pt>
                <c:pt idx="57">
                  <c:v>-8.5399999999999991</c:v>
                </c:pt>
                <c:pt idx="58">
                  <c:v>-9.3000000000000007</c:v>
                </c:pt>
                <c:pt idx="59">
                  <c:v>-6.1390000000000002</c:v>
                </c:pt>
                <c:pt idx="60">
                  <c:v>-12.22</c:v>
                </c:pt>
                <c:pt idx="61">
                  <c:v>-7.0350000000000001</c:v>
                </c:pt>
                <c:pt idx="62">
                  <c:v>-5.484</c:v>
                </c:pt>
                <c:pt idx="63">
                  <c:v>-6.4189999999999996</c:v>
                </c:pt>
                <c:pt idx="64">
                  <c:v>-5.8019999999999996</c:v>
                </c:pt>
                <c:pt idx="65">
                  <c:v>-5.3440000000000003</c:v>
                </c:pt>
                <c:pt idx="66">
                  <c:v>-3.4950000000000001</c:v>
                </c:pt>
                <c:pt idx="67">
                  <c:v>-6.6269999999999998</c:v>
                </c:pt>
                <c:pt idx="68">
                  <c:v>-1.407</c:v>
                </c:pt>
                <c:pt idx="69">
                  <c:v>-7.34</c:v>
                </c:pt>
                <c:pt idx="70">
                  <c:v>-6.5220000000000002</c:v>
                </c:pt>
                <c:pt idx="71">
                  <c:v>-3.048</c:v>
                </c:pt>
                <c:pt idx="72">
                  <c:v>-1.177</c:v>
                </c:pt>
                <c:pt idx="73">
                  <c:v>0.14299999999999999</c:v>
                </c:pt>
                <c:pt idx="74">
                  <c:v>0.42299999999999999</c:v>
                </c:pt>
                <c:pt idx="75">
                  <c:v>0.47199999999999998</c:v>
                </c:pt>
                <c:pt idx="76">
                  <c:v>0.56599999999999995</c:v>
                </c:pt>
                <c:pt idx="77">
                  <c:v>0.59499999999999997</c:v>
                </c:pt>
                <c:pt idx="78">
                  <c:v>0.66900000000000004</c:v>
                </c:pt>
                <c:pt idx="79">
                  <c:v>0.67900000000000005</c:v>
                </c:pt>
                <c:pt idx="80">
                  <c:v>0.69199999999999995</c:v>
                </c:pt>
                <c:pt idx="81">
                  <c:v>0.218</c:v>
                </c:pt>
                <c:pt idx="82">
                  <c:v>0.158</c:v>
                </c:pt>
                <c:pt idx="83">
                  <c:v>0.27400000000000002</c:v>
                </c:pt>
                <c:pt idx="84">
                  <c:v>-0.91</c:v>
                </c:pt>
                <c:pt idx="85">
                  <c:v>0.42399999999999999</c:v>
                </c:pt>
                <c:pt idx="86">
                  <c:v>0.45900000000000002</c:v>
                </c:pt>
                <c:pt idx="87">
                  <c:v>0.59399999999999997</c:v>
                </c:pt>
                <c:pt idx="88">
                  <c:v>0.627</c:v>
                </c:pt>
                <c:pt idx="89">
                  <c:v>0.66300000000000003</c:v>
                </c:pt>
                <c:pt idx="90">
                  <c:v>0.52300000000000002</c:v>
                </c:pt>
                <c:pt idx="91">
                  <c:v>0.496</c:v>
                </c:pt>
                <c:pt idx="92">
                  <c:v>0.26500000000000001</c:v>
                </c:pt>
                <c:pt idx="93">
                  <c:v>0.442</c:v>
                </c:pt>
                <c:pt idx="94">
                  <c:v>-8.5999999999999993E-2</c:v>
                </c:pt>
                <c:pt idx="95">
                  <c:v>-1.593</c:v>
                </c:pt>
                <c:pt idx="96">
                  <c:v>0.30499999999999999</c:v>
                </c:pt>
                <c:pt idx="97">
                  <c:v>-1.4999999999999999E-2</c:v>
                </c:pt>
                <c:pt idx="98">
                  <c:v>0.31</c:v>
                </c:pt>
                <c:pt idx="99">
                  <c:v>-2.1960000000000002</c:v>
                </c:pt>
                <c:pt idx="100">
                  <c:v>-6.8000000000000005E-2</c:v>
                </c:pt>
                <c:pt idx="101">
                  <c:v>0.441</c:v>
                </c:pt>
                <c:pt idx="102">
                  <c:v>-1.2629999999999999</c:v>
                </c:pt>
                <c:pt idx="103">
                  <c:v>-1.298</c:v>
                </c:pt>
                <c:pt idx="104">
                  <c:v>1.0999999999999999E-2</c:v>
                </c:pt>
                <c:pt idx="105">
                  <c:v>0.36</c:v>
                </c:pt>
                <c:pt idx="106">
                  <c:v>0.46800000000000003</c:v>
                </c:pt>
                <c:pt idx="107">
                  <c:v>0.43099999999999999</c:v>
                </c:pt>
                <c:pt idx="108">
                  <c:v>0.70199999999999996</c:v>
                </c:pt>
                <c:pt idx="109">
                  <c:v>0.52</c:v>
                </c:pt>
                <c:pt idx="110">
                  <c:v>0.51300000000000001</c:v>
                </c:pt>
                <c:pt idx="111">
                  <c:v>0.13400000000000001</c:v>
                </c:pt>
                <c:pt idx="112">
                  <c:v>0.39</c:v>
                </c:pt>
                <c:pt idx="113">
                  <c:v>0.48099999999999998</c:v>
                </c:pt>
                <c:pt idx="114">
                  <c:v>0.49</c:v>
                </c:pt>
                <c:pt idx="115">
                  <c:v>0.48399999999999999</c:v>
                </c:pt>
                <c:pt idx="116">
                  <c:v>-3.8490000000000002</c:v>
                </c:pt>
                <c:pt idx="117">
                  <c:v>0.29899999999999999</c:v>
                </c:pt>
                <c:pt idx="118">
                  <c:v>-0.14099999999999999</c:v>
                </c:pt>
                <c:pt idx="119">
                  <c:v>0.27600000000000002</c:v>
                </c:pt>
                <c:pt idx="120">
                  <c:v>0.374</c:v>
                </c:pt>
                <c:pt idx="121">
                  <c:v>0.255</c:v>
                </c:pt>
                <c:pt idx="122">
                  <c:v>0.48099999999999998</c:v>
                </c:pt>
                <c:pt idx="123">
                  <c:v>0.55600000000000005</c:v>
                </c:pt>
                <c:pt idx="124">
                  <c:v>0.60699999999999998</c:v>
                </c:pt>
                <c:pt idx="125">
                  <c:v>0.56699999999999995</c:v>
                </c:pt>
                <c:pt idx="126">
                  <c:v>0.74399999999999999</c:v>
                </c:pt>
                <c:pt idx="127">
                  <c:v>0.751</c:v>
                </c:pt>
                <c:pt idx="128">
                  <c:v>0.83199999999999996</c:v>
                </c:pt>
                <c:pt idx="129">
                  <c:v>1.0620000000000001</c:v>
                </c:pt>
                <c:pt idx="130">
                  <c:v>1.0309999999999999</c:v>
                </c:pt>
                <c:pt idx="131">
                  <c:v>1.278</c:v>
                </c:pt>
                <c:pt idx="132">
                  <c:v>1.387</c:v>
                </c:pt>
                <c:pt idx="133">
                  <c:v>0.7</c:v>
                </c:pt>
                <c:pt idx="134">
                  <c:v>1.923</c:v>
                </c:pt>
                <c:pt idx="135">
                  <c:v>2.5819999999999999</c:v>
                </c:pt>
                <c:pt idx="136">
                  <c:v>1.5309999999999999</c:v>
                </c:pt>
                <c:pt idx="137">
                  <c:v>3.5680000000000001</c:v>
                </c:pt>
                <c:pt idx="138">
                  <c:v>6.95</c:v>
                </c:pt>
                <c:pt idx="139">
                  <c:v>10.41</c:v>
                </c:pt>
                <c:pt idx="140">
                  <c:v>7.4720000000000004</c:v>
                </c:pt>
                <c:pt idx="141">
                  <c:v>15.82</c:v>
                </c:pt>
                <c:pt idx="142">
                  <c:v>22.99</c:v>
                </c:pt>
                <c:pt idx="143">
                  <c:v>22.76</c:v>
                </c:pt>
                <c:pt idx="144">
                  <c:v>9.58</c:v>
                </c:pt>
                <c:pt idx="145">
                  <c:v>16.940000000000001</c:v>
                </c:pt>
                <c:pt idx="146">
                  <c:v>25.55</c:v>
                </c:pt>
                <c:pt idx="147">
                  <c:v>30.24</c:v>
                </c:pt>
                <c:pt idx="148">
                  <c:v>33.020000000000003</c:v>
                </c:pt>
                <c:pt idx="149">
                  <c:v>23.87</c:v>
                </c:pt>
                <c:pt idx="150">
                  <c:v>24.68</c:v>
                </c:pt>
                <c:pt idx="151">
                  <c:v>29.19</c:v>
                </c:pt>
                <c:pt idx="152">
                  <c:v>34.06</c:v>
                </c:pt>
                <c:pt idx="153">
                  <c:v>29.13</c:v>
                </c:pt>
                <c:pt idx="154">
                  <c:v>30.45</c:v>
                </c:pt>
                <c:pt idx="155">
                  <c:v>28.88</c:v>
                </c:pt>
                <c:pt idx="156">
                  <c:v>11.35</c:v>
                </c:pt>
                <c:pt idx="157">
                  <c:v>13.02</c:v>
                </c:pt>
                <c:pt idx="158">
                  <c:v>9.42</c:v>
                </c:pt>
                <c:pt idx="159">
                  <c:v>18</c:v>
                </c:pt>
                <c:pt idx="160">
                  <c:v>17.37</c:v>
                </c:pt>
                <c:pt idx="161">
                  <c:v>29.14</c:v>
                </c:pt>
                <c:pt idx="162">
                  <c:v>32.619999999999997</c:v>
                </c:pt>
                <c:pt idx="163">
                  <c:v>35.29</c:v>
                </c:pt>
                <c:pt idx="164">
                  <c:v>34.619999999999997</c:v>
                </c:pt>
                <c:pt idx="165">
                  <c:v>35.869999999999997</c:v>
                </c:pt>
                <c:pt idx="166">
                  <c:v>28.32</c:v>
                </c:pt>
                <c:pt idx="167">
                  <c:v>37.46</c:v>
                </c:pt>
                <c:pt idx="168">
                  <c:v>30.8</c:v>
                </c:pt>
                <c:pt idx="169">
                  <c:v>9.83</c:v>
                </c:pt>
                <c:pt idx="170">
                  <c:v>0.79200000000000004</c:v>
                </c:pt>
                <c:pt idx="171">
                  <c:v>12.1</c:v>
                </c:pt>
                <c:pt idx="172">
                  <c:v>18.97</c:v>
                </c:pt>
                <c:pt idx="173">
                  <c:v>14.82</c:v>
                </c:pt>
                <c:pt idx="174">
                  <c:v>15.94</c:v>
                </c:pt>
                <c:pt idx="175">
                  <c:v>20.71</c:v>
                </c:pt>
                <c:pt idx="176">
                  <c:v>21.18</c:v>
                </c:pt>
                <c:pt idx="177">
                  <c:v>17.690000000000001</c:v>
                </c:pt>
                <c:pt idx="178">
                  <c:v>18.2</c:v>
                </c:pt>
                <c:pt idx="179">
                  <c:v>14.96</c:v>
                </c:pt>
                <c:pt idx="180">
                  <c:v>18.59</c:v>
                </c:pt>
                <c:pt idx="181">
                  <c:v>32.22</c:v>
                </c:pt>
                <c:pt idx="182">
                  <c:v>19.190000000000001</c:v>
                </c:pt>
                <c:pt idx="183">
                  <c:v>29.78</c:v>
                </c:pt>
                <c:pt idx="184">
                  <c:v>16.739999999999998</c:v>
                </c:pt>
                <c:pt idx="185">
                  <c:v>15.63</c:v>
                </c:pt>
                <c:pt idx="186">
                  <c:v>19.93</c:v>
                </c:pt>
                <c:pt idx="187">
                  <c:v>19.48</c:v>
                </c:pt>
                <c:pt idx="188">
                  <c:v>15.64</c:v>
                </c:pt>
                <c:pt idx="189">
                  <c:v>19.57</c:v>
                </c:pt>
                <c:pt idx="190">
                  <c:v>22.69</c:v>
                </c:pt>
                <c:pt idx="191">
                  <c:v>17.45</c:v>
                </c:pt>
                <c:pt idx="192">
                  <c:v>22.72</c:v>
                </c:pt>
                <c:pt idx="193">
                  <c:v>22.79</c:v>
                </c:pt>
                <c:pt idx="194">
                  <c:v>22.11</c:v>
                </c:pt>
                <c:pt idx="195">
                  <c:v>29.6</c:v>
                </c:pt>
                <c:pt idx="196">
                  <c:v>17.29</c:v>
                </c:pt>
                <c:pt idx="197">
                  <c:v>15.13</c:v>
                </c:pt>
                <c:pt idx="198">
                  <c:v>15.18</c:v>
                </c:pt>
                <c:pt idx="199">
                  <c:v>15.11</c:v>
                </c:pt>
                <c:pt idx="200">
                  <c:v>14.62</c:v>
                </c:pt>
                <c:pt idx="201">
                  <c:v>28.76</c:v>
                </c:pt>
                <c:pt idx="202">
                  <c:v>31.52</c:v>
                </c:pt>
                <c:pt idx="203">
                  <c:v>26.18</c:v>
                </c:pt>
                <c:pt idx="204">
                  <c:v>17.21</c:v>
                </c:pt>
                <c:pt idx="205">
                  <c:v>25.97</c:v>
                </c:pt>
                <c:pt idx="206">
                  <c:v>34.729999999999997</c:v>
                </c:pt>
                <c:pt idx="207">
                  <c:v>30.81</c:v>
                </c:pt>
                <c:pt idx="208">
                  <c:v>30.44</c:v>
                </c:pt>
                <c:pt idx="209">
                  <c:v>35.29</c:v>
                </c:pt>
                <c:pt idx="210">
                  <c:v>32.99</c:v>
                </c:pt>
                <c:pt idx="211">
                  <c:v>35.46</c:v>
                </c:pt>
                <c:pt idx="212">
                  <c:v>34.83</c:v>
                </c:pt>
                <c:pt idx="213">
                  <c:v>30.22</c:v>
                </c:pt>
                <c:pt idx="214">
                  <c:v>33.58</c:v>
                </c:pt>
                <c:pt idx="215">
                  <c:v>35.29</c:v>
                </c:pt>
                <c:pt idx="216">
                  <c:v>38.65</c:v>
                </c:pt>
                <c:pt idx="217">
                  <c:v>41.14</c:v>
                </c:pt>
                <c:pt idx="218">
                  <c:v>42.71</c:v>
                </c:pt>
                <c:pt idx="219">
                  <c:v>41.34</c:v>
                </c:pt>
                <c:pt idx="220">
                  <c:v>37.26</c:v>
                </c:pt>
                <c:pt idx="221">
                  <c:v>23.82</c:v>
                </c:pt>
                <c:pt idx="222">
                  <c:v>10.36</c:v>
                </c:pt>
                <c:pt idx="223">
                  <c:v>23.71</c:v>
                </c:pt>
                <c:pt idx="224">
                  <c:v>19.73</c:v>
                </c:pt>
                <c:pt idx="225">
                  <c:v>24.21</c:v>
                </c:pt>
                <c:pt idx="226">
                  <c:v>28.76</c:v>
                </c:pt>
                <c:pt idx="227">
                  <c:v>18.350000000000001</c:v>
                </c:pt>
                <c:pt idx="228">
                  <c:v>21.61</c:v>
                </c:pt>
                <c:pt idx="229">
                  <c:v>33.01</c:v>
                </c:pt>
                <c:pt idx="230">
                  <c:v>33.840000000000003</c:v>
                </c:pt>
                <c:pt idx="231">
                  <c:v>38.82</c:v>
                </c:pt>
                <c:pt idx="232">
                  <c:v>19.670000000000002</c:v>
                </c:pt>
                <c:pt idx="233">
                  <c:v>32.200000000000003</c:v>
                </c:pt>
                <c:pt idx="234">
                  <c:v>14.66</c:v>
                </c:pt>
                <c:pt idx="235">
                  <c:v>28.38</c:v>
                </c:pt>
                <c:pt idx="236">
                  <c:v>18.91</c:v>
                </c:pt>
                <c:pt idx="237">
                  <c:v>22.98</c:v>
                </c:pt>
                <c:pt idx="238">
                  <c:v>32.299999999999997</c:v>
                </c:pt>
                <c:pt idx="239">
                  <c:v>36.729999999999997</c:v>
                </c:pt>
                <c:pt idx="240">
                  <c:v>39.43</c:v>
                </c:pt>
                <c:pt idx="241">
                  <c:v>29.39</c:v>
                </c:pt>
                <c:pt idx="242">
                  <c:v>27.1</c:v>
                </c:pt>
                <c:pt idx="243">
                  <c:v>28.7</c:v>
                </c:pt>
                <c:pt idx="244">
                  <c:v>33.89</c:v>
                </c:pt>
                <c:pt idx="245">
                  <c:v>39.51</c:v>
                </c:pt>
                <c:pt idx="246">
                  <c:v>20.52</c:v>
                </c:pt>
                <c:pt idx="247">
                  <c:v>34.28</c:v>
                </c:pt>
                <c:pt idx="248">
                  <c:v>31.63</c:v>
                </c:pt>
                <c:pt idx="249">
                  <c:v>22.8</c:v>
                </c:pt>
                <c:pt idx="250">
                  <c:v>9.93</c:v>
                </c:pt>
                <c:pt idx="251">
                  <c:v>11.82</c:v>
                </c:pt>
                <c:pt idx="252">
                  <c:v>19.940000000000001</c:v>
                </c:pt>
                <c:pt idx="253">
                  <c:v>17.600000000000001</c:v>
                </c:pt>
                <c:pt idx="254">
                  <c:v>15.11</c:v>
                </c:pt>
                <c:pt idx="255">
                  <c:v>12.41</c:v>
                </c:pt>
                <c:pt idx="256">
                  <c:v>10.26</c:v>
                </c:pt>
                <c:pt idx="257">
                  <c:v>6.6740000000000004</c:v>
                </c:pt>
                <c:pt idx="258">
                  <c:v>10.210000000000001</c:v>
                </c:pt>
                <c:pt idx="259">
                  <c:v>7.2839999999999998</c:v>
                </c:pt>
                <c:pt idx="260">
                  <c:v>9.7100000000000009</c:v>
                </c:pt>
                <c:pt idx="261">
                  <c:v>12.42</c:v>
                </c:pt>
                <c:pt idx="262">
                  <c:v>10.44</c:v>
                </c:pt>
                <c:pt idx="263">
                  <c:v>18.149999999999999</c:v>
                </c:pt>
                <c:pt idx="264">
                  <c:v>8.8000000000000007</c:v>
                </c:pt>
                <c:pt idx="265">
                  <c:v>5.5789999999999997</c:v>
                </c:pt>
                <c:pt idx="266">
                  <c:v>11.4</c:v>
                </c:pt>
                <c:pt idx="267">
                  <c:v>8.1</c:v>
                </c:pt>
                <c:pt idx="268">
                  <c:v>7.0810000000000004</c:v>
                </c:pt>
                <c:pt idx="269">
                  <c:v>3.5000000000000003E-2</c:v>
                </c:pt>
                <c:pt idx="270">
                  <c:v>-2.1139999999999999</c:v>
                </c:pt>
                <c:pt idx="271">
                  <c:v>-3.347</c:v>
                </c:pt>
                <c:pt idx="272">
                  <c:v>-0.77900000000000003</c:v>
                </c:pt>
                <c:pt idx="273">
                  <c:v>0.47</c:v>
                </c:pt>
                <c:pt idx="274">
                  <c:v>-0.04</c:v>
                </c:pt>
                <c:pt idx="275">
                  <c:v>0.33800000000000002</c:v>
                </c:pt>
                <c:pt idx="276">
                  <c:v>0.217</c:v>
                </c:pt>
                <c:pt idx="277">
                  <c:v>0.22800000000000001</c:v>
                </c:pt>
                <c:pt idx="278">
                  <c:v>0.26800000000000002</c:v>
                </c:pt>
                <c:pt idx="279">
                  <c:v>0.80200000000000005</c:v>
                </c:pt>
                <c:pt idx="280">
                  <c:v>-0.35</c:v>
                </c:pt>
                <c:pt idx="281">
                  <c:v>-5.04</c:v>
                </c:pt>
                <c:pt idx="282">
                  <c:v>-0.73399999999999999</c:v>
                </c:pt>
                <c:pt idx="283">
                  <c:v>6.8000000000000005E-2</c:v>
                </c:pt>
                <c:pt idx="284">
                  <c:v>9.0999999999999998E-2</c:v>
                </c:pt>
                <c:pt idx="285">
                  <c:v>-0.24</c:v>
                </c:pt>
                <c:pt idx="286">
                  <c:v>0.189</c:v>
                </c:pt>
                <c:pt idx="287">
                  <c:v>-0.32700000000000001</c:v>
                </c:pt>
                <c:pt idx="288">
                  <c:v>0.13100000000000001</c:v>
                </c:pt>
                <c:pt idx="289">
                  <c:v>6.7000000000000004E-2</c:v>
                </c:pt>
                <c:pt idx="290">
                  <c:v>-1.3120000000000001</c:v>
                </c:pt>
                <c:pt idx="291">
                  <c:v>-0.34899999999999998</c:v>
                </c:pt>
                <c:pt idx="292">
                  <c:v>-2.1930000000000001</c:v>
                </c:pt>
                <c:pt idx="293">
                  <c:v>-0.17499999999999999</c:v>
                </c:pt>
                <c:pt idx="294">
                  <c:v>7.6999999999999999E-2</c:v>
                </c:pt>
                <c:pt idx="295">
                  <c:v>-0.81699999999999995</c:v>
                </c:pt>
                <c:pt idx="296">
                  <c:v>1.288</c:v>
                </c:pt>
                <c:pt idx="297">
                  <c:v>1.18</c:v>
                </c:pt>
                <c:pt idx="298">
                  <c:v>-2.89</c:v>
                </c:pt>
                <c:pt idx="299">
                  <c:v>-3.8530000000000002</c:v>
                </c:pt>
                <c:pt idx="300">
                  <c:v>-5.56</c:v>
                </c:pt>
                <c:pt idx="301">
                  <c:v>-6.1070000000000002</c:v>
                </c:pt>
                <c:pt idx="302">
                  <c:v>-2.3879999999999999</c:v>
                </c:pt>
                <c:pt idx="303">
                  <c:v>-1.6679999999999999</c:v>
                </c:pt>
                <c:pt idx="304">
                  <c:v>-0.58599999999999997</c:v>
                </c:pt>
                <c:pt idx="305">
                  <c:v>0.193</c:v>
                </c:pt>
                <c:pt idx="306">
                  <c:v>0.17599999999999999</c:v>
                </c:pt>
                <c:pt idx="307">
                  <c:v>0.54200000000000004</c:v>
                </c:pt>
                <c:pt idx="308">
                  <c:v>0.245</c:v>
                </c:pt>
                <c:pt idx="309">
                  <c:v>-0.28000000000000003</c:v>
                </c:pt>
                <c:pt idx="310">
                  <c:v>6.2E-2</c:v>
                </c:pt>
                <c:pt idx="311">
                  <c:v>0.36899999999999999</c:v>
                </c:pt>
                <c:pt idx="312">
                  <c:v>0.152</c:v>
                </c:pt>
                <c:pt idx="313">
                  <c:v>-8.6999999999999994E-2</c:v>
                </c:pt>
                <c:pt idx="314">
                  <c:v>-0.96</c:v>
                </c:pt>
                <c:pt idx="315">
                  <c:v>-0.59</c:v>
                </c:pt>
                <c:pt idx="316">
                  <c:v>8.1000000000000003E-2</c:v>
                </c:pt>
                <c:pt idx="317">
                  <c:v>-0.34399999999999997</c:v>
                </c:pt>
                <c:pt idx="318">
                  <c:v>-0.52400000000000002</c:v>
                </c:pt>
                <c:pt idx="319">
                  <c:v>-0.94699999999999995</c:v>
                </c:pt>
                <c:pt idx="320">
                  <c:v>0.91300000000000003</c:v>
                </c:pt>
                <c:pt idx="321">
                  <c:v>-0.317</c:v>
                </c:pt>
                <c:pt idx="322">
                  <c:v>-1.863</c:v>
                </c:pt>
                <c:pt idx="323">
                  <c:v>-4.8600000000000003</c:v>
                </c:pt>
                <c:pt idx="324">
                  <c:v>6.9000000000000006E-2</c:v>
                </c:pt>
                <c:pt idx="325">
                  <c:v>-0.86599999999999999</c:v>
                </c:pt>
                <c:pt idx="326">
                  <c:v>-1.0469999999999999</c:v>
                </c:pt>
                <c:pt idx="327">
                  <c:v>-1.4950000000000001</c:v>
                </c:pt>
                <c:pt idx="328">
                  <c:v>-6.1139999999999999</c:v>
                </c:pt>
                <c:pt idx="329">
                  <c:v>-7.718</c:v>
                </c:pt>
                <c:pt idx="330">
                  <c:v>-10.45</c:v>
                </c:pt>
                <c:pt idx="331">
                  <c:v>-10.97</c:v>
                </c:pt>
                <c:pt idx="332">
                  <c:v>-9.0399999999999991</c:v>
                </c:pt>
                <c:pt idx="333">
                  <c:v>-7.2119999999999997</c:v>
                </c:pt>
                <c:pt idx="334">
                  <c:v>-6.202</c:v>
                </c:pt>
                <c:pt idx="335">
                  <c:v>-2.4169999999999998</c:v>
                </c:pt>
                <c:pt idx="336">
                  <c:v>-0.254</c:v>
                </c:pt>
                <c:pt idx="337">
                  <c:v>-0.84499999999999997</c:v>
                </c:pt>
                <c:pt idx="338">
                  <c:v>-3.46</c:v>
                </c:pt>
                <c:pt idx="339">
                  <c:v>-1.45</c:v>
                </c:pt>
                <c:pt idx="340">
                  <c:v>-1.909</c:v>
                </c:pt>
                <c:pt idx="341">
                  <c:v>-4.1959999999999997</c:v>
                </c:pt>
                <c:pt idx="342">
                  <c:v>-3.8570000000000002</c:v>
                </c:pt>
                <c:pt idx="343">
                  <c:v>-2.62</c:v>
                </c:pt>
                <c:pt idx="344">
                  <c:v>-4.3049999999999997</c:v>
                </c:pt>
                <c:pt idx="345">
                  <c:v>-4.4470000000000001</c:v>
                </c:pt>
                <c:pt idx="346">
                  <c:v>-4.5940000000000003</c:v>
                </c:pt>
                <c:pt idx="347">
                  <c:v>-5.9749999999999996</c:v>
                </c:pt>
                <c:pt idx="348">
                  <c:v>-8.23</c:v>
                </c:pt>
                <c:pt idx="349">
                  <c:v>-4.6040000000000001</c:v>
                </c:pt>
                <c:pt idx="350">
                  <c:v>-4.8330000000000002</c:v>
                </c:pt>
                <c:pt idx="351">
                  <c:v>-6.7880000000000003</c:v>
                </c:pt>
                <c:pt idx="352">
                  <c:v>-5.17</c:v>
                </c:pt>
                <c:pt idx="353">
                  <c:v>-0.91600000000000004</c:v>
                </c:pt>
                <c:pt idx="354">
                  <c:v>-0.67300000000000004</c:v>
                </c:pt>
                <c:pt idx="355">
                  <c:v>-5.218</c:v>
                </c:pt>
                <c:pt idx="356">
                  <c:v>-5.4880000000000004</c:v>
                </c:pt>
                <c:pt idx="357">
                  <c:v>-6.43</c:v>
                </c:pt>
                <c:pt idx="358">
                  <c:v>-7.5540000000000003</c:v>
                </c:pt>
                <c:pt idx="359">
                  <c:v>-9.27</c:v>
                </c:pt>
                <c:pt idx="360">
                  <c:v>-6.8090000000000002</c:v>
                </c:pt>
                <c:pt idx="361">
                  <c:v>-3.234</c:v>
                </c:pt>
                <c:pt idx="362">
                  <c:v>-2.7879999999999998</c:v>
                </c:pt>
                <c:pt idx="363">
                  <c:v>-2.472</c:v>
                </c:pt>
                <c:pt idx="364">
                  <c:v>-1.9890000000000001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-9.6199999999999992</c:v>
                </c:pt>
                <c:pt idx="1">
                  <c:v>-9.06</c:v>
                </c:pt>
                <c:pt idx="2">
                  <c:v>-6.4480000000000004</c:v>
                </c:pt>
                <c:pt idx="3">
                  <c:v>-8.07</c:v>
                </c:pt>
                <c:pt idx="4">
                  <c:v>-6.1680000000000001</c:v>
                </c:pt>
                <c:pt idx="5">
                  <c:v>-11.64</c:v>
                </c:pt>
                <c:pt idx="6">
                  <c:v>-15.83</c:v>
                </c:pt>
                <c:pt idx="7">
                  <c:v>-16.600000000000001</c:v>
                </c:pt>
                <c:pt idx="8">
                  <c:v>-8.2799999999999994</c:v>
                </c:pt>
                <c:pt idx="9">
                  <c:v>-5.6360000000000001</c:v>
                </c:pt>
                <c:pt idx="10">
                  <c:v>-5.9160000000000004</c:v>
                </c:pt>
                <c:pt idx="11">
                  <c:v>-6.5259999999999998</c:v>
                </c:pt>
                <c:pt idx="12">
                  <c:v>-6.38</c:v>
                </c:pt>
                <c:pt idx="13">
                  <c:v>-6.1020000000000003</c:v>
                </c:pt>
                <c:pt idx="14">
                  <c:v>-8.73</c:v>
                </c:pt>
                <c:pt idx="15">
                  <c:v>-8.15</c:v>
                </c:pt>
                <c:pt idx="16">
                  <c:v>-6.4729999999999999</c:v>
                </c:pt>
                <c:pt idx="17">
                  <c:v>-6.9390000000000001</c:v>
                </c:pt>
                <c:pt idx="18">
                  <c:v>-9.09</c:v>
                </c:pt>
                <c:pt idx="19">
                  <c:v>-11.7</c:v>
                </c:pt>
                <c:pt idx="20">
                  <c:v>-12.24</c:v>
                </c:pt>
                <c:pt idx="21">
                  <c:v>-10.36</c:v>
                </c:pt>
                <c:pt idx="22">
                  <c:v>-9.82</c:v>
                </c:pt>
                <c:pt idx="23">
                  <c:v>-8.1</c:v>
                </c:pt>
                <c:pt idx="24">
                  <c:v>-7.0069999999999997</c:v>
                </c:pt>
                <c:pt idx="25">
                  <c:v>-4.9119999999999999</c:v>
                </c:pt>
                <c:pt idx="26">
                  <c:v>-11.08</c:v>
                </c:pt>
                <c:pt idx="27">
                  <c:v>-12.25</c:v>
                </c:pt>
                <c:pt idx="28">
                  <c:v>-11.72</c:v>
                </c:pt>
                <c:pt idx="29">
                  <c:v>-8.56</c:v>
                </c:pt>
                <c:pt idx="30">
                  <c:v>-3.7240000000000002</c:v>
                </c:pt>
                <c:pt idx="31">
                  <c:v>-5.1559999999999997</c:v>
                </c:pt>
                <c:pt idx="32">
                  <c:v>-9.26</c:v>
                </c:pt>
                <c:pt idx="33">
                  <c:v>-20.2</c:v>
                </c:pt>
                <c:pt idx="34">
                  <c:v>-25.45</c:v>
                </c:pt>
                <c:pt idx="35">
                  <c:v>-23.44</c:v>
                </c:pt>
                <c:pt idx="36">
                  <c:v>-24.29</c:v>
                </c:pt>
                <c:pt idx="37">
                  <c:v>-18.399999999999999</c:v>
                </c:pt>
                <c:pt idx="38">
                  <c:v>-19.329999999999998</c:v>
                </c:pt>
                <c:pt idx="39">
                  <c:v>-22.34</c:v>
                </c:pt>
                <c:pt idx="40">
                  <c:v>-21.54</c:v>
                </c:pt>
                <c:pt idx="41">
                  <c:v>-22.43</c:v>
                </c:pt>
                <c:pt idx="42">
                  <c:v>-15.32</c:v>
                </c:pt>
                <c:pt idx="43">
                  <c:v>-15.45</c:v>
                </c:pt>
                <c:pt idx="44">
                  <c:v>-14.57</c:v>
                </c:pt>
                <c:pt idx="45">
                  <c:v>-9.8800000000000008</c:v>
                </c:pt>
                <c:pt idx="46">
                  <c:v>-10.37</c:v>
                </c:pt>
                <c:pt idx="47">
                  <c:v>-17.239999999999998</c:v>
                </c:pt>
                <c:pt idx="48">
                  <c:v>-19</c:v>
                </c:pt>
                <c:pt idx="49">
                  <c:v>-12.31</c:v>
                </c:pt>
                <c:pt idx="50">
                  <c:v>-11.83</c:v>
                </c:pt>
                <c:pt idx="51">
                  <c:v>-14.98</c:v>
                </c:pt>
                <c:pt idx="52">
                  <c:v>-12.95</c:v>
                </c:pt>
                <c:pt idx="53">
                  <c:v>-12.3</c:v>
                </c:pt>
                <c:pt idx="54">
                  <c:v>-14.45</c:v>
                </c:pt>
                <c:pt idx="55">
                  <c:v>-19.55</c:v>
                </c:pt>
                <c:pt idx="56">
                  <c:v>-21.74</c:v>
                </c:pt>
                <c:pt idx="57">
                  <c:v>-18.36</c:v>
                </c:pt>
                <c:pt idx="58">
                  <c:v>-11.97</c:v>
                </c:pt>
                <c:pt idx="59">
                  <c:v>-12.86</c:v>
                </c:pt>
                <c:pt idx="60">
                  <c:v>-19.329999999999998</c:v>
                </c:pt>
                <c:pt idx="61">
                  <c:v>-21.04</c:v>
                </c:pt>
                <c:pt idx="62">
                  <c:v>-21.31</c:v>
                </c:pt>
                <c:pt idx="63">
                  <c:v>-17.63</c:v>
                </c:pt>
                <c:pt idx="64">
                  <c:v>-8.89</c:v>
                </c:pt>
                <c:pt idx="65">
                  <c:v>-13.91</c:v>
                </c:pt>
                <c:pt idx="66">
                  <c:v>-15.79</c:v>
                </c:pt>
                <c:pt idx="67">
                  <c:v>-14.53</c:v>
                </c:pt>
                <c:pt idx="68">
                  <c:v>-15.44</c:v>
                </c:pt>
                <c:pt idx="69">
                  <c:v>-10.98</c:v>
                </c:pt>
                <c:pt idx="70">
                  <c:v>-12.48</c:v>
                </c:pt>
                <c:pt idx="71">
                  <c:v>-13.45</c:v>
                </c:pt>
                <c:pt idx="72">
                  <c:v>-11.49</c:v>
                </c:pt>
                <c:pt idx="73">
                  <c:v>-7.8689999999999998</c:v>
                </c:pt>
                <c:pt idx="74">
                  <c:v>-7.6429999999999998</c:v>
                </c:pt>
                <c:pt idx="75">
                  <c:v>-5.0380000000000003</c:v>
                </c:pt>
                <c:pt idx="76">
                  <c:v>-4.7679999999999998</c:v>
                </c:pt>
                <c:pt idx="77">
                  <c:v>-2.649</c:v>
                </c:pt>
                <c:pt idx="78">
                  <c:v>-1.2010000000000001</c:v>
                </c:pt>
                <c:pt idx="79">
                  <c:v>-1.68</c:v>
                </c:pt>
                <c:pt idx="80">
                  <c:v>-0.82</c:v>
                </c:pt>
                <c:pt idx="81">
                  <c:v>-1.2929999999999999</c:v>
                </c:pt>
                <c:pt idx="82">
                  <c:v>-1.38</c:v>
                </c:pt>
                <c:pt idx="83">
                  <c:v>-2.4119999999999999</c:v>
                </c:pt>
                <c:pt idx="84">
                  <c:v>-7.8540000000000001</c:v>
                </c:pt>
                <c:pt idx="85">
                  <c:v>-8.7100000000000009</c:v>
                </c:pt>
                <c:pt idx="86">
                  <c:v>-6.7549999999999999</c:v>
                </c:pt>
                <c:pt idx="87">
                  <c:v>-5.3019999999999996</c:v>
                </c:pt>
                <c:pt idx="88">
                  <c:v>-4.6349999999999998</c:v>
                </c:pt>
                <c:pt idx="89">
                  <c:v>-3.4870000000000001</c:v>
                </c:pt>
                <c:pt idx="90">
                  <c:v>-4.9580000000000002</c:v>
                </c:pt>
                <c:pt idx="91">
                  <c:v>-5.15</c:v>
                </c:pt>
                <c:pt idx="92">
                  <c:v>-2.496</c:v>
                </c:pt>
                <c:pt idx="93">
                  <c:v>-3.62</c:v>
                </c:pt>
                <c:pt idx="94">
                  <c:v>-4.6210000000000004</c:v>
                </c:pt>
                <c:pt idx="95">
                  <c:v>-6.7640000000000002</c:v>
                </c:pt>
                <c:pt idx="96">
                  <c:v>-7.133</c:v>
                </c:pt>
                <c:pt idx="97">
                  <c:v>-7.4660000000000002</c:v>
                </c:pt>
                <c:pt idx="98">
                  <c:v>-3.9849999999999999</c:v>
                </c:pt>
                <c:pt idx="99">
                  <c:v>-5.9</c:v>
                </c:pt>
                <c:pt idx="100">
                  <c:v>-7.06</c:v>
                </c:pt>
                <c:pt idx="101">
                  <c:v>-7.5460000000000003</c:v>
                </c:pt>
                <c:pt idx="102">
                  <c:v>-7.54</c:v>
                </c:pt>
                <c:pt idx="103">
                  <c:v>-8.0299999999999994</c:v>
                </c:pt>
                <c:pt idx="104">
                  <c:v>-10.42</c:v>
                </c:pt>
                <c:pt idx="105">
                  <c:v>-7.907</c:v>
                </c:pt>
                <c:pt idx="106">
                  <c:v>-3.927</c:v>
                </c:pt>
                <c:pt idx="107">
                  <c:v>-0.59899999999999998</c:v>
                </c:pt>
                <c:pt idx="108">
                  <c:v>-0.53600000000000003</c:v>
                </c:pt>
                <c:pt idx="109">
                  <c:v>-3.996</c:v>
                </c:pt>
                <c:pt idx="110">
                  <c:v>-5.0330000000000004</c:v>
                </c:pt>
                <c:pt idx="111">
                  <c:v>-2.1070000000000002</c:v>
                </c:pt>
                <c:pt idx="112">
                  <c:v>-3.5419999999999998</c:v>
                </c:pt>
                <c:pt idx="113">
                  <c:v>-4.3440000000000003</c:v>
                </c:pt>
                <c:pt idx="114">
                  <c:v>-5.4710000000000001</c:v>
                </c:pt>
                <c:pt idx="115">
                  <c:v>-4.0519999999999996</c:v>
                </c:pt>
                <c:pt idx="116">
                  <c:v>-6.6849999999999996</c:v>
                </c:pt>
                <c:pt idx="117">
                  <c:v>-8.34</c:v>
                </c:pt>
                <c:pt idx="118">
                  <c:v>-8.1</c:v>
                </c:pt>
                <c:pt idx="119">
                  <c:v>-7.9260000000000002</c:v>
                </c:pt>
                <c:pt idx="120">
                  <c:v>-4.3630000000000004</c:v>
                </c:pt>
                <c:pt idx="121">
                  <c:v>-4.1189999999999998</c:v>
                </c:pt>
                <c:pt idx="122">
                  <c:v>-3.2189999999999999</c:v>
                </c:pt>
                <c:pt idx="123">
                  <c:v>-0.36399999999999999</c:v>
                </c:pt>
                <c:pt idx="124">
                  <c:v>-1.702</c:v>
                </c:pt>
                <c:pt idx="125">
                  <c:v>-0.90800000000000003</c:v>
                </c:pt>
                <c:pt idx="126">
                  <c:v>-0.48299999999999998</c:v>
                </c:pt>
                <c:pt idx="127">
                  <c:v>-0.34399999999999997</c:v>
                </c:pt>
                <c:pt idx="128">
                  <c:v>-0.58899999999999997</c:v>
                </c:pt>
                <c:pt idx="129">
                  <c:v>-0.13</c:v>
                </c:pt>
                <c:pt idx="130">
                  <c:v>8.4000000000000005E-2</c:v>
                </c:pt>
                <c:pt idx="131">
                  <c:v>-0.05</c:v>
                </c:pt>
                <c:pt idx="132">
                  <c:v>-0.34200000000000003</c:v>
                </c:pt>
                <c:pt idx="133">
                  <c:v>-0.36699999999999999</c:v>
                </c:pt>
                <c:pt idx="134">
                  <c:v>-1.07</c:v>
                </c:pt>
                <c:pt idx="135">
                  <c:v>0.32200000000000001</c:v>
                </c:pt>
                <c:pt idx="136">
                  <c:v>-0.57799999999999996</c:v>
                </c:pt>
                <c:pt idx="137">
                  <c:v>-0.44800000000000001</c:v>
                </c:pt>
                <c:pt idx="138">
                  <c:v>-2.7E-2</c:v>
                </c:pt>
                <c:pt idx="139">
                  <c:v>-0.14099999999999999</c:v>
                </c:pt>
                <c:pt idx="140">
                  <c:v>8.9999999999999993E-3</c:v>
                </c:pt>
                <c:pt idx="141">
                  <c:v>0.38500000000000001</c:v>
                </c:pt>
                <c:pt idx="142">
                  <c:v>2.4670000000000001</c:v>
                </c:pt>
                <c:pt idx="143">
                  <c:v>2.5449999999999999</c:v>
                </c:pt>
                <c:pt idx="144">
                  <c:v>1.0820000000000001</c:v>
                </c:pt>
                <c:pt idx="145">
                  <c:v>2.1379999999999999</c:v>
                </c:pt>
                <c:pt idx="146">
                  <c:v>2.0699999999999998</c:v>
                </c:pt>
                <c:pt idx="147">
                  <c:v>4.7450000000000001</c:v>
                </c:pt>
                <c:pt idx="148">
                  <c:v>6.5439999999999996</c:v>
                </c:pt>
                <c:pt idx="149">
                  <c:v>3.1850000000000001</c:v>
                </c:pt>
                <c:pt idx="150">
                  <c:v>6.1660000000000004</c:v>
                </c:pt>
                <c:pt idx="151">
                  <c:v>4.9870000000000001</c:v>
                </c:pt>
                <c:pt idx="152">
                  <c:v>4.8600000000000003</c:v>
                </c:pt>
                <c:pt idx="153">
                  <c:v>2.3730000000000002</c:v>
                </c:pt>
                <c:pt idx="154">
                  <c:v>1.0169999999999999</c:v>
                </c:pt>
                <c:pt idx="155">
                  <c:v>0.17100000000000001</c:v>
                </c:pt>
                <c:pt idx="156">
                  <c:v>-1.625</c:v>
                </c:pt>
                <c:pt idx="157">
                  <c:v>-1.5940000000000001</c:v>
                </c:pt>
                <c:pt idx="158">
                  <c:v>-0.74</c:v>
                </c:pt>
                <c:pt idx="159">
                  <c:v>-0.60199999999999998</c:v>
                </c:pt>
                <c:pt idx="160">
                  <c:v>1.3819999999999999</c:v>
                </c:pt>
                <c:pt idx="161">
                  <c:v>4.8680000000000003</c:v>
                </c:pt>
                <c:pt idx="162">
                  <c:v>6.3949999999999996</c:v>
                </c:pt>
                <c:pt idx="163">
                  <c:v>6.7859999999999996</c:v>
                </c:pt>
                <c:pt idx="164">
                  <c:v>5.4269999999999996</c:v>
                </c:pt>
                <c:pt idx="165">
                  <c:v>7.5940000000000003</c:v>
                </c:pt>
                <c:pt idx="166">
                  <c:v>8.11</c:v>
                </c:pt>
                <c:pt idx="167">
                  <c:v>6.43</c:v>
                </c:pt>
                <c:pt idx="168">
                  <c:v>3.048</c:v>
                </c:pt>
                <c:pt idx="169">
                  <c:v>-0.64200000000000002</c:v>
                </c:pt>
                <c:pt idx="170">
                  <c:v>-0.77900000000000003</c:v>
                </c:pt>
                <c:pt idx="171">
                  <c:v>-7.6999999999999999E-2</c:v>
                </c:pt>
                <c:pt idx="172">
                  <c:v>3.7509999999999999</c:v>
                </c:pt>
                <c:pt idx="173">
                  <c:v>2.8039999999999998</c:v>
                </c:pt>
                <c:pt idx="174">
                  <c:v>0.28399999999999997</c:v>
                </c:pt>
                <c:pt idx="175">
                  <c:v>1.804</c:v>
                </c:pt>
                <c:pt idx="176">
                  <c:v>2.488</c:v>
                </c:pt>
                <c:pt idx="177">
                  <c:v>3.21</c:v>
                </c:pt>
                <c:pt idx="178">
                  <c:v>1.4970000000000001</c:v>
                </c:pt>
                <c:pt idx="179">
                  <c:v>0.65500000000000003</c:v>
                </c:pt>
                <c:pt idx="180">
                  <c:v>3.0750000000000002</c:v>
                </c:pt>
                <c:pt idx="181">
                  <c:v>5.2670000000000003</c:v>
                </c:pt>
                <c:pt idx="182">
                  <c:v>6.1820000000000004</c:v>
                </c:pt>
                <c:pt idx="183">
                  <c:v>4.6740000000000004</c:v>
                </c:pt>
                <c:pt idx="184">
                  <c:v>6.36</c:v>
                </c:pt>
                <c:pt idx="185">
                  <c:v>5.7080000000000002</c:v>
                </c:pt>
                <c:pt idx="186">
                  <c:v>4.1440000000000001</c:v>
                </c:pt>
                <c:pt idx="187">
                  <c:v>4.1040000000000001</c:v>
                </c:pt>
                <c:pt idx="188">
                  <c:v>1.135</c:v>
                </c:pt>
                <c:pt idx="189">
                  <c:v>5.5019999999999998</c:v>
                </c:pt>
                <c:pt idx="190">
                  <c:v>6.827</c:v>
                </c:pt>
                <c:pt idx="191">
                  <c:v>6.359</c:v>
                </c:pt>
                <c:pt idx="192">
                  <c:v>5.2279999999999998</c:v>
                </c:pt>
                <c:pt idx="193">
                  <c:v>6.2430000000000003</c:v>
                </c:pt>
                <c:pt idx="194">
                  <c:v>5.3109999999999999</c:v>
                </c:pt>
                <c:pt idx="195">
                  <c:v>5.2069999999999999</c:v>
                </c:pt>
                <c:pt idx="196">
                  <c:v>2.3959999999999999</c:v>
                </c:pt>
                <c:pt idx="197">
                  <c:v>5.24</c:v>
                </c:pt>
                <c:pt idx="198">
                  <c:v>0.11</c:v>
                </c:pt>
                <c:pt idx="199">
                  <c:v>1.5940000000000001</c:v>
                </c:pt>
                <c:pt idx="200">
                  <c:v>4.4009999999999998</c:v>
                </c:pt>
                <c:pt idx="201">
                  <c:v>4.6470000000000002</c:v>
                </c:pt>
                <c:pt idx="202">
                  <c:v>8.14</c:v>
                </c:pt>
                <c:pt idx="203">
                  <c:v>8.5500000000000007</c:v>
                </c:pt>
                <c:pt idx="204">
                  <c:v>3.5630000000000002</c:v>
                </c:pt>
                <c:pt idx="205">
                  <c:v>2.7919999999999998</c:v>
                </c:pt>
                <c:pt idx="206">
                  <c:v>6.7469999999999999</c:v>
                </c:pt>
                <c:pt idx="207">
                  <c:v>5.9710000000000001</c:v>
                </c:pt>
                <c:pt idx="208">
                  <c:v>4.6050000000000004</c:v>
                </c:pt>
                <c:pt idx="209">
                  <c:v>6.9</c:v>
                </c:pt>
                <c:pt idx="210">
                  <c:v>6.6349999999999998</c:v>
                </c:pt>
                <c:pt idx="211">
                  <c:v>6.5869999999999997</c:v>
                </c:pt>
                <c:pt idx="212">
                  <c:v>7.6230000000000002</c:v>
                </c:pt>
                <c:pt idx="213">
                  <c:v>5.8220000000000001</c:v>
                </c:pt>
                <c:pt idx="214">
                  <c:v>4.3380000000000001</c:v>
                </c:pt>
                <c:pt idx="215">
                  <c:v>5.3230000000000004</c:v>
                </c:pt>
                <c:pt idx="216">
                  <c:v>8.1</c:v>
                </c:pt>
                <c:pt idx="217">
                  <c:v>9.9700000000000006</c:v>
                </c:pt>
                <c:pt idx="218">
                  <c:v>10.99</c:v>
                </c:pt>
                <c:pt idx="219">
                  <c:v>10.210000000000001</c:v>
                </c:pt>
                <c:pt idx="220">
                  <c:v>11.2</c:v>
                </c:pt>
                <c:pt idx="221">
                  <c:v>7.2229999999999999</c:v>
                </c:pt>
                <c:pt idx="222">
                  <c:v>5.9710000000000001</c:v>
                </c:pt>
                <c:pt idx="223">
                  <c:v>4.9870000000000001</c:v>
                </c:pt>
                <c:pt idx="224">
                  <c:v>6.0049999999999999</c:v>
                </c:pt>
                <c:pt idx="225">
                  <c:v>6.9359999999999999</c:v>
                </c:pt>
                <c:pt idx="226">
                  <c:v>6.718</c:v>
                </c:pt>
                <c:pt idx="227">
                  <c:v>5.46</c:v>
                </c:pt>
                <c:pt idx="228">
                  <c:v>3.7290000000000001</c:v>
                </c:pt>
                <c:pt idx="229">
                  <c:v>4.1349999999999998</c:v>
                </c:pt>
                <c:pt idx="230">
                  <c:v>6.2830000000000004</c:v>
                </c:pt>
                <c:pt idx="231">
                  <c:v>8.07</c:v>
                </c:pt>
                <c:pt idx="232">
                  <c:v>6.4180000000000001</c:v>
                </c:pt>
                <c:pt idx="233">
                  <c:v>4.3150000000000004</c:v>
                </c:pt>
                <c:pt idx="234">
                  <c:v>5.1970000000000001</c:v>
                </c:pt>
                <c:pt idx="235">
                  <c:v>3.6269999999999998</c:v>
                </c:pt>
                <c:pt idx="236">
                  <c:v>3.556</c:v>
                </c:pt>
                <c:pt idx="237">
                  <c:v>2.899</c:v>
                </c:pt>
                <c:pt idx="238">
                  <c:v>4.335</c:v>
                </c:pt>
                <c:pt idx="239">
                  <c:v>7.7069999999999999</c:v>
                </c:pt>
                <c:pt idx="240">
                  <c:v>8.08</c:v>
                </c:pt>
                <c:pt idx="241">
                  <c:v>9.98</c:v>
                </c:pt>
                <c:pt idx="242">
                  <c:v>9.3000000000000007</c:v>
                </c:pt>
                <c:pt idx="243">
                  <c:v>7.2160000000000002</c:v>
                </c:pt>
                <c:pt idx="244">
                  <c:v>6.2</c:v>
                </c:pt>
                <c:pt idx="245">
                  <c:v>6.0970000000000004</c:v>
                </c:pt>
                <c:pt idx="246">
                  <c:v>5.1020000000000003</c:v>
                </c:pt>
                <c:pt idx="247">
                  <c:v>6.5679999999999996</c:v>
                </c:pt>
                <c:pt idx="248">
                  <c:v>9.34</c:v>
                </c:pt>
                <c:pt idx="249">
                  <c:v>7.9669999999999996</c:v>
                </c:pt>
                <c:pt idx="250">
                  <c:v>5.5359999999999996</c:v>
                </c:pt>
                <c:pt idx="251">
                  <c:v>1.2949999999999999</c:v>
                </c:pt>
                <c:pt idx="252">
                  <c:v>4.4210000000000003</c:v>
                </c:pt>
                <c:pt idx="253">
                  <c:v>5.2460000000000004</c:v>
                </c:pt>
                <c:pt idx="254">
                  <c:v>4.8259999999999996</c:v>
                </c:pt>
                <c:pt idx="255">
                  <c:v>3.3820000000000001</c:v>
                </c:pt>
                <c:pt idx="256">
                  <c:v>4.5609999999999999</c:v>
                </c:pt>
                <c:pt idx="257">
                  <c:v>3.431</c:v>
                </c:pt>
                <c:pt idx="258">
                  <c:v>1.472</c:v>
                </c:pt>
                <c:pt idx="259">
                  <c:v>1.3029999999999999</c:v>
                </c:pt>
                <c:pt idx="260">
                  <c:v>2.653</c:v>
                </c:pt>
                <c:pt idx="261">
                  <c:v>1.6890000000000001</c:v>
                </c:pt>
                <c:pt idx="262">
                  <c:v>2.0710000000000002</c:v>
                </c:pt>
                <c:pt idx="263">
                  <c:v>2.2400000000000002</c:v>
                </c:pt>
                <c:pt idx="264">
                  <c:v>3.7810000000000001</c:v>
                </c:pt>
                <c:pt idx="265">
                  <c:v>2.6520000000000001</c:v>
                </c:pt>
                <c:pt idx="266">
                  <c:v>0.4</c:v>
                </c:pt>
                <c:pt idx="267">
                  <c:v>0.06</c:v>
                </c:pt>
                <c:pt idx="268">
                  <c:v>-0.76600000000000001</c:v>
                </c:pt>
                <c:pt idx="269">
                  <c:v>-2.657</c:v>
                </c:pt>
                <c:pt idx="270">
                  <c:v>-5.7759999999999998</c:v>
                </c:pt>
                <c:pt idx="271">
                  <c:v>-7.3529999999999998</c:v>
                </c:pt>
                <c:pt idx="272">
                  <c:v>-6.3959999999999999</c:v>
                </c:pt>
                <c:pt idx="273">
                  <c:v>-6.0780000000000003</c:v>
                </c:pt>
                <c:pt idx="274">
                  <c:v>-3.669</c:v>
                </c:pt>
                <c:pt idx="275">
                  <c:v>-2.8639999999999999</c:v>
                </c:pt>
                <c:pt idx="276">
                  <c:v>-3.528</c:v>
                </c:pt>
                <c:pt idx="277">
                  <c:v>-3.6459999999999999</c:v>
                </c:pt>
                <c:pt idx="278">
                  <c:v>-3.74</c:v>
                </c:pt>
                <c:pt idx="279">
                  <c:v>-0.36799999999999999</c:v>
                </c:pt>
                <c:pt idx="280">
                  <c:v>-8.19</c:v>
                </c:pt>
                <c:pt idx="281">
                  <c:v>-10.67</c:v>
                </c:pt>
                <c:pt idx="282">
                  <c:v>-10.28</c:v>
                </c:pt>
                <c:pt idx="283">
                  <c:v>-6.6859999999999999</c:v>
                </c:pt>
                <c:pt idx="284">
                  <c:v>-4.5039999999999996</c:v>
                </c:pt>
                <c:pt idx="285">
                  <c:v>-1.7829999999999999</c:v>
                </c:pt>
                <c:pt idx="286">
                  <c:v>-3.8610000000000002</c:v>
                </c:pt>
                <c:pt idx="287">
                  <c:v>-2.931</c:v>
                </c:pt>
                <c:pt idx="288">
                  <c:v>-1.6259999999999999</c:v>
                </c:pt>
                <c:pt idx="289">
                  <c:v>-2.6520000000000001</c:v>
                </c:pt>
                <c:pt idx="290">
                  <c:v>-4.3609999999999998</c:v>
                </c:pt>
                <c:pt idx="291">
                  <c:v>-5.2169999999999996</c:v>
                </c:pt>
                <c:pt idx="292">
                  <c:v>-4.66</c:v>
                </c:pt>
                <c:pt idx="293">
                  <c:v>-3.9529999999999998</c:v>
                </c:pt>
                <c:pt idx="294">
                  <c:v>-2.4390000000000001</c:v>
                </c:pt>
                <c:pt idx="295">
                  <c:v>-6.08</c:v>
                </c:pt>
                <c:pt idx="296">
                  <c:v>-2.6749999999999998</c:v>
                </c:pt>
                <c:pt idx="297">
                  <c:v>-4.5940000000000003</c:v>
                </c:pt>
                <c:pt idx="298">
                  <c:v>-8.8800000000000008</c:v>
                </c:pt>
                <c:pt idx="299">
                  <c:v>-9.5500000000000007</c:v>
                </c:pt>
                <c:pt idx="300">
                  <c:v>-14.52</c:v>
                </c:pt>
                <c:pt idx="301">
                  <c:v>-15.19</c:v>
                </c:pt>
                <c:pt idx="302">
                  <c:v>-9.59</c:v>
                </c:pt>
                <c:pt idx="303">
                  <c:v>-7.2640000000000002</c:v>
                </c:pt>
                <c:pt idx="304">
                  <c:v>-7.4039999999999999</c:v>
                </c:pt>
                <c:pt idx="305">
                  <c:v>-1.73</c:v>
                </c:pt>
                <c:pt idx="306">
                  <c:v>-0.58099999999999996</c:v>
                </c:pt>
                <c:pt idx="307">
                  <c:v>-0.185</c:v>
                </c:pt>
                <c:pt idx="308">
                  <c:v>-2.0750000000000002</c:v>
                </c:pt>
                <c:pt idx="309">
                  <c:v>-4.556</c:v>
                </c:pt>
                <c:pt idx="310">
                  <c:v>-4.0350000000000001</c:v>
                </c:pt>
                <c:pt idx="311">
                  <c:v>-0.16400000000000001</c:v>
                </c:pt>
                <c:pt idx="312">
                  <c:v>-0.40100000000000002</c:v>
                </c:pt>
                <c:pt idx="313">
                  <c:v>-6.1189999999999998</c:v>
                </c:pt>
                <c:pt idx="314">
                  <c:v>-5.6609999999999996</c:v>
                </c:pt>
                <c:pt idx="315">
                  <c:v>-3.2290000000000001</c:v>
                </c:pt>
                <c:pt idx="316">
                  <c:v>-3.669</c:v>
                </c:pt>
                <c:pt idx="317">
                  <c:v>-3.9950000000000001</c:v>
                </c:pt>
                <c:pt idx="318">
                  <c:v>-2.996</c:v>
                </c:pt>
                <c:pt idx="319">
                  <c:v>-4.1559999999999997</c:v>
                </c:pt>
                <c:pt idx="320">
                  <c:v>-2.0790000000000002</c:v>
                </c:pt>
                <c:pt idx="321">
                  <c:v>-3.073</c:v>
                </c:pt>
                <c:pt idx="322">
                  <c:v>-6.5940000000000003</c:v>
                </c:pt>
                <c:pt idx="323">
                  <c:v>-9.1999999999999993</c:v>
                </c:pt>
                <c:pt idx="324">
                  <c:v>-5.1289999999999996</c:v>
                </c:pt>
                <c:pt idx="325">
                  <c:v>-5.2489999999999997</c:v>
                </c:pt>
                <c:pt idx="326">
                  <c:v>-4.0519999999999996</c:v>
                </c:pt>
                <c:pt idx="327">
                  <c:v>-6.7629999999999999</c:v>
                </c:pt>
                <c:pt idx="328">
                  <c:v>-12.03</c:v>
                </c:pt>
                <c:pt idx="329">
                  <c:v>-14.04</c:v>
                </c:pt>
                <c:pt idx="330">
                  <c:v>-15.08</c:v>
                </c:pt>
                <c:pt idx="331">
                  <c:v>-15.84</c:v>
                </c:pt>
                <c:pt idx="332">
                  <c:v>-15.14</c:v>
                </c:pt>
                <c:pt idx="333">
                  <c:v>-12.74</c:v>
                </c:pt>
                <c:pt idx="334">
                  <c:v>-13.09</c:v>
                </c:pt>
                <c:pt idx="335">
                  <c:v>-6.548</c:v>
                </c:pt>
                <c:pt idx="336">
                  <c:v>-2.79</c:v>
                </c:pt>
                <c:pt idx="337">
                  <c:v>-9.16</c:v>
                </c:pt>
                <c:pt idx="338">
                  <c:v>-9.31</c:v>
                </c:pt>
                <c:pt idx="339">
                  <c:v>-4.109</c:v>
                </c:pt>
                <c:pt idx="340">
                  <c:v>-4.1740000000000004</c:v>
                </c:pt>
                <c:pt idx="341">
                  <c:v>-12.58</c:v>
                </c:pt>
                <c:pt idx="342">
                  <c:v>-10.06</c:v>
                </c:pt>
                <c:pt idx="343">
                  <c:v>-5.5220000000000002</c:v>
                </c:pt>
                <c:pt idx="344">
                  <c:v>-7.7610000000000001</c:v>
                </c:pt>
                <c:pt idx="345">
                  <c:v>-7.6</c:v>
                </c:pt>
                <c:pt idx="346">
                  <c:v>-7.5330000000000004</c:v>
                </c:pt>
                <c:pt idx="347">
                  <c:v>-9.2200000000000006</c:v>
                </c:pt>
                <c:pt idx="348">
                  <c:v>-12.72</c:v>
                </c:pt>
                <c:pt idx="349">
                  <c:v>-13.68</c:v>
                </c:pt>
                <c:pt idx="350">
                  <c:v>-9.77</c:v>
                </c:pt>
                <c:pt idx="351">
                  <c:v>-9.76</c:v>
                </c:pt>
                <c:pt idx="352">
                  <c:v>-10.8</c:v>
                </c:pt>
                <c:pt idx="353">
                  <c:v>-5.6859999999999999</c:v>
                </c:pt>
                <c:pt idx="354">
                  <c:v>-7.3789999999999996</c:v>
                </c:pt>
                <c:pt idx="355">
                  <c:v>-9.9</c:v>
                </c:pt>
                <c:pt idx="356">
                  <c:v>-9.4700000000000006</c:v>
                </c:pt>
                <c:pt idx="357">
                  <c:v>-11.45</c:v>
                </c:pt>
                <c:pt idx="358">
                  <c:v>-12.8</c:v>
                </c:pt>
                <c:pt idx="359">
                  <c:v>-13.2</c:v>
                </c:pt>
                <c:pt idx="360">
                  <c:v>-11.34</c:v>
                </c:pt>
                <c:pt idx="361">
                  <c:v>-11.16</c:v>
                </c:pt>
                <c:pt idx="362">
                  <c:v>-6.444</c:v>
                </c:pt>
                <c:pt idx="363">
                  <c:v>-5.7380000000000004</c:v>
                </c:pt>
                <c:pt idx="364">
                  <c:v>-6.7709999999999999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45536"/>
        <c:axId val="42547072"/>
      </c:lineChart>
      <c:catAx>
        <c:axId val="425455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470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5470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45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21988503894475"/>
          <c:y val="0.17616211078004468"/>
          <c:w val="0.10667833309028284"/>
          <c:h val="0.11982828269164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 rtl="1"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5638736913401"/>
          <c:y val="0.11129296235679216"/>
          <c:w val="0.83166100461848558"/>
          <c:h val="0.78556038792564031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55648"/>
        <c:axId val="42557440"/>
      </c:lineChart>
      <c:catAx>
        <c:axId val="425556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574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557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556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body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904396325459317"/>
          <c:y val="0.15650481189851267"/>
          <c:w val="0.8054975940507435"/>
          <c:h val="0.7925692621755613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-3.4950000000000001</c:v>
                </c:pt>
                <c:pt idx="1">
                  <c:v>-1.9239999999999999</c:v>
                </c:pt>
                <c:pt idx="2">
                  <c:v>-1.762</c:v>
                </c:pt>
                <c:pt idx="3">
                  <c:v>-2.2599999999999998</c:v>
                </c:pt>
                <c:pt idx="4">
                  <c:v>-3.048</c:v>
                </c:pt>
                <c:pt idx="5">
                  <c:v>-4.1980000000000004</c:v>
                </c:pt>
                <c:pt idx="6">
                  <c:v>-8.65</c:v>
                </c:pt>
                <c:pt idx="7">
                  <c:v>-8.33</c:v>
                </c:pt>
                <c:pt idx="8">
                  <c:v>-1.99</c:v>
                </c:pt>
                <c:pt idx="9">
                  <c:v>-0.64900000000000002</c:v>
                </c:pt>
                <c:pt idx="10">
                  <c:v>-2.1190000000000002</c:v>
                </c:pt>
                <c:pt idx="11">
                  <c:v>-3.048</c:v>
                </c:pt>
                <c:pt idx="12">
                  <c:v>0.89400000000000002</c:v>
                </c:pt>
                <c:pt idx="13">
                  <c:v>2.6389999999999998</c:v>
                </c:pt>
                <c:pt idx="14">
                  <c:v>-0.61599999999999999</c:v>
                </c:pt>
                <c:pt idx="15">
                  <c:v>-3.2850000000000001</c:v>
                </c:pt>
                <c:pt idx="16">
                  <c:v>-3.7559999999999998</c:v>
                </c:pt>
                <c:pt idx="17">
                  <c:v>-3.3330000000000002</c:v>
                </c:pt>
                <c:pt idx="18">
                  <c:v>-3.4969999999999999</c:v>
                </c:pt>
                <c:pt idx="19">
                  <c:v>-5.2210000000000001</c:v>
                </c:pt>
                <c:pt idx="20">
                  <c:v>-7.3460000000000001</c:v>
                </c:pt>
                <c:pt idx="21">
                  <c:v>-5.6959999999999997</c:v>
                </c:pt>
                <c:pt idx="22">
                  <c:v>-5.806</c:v>
                </c:pt>
                <c:pt idx="23">
                  <c:v>-2.8650000000000002</c:v>
                </c:pt>
                <c:pt idx="24">
                  <c:v>-0.876</c:v>
                </c:pt>
                <c:pt idx="25">
                  <c:v>3.359</c:v>
                </c:pt>
                <c:pt idx="26">
                  <c:v>3.0059999999999998</c:v>
                </c:pt>
                <c:pt idx="27">
                  <c:v>-3.645</c:v>
                </c:pt>
                <c:pt idx="28">
                  <c:v>1.304</c:v>
                </c:pt>
                <c:pt idx="29">
                  <c:v>1.8120000000000001</c:v>
                </c:pt>
                <c:pt idx="30">
                  <c:v>1.423</c:v>
                </c:pt>
                <c:pt idx="31">
                  <c:v>-1.07</c:v>
                </c:pt>
                <c:pt idx="32">
                  <c:v>-1.732</c:v>
                </c:pt>
                <c:pt idx="33">
                  <c:v>-7.7590000000000003</c:v>
                </c:pt>
                <c:pt idx="34">
                  <c:v>-19.7</c:v>
                </c:pt>
                <c:pt idx="35">
                  <c:v>-14.32</c:v>
                </c:pt>
                <c:pt idx="36">
                  <c:v>-15.64</c:v>
                </c:pt>
                <c:pt idx="37">
                  <c:v>-10.68</c:v>
                </c:pt>
                <c:pt idx="38">
                  <c:v>-11.61</c:v>
                </c:pt>
                <c:pt idx="39">
                  <c:v>-16.190000000000001</c:v>
                </c:pt>
                <c:pt idx="40">
                  <c:v>-12.67</c:v>
                </c:pt>
                <c:pt idx="41">
                  <c:v>-11.88</c:v>
                </c:pt>
                <c:pt idx="42">
                  <c:v>-10.89</c:v>
                </c:pt>
                <c:pt idx="43">
                  <c:v>-8.14</c:v>
                </c:pt>
                <c:pt idx="44">
                  <c:v>-6.8970000000000002</c:v>
                </c:pt>
                <c:pt idx="45">
                  <c:v>-3.919</c:v>
                </c:pt>
                <c:pt idx="46">
                  <c:v>-6.4509999999999996</c:v>
                </c:pt>
                <c:pt idx="47">
                  <c:v>-9.23</c:v>
                </c:pt>
                <c:pt idx="48">
                  <c:v>-10.9</c:v>
                </c:pt>
                <c:pt idx="49">
                  <c:v>-7.9379999999999997</c:v>
                </c:pt>
                <c:pt idx="50">
                  <c:v>-9.32</c:v>
                </c:pt>
                <c:pt idx="51">
                  <c:v>-9.57</c:v>
                </c:pt>
                <c:pt idx="52">
                  <c:v>-9.67</c:v>
                </c:pt>
                <c:pt idx="53">
                  <c:v>-8.39</c:v>
                </c:pt>
                <c:pt idx="54">
                  <c:v>-8.18</c:v>
                </c:pt>
                <c:pt idx="55">
                  <c:v>-11.6</c:v>
                </c:pt>
                <c:pt idx="56">
                  <c:v>-11.88</c:v>
                </c:pt>
                <c:pt idx="57">
                  <c:v>-7.7160000000000002</c:v>
                </c:pt>
                <c:pt idx="58">
                  <c:v>-9.1999999999999993</c:v>
                </c:pt>
                <c:pt idx="59">
                  <c:v>-6.8520000000000003</c:v>
                </c:pt>
                <c:pt idx="60">
                  <c:v>-11.51</c:v>
                </c:pt>
                <c:pt idx="61">
                  <c:v>-7.5110000000000001</c:v>
                </c:pt>
                <c:pt idx="62">
                  <c:v>-4.4029999999999996</c:v>
                </c:pt>
                <c:pt idx="63">
                  <c:v>-5.3639999999999999</c:v>
                </c:pt>
                <c:pt idx="64">
                  <c:v>-5.6070000000000002</c:v>
                </c:pt>
                <c:pt idx="65">
                  <c:v>-5.1660000000000004</c:v>
                </c:pt>
                <c:pt idx="66">
                  <c:v>-4.5060000000000002</c:v>
                </c:pt>
                <c:pt idx="67">
                  <c:v>-7.1440000000000001</c:v>
                </c:pt>
                <c:pt idx="68">
                  <c:v>0.215</c:v>
                </c:pt>
                <c:pt idx="69">
                  <c:v>-6.4950000000000001</c:v>
                </c:pt>
                <c:pt idx="70">
                  <c:v>-6.1280000000000001</c:v>
                </c:pt>
                <c:pt idx="71">
                  <c:v>-3.09</c:v>
                </c:pt>
                <c:pt idx="72">
                  <c:v>0.30099999999999999</c:v>
                </c:pt>
                <c:pt idx="73">
                  <c:v>3.641</c:v>
                </c:pt>
                <c:pt idx="74">
                  <c:v>8.07</c:v>
                </c:pt>
                <c:pt idx="75">
                  <c:v>8.0299999999999994</c:v>
                </c:pt>
                <c:pt idx="76">
                  <c:v>12.82</c:v>
                </c:pt>
                <c:pt idx="77">
                  <c:v>14.4</c:v>
                </c:pt>
                <c:pt idx="78">
                  <c:v>15.96</c:v>
                </c:pt>
                <c:pt idx="79">
                  <c:v>16.71</c:v>
                </c:pt>
                <c:pt idx="80">
                  <c:v>14.06</c:v>
                </c:pt>
                <c:pt idx="81">
                  <c:v>3.081</c:v>
                </c:pt>
                <c:pt idx="82">
                  <c:v>5.6459999999999999</c:v>
                </c:pt>
                <c:pt idx="83">
                  <c:v>1.1639999999999999</c:v>
                </c:pt>
                <c:pt idx="84">
                  <c:v>-0.52</c:v>
                </c:pt>
                <c:pt idx="85">
                  <c:v>4.5970000000000004</c:v>
                </c:pt>
                <c:pt idx="86">
                  <c:v>4.3369999999999997</c:v>
                </c:pt>
                <c:pt idx="87">
                  <c:v>8.25</c:v>
                </c:pt>
                <c:pt idx="88">
                  <c:v>8.36</c:v>
                </c:pt>
                <c:pt idx="89">
                  <c:v>7.7690000000000001</c:v>
                </c:pt>
                <c:pt idx="90">
                  <c:v>8.1199999999999992</c:v>
                </c:pt>
                <c:pt idx="91">
                  <c:v>10.4</c:v>
                </c:pt>
                <c:pt idx="92">
                  <c:v>2.427</c:v>
                </c:pt>
                <c:pt idx="93">
                  <c:v>5.0209999999999999</c:v>
                </c:pt>
                <c:pt idx="94">
                  <c:v>0.30099999999999999</c:v>
                </c:pt>
                <c:pt idx="95">
                  <c:v>-1.2809999999999999</c:v>
                </c:pt>
                <c:pt idx="96">
                  <c:v>1.66</c:v>
                </c:pt>
                <c:pt idx="97">
                  <c:v>0.50600000000000001</c:v>
                </c:pt>
                <c:pt idx="98">
                  <c:v>0.441</c:v>
                </c:pt>
                <c:pt idx="99">
                  <c:v>-1.952</c:v>
                </c:pt>
                <c:pt idx="100">
                  <c:v>0.41899999999999998</c:v>
                </c:pt>
                <c:pt idx="101">
                  <c:v>1.2070000000000001</c:v>
                </c:pt>
                <c:pt idx="102">
                  <c:v>-0.85399999999999998</c:v>
                </c:pt>
                <c:pt idx="103">
                  <c:v>0.84</c:v>
                </c:pt>
                <c:pt idx="104">
                  <c:v>1.4450000000000001</c:v>
                </c:pt>
                <c:pt idx="105">
                  <c:v>4.9290000000000003</c:v>
                </c:pt>
                <c:pt idx="106">
                  <c:v>5.8979999999999997</c:v>
                </c:pt>
                <c:pt idx="107">
                  <c:v>4.8250000000000002</c:v>
                </c:pt>
                <c:pt idx="108">
                  <c:v>4.16</c:v>
                </c:pt>
                <c:pt idx="109">
                  <c:v>4.7720000000000002</c:v>
                </c:pt>
                <c:pt idx="110">
                  <c:v>9.74</c:v>
                </c:pt>
                <c:pt idx="111">
                  <c:v>5.1859999999999999</c:v>
                </c:pt>
                <c:pt idx="112">
                  <c:v>5.3559999999999999</c:v>
                </c:pt>
                <c:pt idx="113">
                  <c:v>4.4980000000000002</c:v>
                </c:pt>
                <c:pt idx="114">
                  <c:v>8.51</c:v>
                </c:pt>
                <c:pt idx="115">
                  <c:v>6.5519999999999996</c:v>
                </c:pt>
                <c:pt idx="116">
                  <c:v>-2.8570000000000002</c:v>
                </c:pt>
                <c:pt idx="117">
                  <c:v>3.629</c:v>
                </c:pt>
                <c:pt idx="118">
                  <c:v>2.806</c:v>
                </c:pt>
                <c:pt idx="119">
                  <c:v>4.2699999999999996</c:v>
                </c:pt>
                <c:pt idx="120">
                  <c:v>3.867</c:v>
                </c:pt>
                <c:pt idx="121">
                  <c:v>5.0220000000000002</c:v>
                </c:pt>
                <c:pt idx="122">
                  <c:v>8.7899999999999991</c:v>
                </c:pt>
                <c:pt idx="123">
                  <c:v>9.5399999999999991</c:v>
                </c:pt>
                <c:pt idx="124">
                  <c:v>9.31</c:v>
                </c:pt>
                <c:pt idx="125">
                  <c:v>10.19</c:v>
                </c:pt>
                <c:pt idx="126">
                  <c:v>10.35</c:v>
                </c:pt>
                <c:pt idx="127">
                  <c:v>10.56</c:v>
                </c:pt>
                <c:pt idx="128">
                  <c:v>13.01</c:v>
                </c:pt>
                <c:pt idx="129">
                  <c:v>16.079999999999998</c:v>
                </c:pt>
                <c:pt idx="130">
                  <c:v>16.989999999999998</c:v>
                </c:pt>
                <c:pt idx="131">
                  <c:v>15.46</c:v>
                </c:pt>
                <c:pt idx="132">
                  <c:v>13.33</c:v>
                </c:pt>
                <c:pt idx="133">
                  <c:v>7.8730000000000002</c:v>
                </c:pt>
                <c:pt idx="134">
                  <c:v>10.36</c:v>
                </c:pt>
                <c:pt idx="135">
                  <c:v>7.6740000000000004</c:v>
                </c:pt>
                <c:pt idx="136">
                  <c:v>3.84</c:v>
                </c:pt>
                <c:pt idx="137">
                  <c:v>5.6239999999999997</c:v>
                </c:pt>
                <c:pt idx="138">
                  <c:v>7.3209999999999997</c:v>
                </c:pt>
                <c:pt idx="139">
                  <c:v>7.8280000000000003</c:v>
                </c:pt>
                <c:pt idx="140">
                  <c:v>6.2770000000000001</c:v>
                </c:pt>
                <c:pt idx="141">
                  <c:v>12.3</c:v>
                </c:pt>
                <c:pt idx="142">
                  <c:v>12.83</c:v>
                </c:pt>
                <c:pt idx="143">
                  <c:v>11.84</c:v>
                </c:pt>
                <c:pt idx="144">
                  <c:v>6.242</c:v>
                </c:pt>
                <c:pt idx="145">
                  <c:v>11.15</c:v>
                </c:pt>
                <c:pt idx="146">
                  <c:v>16.64</c:v>
                </c:pt>
                <c:pt idx="147">
                  <c:v>19.329999999999998</c:v>
                </c:pt>
                <c:pt idx="148">
                  <c:v>20.23</c:v>
                </c:pt>
                <c:pt idx="149">
                  <c:v>17.899999999999999</c:v>
                </c:pt>
                <c:pt idx="150">
                  <c:v>20.59</c:v>
                </c:pt>
                <c:pt idx="151">
                  <c:v>20.149999999999999</c:v>
                </c:pt>
                <c:pt idx="152">
                  <c:v>21.18</c:v>
                </c:pt>
                <c:pt idx="153">
                  <c:v>13.08</c:v>
                </c:pt>
                <c:pt idx="154">
                  <c:v>13.32</c:v>
                </c:pt>
                <c:pt idx="155">
                  <c:v>13.06</c:v>
                </c:pt>
                <c:pt idx="156">
                  <c:v>6.1219999999999999</c:v>
                </c:pt>
                <c:pt idx="157">
                  <c:v>4.6740000000000004</c:v>
                </c:pt>
                <c:pt idx="158">
                  <c:v>5.9749999999999996</c:v>
                </c:pt>
                <c:pt idx="159">
                  <c:v>13.01</c:v>
                </c:pt>
                <c:pt idx="160">
                  <c:v>10.29</c:v>
                </c:pt>
                <c:pt idx="161">
                  <c:v>17.170000000000002</c:v>
                </c:pt>
                <c:pt idx="162">
                  <c:v>22.65</c:v>
                </c:pt>
                <c:pt idx="163">
                  <c:v>21.18</c:v>
                </c:pt>
                <c:pt idx="164">
                  <c:v>18.760000000000002</c:v>
                </c:pt>
                <c:pt idx="165">
                  <c:v>19.920000000000002</c:v>
                </c:pt>
                <c:pt idx="166">
                  <c:v>19.12</c:v>
                </c:pt>
                <c:pt idx="167">
                  <c:v>20.89</c:v>
                </c:pt>
                <c:pt idx="168">
                  <c:v>15.97</c:v>
                </c:pt>
                <c:pt idx="169">
                  <c:v>4.7489999999999997</c:v>
                </c:pt>
                <c:pt idx="170">
                  <c:v>0.26800000000000002</c:v>
                </c:pt>
                <c:pt idx="171">
                  <c:v>11.73</c:v>
                </c:pt>
                <c:pt idx="172">
                  <c:v>13.48</c:v>
                </c:pt>
                <c:pt idx="173">
                  <c:v>9.42</c:v>
                </c:pt>
                <c:pt idx="174">
                  <c:v>8.93</c:v>
                </c:pt>
                <c:pt idx="175">
                  <c:v>13.25</c:v>
                </c:pt>
                <c:pt idx="176">
                  <c:v>15.5</c:v>
                </c:pt>
                <c:pt idx="177">
                  <c:v>11.99</c:v>
                </c:pt>
                <c:pt idx="178">
                  <c:v>10.76</c:v>
                </c:pt>
                <c:pt idx="179">
                  <c:v>10.17</c:v>
                </c:pt>
                <c:pt idx="180">
                  <c:v>15.88</c:v>
                </c:pt>
                <c:pt idx="181">
                  <c:v>19.72</c:v>
                </c:pt>
                <c:pt idx="182">
                  <c:v>12.15</c:v>
                </c:pt>
                <c:pt idx="183">
                  <c:v>16.989999999999998</c:v>
                </c:pt>
                <c:pt idx="184">
                  <c:v>11.83</c:v>
                </c:pt>
                <c:pt idx="185">
                  <c:v>12.81</c:v>
                </c:pt>
                <c:pt idx="186">
                  <c:v>11.4</c:v>
                </c:pt>
                <c:pt idx="187">
                  <c:v>11.84</c:v>
                </c:pt>
                <c:pt idx="188">
                  <c:v>12.8</c:v>
                </c:pt>
                <c:pt idx="189">
                  <c:v>16</c:v>
                </c:pt>
                <c:pt idx="190">
                  <c:v>16.22</c:v>
                </c:pt>
                <c:pt idx="191">
                  <c:v>14.02</c:v>
                </c:pt>
                <c:pt idx="192">
                  <c:v>16.5</c:v>
                </c:pt>
                <c:pt idx="193">
                  <c:v>17.559999999999999</c:v>
                </c:pt>
                <c:pt idx="194">
                  <c:v>14</c:v>
                </c:pt>
                <c:pt idx="195">
                  <c:v>15.86</c:v>
                </c:pt>
                <c:pt idx="196">
                  <c:v>13.04</c:v>
                </c:pt>
                <c:pt idx="197">
                  <c:v>10.220000000000001</c:v>
                </c:pt>
                <c:pt idx="198">
                  <c:v>8.6300000000000008</c:v>
                </c:pt>
                <c:pt idx="199">
                  <c:v>9.83</c:v>
                </c:pt>
                <c:pt idx="200">
                  <c:v>11.69</c:v>
                </c:pt>
                <c:pt idx="201">
                  <c:v>20.64</c:v>
                </c:pt>
                <c:pt idx="202">
                  <c:v>23.99</c:v>
                </c:pt>
                <c:pt idx="203">
                  <c:v>21.2</c:v>
                </c:pt>
                <c:pt idx="204">
                  <c:v>10.26</c:v>
                </c:pt>
                <c:pt idx="205">
                  <c:v>17.45</c:v>
                </c:pt>
                <c:pt idx="206">
                  <c:v>23.24</c:v>
                </c:pt>
                <c:pt idx="207">
                  <c:v>16.149999999999999</c:v>
                </c:pt>
                <c:pt idx="208">
                  <c:v>16.84</c:v>
                </c:pt>
                <c:pt idx="209">
                  <c:v>21.47</c:v>
                </c:pt>
                <c:pt idx="210">
                  <c:v>18.670000000000002</c:v>
                </c:pt>
                <c:pt idx="211">
                  <c:v>20.53</c:v>
                </c:pt>
                <c:pt idx="212">
                  <c:v>21.71</c:v>
                </c:pt>
                <c:pt idx="213">
                  <c:v>19.02</c:v>
                </c:pt>
                <c:pt idx="214">
                  <c:v>16.760000000000002</c:v>
                </c:pt>
                <c:pt idx="215">
                  <c:v>18.940000000000001</c:v>
                </c:pt>
                <c:pt idx="216">
                  <c:v>22.88</c:v>
                </c:pt>
                <c:pt idx="217">
                  <c:v>25.37</c:v>
                </c:pt>
                <c:pt idx="218">
                  <c:v>25.06</c:v>
                </c:pt>
                <c:pt idx="219">
                  <c:v>23.91</c:v>
                </c:pt>
                <c:pt idx="220">
                  <c:v>21.77</c:v>
                </c:pt>
                <c:pt idx="221">
                  <c:v>15.49</c:v>
                </c:pt>
                <c:pt idx="222">
                  <c:v>8.7100000000000009</c:v>
                </c:pt>
                <c:pt idx="223">
                  <c:v>15.31</c:v>
                </c:pt>
                <c:pt idx="224">
                  <c:v>15.31</c:v>
                </c:pt>
                <c:pt idx="225">
                  <c:v>16.920000000000002</c:v>
                </c:pt>
                <c:pt idx="226">
                  <c:v>18.63</c:v>
                </c:pt>
                <c:pt idx="227">
                  <c:v>11.96</c:v>
                </c:pt>
                <c:pt idx="228">
                  <c:v>13.98</c:v>
                </c:pt>
                <c:pt idx="229">
                  <c:v>18.86</c:v>
                </c:pt>
                <c:pt idx="230">
                  <c:v>17.690000000000001</c:v>
                </c:pt>
                <c:pt idx="231">
                  <c:v>24.47</c:v>
                </c:pt>
                <c:pt idx="232">
                  <c:v>16.98</c:v>
                </c:pt>
                <c:pt idx="233">
                  <c:v>15.14</c:v>
                </c:pt>
                <c:pt idx="234">
                  <c:v>11.55</c:v>
                </c:pt>
                <c:pt idx="235">
                  <c:v>14</c:v>
                </c:pt>
                <c:pt idx="236">
                  <c:v>9.69</c:v>
                </c:pt>
                <c:pt idx="237">
                  <c:v>13.09</c:v>
                </c:pt>
                <c:pt idx="238">
                  <c:v>21.87</c:v>
                </c:pt>
                <c:pt idx="239">
                  <c:v>21.08</c:v>
                </c:pt>
                <c:pt idx="240">
                  <c:v>22.36</c:v>
                </c:pt>
                <c:pt idx="241">
                  <c:v>18.78</c:v>
                </c:pt>
                <c:pt idx="242">
                  <c:v>18.93</c:v>
                </c:pt>
                <c:pt idx="243">
                  <c:v>18.7</c:v>
                </c:pt>
                <c:pt idx="244">
                  <c:v>17.670000000000002</c:v>
                </c:pt>
                <c:pt idx="245">
                  <c:v>23.39</c:v>
                </c:pt>
                <c:pt idx="246">
                  <c:v>17.05</c:v>
                </c:pt>
                <c:pt idx="247">
                  <c:v>22.81</c:v>
                </c:pt>
                <c:pt idx="248">
                  <c:v>21.35</c:v>
                </c:pt>
                <c:pt idx="249">
                  <c:v>18.96</c:v>
                </c:pt>
                <c:pt idx="250">
                  <c:v>10.52</c:v>
                </c:pt>
                <c:pt idx="251">
                  <c:v>9.11</c:v>
                </c:pt>
                <c:pt idx="252">
                  <c:v>9.44</c:v>
                </c:pt>
                <c:pt idx="253">
                  <c:v>10.15</c:v>
                </c:pt>
                <c:pt idx="254">
                  <c:v>13.19</c:v>
                </c:pt>
                <c:pt idx="255">
                  <c:v>9.36</c:v>
                </c:pt>
                <c:pt idx="256">
                  <c:v>8.36</c:v>
                </c:pt>
                <c:pt idx="257">
                  <c:v>5.931</c:v>
                </c:pt>
                <c:pt idx="258">
                  <c:v>5.8710000000000004</c:v>
                </c:pt>
                <c:pt idx="259">
                  <c:v>4.4000000000000004</c:v>
                </c:pt>
                <c:pt idx="260">
                  <c:v>5.7220000000000004</c:v>
                </c:pt>
                <c:pt idx="261">
                  <c:v>6.9550000000000001</c:v>
                </c:pt>
                <c:pt idx="262">
                  <c:v>6.2169999999999996</c:v>
                </c:pt>
                <c:pt idx="263">
                  <c:v>14</c:v>
                </c:pt>
                <c:pt idx="264">
                  <c:v>7.9169999999999998</c:v>
                </c:pt>
                <c:pt idx="265">
                  <c:v>4.3780000000000001</c:v>
                </c:pt>
                <c:pt idx="266">
                  <c:v>7.4939999999999998</c:v>
                </c:pt>
                <c:pt idx="267">
                  <c:v>6.3049999999999997</c:v>
                </c:pt>
                <c:pt idx="268">
                  <c:v>6.1180000000000003</c:v>
                </c:pt>
                <c:pt idx="269">
                  <c:v>-0.185</c:v>
                </c:pt>
                <c:pt idx="270">
                  <c:v>-1.708</c:v>
                </c:pt>
                <c:pt idx="271">
                  <c:v>-2.5070000000000001</c:v>
                </c:pt>
                <c:pt idx="272">
                  <c:v>-0.90800000000000003</c:v>
                </c:pt>
                <c:pt idx="273">
                  <c:v>3.8039999999999998</c:v>
                </c:pt>
                <c:pt idx="274">
                  <c:v>1.466</c:v>
                </c:pt>
                <c:pt idx="275">
                  <c:v>1.7470000000000001</c:v>
                </c:pt>
                <c:pt idx="276">
                  <c:v>2.266</c:v>
                </c:pt>
                <c:pt idx="277">
                  <c:v>2.3380000000000001</c:v>
                </c:pt>
                <c:pt idx="278">
                  <c:v>6.1959999999999997</c:v>
                </c:pt>
                <c:pt idx="279">
                  <c:v>4.9740000000000002</c:v>
                </c:pt>
                <c:pt idx="280">
                  <c:v>-0.53</c:v>
                </c:pt>
                <c:pt idx="281">
                  <c:v>-5.101</c:v>
                </c:pt>
                <c:pt idx="282">
                  <c:v>3.2559999999999998</c:v>
                </c:pt>
                <c:pt idx="283">
                  <c:v>5.2370000000000001</c:v>
                </c:pt>
                <c:pt idx="284">
                  <c:v>4.0469999999999997</c:v>
                </c:pt>
                <c:pt idx="285">
                  <c:v>0.36599999999999999</c:v>
                </c:pt>
                <c:pt idx="286">
                  <c:v>4.3259999999999996</c:v>
                </c:pt>
                <c:pt idx="287">
                  <c:v>0.30099999999999999</c:v>
                </c:pt>
                <c:pt idx="288">
                  <c:v>3.11</c:v>
                </c:pt>
                <c:pt idx="289">
                  <c:v>2.0390000000000001</c:v>
                </c:pt>
                <c:pt idx="290">
                  <c:v>-0.217</c:v>
                </c:pt>
                <c:pt idx="291">
                  <c:v>0.36599999999999999</c:v>
                </c:pt>
                <c:pt idx="292">
                  <c:v>-1.5509999999999999</c:v>
                </c:pt>
                <c:pt idx="293">
                  <c:v>-2.3E-2</c:v>
                </c:pt>
                <c:pt idx="294">
                  <c:v>1.962</c:v>
                </c:pt>
                <c:pt idx="295">
                  <c:v>0.78100000000000003</c:v>
                </c:pt>
                <c:pt idx="296">
                  <c:v>6.835</c:v>
                </c:pt>
                <c:pt idx="297">
                  <c:v>4.6340000000000003</c:v>
                </c:pt>
                <c:pt idx="298">
                  <c:v>-3.0089999999999999</c:v>
                </c:pt>
                <c:pt idx="299">
                  <c:v>-3.036</c:v>
                </c:pt>
                <c:pt idx="300">
                  <c:v>-4.9450000000000003</c:v>
                </c:pt>
                <c:pt idx="301">
                  <c:v>-4.7320000000000002</c:v>
                </c:pt>
                <c:pt idx="302">
                  <c:v>-0.51900000000000002</c:v>
                </c:pt>
                <c:pt idx="303">
                  <c:v>-1.0269999999999999</c:v>
                </c:pt>
                <c:pt idx="304">
                  <c:v>3.1920000000000002</c:v>
                </c:pt>
                <c:pt idx="305">
                  <c:v>4.5090000000000003</c:v>
                </c:pt>
                <c:pt idx="306">
                  <c:v>2.1349999999999998</c:v>
                </c:pt>
                <c:pt idx="307">
                  <c:v>6.0679999999999996</c:v>
                </c:pt>
                <c:pt idx="308">
                  <c:v>4.1820000000000004</c:v>
                </c:pt>
                <c:pt idx="309">
                  <c:v>2.6549999999999998</c:v>
                </c:pt>
                <c:pt idx="310">
                  <c:v>3.617</c:v>
                </c:pt>
                <c:pt idx="311">
                  <c:v>6.5919999999999996</c:v>
                </c:pt>
                <c:pt idx="312">
                  <c:v>2.891</c:v>
                </c:pt>
                <c:pt idx="313">
                  <c:v>0.25800000000000001</c:v>
                </c:pt>
                <c:pt idx="314">
                  <c:v>-0.35699999999999998</c:v>
                </c:pt>
                <c:pt idx="315">
                  <c:v>-0.65400000000000003</c:v>
                </c:pt>
                <c:pt idx="316">
                  <c:v>1.044</c:v>
                </c:pt>
                <c:pt idx="317">
                  <c:v>-0.29799999999999999</c:v>
                </c:pt>
                <c:pt idx="318">
                  <c:v>-0.627</c:v>
                </c:pt>
                <c:pt idx="319">
                  <c:v>-1.4530000000000001</c:v>
                </c:pt>
                <c:pt idx="320">
                  <c:v>2.5779999999999998</c:v>
                </c:pt>
                <c:pt idx="321">
                  <c:v>1.304</c:v>
                </c:pt>
                <c:pt idx="322">
                  <c:v>-1.903</c:v>
                </c:pt>
                <c:pt idx="323">
                  <c:v>-3.9359999999999999</c:v>
                </c:pt>
                <c:pt idx="324">
                  <c:v>2.4319999999999999</c:v>
                </c:pt>
                <c:pt idx="325">
                  <c:v>2.8490000000000002</c:v>
                </c:pt>
                <c:pt idx="326">
                  <c:v>4.2000000000000003E-2</c:v>
                </c:pt>
                <c:pt idx="327">
                  <c:v>-1.47</c:v>
                </c:pt>
                <c:pt idx="328">
                  <c:v>-6.54</c:v>
                </c:pt>
                <c:pt idx="329">
                  <c:v>-7.41</c:v>
                </c:pt>
                <c:pt idx="330">
                  <c:v>-10.4</c:v>
                </c:pt>
                <c:pt idx="331">
                  <c:v>-10.06</c:v>
                </c:pt>
                <c:pt idx="332">
                  <c:v>-7.8550000000000004</c:v>
                </c:pt>
                <c:pt idx="333">
                  <c:v>-5.5629999999999997</c:v>
                </c:pt>
                <c:pt idx="334">
                  <c:v>-6.5010000000000003</c:v>
                </c:pt>
                <c:pt idx="335">
                  <c:v>-2.38</c:v>
                </c:pt>
                <c:pt idx="336">
                  <c:v>0.68899999999999995</c:v>
                </c:pt>
                <c:pt idx="337">
                  <c:v>-0.70299999999999996</c:v>
                </c:pt>
                <c:pt idx="338">
                  <c:v>-2.665</c:v>
                </c:pt>
                <c:pt idx="339">
                  <c:v>-1.1020000000000001</c:v>
                </c:pt>
                <c:pt idx="340">
                  <c:v>-1.87</c:v>
                </c:pt>
                <c:pt idx="341">
                  <c:v>-4.1660000000000004</c:v>
                </c:pt>
                <c:pt idx="342">
                  <c:v>-2.1619999999999999</c:v>
                </c:pt>
                <c:pt idx="343">
                  <c:v>-0.746</c:v>
                </c:pt>
                <c:pt idx="344">
                  <c:v>-3.6680000000000001</c:v>
                </c:pt>
                <c:pt idx="345">
                  <c:v>-3.8530000000000002</c:v>
                </c:pt>
                <c:pt idx="346">
                  <c:v>-4.617</c:v>
                </c:pt>
                <c:pt idx="347">
                  <c:v>-6.0449999999999999</c:v>
                </c:pt>
                <c:pt idx="348">
                  <c:v>-8.34</c:v>
                </c:pt>
                <c:pt idx="349">
                  <c:v>-4.415</c:v>
                </c:pt>
                <c:pt idx="350">
                  <c:v>-4.1970000000000001</c:v>
                </c:pt>
                <c:pt idx="351">
                  <c:v>-6.78</c:v>
                </c:pt>
                <c:pt idx="352">
                  <c:v>-4.9889999999999999</c:v>
                </c:pt>
                <c:pt idx="353">
                  <c:v>-0.74099999999999999</c:v>
                </c:pt>
                <c:pt idx="354">
                  <c:v>-0.498</c:v>
                </c:pt>
                <c:pt idx="355">
                  <c:v>-4.9240000000000004</c:v>
                </c:pt>
                <c:pt idx="356">
                  <c:v>-4.9009999999999998</c:v>
                </c:pt>
                <c:pt idx="357">
                  <c:v>-6.173</c:v>
                </c:pt>
                <c:pt idx="358">
                  <c:v>-5.5629999999999997</c:v>
                </c:pt>
                <c:pt idx="359">
                  <c:v>-7.1689999999999996</c:v>
                </c:pt>
                <c:pt idx="360">
                  <c:v>-6.8639999999999999</c:v>
                </c:pt>
                <c:pt idx="361">
                  <c:v>-2.9049999999999998</c:v>
                </c:pt>
                <c:pt idx="362">
                  <c:v>-2.206</c:v>
                </c:pt>
                <c:pt idx="363">
                  <c:v>-1.99</c:v>
                </c:pt>
                <c:pt idx="364">
                  <c:v>-1.891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Data!$AG$6:$AG$370</c:f>
              <c:numCache>
                <c:formatCode>General</c:formatCode>
                <c:ptCount val="365"/>
                <c:pt idx="0">
                  <c:v>-8.83</c:v>
                </c:pt>
                <c:pt idx="1">
                  <c:v>-9.5</c:v>
                </c:pt>
                <c:pt idx="2">
                  <c:v>-6.7069999999999999</c:v>
                </c:pt>
                <c:pt idx="3">
                  <c:v>-6.7859999999999996</c:v>
                </c:pt>
                <c:pt idx="4">
                  <c:v>-6.0170000000000003</c:v>
                </c:pt>
                <c:pt idx="5">
                  <c:v>-10.65</c:v>
                </c:pt>
                <c:pt idx="6">
                  <c:v>-14.72</c:v>
                </c:pt>
                <c:pt idx="7">
                  <c:v>-15.55</c:v>
                </c:pt>
                <c:pt idx="8">
                  <c:v>-8.32</c:v>
                </c:pt>
                <c:pt idx="9">
                  <c:v>-4.7619999999999996</c:v>
                </c:pt>
                <c:pt idx="10">
                  <c:v>-5.3940000000000001</c:v>
                </c:pt>
                <c:pt idx="11">
                  <c:v>-5.4050000000000002</c:v>
                </c:pt>
                <c:pt idx="12">
                  <c:v>-5.585</c:v>
                </c:pt>
                <c:pt idx="13">
                  <c:v>-4.5490000000000004</c:v>
                </c:pt>
                <c:pt idx="14">
                  <c:v>-7.5259999999999998</c:v>
                </c:pt>
                <c:pt idx="15">
                  <c:v>-7.718</c:v>
                </c:pt>
                <c:pt idx="16">
                  <c:v>-5.5629999999999997</c:v>
                </c:pt>
                <c:pt idx="17">
                  <c:v>-6.0949999999999998</c:v>
                </c:pt>
                <c:pt idx="18">
                  <c:v>-7.65</c:v>
                </c:pt>
                <c:pt idx="19">
                  <c:v>-10.17</c:v>
                </c:pt>
                <c:pt idx="20">
                  <c:v>-10.85</c:v>
                </c:pt>
                <c:pt idx="21">
                  <c:v>-9.83</c:v>
                </c:pt>
                <c:pt idx="22">
                  <c:v>-8.7200000000000006</c:v>
                </c:pt>
                <c:pt idx="23">
                  <c:v>-7.2560000000000002</c:v>
                </c:pt>
                <c:pt idx="24">
                  <c:v>-5.891</c:v>
                </c:pt>
                <c:pt idx="25">
                  <c:v>-3.2269999999999999</c:v>
                </c:pt>
                <c:pt idx="26">
                  <c:v>-9.5399999999999991</c:v>
                </c:pt>
                <c:pt idx="27">
                  <c:v>-10.87</c:v>
                </c:pt>
                <c:pt idx="28">
                  <c:v>-9.27</c:v>
                </c:pt>
                <c:pt idx="29">
                  <c:v>-5.9619999999999997</c:v>
                </c:pt>
                <c:pt idx="30">
                  <c:v>-1.9079999999999999</c:v>
                </c:pt>
                <c:pt idx="31">
                  <c:v>-4.5140000000000002</c:v>
                </c:pt>
                <c:pt idx="32">
                  <c:v>-7.944</c:v>
                </c:pt>
                <c:pt idx="33">
                  <c:v>-21.54</c:v>
                </c:pt>
                <c:pt idx="34">
                  <c:v>-26.1</c:v>
                </c:pt>
                <c:pt idx="35">
                  <c:v>-22.98</c:v>
                </c:pt>
                <c:pt idx="36">
                  <c:v>-23.7</c:v>
                </c:pt>
                <c:pt idx="37">
                  <c:v>-16.649999999999999</c:v>
                </c:pt>
                <c:pt idx="38">
                  <c:v>-19.21</c:v>
                </c:pt>
                <c:pt idx="39">
                  <c:v>-21.73</c:v>
                </c:pt>
                <c:pt idx="40">
                  <c:v>-21.01</c:v>
                </c:pt>
                <c:pt idx="41">
                  <c:v>-21.59</c:v>
                </c:pt>
                <c:pt idx="42">
                  <c:v>-15.4</c:v>
                </c:pt>
                <c:pt idx="43">
                  <c:v>-14.29</c:v>
                </c:pt>
                <c:pt idx="44">
                  <c:v>-13.15</c:v>
                </c:pt>
                <c:pt idx="45">
                  <c:v>-8.65</c:v>
                </c:pt>
                <c:pt idx="46">
                  <c:v>-9.23</c:v>
                </c:pt>
                <c:pt idx="47">
                  <c:v>-16.48</c:v>
                </c:pt>
                <c:pt idx="48">
                  <c:v>-18.11</c:v>
                </c:pt>
                <c:pt idx="49">
                  <c:v>-11.85</c:v>
                </c:pt>
                <c:pt idx="50">
                  <c:v>-11.68</c:v>
                </c:pt>
                <c:pt idx="51">
                  <c:v>-13.74</c:v>
                </c:pt>
                <c:pt idx="52">
                  <c:v>-12.76</c:v>
                </c:pt>
                <c:pt idx="53">
                  <c:v>-11.73</c:v>
                </c:pt>
                <c:pt idx="54">
                  <c:v>-13.84</c:v>
                </c:pt>
                <c:pt idx="55">
                  <c:v>-18.61</c:v>
                </c:pt>
                <c:pt idx="56">
                  <c:v>-20.81</c:v>
                </c:pt>
                <c:pt idx="57">
                  <c:v>-17</c:v>
                </c:pt>
                <c:pt idx="58">
                  <c:v>-11.35</c:v>
                </c:pt>
                <c:pt idx="59">
                  <c:v>-12.68</c:v>
                </c:pt>
                <c:pt idx="60">
                  <c:v>-18.22</c:v>
                </c:pt>
                <c:pt idx="61">
                  <c:v>-19.89</c:v>
                </c:pt>
                <c:pt idx="62">
                  <c:v>-20.04</c:v>
                </c:pt>
                <c:pt idx="63">
                  <c:v>-15.74</c:v>
                </c:pt>
                <c:pt idx="64">
                  <c:v>-8.73</c:v>
                </c:pt>
                <c:pt idx="65">
                  <c:v>-12.28</c:v>
                </c:pt>
                <c:pt idx="66">
                  <c:v>-14.51</c:v>
                </c:pt>
                <c:pt idx="67">
                  <c:v>-13.1</c:v>
                </c:pt>
                <c:pt idx="68">
                  <c:v>-14.01</c:v>
                </c:pt>
                <c:pt idx="69">
                  <c:v>-11.04</c:v>
                </c:pt>
                <c:pt idx="70">
                  <c:v>-10.73</c:v>
                </c:pt>
                <c:pt idx="71">
                  <c:v>-11.63</c:v>
                </c:pt>
                <c:pt idx="72">
                  <c:v>-9.8699999999999992</c:v>
                </c:pt>
                <c:pt idx="73">
                  <c:v>-6.3620000000000001</c:v>
                </c:pt>
                <c:pt idx="74">
                  <c:v>-6.1849999999999996</c:v>
                </c:pt>
                <c:pt idx="75">
                  <c:v>-3.0910000000000002</c:v>
                </c:pt>
                <c:pt idx="76">
                  <c:v>-2.282</c:v>
                </c:pt>
                <c:pt idx="77">
                  <c:v>0.95399999999999996</c:v>
                </c:pt>
                <c:pt idx="78">
                  <c:v>2.3610000000000002</c:v>
                </c:pt>
                <c:pt idx="79">
                  <c:v>1.7729999999999999</c:v>
                </c:pt>
                <c:pt idx="80">
                  <c:v>0.20300000000000001</c:v>
                </c:pt>
                <c:pt idx="81">
                  <c:v>-0.75700000000000001</c:v>
                </c:pt>
                <c:pt idx="82">
                  <c:v>-0.99399999999999999</c:v>
                </c:pt>
                <c:pt idx="83">
                  <c:v>-2.0979999999999999</c:v>
                </c:pt>
                <c:pt idx="84">
                  <c:v>-6.0970000000000004</c:v>
                </c:pt>
                <c:pt idx="85">
                  <c:v>-7.65</c:v>
                </c:pt>
                <c:pt idx="86">
                  <c:v>-5.3789999999999996</c:v>
                </c:pt>
                <c:pt idx="87">
                  <c:v>-3.3029999999999999</c:v>
                </c:pt>
                <c:pt idx="88">
                  <c:v>-2.4340000000000002</c:v>
                </c:pt>
                <c:pt idx="89">
                  <c:v>-2.4340000000000002</c:v>
                </c:pt>
                <c:pt idx="90">
                  <c:v>-3.8380000000000001</c:v>
                </c:pt>
                <c:pt idx="91">
                  <c:v>-3.613</c:v>
                </c:pt>
                <c:pt idx="92">
                  <c:v>-1.8049999999999999</c:v>
                </c:pt>
                <c:pt idx="93">
                  <c:v>-2.456</c:v>
                </c:pt>
                <c:pt idx="94">
                  <c:v>-3.794</c:v>
                </c:pt>
                <c:pt idx="95">
                  <c:v>-5.5890000000000004</c:v>
                </c:pt>
                <c:pt idx="96">
                  <c:v>-5.8780000000000001</c:v>
                </c:pt>
                <c:pt idx="97">
                  <c:v>-6.2839999999999998</c:v>
                </c:pt>
                <c:pt idx="98">
                  <c:v>-2.9119999999999999</c:v>
                </c:pt>
                <c:pt idx="99">
                  <c:v>-5.2480000000000002</c:v>
                </c:pt>
                <c:pt idx="100">
                  <c:v>-6.1280000000000001</c:v>
                </c:pt>
                <c:pt idx="101">
                  <c:v>-6.3620000000000001</c:v>
                </c:pt>
                <c:pt idx="102">
                  <c:v>-6.4880000000000004</c:v>
                </c:pt>
                <c:pt idx="103">
                  <c:v>-6.875</c:v>
                </c:pt>
                <c:pt idx="104">
                  <c:v>-9.1199999999999992</c:v>
                </c:pt>
                <c:pt idx="105">
                  <c:v>-6.1840000000000002</c:v>
                </c:pt>
                <c:pt idx="106">
                  <c:v>-2.629</c:v>
                </c:pt>
                <c:pt idx="107">
                  <c:v>-0.54100000000000004</c:v>
                </c:pt>
                <c:pt idx="108">
                  <c:v>-1.0920000000000001</c:v>
                </c:pt>
                <c:pt idx="109">
                  <c:v>-3.2050000000000001</c:v>
                </c:pt>
                <c:pt idx="110">
                  <c:v>-2.9329999999999998</c:v>
                </c:pt>
                <c:pt idx="111">
                  <c:v>-0.23899999999999999</c:v>
                </c:pt>
                <c:pt idx="112">
                  <c:v>-3.3140000000000001</c:v>
                </c:pt>
                <c:pt idx="113">
                  <c:v>-3.1840000000000002</c:v>
                </c:pt>
                <c:pt idx="114">
                  <c:v>-4.3040000000000003</c:v>
                </c:pt>
                <c:pt idx="115">
                  <c:v>-2.8519999999999999</c:v>
                </c:pt>
                <c:pt idx="116">
                  <c:v>-7.5490000000000004</c:v>
                </c:pt>
                <c:pt idx="117">
                  <c:v>-7.3239999999999998</c:v>
                </c:pt>
                <c:pt idx="118">
                  <c:v>-7.6269999999999998</c:v>
                </c:pt>
                <c:pt idx="119">
                  <c:v>-6.306</c:v>
                </c:pt>
                <c:pt idx="120">
                  <c:v>-3.5489999999999999</c:v>
                </c:pt>
                <c:pt idx="121">
                  <c:v>-3.6190000000000002</c:v>
                </c:pt>
                <c:pt idx="122">
                  <c:v>-2.4449999999999998</c:v>
                </c:pt>
                <c:pt idx="123">
                  <c:v>0.65</c:v>
                </c:pt>
                <c:pt idx="124">
                  <c:v>-0.876</c:v>
                </c:pt>
                <c:pt idx="125">
                  <c:v>0.61299999999999999</c:v>
                </c:pt>
                <c:pt idx="126">
                  <c:v>0.72899999999999998</c:v>
                </c:pt>
                <c:pt idx="127">
                  <c:v>2.286</c:v>
                </c:pt>
                <c:pt idx="128">
                  <c:v>1.7410000000000001</c:v>
                </c:pt>
                <c:pt idx="129">
                  <c:v>4.4649999999999999</c:v>
                </c:pt>
                <c:pt idx="130">
                  <c:v>7.1</c:v>
                </c:pt>
                <c:pt idx="131">
                  <c:v>5.1420000000000003</c:v>
                </c:pt>
                <c:pt idx="132">
                  <c:v>3.01</c:v>
                </c:pt>
                <c:pt idx="133">
                  <c:v>0.25800000000000001</c:v>
                </c:pt>
                <c:pt idx="134">
                  <c:v>-0.81100000000000005</c:v>
                </c:pt>
                <c:pt idx="135">
                  <c:v>2.794</c:v>
                </c:pt>
                <c:pt idx="136">
                  <c:v>-0.83199999999999996</c:v>
                </c:pt>
                <c:pt idx="137">
                  <c:v>-0.50800000000000001</c:v>
                </c:pt>
                <c:pt idx="138">
                  <c:v>0.25800000000000001</c:v>
                </c:pt>
                <c:pt idx="139">
                  <c:v>-0.627</c:v>
                </c:pt>
                <c:pt idx="140">
                  <c:v>0.107</c:v>
                </c:pt>
                <c:pt idx="141">
                  <c:v>1.7549999999999999</c:v>
                </c:pt>
                <c:pt idx="142">
                  <c:v>3.4860000000000002</c:v>
                </c:pt>
                <c:pt idx="143">
                  <c:v>3.27</c:v>
                </c:pt>
                <c:pt idx="144">
                  <c:v>2.9889999999999999</c:v>
                </c:pt>
                <c:pt idx="145">
                  <c:v>2.3940000000000001</c:v>
                </c:pt>
                <c:pt idx="146">
                  <c:v>3.3140000000000001</c:v>
                </c:pt>
                <c:pt idx="147">
                  <c:v>7.1719999999999997</c:v>
                </c:pt>
                <c:pt idx="148">
                  <c:v>9.39</c:v>
                </c:pt>
                <c:pt idx="149">
                  <c:v>9.4600000000000009</c:v>
                </c:pt>
                <c:pt idx="150">
                  <c:v>8.34</c:v>
                </c:pt>
                <c:pt idx="151">
                  <c:v>7.05</c:v>
                </c:pt>
                <c:pt idx="152">
                  <c:v>6.9059999999999997</c:v>
                </c:pt>
                <c:pt idx="153">
                  <c:v>3.78</c:v>
                </c:pt>
                <c:pt idx="154">
                  <c:v>1.4950000000000001</c:v>
                </c:pt>
                <c:pt idx="155">
                  <c:v>1.5349999999999999</c:v>
                </c:pt>
                <c:pt idx="156">
                  <c:v>-1.7509999999999999</c:v>
                </c:pt>
                <c:pt idx="157">
                  <c:v>-2.2389999999999999</c:v>
                </c:pt>
                <c:pt idx="158">
                  <c:v>-0.96199999999999997</c:v>
                </c:pt>
                <c:pt idx="159">
                  <c:v>-0.59499999999999997</c:v>
                </c:pt>
                <c:pt idx="160">
                  <c:v>2.5350000000000001</c:v>
                </c:pt>
                <c:pt idx="161">
                  <c:v>5.5579999999999998</c:v>
                </c:pt>
                <c:pt idx="162">
                  <c:v>8.25</c:v>
                </c:pt>
                <c:pt idx="163">
                  <c:v>8.58</c:v>
                </c:pt>
                <c:pt idx="164">
                  <c:v>6.6509999999999998</c:v>
                </c:pt>
                <c:pt idx="165">
                  <c:v>8.9</c:v>
                </c:pt>
                <c:pt idx="166">
                  <c:v>10.039999999999999</c:v>
                </c:pt>
                <c:pt idx="167">
                  <c:v>7.7050000000000001</c:v>
                </c:pt>
                <c:pt idx="168">
                  <c:v>3.5960000000000001</c:v>
                </c:pt>
                <c:pt idx="169">
                  <c:v>-0.64900000000000002</c:v>
                </c:pt>
                <c:pt idx="170">
                  <c:v>-0.82199999999999995</c:v>
                </c:pt>
                <c:pt idx="171">
                  <c:v>0.27400000000000002</c:v>
                </c:pt>
                <c:pt idx="172">
                  <c:v>3.9969999999999999</c:v>
                </c:pt>
                <c:pt idx="173">
                  <c:v>2.3079999999999998</c:v>
                </c:pt>
                <c:pt idx="174">
                  <c:v>0.68500000000000005</c:v>
                </c:pt>
                <c:pt idx="175">
                  <c:v>2.2000000000000002</c:v>
                </c:pt>
                <c:pt idx="176">
                  <c:v>3.7040000000000002</c:v>
                </c:pt>
                <c:pt idx="177">
                  <c:v>2.242</c:v>
                </c:pt>
                <c:pt idx="178">
                  <c:v>1.5029999999999999</c:v>
                </c:pt>
                <c:pt idx="179">
                  <c:v>0.53300000000000003</c:v>
                </c:pt>
                <c:pt idx="180">
                  <c:v>4.2480000000000002</c:v>
                </c:pt>
                <c:pt idx="181">
                  <c:v>7.3049999999999997</c:v>
                </c:pt>
                <c:pt idx="182">
                  <c:v>6.9059999999999997</c:v>
                </c:pt>
                <c:pt idx="183">
                  <c:v>5.5579999999999998</c:v>
                </c:pt>
                <c:pt idx="184">
                  <c:v>6.6959999999999997</c:v>
                </c:pt>
                <c:pt idx="185">
                  <c:v>5.52</c:v>
                </c:pt>
                <c:pt idx="186">
                  <c:v>4.4000000000000004</c:v>
                </c:pt>
                <c:pt idx="187">
                  <c:v>4.117</c:v>
                </c:pt>
                <c:pt idx="188">
                  <c:v>4.29</c:v>
                </c:pt>
                <c:pt idx="189">
                  <c:v>6.9829999999999997</c:v>
                </c:pt>
                <c:pt idx="190">
                  <c:v>7.2939999999999996</c:v>
                </c:pt>
                <c:pt idx="191">
                  <c:v>6.3869999999999996</c:v>
                </c:pt>
                <c:pt idx="192">
                  <c:v>5.62</c:v>
                </c:pt>
                <c:pt idx="193">
                  <c:v>7.0389999999999997</c:v>
                </c:pt>
                <c:pt idx="194">
                  <c:v>5.8860000000000001</c:v>
                </c:pt>
                <c:pt idx="195">
                  <c:v>5.7930000000000001</c:v>
                </c:pt>
                <c:pt idx="196">
                  <c:v>5.5970000000000004</c:v>
                </c:pt>
                <c:pt idx="197">
                  <c:v>5.8150000000000004</c:v>
                </c:pt>
                <c:pt idx="198">
                  <c:v>1.784</c:v>
                </c:pt>
                <c:pt idx="199">
                  <c:v>1.397</c:v>
                </c:pt>
                <c:pt idx="200">
                  <c:v>4.0519999999999996</c:v>
                </c:pt>
                <c:pt idx="201">
                  <c:v>5.9089999999999998</c:v>
                </c:pt>
                <c:pt idx="202">
                  <c:v>11.2</c:v>
                </c:pt>
                <c:pt idx="203">
                  <c:v>8.25</c:v>
                </c:pt>
                <c:pt idx="204">
                  <c:v>3.536</c:v>
                </c:pt>
                <c:pt idx="205">
                  <c:v>3.3140000000000001</c:v>
                </c:pt>
                <c:pt idx="206">
                  <c:v>8.3000000000000007</c:v>
                </c:pt>
                <c:pt idx="207">
                  <c:v>6.19</c:v>
                </c:pt>
                <c:pt idx="208">
                  <c:v>4.9020000000000001</c:v>
                </c:pt>
                <c:pt idx="209">
                  <c:v>8.34</c:v>
                </c:pt>
                <c:pt idx="210">
                  <c:v>8.1199999999999992</c:v>
                </c:pt>
                <c:pt idx="211">
                  <c:v>7.56</c:v>
                </c:pt>
                <c:pt idx="212">
                  <c:v>8.42</c:v>
                </c:pt>
                <c:pt idx="213">
                  <c:v>6.8280000000000003</c:v>
                </c:pt>
                <c:pt idx="214">
                  <c:v>4.6719999999999997</c:v>
                </c:pt>
                <c:pt idx="215">
                  <c:v>6.0839999999999996</c:v>
                </c:pt>
                <c:pt idx="216">
                  <c:v>9.99</c:v>
                </c:pt>
                <c:pt idx="217">
                  <c:v>12.05</c:v>
                </c:pt>
                <c:pt idx="218">
                  <c:v>14</c:v>
                </c:pt>
                <c:pt idx="219">
                  <c:v>12.93</c:v>
                </c:pt>
                <c:pt idx="220">
                  <c:v>11.96</c:v>
                </c:pt>
                <c:pt idx="221">
                  <c:v>7.2709999999999999</c:v>
                </c:pt>
                <c:pt idx="222">
                  <c:v>5.5359999999999996</c:v>
                </c:pt>
                <c:pt idx="223">
                  <c:v>5.1639999999999997</c:v>
                </c:pt>
                <c:pt idx="224">
                  <c:v>6.806</c:v>
                </c:pt>
                <c:pt idx="225">
                  <c:v>7.6050000000000004</c:v>
                </c:pt>
                <c:pt idx="226">
                  <c:v>7.8719999999999999</c:v>
                </c:pt>
                <c:pt idx="227">
                  <c:v>5.9050000000000002</c:v>
                </c:pt>
                <c:pt idx="228">
                  <c:v>3.8940000000000001</c:v>
                </c:pt>
                <c:pt idx="229">
                  <c:v>4.5419999999999998</c:v>
                </c:pt>
                <c:pt idx="230">
                  <c:v>7.649</c:v>
                </c:pt>
                <c:pt idx="231">
                  <c:v>10.14</c:v>
                </c:pt>
                <c:pt idx="232">
                  <c:v>7.6269999999999998</c:v>
                </c:pt>
                <c:pt idx="233">
                  <c:v>5.1970000000000001</c:v>
                </c:pt>
                <c:pt idx="234">
                  <c:v>6.6070000000000002</c:v>
                </c:pt>
                <c:pt idx="235">
                  <c:v>4.2469999999999999</c:v>
                </c:pt>
                <c:pt idx="236">
                  <c:v>3.9319999999999999</c:v>
                </c:pt>
                <c:pt idx="237">
                  <c:v>3.0659999999999998</c:v>
                </c:pt>
                <c:pt idx="238">
                  <c:v>5.7119999999999997</c:v>
                </c:pt>
                <c:pt idx="239">
                  <c:v>9.94</c:v>
                </c:pt>
                <c:pt idx="240">
                  <c:v>10.35</c:v>
                </c:pt>
                <c:pt idx="241">
                  <c:v>10.94</c:v>
                </c:pt>
                <c:pt idx="242">
                  <c:v>10.14</c:v>
                </c:pt>
                <c:pt idx="243">
                  <c:v>8.14</c:v>
                </c:pt>
                <c:pt idx="244">
                  <c:v>7.0110000000000001</c:v>
                </c:pt>
                <c:pt idx="245">
                  <c:v>5.859</c:v>
                </c:pt>
                <c:pt idx="246">
                  <c:v>5.3170000000000002</c:v>
                </c:pt>
                <c:pt idx="247">
                  <c:v>8.59</c:v>
                </c:pt>
                <c:pt idx="248">
                  <c:v>10.81</c:v>
                </c:pt>
                <c:pt idx="249">
                  <c:v>8.93</c:v>
                </c:pt>
                <c:pt idx="250">
                  <c:v>5.12</c:v>
                </c:pt>
                <c:pt idx="251">
                  <c:v>3.52</c:v>
                </c:pt>
                <c:pt idx="252">
                  <c:v>4.1609999999999996</c:v>
                </c:pt>
                <c:pt idx="253">
                  <c:v>4.8470000000000004</c:v>
                </c:pt>
                <c:pt idx="254">
                  <c:v>5.2949999999999999</c:v>
                </c:pt>
                <c:pt idx="255">
                  <c:v>4.226</c:v>
                </c:pt>
                <c:pt idx="256">
                  <c:v>4.4859999999999998</c:v>
                </c:pt>
                <c:pt idx="257">
                  <c:v>2.718</c:v>
                </c:pt>
                <c:pt idx="258">
                  <c:v>1.472</c:v>
                </c:pt>
                <c:pt idx="259">
                  <c:v>1.6319999999999999</c:v>
                </c:pt>
                <c:pt idx="260">
                  <c:v>2.194</c:v>
                </c:pt>
                <c:pt idx="261">
                  <c:v>1.827</c:v>
                </c:pt>
                <c:pt idx="262">
                  <c:v>2.1909999999999998</c:v>
                </c:pt>
                <c:pt idx="263">
                  <c:v>3.3090000000000002</c:v>
                </c:pt>
                <c:pt idx="264">
                  <c:v>4.3559999999999999</c:v>
                </c:pt>
                <c:pt idx="265">
                  <c:v>2.7290000000000001</c:v>
                </c:pt>
                <c:pt idx="266">
                  <c:v>0.52700000000000002</c:v>
                </c:pt>
                <c:pt idx="267">
                  <c:v>0.27900000000000003</c:v>
                </c:pt>
                <c:pt idx="268">
                  <c:v>-1.621</c:v>
                </c:pt>
                <c:pt idx="269">
                  <c:v>-2.4609999999999999</c:v>
                </c:pt>
                <c:pt idx="270">
                  <c:v>-5.851</c:v>
                </c:pt>
                <c:pt idx="271">
                  <c:v>-6.7190000000000003</c:v>
                </c:pt>
                <c:pt idx="272">
                  <c:v>-6.3840000000000003</c:v>
                </c:pt>
                <c:pt idx="273">
                  <c:v>-5.2240000000000002</c:v>
                </c:pt>
                <c:pt idx="274">
                  <c:v>-2.879</c:v>
                </c:pt>
                <c:pt idx="275">
                  <c:v>-3.0640000000000001</c:v>
                </c:pt>
                <c:pt idx="276">
                  <c:v>-3.0859999999999999</c:v>
                </c:pt>
                <c:pt idx="277">
                  <c:v>-2.9660000000000002</c:v>
                </c:pt>
                <c:pt idx="278">
                  <c:v>-3.0640000000000001</c:v>
                </c:pt>
                <c:pt idx="279">
                  <c:v>-0.51900000000000002</c:v>
                </c:pt>
                <c:pt idx="280">
                  <c:v>-8.9499999999999993</c:v>
                </c:pt>
                <c:pt idx="281">
                  <c:v>-11.05</c:v>
                </c:pt>
                <c:pt idx="282">
                  <c:v>-10.33</c:v>
                </c:pt>
                <c:pt idx="283">
                  <c:v>-5.234</c:v>
                </c:pt>
                <c:pt idx="284">
                  <c:v>-3.1869999999999998</c:v>
                </c:pt>
                <c:pt idx="285">
                  <c:v>-1.903</c:v>
                </c:pt>
                <c:pt idx="286">
                  <c:v>-3.1619999999999999</c:v>
                </c:pt>
                <c:pt idx="287">
                  <c:v>-2.0979999999999999</c:v>
                </c:pt>
                <c:pt idx="288">
                  <c:v>-0.70299999999999996</c:v>
                </c:pt>
                <c:pt idx="289">
                  <c:v>-2.3420000000000001</c:v>
                </c:pt>
                <c:pt idx="290">
                  <c:v>-3.5920000000000001</c:v>
                </c:pt>
                <c:pt idx="291">
                  <c:v>-4.2809999999999997</c:v>
                </c:pt>
                <c:pt idx="292">
                  <c:v>-4.1829999999999998</c:v>
                </c:pt>
                <c:pt idx="293">
                  <c:v>-3.2370000000000001</c:v>
                </c:pt>
                <c:pt idx="294">
                  <c:v>-2.3149999999999999</c:v>
                </c:pt>
                <c:pt idx="295">
                  <c:v>-5.1589999999999998</c:v>
                </c:pt>
                <c:pt idx="296">
                  <c:v>-2.0110000000000001</c:v>
                </c:pt>
                <c:pt idx="297">
                  <c:v>-4.8620000000000001</c:v>
                </c:pt>
                <c:pt idx="298">
                  <c:v>-8.2899999999999991</c:v>
                </c:pt>
                <c:pt idx="299">
                  <c:v>-9.02</c:v>
                </c:pt>
                <c:pt idx="300">
                  <c:v>-14.01</c:v>
                </c:pt>
                <c:pt idx="301">
                  <c:v>-15.24</c:v>
                </c:pt>
                <c:pt idx="302">
                  <c:v>-9.0399999999999991</c:v>
                </c:pt>
                <c:pt idx="303">
                  <c:v>-6.3780000000000001</c:v>
                </c:pt>
                <c:pt idx="304">
                  <c:v>-6.7969999999999997</c:v>
                </c:pt>
                <c:pt idx="305">
                  <c:v>-0.20599999999999999</c:v>
                </c:pt>
                <c:pt idx="306">
                  <c:v>-0.60599999999999998</c:v>
                </c:pt>
                <c:pt idx="307">
                  <c:v>0.47299999999999998</c:v>
                </c:pt>
                <c:pt idx="308">
                  <c:v>-2.141</c:v>
                </c:pt>
                <c:pt idx="309">
                  <c:v>-4.2450000000000001</c:v>
                </c:pt>
                <c:pt idx="310">
                  <c:v>-3.194</c:v>
                </c:pt>
                <c:pt idx="311">
                  <c:v>1.7769999999999999</c:v>
                </c:pt>
                <c:pt idx="312">
                  <c:v>-0.26700000000000002</c:v>
                </c:pt>
                <c:pt idx="313">
                  <c:v>-7.234</c:v>
                </c:pt>
                <c:pt idx="314">
                  <c:v>-6.4279999999999999</c:v>
                </c:pt>
                <c:pt idx="315">
                  <c:v>-3.4009999999999998</c:v>
                </c:pt>
                <c:pt idx="316">
                  <c:v>-2.8570000000000002</c:v>
                </c:pt>
                <c:pt idx="317">
                  <c:v>-3.3690000000000002</c:v>
                </c:pt>
                <c:pt idx="318">
                  <c:v>-2.7160000000000002</c:v>
                </c:pt>
                <c:pt idx="319">
                  <c:v>-3.9249999999999998</c:v>
                </c:pt>
                <c:pt idx="320">
                  <c:v>-1.5569999999999999</c:v>
                </c:pt>
                <c:pt idx="321">
                  <c:v>-2.5529999999999999</c:v>
                </c:pt>
                <c:pt idx="322">
                  <c:v>-6.83</c:v>
                </c:pt>
                <c:pt idx="323">
                  <c:v>-8.66</c:v>
                </c:pt>
                <c:pt idx="324">
                  <c:v>-4.2009999999999996</c:v>
                </c:pt>
                <c:pt idx="325">
                  <c:v>-2.58</c:v>
                </c:pt>
                <c:pt idx="326">
                  <c:v>-2.988</c:v>
                </c:pt>
                <c:pt idx="327">
                  <c:v>-6.54</c:v>
                </c:pt>
                <c:pt idx="328">
                  <c:v>-11.29</c:v>
                </c:pt>
                <c:pt idx="329">
                  <c:v>-13.62</c:v>
                </c:pt>
                <c:pt idx="330">
                  <c:v>-14.84</c:v>
                </c:pt>
                <c:pt idx="331">
                  <c:v>-15.87</c:v>
                </c:pt>
                <c:pt idx="332">
                  <c:v>-14.63</c:v>
                </c:pt>
                <c:pt idx="333">
                  <c:v>-12.3</c:v>
                </c:pt>
                <c:pt idx="334">
                  <c:v>-12.87</c:v>
                </c:pt>
                <c:pt idx="335">
                  <c:v>-6.83</c:v>
                </c:pt>
                <c:pt idx="336">
                  <c:v>-2.7490000000000001</c:v>
                </c:pt>
                <c:pt idx="337">
                  <c:v>-8.23</c:v>
                </c:pt>
                <c:pt idx="338">
                  <c:v>-8.42</c:v>
                </c:pt>
                <c:pt idx="339">
                  <c:v>-3.8980000000000001</c:v>
                </c:pt>
                <c:pt idx="340">
                  <c:v>-4.1660000000000004</c:v>
                </c:pt>
                <c:pt idx="341">
                  <c:v>-11.92</c:v>
                </c:pt>
                <c:pt idx="342">
                  <c:v>-8.83</c:v>
                </c:pt>
                <c:pt idx="343">
                  <c:v>-5.7240000000000002</c:v>
                </c:pt>
                <c:pt idx="344">
                  <c:v>-7.8650000000000002</c:v>
                </c:pt>
                <c:pt idx="345">
                  <c:v>-6.452</c:v>
                </c:pt>
                <c:pt idx="346">
                  <c:v>-6.8639999999999999</c:v>
                </c:pt>
                <c:pt idx="347">
                  <c:v>-8.9</c:v>
                </c:pt>
                <c:pt idx="348">
                  <c:v>-11.46</c:v>
                </c:pt>
                <c:pt idx="349">
                  <c:v>-12.45</c:v>
                </c:pt>
                <c:pt idx="350">
                  <c:v>-9.8699999999999992</c:v>
                </c:pt>
                <c:pt idx="351">
                  <c:v>-9.9</c:v>
                </c:pt>
                <c:pt idx="352">
                  <c:v>-10.14</c:v>
                </c:pt>
                <c:pt idx="353">
                  <c:v>-5.4640000000000004</c:v>
                </c:pt>
                <c:pt idx="354">
                  <c:v>-6.7190000000000003</c:v>
                </c:pt>
                <c:pt idx="355">
                  <c:v>-9.11</c:v>
                </c:pt>
                <c:pt idx="356">
                  <c:v>-8.32</c:v>
                </c:pt>
                <c:pt idx="357">
                  <c:v>-10.66</c:v>
                </c:pt>
                <c:pt idx="358">
                  <c:v>-11.44</c:v>
                </c:pt>
                <c:pt idx="359">
                  <c:v>-11.88</c:v>
                </c:pt>
                <c:pt idx="360">
                  <c:v>-11.28</c:v>
                </c:pt>
                <c:pt idx="361">
                  <c:v>-10.3</c:v>
                </c:pt>
                <c:pt idx="362">
                  <c:v>-5.5129999999999999</c:v>
                </c:pt>
                <c:pt idx="363">
                  <c:v>-5.944</c:v>
                </c:pt>
                <c:pt idx="364">
                  <c:v>-6.8789999999999996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74592"/>
        <c:axId val="42576128"/>
      </c:lineChart>
      <c:catAx>
        <c:axId val="425745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761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576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74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36799183017923"/>
          <c:y val="0.19628929005825491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75608385190483"/>
          <c:y val="0.11129296235679216"/>
          <c:w val="0.83646164586899829"/>
          <c:h val="0.79009044752991808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12.74</c:v>
                </c:pt>
                <c:pt idx="1">
                  <c:v>12.73</c:v>
                </c:pt>
                <c:pt idx="2">
                  <c:v>12.73</c:v>
                </c:pt>
                <c:pt idx="3">
                  <c:v>12.82</c:v>
                </c:pt>
                <c:pt idx="4">
                  <c:v>12.73</c:v>
                </c:pt>
                <c:pt idx="5">
                  <c:v>12.79</c:v>
                </c:pt>
                <c:pt idx="6">
                  <c:v>12.78</c:v>
                </c:pt>
                <c:pt idx="7">
                  <c:v>12.72</c:v>
                </c:pt>
                <c:pt idx="8">
                  <c:v>12.72</c:v>
                </c:pt>
                <c:pt idx="9">
                  <c:v>12.81</c:v>
                </c:pt>
                <c:pt idx="10">
                  <c:v>12.76</c:v>
                </c:pt>
                <c:pt idx="11">
                  <c:v>12.77</c:v>
                </c:pt>
                <c:pt idx="12">
                  <c:v>12.89</c:v>
                </c:pt>
                <c:pt idx="13">
                  <c:v>12.93</c:v>
                </c:pt>
                <c:pt idx="14">
                  <c:v>12.96</c:v>
                </c:pt>
                <c:pt idx="15">
                  <c:v>12.84</c:v>
                </c:pt>
                <c:pt idx="16">
                  <c:v>12.75</c:v>
                </c:pt>
                <c:pt idx="17">
                  <c:v>12.74</c:v>
                </c:pt>
                <c:pt idx="18">
                  <c:v>12.89</c:v>
                </c:pt>
                <c:pt idx="19">
                  <c:v>12.78</c:v>
                </c:pt>
                <c:pt idx="20">
                  <c:v>12.89</c:v>
                </c:pt>
                <c:pt idx="21">
                  <c:v>12.74</c:v>
                </c:pt>
                <c:pt idx="22">
                  <c:v>12.73</c:v>
                </c:pt>
                <c:pt idx="23">
                  <c:v>12.82</c:v>
                </c:pt>
                <c:pt idx="24">
                  <c:v>12.9</c:v>
                </c:pt>
                <c:pt idx="25">
                  <c:v>12.95</c:v>
                </c:pt>
                <c:pt idx="26">
                  <c:v>13</c:v>
                </c:pt>
                <c:pt idx="27">
                  <c:v>12.99</c:v>
                </c:pt>
                <c:pt idx="28">
                  <c:v>13.03</c:v>
                </c:pt>
                <c:pt idx="29">
                  <c:v>13.01</c:v>
                </c:pt>
                <c:pt idx="30">
                  <c:v>12.91</c:v>
                </c:pt>
                <c:pt idx="31">
                  <c:v>12.89</c:v>
                </c:pt>
                <c:pt idx="32">
                  <c:v>12.93</c:v>
                </c:pt>
                <c:pt idx="33">
                  <c:v>12.91</c:v>
                </c:pt>
                <c:pt idx="34">
                  <c:v>13.02</c:v>
                </c:pt>
                <c:pt idx="35">
                  <c:v>12.99</c:v>
                </c:pt>
                <c:pt idx="36">
                  <c:v>13.07</c:v>
                </c:pt>
                <c:pt idx="37">
                  <c:v>12.98</c:v>
                </c:pt>
                <c:pt idx="38">
                  <c:v>12.97</c:v>
                </c:pt>
                <c:pt idx="39">
                  <c:v>13.03</c:v>
                </c:pt>
                <c:pt idx="40">
                  <c:v>13.01</c:v>
                </c:pt>
                <c:pt idx="41">
                  <c:v>13.02</c:v>
                </c:pt>
                <c:pt idx="42">
                  <c:v>12.94</c:v>
                </c:pt>
                <c:pt idx="43">
                  <c:v>13.01</c:v>
                </c:pt>
                <c:pt idx="44">
                  <c:v>12.94</c:v>
                </c:pt>
                <c:pt idx="45">
                  <c:v>12.96</c:v>
                </c:pt>
                <c:pt idx="46">
                  <c:v>12.92</c:v>
                </c:pt>
                <c:pt idx="47">
                  <c:v>12.92</c:v>
                </c:pt>
                <c:pt idx="48">
                  <c:v>13.03</c:v>
                </c:pt>
                <c:pt idx="49">
                  <c:v>12.95</c:v>
                </c:pt>
                <c:pt idx="50">
                  <c:v>13</c:v>
                </c:pt>
                <c:pt idx="51">
                  <c:v>13.01</c:v>
                </c:pt>
                <c:pt idx="52">
                  <c:v>12.95</c:v>
                </c:pt>
                <c:pt idx="53">
                  <c:v>12.93</c:v>
                </c:pt>
                <c:pt idx="54">
                  <c:v>13.08</c:v>
                </c:pt>
                <c:pt idx="55">
                  <c:v>13.11</c:v>
                </c:pt>
                <c:pt idx="56">
                  <c:v>13.09</c:v>
                </c:pt>
                <c:pt idx="57">
                  <c:v>13.03</c:v>
                </c:pt>
                <c:pt idx="58">
                  <c:v>13.03</c:v>
                </c:pt>
                <c:pt idx="59">
                  <c:v>13.1</c:v>
                </c:pt>
                <c:pt idx="60">
                  <c:v>13.08</c:v>
                </c:pt>
                <c:pt idx="61">
                  <c:v>13.13</c:v>
                </c:pt>
                <c:pt idx="62">
                  <c:v>13.14</c:v>
                </c:pt>
                <c:pt idx="63">
                  <c:v>13.1</c:v>
                </c:pt>
                <c:pt idx="64">
                  <c:v>13.04</c:v>
                </c:pt>
                <c:pt idx="65">
                  <c:v>13.1</c:v>
                </c:pt>
                <c:pt idx="66">
                  <c:v>13.11</c:v>
                </c:pt>
                <c:pt idx="67">
                  <c:v>13.09</c:v>
                </c:pt>
                <c:pt idx="68">
                  <c:v>13.12</c:v>
                </c:pt>
                <c:pt idx="69">
                  <c:v>13.08</c:v>
                </c:pt>
                <c:pt idx="70">
                  <c:v>13.03</c:v>
                </c:pt>
                <c:pt idx="71">
                  <c:v>13.1</c:v>
                </c:pt>
                <c:pt idx="72">
                  <c:v>13.11</c:v>
                </c:pt>
                <c:pt idx="73">
                  <c:v>13.11</c:v>
                </c:pt>
                <c:pt idx="74">
                  <c:v>13.11</c:v>
                </c:pt>
                <c:pt idx="75">
                  <c:v>13.12</c:v>
                </c:pt>
                <c:pt idx="76">
                  <c:v>13.12</c:v>
                </c:pt>
                <c:pt idx="77">
                  <c:v>13.12</c:v>
                </c:pt>
                <c:pt idx="78">
                  <c:v>13.12</c:v>
                </c:pt>
                <c:pt idx="79">
                  <c:v>13.14</c:v>
                </c:pt>
                <c:pt idx="80">
                  <c:v>13.14</c:v>
                </c:pt>
                <c:pt idx="81">
                  <c:v>13.1</c:v>
                </c:pt>
                <c:pt idx="82">
                  <c:v>13.04</c:v>
                </c:pt>
                <c:pt idx="83">
                  <c:v>13.05</c:v>
                </c:pt>
                <c:pt idx="84">
                  <c:v>13.15</c:v>
                </c:pt>
                <c:pt idx="85">
                  <c:v>13.15</c:v>
                </c:pt>
                <c:pt idx="86">
                  <c:v>13.17</c:v>
                </c:pt>
                <c:pt idx="87">
                  <c:v>13.17</c:v>
                </c:pt>
                <c:pt idx="88">
                  <c:v>13.19</c:v>
                </c:pt>
                <c:pt idx="89">
                  <c:v>13.17</c:v>
                </c:pt>
                <c:pt idx="90">
                  <c:v>13.19</c:v>
                </c:pt>
                <c:pt idx="91">
                  <c:v>13.19</c:v>
                </c:pt>
                <c:pt idx="92">
                  <c:v>13.09</c:v>
                </c:pt>
                <c:pt idx="93">
                  <c:v>13.13</c:v>
                </c:pt>
                <c:pt idx="94">
                  <c:v>12.88</c:v>
                </c:pt>
                <c:pt idx="95">
                  <c:v>13.13</c:v>
                </c:pt>
                <c:pt idx="96">
                  <c:v>13.21</c:v>
                </c:pt>
                <c:pt idx="97">
                  <c:v>13.04</c:v>
                </c:pt>
                <c:pt idx="98">
                  <c:v>13.19</c:v>
                </c:pt>
                <c:pt idx="99">
                  <c:v>13.16</c:v>
                </c:pt>
                <c:pt idx="100">
                  <c:v>13.2</c:v>
                </c:pt>
                <c:pt idx="101">
                  <c:v>13.22</c:v>
                </c:pt>
                <c:pt idx="102">
                  <c:v>12.91</c:v>
                </c:pt>
                <c:pt idx="103">
                  <c:v>13.21</c:v>
                </c:pt>
                <c:pt idx="104">
                  <c:v>13.2</c:v>
                </c:pt>
                <c:pt idx="105">
                  <c:v>13.21</c:v>
                </c:pt>
                <c:pt idx="106">
                  <c:v>13.24</c:v>
                </c:pt>
                <c:pt idx="107">
                  <c:v>13.16</c:v>
                </c:pt>
                <c:pt idx="108">
                  <c:v>13.22</c:v>
                </c:pt>
                <c:pt idx="109">
                  <c:v>13.24</c:v>
                </c:pt>
                <c:pt idx="110">
                  <c:v>13.27</c:v>
                </c:pt>
                <c:pt idx="111">
                  <c:v>13.07</c:v>
                </c:pt>
                <c:pt idx="112">
                  <c:v>13.26</c:v>
                </c:pt>
                <c:pt idx="113">
                  <c:v>13.27</c:v>
                </c:pt>
                <c:pt idx="114">
                  <c:v>13.24</c:v>
                </c:pt>
                <c:pt idx="115">
                  <c:v>13.27</c:v>
                </c:pt>
                <c:pt idx="116">
                  <c:v>13.18</c:v>
                </c:pt>
                <c:pt idx="117">
                  <c:v>13.25</c:v>
                </c:pt>
                <c:pt idx="118">
                  <c:v>13.33</c:v>
                </c:pt>
                <c:pt idx="119">
                  <c:v>13.3</c:v>
                </c:pt>
                <c:pt idx="120">
                  <c:v>13.27</c:v>
                </c:pt>
                <c:pt idx="121">
                  <c:v>13.3</c:v>
                </c:pt>
                <c:pt idx="122">
                  <c:v>13.3</c:v>
                </c:pt>
                <c:pt idx="123">
                  <c:v>13.28</c:v>
                </c:pt>
                <c:pt idx="124">
                  <c:v>13.32</c:v>
                </c:pt>
                <c:pt idx="125">
                  <c:v>13.3</c:v>
                </c:pt>
                <c:pt idx="126">
                  <c:v>13.32</c:v>
                </c:pt>
                <c:pt idx="127">
                  <c:v>13.3</c:v>
                </c:pt>
                <c:pt idx="128">
                  <c:v>13.33</c:v>
                </c:pt>
                <c:pt idx="129">
                  <c:v>13.33</c:v>
                </c:pt>
                <c:pt idx="130">
                  <c:v>13.28</c:v>
                </c:pt>
                <c:pt idx="131">
                  <c:v>13.27</c:v>
                </c:pt>
                <c:pt idx="132">
                  <c:v>13.17</c:v>
                </c:pt>
                <c:pt idx="133">
                  <c:v>12.85</c:v>
                </c:pt>
                <c:pt idx="134">
                  <c:v>13.16</c:v>
                </c:pt>
                <c:pt idx="135">
                  <c:v>12.93</c:v>
                </c:pt>
                <c:pt idx="136">
                  <c:v>13</c:v>
                </c:pt>
                <c:pt idx="137">
                  <c:v>13.02</c:v>
                </c:pt>
                <c:pt idx="138">
                  <c:v>12.98</c:v>
                </c:pt>
                <c:pt idx="139">
                  <c:v>13.07</c:v>
                </c:pt>
                <c:pt idx="140">
                  <c:v>12.93</c:v>
                </c:pt>
                <c:pt idx="141">
                  <c:v>13.07</c:v>
                </c:pt>
                <c:pt idx="142">
                  <c:v>13.05</c:v>
                </c:pt>
                <c:pt idx="143">
                  <c:v>13.05</c:v>
                </c:pt>
                <c:pt idx="144">
                  <c:v>12.87</c:v>
                </c:pt>
                <c:pt idx="145">
                  <c:v>13.04</c:v>
                </c:pt>
                <c:pt idx="146">
                  <c:v>13.05</c:v>
                </c:pt>
                <c:pt idx="147">
                  <c:v>13.05</c:v>
                </c:pt>
                <c:pt idx="148">
                  <c:v>13.05</c:v>
                </c:pt>
                <c:pt idx="149">
                  <c:v>13.01</c:v>
                </c:pt>
                <c:pt idx="150">
                  <c:v>13.03</c:v>
                </c:pt>
                <c:pt idx="151">
                  <c:v>13.02</c:v>
                </c:pt>
                <c:pt idx="152">
                  <c:v>13.01</c:v>
                </c:pt>
                <c:pt idx="153">
                  <c:v>13.06</c:v>
                </c:pt>
                <c:pt idx="154">
                  <c:v>13.06</c:v>
                </c:pt>
                <c:pt idx="155">
                  <c:v>12.99</c:v>
                </c:pt>
                <c:pt idx="156">
                  <c:v>13.04</c:v>
                </c:pt>
                <c:pt idx="157">
                  <c:v>13.18</c:v>
                </c:pt>
                <c:pt idx="158">
                  <c:v>13.16</c:v>
                </c:pt>
                <c:pt idx="159">
                  <c:v>13.05</c:v>
                </c:pt>
                <c:pt idx="160">
                  <c:v>13.09</c:v>
                </c:pt>
                <c:pt idx="161">
                  <c:v>13.04</c:v>
                </c:pt>
                <c:pt idx="162">
                  <c:v>13.01</c:v>
                </c:pt>
                <c:pt idx="163">
                  <c:v>13.01</c:v>
                </c:pt>
                <c:pt idx="164">
                  <c:v>13.02</c:v>
                </c:pt>
                <c:pt idx="165">
                  <c:v>13.01</c:v>
                </c:pt>
                <c:pt idx="166">
                  <c:v>12.92</c:v>
                </c:pt>
                <c:pt idx="167">
                  <c:v>13.01</c:v>
                </c:pt>
                <c:pt idx="168">
                  <c:v>13.04</c:v>
                </c:pt>
                <c:pt idx="169">
                  <c:v>13.13</c:v>
                </c:pt>
                <c:pt idx="170">
                  <c:v>12.8</c:v>
                </c:pt>
                <c:pt idx="171">
                  <c:v>13.13</c:v>
                </c:pt>
                <c:pt idx="172">
                  <c:v>13.11</c:v>
                </c:pt>
                <c:pt idx="173">
                  <c:v>13.12</c:v>
                </c:pt>
                <c:pt idx="174">
                  <c:v>13.09</c:v>
                </c:pt>
                <c:pt idx="175">
                  <c:v>13.1</c:v>
                </c:pt>
                <c:pt idx="176">
                  <c:v>13.07</c:v>
                </c:pt>
                <c:pt idx="177">
                  <c:v>13.04</c:v>
                </c:pt>
                <c:pt idx="178">
                  <c:v>13.1</c:v>
                </c:pt>
                <c:pt idx="179">
                  <c:v>13.05</c:v>
                </c:pt>
                <c:pt idx="180">
                  <c:v>13.1</c:v>
                </c:pt>
                <c:pt idx="181">
                  <c:v>13.03</c:v>
                </c:pt>
                <c:pt idx="182">
                  <c:v>13.07</c:v>
                </c:pt>
                <c:pt idx="183">
                  <c:v>13.04</c:v>
                </c:pt>
                <c:pt idx="184">
                  <c:v>12.97</c:v>
                </c:pt>
                <c:pt idx="185">
                  <c:v>12.86</c:v>
                </c:pt>
                <c:pt idx="186">
                  <c:v>13</c:v>
                </c:pt>
                <c:pt idx="187">
                  <c:v>13.06</c:v>
                </c:pt>
                <c:pt idx="188">
                  <c:v>13.06</c:v>
                </c:pt>
                <c:pt idx="189">
                  <c:v>13.01</c:v>
                </c:pt>
                <c:pt idx="190">
                  <c:v>12.95</c:v>
                </c:pt>
                <c:pt idx="191">
                  <c:v>12.95</c:v>
                </c:pt>
                <c:pt idx="192">
                  <c:v>13.02</c:v>
                </c:pt>
                <c:pt idx="193">
                  <c:v>13.05</c:v>
                </c:pt>
                <c:pt idx="194">
                  <c:v>13.05</c:v>
                </c:pt>
                <c:pt idx="195">
                  <c:v>13.02</c:v>
                </c:pt>
                <c:pt idx="196">
                  <c:v>13.01</c:v>
                </c:pt>
                <c:pt idx="197">
                  <c:v>12.9</c:v>
                </c:pt>
                <c:pt idx="198">
                  <c:v>13.07</c:v>
                </c:pt>
                <c:pt idx="199">
                  <c:v>13.1</c:v>
                </c:pt>
                <c:pt idx="200">
                  <c:v>13.09</c:v>
                </c:pt>
                <c:pt idx="201">
                  <c:v>13.04</c:v>
                </c:pt>
                <c:pt idx="202">
                  <c:v>13.01</c:v>
                </c:pt>
                <c:pt idx="203">
                  <c:v>13.02</c:v>
                </c:pt>
                <c:pt idx="204">
                  <c:v>13.11</c:v>
                </c:pt>
                <c:pt idx="205">
                  <c:v>13.06</c:v>
                </c:pt>
                <c:pt idx="206">
                  <c:v>13.02</c:v>
                </c:pt>
                <c:pt idx="207">
                  <c:v>13.07</c:v>
                </c:pt>
                <c:pt idx="208">
                  <c:v>13.07</c:v>
                </c:pt>
                <c:pt idx="209">
                  <c:v>12.99</c:v>
                </c:pt>
                <c:pt idx="210">
                  <c:v>13.03</c:v>
                </c:pt>
                <c:pt idx="211">
                  <c:v>13</c:v>
                </c:pt>
                <c:pt idx="212">
                  <c:v>13</c:v>
                </c:pt>
                <c:pt idx="213">
                  <c:v>13.03</c:v>
                </c:pt>
                <c:pt idx="214">
                  <c:v>13.06</c:v>
                </c:pt>
                <c:pt idx="215">
                  <c:v>13.04</c:v>
                </c:pt>
                <c:pt idx="216">
                  <c:v>13.01</c:v>
                </c:pt>
                <c:pt idx="217">
                  <c:v>12.99</c:v>
                </c:pt>
                <c:pt idx="218">
                  <c:v>12.98</c:v>
                </c:pt>
                <c:pt idx="219">
                  <c:v>12.98</c:v>
                </c:pt>
                <c:pt idx="220">
                  <c:v>12.98</c:v>
                </c:pt>
                <c:pt idx="221">
                  <c:v>12.98</c:v>
                </c:pt>
                <c:pt idx="222">
                  <c:v>12.84</c:v>
                </c:pt>
                <c:pt idx="223">
                  <c:v>13.03</c:v>
                </c:pt>
                <c:pt idx="224">
                  <c:v>12.93</c:v>
                </c:pt>
                <c:pt idx="225">
                  <c:v>13.03</c:v>
                </c:pt>
                <c:pt idx="226">
                  <c:v>13.02</c:v>
                </c:pt>
                <c:pt idx="227">
                  <c:v>12.89</c:v>
                </c:pt>
                <c:pt idx="228">
                  <c:v>13.03</c:v>
                </c:pt>
                <c:pt idx="229">
                  <c:v>13.01</c:v>
                </c:pt>
                <c:pt idx="230">
                  <c:v>13.01</c:v>
                </c:pt>
                <c:pt idx="231">
                  <c:v>13.01</c:v>
                </c:pt>
                <c:pt idx="232">
                  <c:v>12.87</c:v>
                </c:pt>
                <c:pt idx="233">
                  <c:v>13.02</c:v>
                </c:pt>
                <c:pt idx="234">
                  <c:v>12.86</c:v>
                </c:pt>
                <c:pt idx="235">
                  <c:v>13.03</c:v>
                </c:pt>
                <c:pt idx="236">
                  <c:v>13.06</c:v>
                </c:pt>
                <c:pt idx="237">
                  <c:v>13.05</c:v>
                </c:pt>
                <c:pt idx="238">
                  <c:v>13.01</c:v>
                </c:pt>
                <c:pt idx="239">
                  <c:v>13.01</c:v>
                </c:pt>
                <c:pt idx="240">
                  <c:v>13</c:v>
                </c:pt>
                <c:pt idx="241">
                  <c:v>13</c:v>
                </c:pt>
                <c:pt idx="242">
                  <c:v>12.92</c:v>
                </c:pt>
                <c:pt idx="243">
                  <c:v>13.01</c:v>
                </c:pt>
                <c:pt idx="244">
                  <c:v>13.03</c:v>
                </c:pt>
                <c:pt idx="245">
                  <c:v>12.98</c:v>
                </c:pt>
                <c:pt idx="246">
                  <c:v>13.01</c:v>
                </c:pt>
                <c:pt idx="247">
                  <c:v>13</c:v>
                </c:pt>
                <c:pt idx="248">
                  <c:v>12.99</c:v>
                </c:pt>
                <c:pt idx="249">
                  <c:v>12.97</c:v>
                </c:pt>
                <c:pt idx="250">
                  <c:v>12.84</c:v>
                </c:pt>
                <c:pt idx="251">
                  <c:v>12.85</c:v>
                </c:pt>
                <c:pt idx="252">
                  <c:v>13.02</c:v>
                </c:pt>
                <c:pt idx="253">
                  <c:v>13.01</c:v>
                </c:pt>
                <c:pt idx="254">
                  <c:v>13.01</c:v>
                </c:pt>
                <c:pt idx="255">
                  <c:v>12.98</c:v>
                </c:pt>
                <c:pt idx="256">
                  <c:v>12.87</c:v>
                </c:pt>
                <c:pt idx="257">
                  <c:v>12.84</c:v>
                </c:pt>
                <c:pt idx="258">
                  <c:v>12.86</c:v>
                </c:pt>
                <c:pt idx="259">
                  <c:v>12.84</c:v>
                </c:pt>
                <c:pt idx="260">
                  <c:v>12.85</c:v>
                </c:pt>
                <c:pt idx="261">
                  <c:v>13.04</c:v>
                </c:pt>
                <c:pt idx="262">
                  <c:v>12.97</c:v>
                </c:pt>
                <c:pt idx="263">
                  <c:v>13.06</c:v>
                </c:pt>
                <c:pt idx="264">
                  <c:v>12.98</c:v>
                </c:pt>
                <c:pt idx="265">
                  <c:v>12.87</c:v>
                </c:pt>
                <c:pt idx="266">
                  <c:v>13.07</c:v>
                </c:pt>
                <c:pt idx="267">
                  <c:v>12.99</c:v>
                </c:pt>
                <c:pt idx="268">
                  <c:v>13.01</c:v>
                </c:pt>
                <c:pt idx="269">
                  <c:v>12.94</c:v>
                </c:pt>
                <c:pt idx="270">
                  <c:v>12.93</c:v>
                </c:pt>
                <c:pt idx="271">
                  <c:v>12.98</c:v>
                </c:pt>
                <c:pt idx="272">
                  <c:v>13.09</c:v>
                </c:pt>
                <c:pt idx="273">
                  <c:v>13.11</c:v>
                </c:pt>
                <c:pt idx="274">
                  <c:v>13.06</c:v>
                </c:pt>
                <c:pt idx="275">
                  <c:v>13.02</c:v>
                </c:pt>
                <c:pt idx="276">
                  <c:v>13.07</c:v>
                </c:pt>
                <c:pt idx="277">
                  <c:v>13.07</c:v>
                </c:pt>
                <c:pt idx="278">
                  <c:v>13.1</c:v>
                </c:pt>
                <c:pt idx="279">
                  <c:v>12.86</c:v>
                </c:pt>
                <c:pt idx="280">
                  <c:v>12.84</c:v>
                </c:pt>
                <c:pt idx="281">
                  <c:v>13.13</c:v>
                </c:pt>
                <c:pt idx="282">
                  <c:v>13.12</c:v>
                </c:pt>
                <c:pt idx="283">
                  <c:v>13.12</c:v>
                </c:pt>
                <c:pt idx="284">
                  <c:v>13.07</c:v>
                </c:pt>
                <c:pt idx="285">
                  <c:v>12.83</c:v>
                </c:pt>
                <c:pt idx="286">
                  <c:v>13.09</c:v>
                </c:pt>
                <c:pt idx="287">
                  <c:v>12.84</c:v>
                </c:pt>
                <c:pt idx="288">
                  <c:v>12.83</c:v>
                </c:pt>
                <c:pt idx="289">
                  <c:v>12.83</c:v>
                </c:pt>
                <c:pt idx="290">
                  <c:v>12.86</c:v>
                </c:pt>
                <c:pt idx="291">
                  <c:v>13.04</c:v>
                </c:pt>
                <c:pt idx="292">
                  <c:v>12.89</c:v>
                </c:pt>
                <c:pt idx="293">
                  <c:v>12.8</c:v>
                </c:pt>
                <c:pt idx="294">
                  <c:v>13</c:v>
                </c:pt>
                <c:pt idx="295">
                  <c:v>13.07</c:v>
                </c:pt>
                <c:pt idx="296">
                  <c:v>13.08</c:v>
                </c:pt>
                <c:pt idx="297">
                  <c:v>12.87</c:v>
                </c:pt>
                <c:pt idx="298">
                  <c:v>13.01</c:v>
                </c:pt>
                <c:pt idx="299">
                  <c:v>13.08</c:v>
                </c:pt>
                <c:pt idx="300">
                  <c:v>13.05</c:v>
                </c:pt>
                <c:pt idx="301">
                  <c:v>13.11</c:v>
                </c:pt>
                <c:pt idx="302">
                  <c:v>13.06</c:v>
                </c:pt>
                <c:pt idx="303">
                  <c:v>13.03</c:v>
                </c:pt>
                <c:pt idx="304">
                  <c:v>13.07</c:v>
                </c:pt>
                <c:pt idx="305">
                  <c:v>13.03</c:v>
                </c:pt>
                <c:pt idx="306">
                  <c:v>12.93</c:v>
                </c:pt>
                <c:pt idx="307">
                  <c:v>13.05</c:v>
                </c:pt>
                <c:pt idx="308">
                  <c:v>13.06</c:v>
                </c:pt>
                <c:pt idx="309">
                  <c:v>13.06</c:v>
                </c:pt>
                <c:pt idx="310">
                  <c:v>13.04</c:v>
                </c:pt>
                <c:pt idx="311">
                  <c:v>12.82</c:v>
                </c:pt>
                <c:pt idx="312">
                  <c:v>12.81</c:v>
                </c:pt>
                <c:pt idx="313">
                  <c:v>12.88</c:v>
                </c:pt>
                <c:pt idx="314">
                  <c:v>12.95</c:v>
                </c:pt>
                <c:pt idx="315">
                  <c:v>12.8</c:v>
                </c:pt>
                <c:pt idx="316">
                  <c:v>13.03</c:v>
                </c:pt>
                <c:pt idx="317">
                  <c:v>12.85</c:v>
                </c:pt>
                <c:pt idx="318">
                  <c:v>12.8</c:v>
                </c:pt>
                <c:pt idx="319">
                  <c:v>12.8</c:v>
                </c:pt>
                <c:pt idx="320">
                  <c:v>12.81</c:v>
                </c:pt>
                <c:pt idx="321">
                  <c:v>12.8</c:v>
                </c:pt>
                <c:pt idx="322">
                  <c:v>12.79</c:v>
                </c:pt>
                <c:pt idx="323">
                  <c:v>12.89</c:v>
                </c:pt>
                <c:pt idx="324">
                  <c:v>13.06</c:v>
                </c:pt>
                <c:pt idx="325">
                  <c:v>13.06</c:v>
                </c:pt>
                <c:pt idx="326">
                  <c:v>12.89</c:v>
                </c:pt>
                <c:pt idx="327">
                  <c:v>12.98</c:v>
                </c:pt>
                <c:pt idx="328">
                  <c:v>12.91</c:v>
                </c:pt>
                <c:pt idx="329">
                  <c:v>13.01</c:v>
                </c:pt>
                <c:pt idx="330">
                  <c:v>12.93</c:v>
                </c:pt>
                <c:pt idx="331">
                  <c:v>12.99</c:v>
                </c:pt>
                <c:pt idx="332">
                  <c:v>12.97</c:v>
                </c:pt>
                <c:pt idx="333">
                  <c:v>12.93</c:v>
                </c:pt>
                <c:pt idx="334">
                  <c:v>12.82</c:v>
                </c:pt>
                <c:pt idx="335">
                  <c:v>12.8</c:v>
                </c:pt>
                <c:pt idx="336">
                  <c:v>12.8</c:v>
                </c:pt>
                <c:pt idx="337">
                  <c:v>12.79</c:v>
                </c:pt>
                <c:pt idx="338">
                  <c:v>12.79</c:v>
                </c:pt>
                <c:pt idx="339">
                  <c:v>12.79</c:v>
                </c:pt>
                <c:pt idx="340">
                  <c:v>12.79</c:v>
                </c:pt>
                <c:pt idx="341">
                  <c:v>12.81</c:v>
                </c:pt>
                <c:pt idx="342">
                  <c:v>12.83</c:v>
                </c:pt>
                <c:pt idx="343">
                  <c:v>12.78</c:v>
                </c:pt>
                <c:pt idx="344">
                  <c:v>12.78</c:v>
                </c:pt>
                <c:pt idx="345">
                  <c:v>12.77</c:v>
                </c:pt>
                <c:pt idx="346">
                  <c:v>12.78</c:v>
                </c:pt>
                <c:pt idx="347">
                  <c:v>12.77</c:v>
                </c:pt>
                <c:pt idx="348">
                  <c:v>12.79</c:v>
                </c:pt>
                <c:pt idx="349">
                  <c:v>12.76</c:v>
                </c:pt>
                <c:pt idx="350">
                  <c:v>12.76</c:v>
                </c:pt>
                <c:pt idx="351">
                  <c:v>12.75</c:v>
                </c:pt>
                <c:pt idx="352">
                  <c:v>12.75</c:v>
                </c:pt>
                <c:pt idx="353">
                  <c:v>12.75</c:v>
                </c:pt>
                <c:pt idx="354">
                  <c:v>12.74</c:v>
                </c:pt>
                <c:pt idx="355">
                  <c:v>12.73</c:v>
                </c:pt>
                <c:pt idx="356">
                  <c:v>12.74</c:v>
                </c:pt>
                <c:pt idx="357">
                  <c:v>12.75</c:v>
                </c:pt>
                <c:pt idx="358">
                  <c:v>12.75</c:v>
                </c:pt>
                <c:pt idx="359">
                  <c:v>12.74</c:v>
                </c:pt>
                <c:pt idx="360">
                  <c:v>12.74</c:v>
                </c:pt>
                <c:pt idx="361">
                  <c:v>12.72</c:v>
                </c:pt>
                <c:pt idx="362">
                  <c:v>12.72</c:v>
                </c:pt>
                <c:pt idx="363">
                  <c:v>12.71</c:v>
                </c:pt>
                <c:pt idx="364">
                  <c:v>12.71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88800"/>
        <c:axId val="42590592"/>
      </c:lineChart>
      <c:catAx>
        <c:axId val="425888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905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590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629066185761931E-3"/>
              <c:y val="0.36577866736890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88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23046263220767"/>
          <c:y val="0.13474851645249242"/>
          <c:w val="0.82280281271812206"/>
          <c:h val="0.821404953308310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-3.45</c:v>
                </c:pt>
                <c:pt idx="1">
                  <c:v>-2.4</c:v>
                </c:pt>
                <c:pt idx="2">
                  <c:v>-2.0129999999999999</c:v>
                </c:pt>
                <c:pt idx="3">
                  <c:v>-1.7150000000000001</c:v>
                </c:pt>
                <c:pt idx="4">
                  <c:v>-3.1930000000000001</c:v>
                </c:pt>
                <c:pt idx="5">
                  <c:v>-4.1390000000000002</c:v>
                </c:pt>
                <c:pt idx="6">
                  <c:v>-8.17</c:v>
                </c:pt>
                <c:pt idx="7">
                  <c:v>-8.92</c:v>
                </c:pt>
                <c:pt idx="8">
                  <c:v>-2.3769999999999998</c:v>
                </c:pt>
                <c:pt idx="9">
                  <c:v>-0.52200000000000002</c:v>
                </c:pt>
                <c:pt idx="10">
                  <c:v>-2.056</c:v>
                </c:pt>
                <c:pt idx="11">
                  <c:v>-2.72</c:v>
                </c:pt>
                <c:pt idx="12">
                  <c:v>1.224</c:v>
                </c:pt>
                <c:pt idx="13">
                  <c:v>1.821</c:v>
                </c:pt>
                <c:pt idx="14">
                  <c:v>-1.0329999999999999</c:v>
                </c:pt>
                <c:pt idx="15">
                  <c:v>-4.0960000000000001</c:v>
                </c:pt>
                <c:pt idx="16">
                  <c:v>-3.4929999999999999</c:v>
                </c:pt>
                <c:pt idx="17">
                  <c:v>-3.0840000000000001</c:v>
                </c:pt>
                <c:pt idx="18">
                  <c:v>-3.0640000000000001</c:v>
                </c:pt>
                <c:pt idx="19">
                  <c:v>-5.5259999999999998</c:v>
                </c:pt>
                <c:pt idx="20">
                  <c:v>-6.7530000000000001</c:v>
                </c:pt>
                <c:pt idx="21">
                  <c:v>-5.6349999999999998</c:v>
                </c:pt>
                <c:pt idx="22">
                  <c:v>-5.5919999999999996</c:v>
                </c:pt>
                <c:pt idx="23">
                  <c:v>-2.827</c:v>
                </c:pt>
                <c:pt idx="24">
                  <c:v>-1.417</c:v>
                </c:pt>
                <c:pt idx="25">
                  <c:v>2.8010000000000002</c:v>
                </c:pt>
                <c:pt idx="26">
                  <c:v>2.0529999999999999</c:v>
                </c:pt>
                <c:pt idx="27">
                  <c:v>-4.117</c:v>
                </c:pt>
                <c:pt idx="28">
                  <c:v>0.92600000000000005</c:v>
                </c:pt>
                <c:pt idx="29">
                  <c:v>1.012</c:v>
                </c:pt>
                <c:pt idx="30">
                  <c:v>0.82</c:v>
                </c:pt>
                <c:pt idx="31">
                  <c:v>-1.3109999999999999</c:v>
                </c:pt>
                <c:pt idx="32">
                  <c:v>-2.056</c:v>
                </c:pt>
                <c:pt idx="33">
                  <c:v>-7.3949999999999996</c:v>
                </c:pt>
                <c:pt idx="34">
                  <c:v>-18.86</c:v>
                </c:pt>
                <c:pt idx="35">
                  <c:v>-15.17</c:v>
                </c:pt>
                <c:pt idx="36">
                  <c:v>-14.57</c:v>
                </c:pt>
                <c:pt idx="37">
                  <c:v>-10.44</c:v>
                </c:pt>
                <c:pt idx="38">
                  <c:v>-11.51</c:v>
                </c:pt>
                <c:pt idx="39">
                  <c:v>-16.13</c:v>
                </c:pt>
                <c:pt idx="40">
                  <c:v>-11.46</c:v>
                </c:pt>
                <c:pt idx="41">
                  <c:v>-12.74</c:v>
                </c:pt>
                <c:pt idx="42">
                  <c:v>-10.79</c:v>
                </c:pt>
                <c:pt idx="43">
                  <c:v>-8.02</c:v>
                </c:pt>
                <c:pt idx="44">
                  <c:v>-6.8840000000000003</c:v>
                </c:pt>
                <c:pt idx="45">
                  <c:v>-3.9020000000000001</c:v>
                </c:pt>
                <c:pt idx="46">
                  <c:v>-5.8090000000000002</c:v>
                </c:pt>
                <c:pt idx="47">
                  <c:v>-8.5299999999999994</c:v>
                </c:pt>
                <c:pt idx="48">
                  <c:v>-10.51</c:v>
                </c:pt>
                <c:pt idx="49">
                  <c:v>-7.5940000000000003</c:v>
                </c:pt>
                <c:pt idx="50">
                  <c:v>-8.8699999999999992</c:v>
                </c:pt>
                <c:pt idx="51">
                  <c:v>-9.39</c:v>
                </c:pt>
                <c:pt idx="52">
                  <c:v>-9.6</c:v>
                </c:pt>
                <c:pt idx="53">
                  <c:v>-8.08</c:v>
                </c:pt>
                <c:pt idx="54">
                  <c:v>-7.6589999999999998</c:v>
                </c:pt>
                <c:pt idx="55">
                  <c:v>-11.11</c:v>
                </c:pt>
                <c:pt idx="56">
                  <c:v>-11.72</c:v>
                </c:pt>
                <c:pt idx="57">
                  <c:v>-7.9050000000000002</c:v>
                </c:pt>
                <c:pt idx="58">
                  <c:v>-8.9600000000000009</c:v>
                </c:pt>
                <c:pt idx="59">
                  <c:v>-6.6879999999999997</c:v>
                </c:pt>
                <c:pt idx="60">
                  <c:v>-11.51</c:v>
                </c:pt>
                <c:pt idx="61">
                  <c:v>-8.24</c:v>
                </c:pt>
                <c:pt idx="62">
                  <c:v>-5.9850000000000003</c:v>
                </c:pt>
                <c:pt idx="63">
                  <c:v>-5.766</c:v>
                </c:pt>
                <c:pt idx="64">
                  <c:v>-5.569</c:v>
                </c:pt>
                <c:pt idx="65">
                  <c:v>-5.2210000000000001</c:v>
                </c:pt>
                <c:pt idx="66">
                  <c:v>-5.3730000000000002</c:v>
                </c:pt>
                <c:pt idx="67">
                  <c:v>-6.5540000000000003</c:v>
                </c:pt>
                <c:pt idx="68">
                  <c:v>-0.436</c:v>
                </c:pt>
                <c:pt idx="69">
                  <c:v>-6.423</c:v>
                </c:pt>
                <c:pt idx="70">
                  <c:v>-5.8970000000000002</c:v>
                </c:pt>
                <c:pt idx="71">
                  <c:v>-2.806</c:v>
                </c:pt>
                <c:pt idx="72">
                  <c:v>0.18099999999999999</c:v>
                </c:pt>
                <c:pt idx="73">
                  <c:v>2.7149999999999999</c:v>
                </c:pt>
                <c:pt idx="74">
                  <c:v>6.2649999999999997</c:v>
                </c:pt>
                <c:pt idx="75">
                  <c:v>7.51</c:v>
                </c:pt>
                <c:pt idx="76">
                  <c:v>8.86</c:v>
                </c:pt>
                <c:pt idx="77">
                  <c:v>10.72</c:v>
                </c:pt>
                <c:pt idx="78">
                  <c:v>14.42</c:v>
                </c:pt>
                <c:pt idx="79">
                  <c:v>16.04</c:v>
                </c:pt>
                <c:pt idx="80">
                  <c:v>13.8</c:v>
                </c:pt>
                <c:pt idx="81">
                  <c:v>3.2709999999999999</c:v>
                </c:pt>
                <c:pt idx="82">
                  <c:v>5.8310000000000004</c:v>
                </c:pt>
                <c:pt idx="83">
                  <c:v>1.4370000000000001</c:v>
                </c:pt>
                <c:pt idx="84">
                  <c:v>-0.11799999999999999</c:v>
                </c:pt>
                <c:pt idx="85">
                  <c:v>3.956</c:v>
                </c:pt>
                <c:pt idx="86">
                  <c:v>2.6520000000000001</c:v>
                </c:pt>
                <c:pt idx="87">
                  <c:v>5.7430000000000003</c:v>
                </c:pt>
                <c:pt idx="88">
                  <c:v>6.3079999999999998</c:v>
                </c:pt>
                <c:pt idx="89">
                  <c:v>6.33</c:v>
                </c:pt>
                <c:pt idx="90">
                  <c:v>7.7510000000000003</c:v>
                </c:pt>
                <c:pt idx="91">
                  <c:v>10.29</c:v>
                </c:pt>
                <c:pt idx="92">
                  <c:v>1.841</c:v>
                </c:pt>
                <c:pt idx="93">
                  <c:v>4.6429999999999998</c:v>
                </c:pt>
                <c:pt idx="94">
                  <c:v>0.56499999999999995</c:v>
                </c:pt>
                <c:pt idx="95">
                  <c:v>-0.67100000000000004</c:v>
                </c:pt>
                <c:pt idx="96">
                  <c:v>1.9470000000000001</c:v>
                </c:pt>
                <c:pt idx="97">
                  <c:v>0.71399999999999997</c:v>
                </c:pt>
                <c:pt idx="98">
                  <c:v>0.88300000000000001</c:v>
                </c:pt>
                <c:pt idx="99">
                  <c:v>-1.6719999999999999</c:v>
                </c:pt>
                <c:pt idx="100">
                  <c:v>9.7000000000000003E-2</c:v>
                </c:pt>
                <c:pt idx="101">
                  <c:v>1.48</c:v>
                </c:pt>
                <c:pt idx="102">
                  <c:v>-0.90400000000000003</c:v>
                </c:pt>
                <c:pt idx="103">
                  <c:v>0.52200000000000002</c:v>
                </c:pt>
                <c:pt idx="104">
                  <c:v>0.628</c:v>
                </c:pt>
                <c:pt idx="105">
                  <c:v>3.8069999999999999</c:v>
                </c:pt>
                <c:pt idx="106">
                  <c:v>5.117</c:v>
                </c:pt>
                <c:pt idx="107">
                  <c:v>4.2789999999999999</c:v>
                </c:pt>
                <c:pt idx="108">
                  <c:v>4.7939999999999996</c:v>
                </c:pt>
                <c:pt idx="109">
                  <c:v>5.0739999999999998</c:v>
                </c:pt>
                <c:pt idx="110">
                  <c:v>10.18</c:v>
                </c:pt>
                <c:pt idx="111">
                  <c:v>5.3970000000000002</c:v>
                </c:pt>
                <c:pt idx="112">
                  <c:v>6.33</c:v>
                </c:pt>
                <c:pt idx="113">
                  <c:v>5.7649999999999997</c:v>
                </c:pt>
                <c:pt idx="114">
                  <c:v>8.81</c:v>
                </c:pt>
                <c:pt idx="115">
                  <c:v>7.399</c:v>
                </c:pt>
                <c:pt idx="116">
                  <c:v>-2.3570000000000002</c:v>
                </c:pt>
                <c:pt idx="117">
                  <c:v>3.0139999999999998</c:v>
                </c:pt>
                <c:pt idx="118">
                  <c:v>1.6919999999999999</c:v>
                </c:pt>
                <c:pt idx="119">
                  <c:v>4.6429999999999998</c:v>
                </c:pt>
                <c:pt idx="120">
                  <c:v>4.8369999999999997</c:v>
                </c:pt>
                <c:pt idx="121">
                  <c:v>5.16</c:v>
                </c:pt>
                <c:pt idx="122">
                  <c:v>10.27</c:v>
                </c:pt>
                <c:pt idx="123">
                  <c:v>10.31</c:v>
                </c:pt>
                <c:pt idx="124">
                  <c:v>9.64</c:v>
                </c:pt>
                <c:pt idx="125">
                  <c:v>11.68</c:v>
                </c:pt>
                <c:pt idx="126">
                  <c:v>11.45</c:v>
                </c:pt>
                <c:pt idx="127">
                  <c:v>11.4</c:v>
                </c:pt>
                <c:pt idx="128">
                  <c:v>13.97</c:v>
                </c:pt>
                <c:pt idx="129">
                  <c:v>16.190000000000001</c:v>
                </c:pt>
                <c:pt idx="130">
                  <c:v>17.21</c:v>
                </c:pt>
                <c:pt idx="131">
                  <c:v>15.39</c:v>
                </c:pt>
                <c:pt idx="132">
                  <c:v>13.14</c:v>
                </c:pt>
                <c:pt idx="133">
                  <c:v>7.4640000000000004</c:v>
                </c:pt>
                <c:pt idx="134">
                  <c:v>11.27</c:v>
                </c:pt>
                <c:pt idx="135">
                  <c:v>7.444</c:v>
                </c:pt>
                <c:pt idx="136">
                  <c:v>4.2990000000000004</c:v>
                </c:pt>
                <c:pt idx="137">
                  <c:v>6.1559999999999997</c:v>
                </c:pt>
                <c:pt idx="138">
                  <c:v>7.51</c:v>
                </c:pt>
                <c:pt idx="139">
                  <c:v>8.3699999999999992</c:v>
                </c:pt>
                <c:pt idx="140">
                  <c:v>6.8970000000000002</c:v>
                </c:pt>
                <c:pt idx="141">
                  <c:v>12.19</c:v>
                </c:pt>
                <c:pt idx="142">
                  <c:v>14.85</c:v>
                </c:pt>
                <c:pt idx="143">
                  <c:v>13.87</c:v>
                </c:pt>
                <c:pt idx="144">
                  <c:v>6.4610000000000003</c:v>
                </c:pt>
                <c:pt idx="145">
                  <c:v>12.21</c:v>
                </c:pt>
                <c:pt idx="146">
                  <c:v>18.84</c:v>
                </c:pt>
                <c:pt idx="147">
                  <c:v>20.45</c:v>
                </c:pt>
                <c:pt idx="148">
                  <c:v>21.97</c:v>
                </c:pt>
                <c:pt idx="149">
                  <c:v>17.36</c:v>
                </c:pt>
                <c:pt idx="150">
                  <c:v>18.559999999999999</c:v>
                </c:pt>
                <c:pt idx="151">
                  <c:v>22.67</c:v>
                </c:pt>
                <c:pt idx="152">
                  <c:v>23.61</c:v>
                </c:pt>
                <c:pt idx="153">
                  <c:v>16.09</c:v>
                </c:pt>
                <c:pt idx="154">
                  <c:v>16.12</c:v>
                </c:pt>
                <c:pt idx="155">
                  <c:v>11.63</c:v>
                </c:pt>
                <c:pt idx="156">
                  <c:v>6.7210000000000001</c:v>
                </c:pt>
                <c:pt idx="157">
                  <c:v>4.1070000000000002</c:v>
                </c:pt>
                <c:pt idx="158">
                  <c:v>5.68</c:v>
                </c:pt>
                <c:pt idx="159">
                  <c:v>13.73</c:v>
                </c:pt>
                <c:pt idx="160">
                  <c:v>11.08</c:v>
                </c:pt>
                <c:pt idx="161">
                  <c:v>20.34</c:v>
                </c:pt>
                <c:pt idx="162">
                  <c:v>23.12</c:v>
                </c:pt>
                <c:pt idx="163">
                  <c:v>21.29</c:v>
                </c:pt>
                <c:pt idx="164">
                  <c:v>20.72</c:v>
                </c:pt>
                <c:pt idx="165">
                  <c:v>23.15</c:v>
                </c:pt>
                <c:pt idx="166">
                  <c:v>18.2</c:v>
                </c:pt>
                <c:pt idx="167">
                  <c:v>23.78</c:v>
                </c:pt>
                <c:pt idx="168">
                  <c:v>18.97</c:v>
                </c:pt>
                <c:pt idx="169">
                  <c:v>4.6429999999999998</c:v>
                </c:pt>
                <c:pt idx="170">
                  <c:v>0.35199999999999998</c:v>
                </c:pt>
                <c:pt idx="171">
                  <c:v>14.21</c:v>
                </c:pt>
                <c:pt idx="172">
                  <c:v>13.8</c:v>
                </c:pt>
                <c:pt idx="173">
                  <c:v>10.74</c:v>
                </c:pt>
                <c:pt idx="174">
                  <c:v>9.3000000000000007</c:v>
                </c:pt>
                <c:pt idx="175">
                  <c:v>11.38</c:v>
                </c:pt>
                <c:pt idx="176">
                  <c:v>16.86</c:v>
                </c:pt>
                <c:pt idx="177">
                  <c:v>11.84</c:v>
                </c:pt>
                <c:pt idx="178">
                  <c:v>12.21</c:v>
                </c:pt>
                <c:pt idx="179">
                  <c:v>10.45</c:v>
                </c:pt>
                <c:pt idx="180">
                  <c:v>16.22</c:v>
                </c:pt>
                <c:pt idx="181">
                  <c:v>19.36</c:v>
                </c:pt>
                <c:pt idx="182">
                  <c:v>12.79</c:v>
                </c:pt>
                <c:pt idx="183">
                  <c:v>17.66</c:v>
                </c:pt>
                <c:pt idx="184">
                  <c:v>12.16</c:v>
                </c:pt>
                <c:pt idx="185">
                  <c:v>12.19</c:v>
                </c:pt>
                <c:pt idx="186">
                  <c:v>12.07</c:v>
                </c:pt>
                <c:pt idx="187">
                  <c:v>13.56</c:v>
                </c:pt>
                <c:pt idx="188">
                  <c:v>13.33</c:v>
                </c:pt>
                <c:pt idx="189">
                  <c:v>16.41</c:v>
                </c:pt>
                <c:pt idx="190">
                  <c:v>15.77</c:v>
                </c:pt>
                <c:pt idx="191">
                  <c:v>14.25</c:v>
                </c:pt>
                <c:pt idx="192">
                  <c:v>17.64</c:v>
                </c:pt>
                <c:pt idx="193">
                  <c:v>18.43</c:v>
                </c:pt>
                <c:pt idx="194">
                  <c:v>15.46</c:v>
                </c:pt>
                <c:pt idx="195">
                  <c:v>15.8</c:v>
                </c:pt>
                <c:pt idx="196">
                  <c:v>13.8</c:v>
                </c:pt>
                <c:pt idx="197">
                  <c:v>10.4</c:v>
                </c:pt>
                <c:pt idx="198">
                  <c:v>9.64</c:v>
                </c:pt>
                <c:pt idx="199">
                  <c:v>10.25</c:v>
                </c:pt>
                <c:pt idx="200">
                  <c:v>13.16</c:v>
                </c:pt>
                <c:pt idx="201">
                  <c:v>21.42</c:v>
                </c:pt>
                <c:pt idx="202">
                  <c:v>24.48</c:v>
                </c:pt>
                <c:pt idx="203">
                  <c:v>20.96</c:v>
                </c:pt>
                <c:pt idx="204">
                  <c:v>11.24</c:v>
                </c:pt>
                <c:pt idx="205">
                  <c:v>19.13</c:v>
                </c:pt>
                <c:pt idx="206">
                  <c:v>24.92</c:v>
                </c:pt>
                <c:pt idx="207">
                  <c:v>17.059999999999999</c:v>
                </c:pt>
                <c:pt idx="208">
                  <c:v>18.38</c:v>
                </c:pt>
                <c:pt idx="209">
                  <c:v>23.01</c:v>
                </c:pt>
                <c:pt idx="210">
                  <c:v>20.18</c:v>
                </c:pt>
                <c:pt idx="211">
                  <c:v>21.26</c:v>
                </c:pt>
                <c:pt idx="212">
                  <c:v>21.92</c:v>
                </c:pt>
                <c:pt idx="213">
                  <c:v>19.34</c:v>
                </c:pt>
                <c:pt idx="214">
                  <c:v>17.46</c:v>
                </c:pt>
                <c:pt idx="215">
                  <c:v>19.73</c:v>
                </c:pt>
                <c:pt idx="216">
                  <c:v>23.81</c:v>
                </c:pt>
                <c:pt idx="217">
                  <c:v>26.47</c:v>
                </c:pt>
                <c:pt idx="218">
                  <c:v>26.62</c:v>
                </c:pt>
                <c:pt idx="219">
                  <c:v>25.4</c:v>
                </c:pt>
                <c:pt idx="220">
                  <c:v>22.56</c:v>
                </c:pt>
                <c:pt idx="221">
                  <c:v>15.55</c:v>
                </c:pt>
                <c:pt idx="222">
                  <c:v>9.39</c:v>
                </c:pt>
                <c:pt idx="223">
                  <c:v>16.66</c:v>
                </c:pt>
                <c:pt idx="224">
                  <c:v>15.53</c:v>
                </c:pt>
                <c:pt idx="225">
                  <c:v>18.38</c:v>
                </c:pt>
                <c:pt idx="226">
                  <c:v>18.559999999999999</c:v>
                </c:pt>
                <c:pt idx="227">
                  <c:v>12.23</c:v>
                </c:pt>
                <c:pt idx="228">
                  <c:v>14.23</c:v>
                </c:pt>
                <c:pt idx="229">
                  <c:v>20.29</c:v>
                </c:pt>
                <c:pt idx="230">
                  <c:v>19.47</c:v>
                </c:pt>
                <c:pt idx="231">
                  <c:v>23.9</c:v>
                </c:pt>
                <c:pt idx="232">
                  <c:v>17.059999999999999</c:v>
                </c:pt>
                <c:pt idx="233">
                  <c:v>16.09</c:v>
                </c:pt>
                <c:pt idx="234">
                  <c:v>11.13</c:v>
                </c:pt>
                <c:pt idx="235">
                  <c:v>13.61</c:v>
                </c:pt>
                <c:pt idx="236">
                  <c:v>10.27</c:v>
                </c:pt>
                <c:pt idx="237">
                  <c:v>13.73</c:v>
                </c:pt>
                <c:pt idx="238">
                  <c:v>22.03</c:v>
                </c:pt>
                <c:pt idx="239">
                  <c:v>22.08</c:v>
                </c:pt>
                <c:pt idx="240">
                  <c:v>23.12</c:v>
                </c:pt>
                <c:pt idx="241">
                  <c:v>18.690000000000001</c:v>
                </c:pt>
                <c:pt idx="242">
                  <c:v>19.47</c:v>
                </c:pt>
                <c:pt idx="243">
                  <c:v>19.100000000000001</c:v>
                </c:pt>
                <c:pt idx="244">
                  <c:v>18.71</c:v>
                </c:pt>
                <c:pt idx="245">
                  <c:v>23.78</c:v>
                </c:pt>
                <c:pt idx="246">
                  <c:v>17.46</c:v>
                </c:pt>
                <c:pt idx="247">
                  <c:v>23.01</c:v>
                </c:pt>
                <c:pt idx="248">
                  <c:v>22</c:v>
                </c:pt>
                <c:pt idx="249">
                  <c:v>19.13</c:v>
                </c:pt>
                <c:pt idx="250">
                  <c:v>10.61</c:v>
                </c:pt>
                <c:pt idx="251">
                  <c:v>9.39</c:v>
                </c:pt>
                <c:pt idx="252">
                  <c:v>10.45</c:v>
                </c:pt>
                <c:pt idx="253">
                  <c:v>10.81</c:v>
                </c:pt>
                <c:pt idx="254">
                  <c:v>13.78</c:v>
                </c:pt>
                <c:pt idx="255">
                  <c:v>9.2799999999999994</c:v>
                </c:pt>
                <c:pt idx="256">
                  <c:v>8.8800000000000008</c:v>
                </c:pt>
                <c:pt idx="257">
                  <c:v>6.0679999999999996</c:v>
                </c:pt>
                <c:pt idx="258">
                  <c:v>6.5039999999999996</c:v>
                </c:pt>
                <c:pt idx="259">
                  <c:v>4.5789999999999997</c:v>
                </c:pt>
                <c:pt idx="260">
                  <c:v>5.7880000000000003</c:v>
                </c:pt>
                <c:pt idx="261">
                  <c:v>7.8390000000000004</c:v>
                </c:pt>
                <c:pt idx="262">
                  <c:v>6.6559999999999997</c:v>
                </c:pt>
                <c:pt idx="263">
                  <c:v>15.39</c:v>
                </c:pt>
                <c:pt idx="264">
                  <c:v>7.774</c:v>
                </c:pt>
                <c:pt idx="265">
                  <c:v>4.9020000000000001</c:v>
                </c:pt>
                <c:pt idx="266">
                  <c:v>8.59</c:v>
                </c:pt>
                <c:pt idx="267">
                  <c:v>6.1130000000000004</c:v>
                </c:pt>
                <c:pt idx="268">
                  <c:v>5.9820000000000002</c:v>
                </c:pt>
                <c:pt idx="269">
                  <c:v>0.13800000000000001</c:v>
                </c:pt>
                <c:pt idx="270">
                  <c:v>-1.46</c:v>
                </c:pt>
                <c:pt idx="271">
                  <c:v>-2.5920000000000001</c:v>
                </c:pt>
                <c:pt idx="272">
                  <c:v>-0.47899999999999998</c:v>
                </c:pt>
                <c:pt idx="273">
                  <c:v>2.46</c:v>
                </c:pt>
                <c:pt idx="274">
                  <c:v>1.288</c:v>
                </c:pt>
                <c:pt idx="275">
                  <c:v>1.159</c:v>
                </c:pt>
                <c:pt idx="276">
                  <c:v>1.7549999999999999</c:v>
                </c:pt>
                <c:pt idx="277">
                  <c:v>2.0529999999999999</c:v>
                </c:pt>
                <c:pt idx="278">
                  <c:v>4.2359999999999998</c:v>
                </c:pt>
                <c:pt idx="279">
                  <c:v>3.1850000000000001</c:v>
                </c:pt>
                <c:pt idx="280">
                  <c:v>0.98899999999999999</c:v>
                </c:pt>
                <c:pt idx="281">
                  <c:v>-3.7080000000000002</c:v>
                </c:pt>
                <c:pt idx="282">
                  <c:v>2.5870000000000002</c:v>
                </c:pt>
                <c:pt idx="283">
                  <c:v>3.569</c:v>
                </c:pt>
                <c:pt idx="284">
                  <c:v>3.3570000000000002</c:v>
                </c:pt>
                <c:pt idx="285">
                  <c:v>0.223</c:v>
                </c:pt>
                <c:pt idx="286">
                  <c:v>3.0790000000000002</c:v>
                </c:pt>
                <c:pt idx="287">
                  <c:v>0.309</c:v>
                </c:pt>
                <c:pt idx="288">
                  <c:v>2.0760000000000001</c:v>
                </c:pt>
                <c:pt idx="289">
                  <c:v>1.5429999999999999</c:v>
                </c:pt>
                <c:pt idx="290">
                  <c:v>-0.18099999999999999</c:v>
                </c:pt>
                <c:pt idx="291">
                  <c:v>1.0960000000000001</c:v>
                </c:pt>
                <c:pt idx="292">
                  <c:v>-1.821</c:v>
                </c:pt>
                <c:pt idx="293">
                  <c:v>-0.67100000000000004</c:v>
                </c:pt>
                <c:pt idx="294">
                  <c:v>1.821</c:v>
                </c:pt>
                <c:pt idx="295">
                  <c:v>1.5649999999999999</c:v>
                </c:pt>
                <c:pt idx="296">
                  <c:v>7.5750000000000002</c:v>
                </c:pt>
                <c:pt idx="297">
                  <c:v>4.4279999999999999</c:v>
                </c:pt>
                <c:pt idx="298">
                  <c:v>-2.5259999999999998</c:v>
                </c:pt>
                <c:pt idx="299">
                  <c:v>-2.6549999999999998</c:v>
                </c:pt>
                <c:pt idx="300">
                  <c:v>-5.1989999999999998</c:v>
                </c:pt>
                <c:pt idx="301">
                  <c:v>-4.7220000000000004</c:v>
                </c:pt>
                <c:pt idx="302">
                  <c:v>-0.58499999999999996</c:v>
                </c:pt>
                <c:pt idx="303">
                  <c:v>-0.77700000000000002</c:v>
                </c:pt>
                <c:pt idx="304">
                  <c:v>3.0990000000000002</c:v>
                </c:pt>
                <c:pt idx="305">
                  <c:v>4.7709999999999999</c:v>
                </c:pt>
                <c:pt idx="306">
                  <c:v>2.1190000000000002</c:v>
                </c:pt>
                <c:pt idx="307">
                  <c:v>6.5469999999999997</c:v>
                </c:pt>
                <c:pt idx="308">
                  <c:v>4.3650000000000002</c:v>
                </c:pt>
                <c:pt idx="309">
                  <c:v>2.2879999999999998</c:v>
                </c:pt>
                <c:pt idx="310">
                  <c:v>3.7210000000000001</c:v>
                </c:pt>
                <c:pt idx="311">
                  <c:v>5.4630000000000001</c:v>
                </c:pt>
                <c:pt idx="312">
                  <c:v>3.42</c:v>
                </c:pt>
                <c:pt idx="313">
                  <c:v>0.52200000000000002</c:v>
                </c:pt>
                <c:pt idx="314">
                  <c:v>-0.88400000000000001</c:v>
                </c:pt>
                <c:pt idx="315">
                  <c:v>-0.86099999999999999</c:v>
                </c:pt>
                <c:pt idx="316">
                  <c:v>1.33</c:v>
                </c:pt>
                <c:pt idx="317">
                  <c:v>-0.90400000000000003</c:v>
                </c:pt>
                <c:pt idx="318">
                  <c:v>-0.45700000000000002</c:v>
                </c:pt>
                <c:pt idx="319">
                  <c:v>-1.97</c:v>
                </c:pt>
                <c:pt idx="320">
                  <c:v>1.97</c:v>
                </c:pt>
                <c:pt idx="321">
                  <c:v>1.1379999999999999</c:v>
                </c:pt>
                <c:pt idx="322">
                  <c:v>-1.5660000000000001</c:v>
                </c:pt>
                <c:pt idx="323">
                  <c:v>-4.7220000000000004</c:v>
                </c:pt>
                <c:pt idx="324">
                  <c:v>1.97</c:v>
                </c:pt>
                <c:pt idx="325">
                  <c:v>1.629</c:v>
                </c:pt>
                <c:pt idx="326">
                  <c:v>-0.33</c:v>
                </c:pt>
                <c:pt idx="327">
                  <c:v>-1.7150000000000001</c:v>
                </c:pt>
                <c:pt idx="328">
                  <c:v>-6.0049999999999999</c:v>
                </c:pt>
                <c:pt idx="329">
                  <c:v>-7.415</c:v>
                </c:pt>
                <c:pt idx="330">
                  <c:v>-10.23</c:v>
                </c:pt>
                <c:pt idx="331">
                  <c:v>-9.8699999999999992</c:v>
                </c:pt>
                <c:pt idx="332">
                  <c:v>-8.7100000000000009</c:v>
                </c:pt>
                <c:pt idx="333">
                  <c:v>-5.8090000000000002</c:v>
                </c:pt>
                <c:pt idx="334">
                  <c:v>-6.8639999999999999</c:v>
                </c:pt>
                <c:pt idx="335">
                  <c:v>-2.4630000000000001</c:v>
                </c:pt>
                <c:pt idx="336">
                  <c:v>0.45800000000000002</c:v>
                </c:pt>
                <c:pt idx="337">
                  <c:v>-0.41599999999999998</c:v>
                </c:pt>
                <c:pt idx="338">
                  <c:v>-2.9119999999999999</c:v>
                </c:pt>
                <c:pt idx="339">
                  <c:v>-1.0329999999999999</c:v>
                </c:pt>
                <c:pt idx="340">
                  <c:v>-1.629</c:v>
                </c:pt>
                <c:pt idx="341">
                  <c:v>-2.5059999999999998</c:v>
                </c:pt>
                <c:pt idx="342">
                  <c:v>-2.4630000000000001</c:v>
                </c:pt>
                <c:pt idx="343">
                  <c:v>-0.94699999999999995</c:v>
                </c:pt>
                <c:pt idx="344">
                  <c:v>-3.536</c:v>
                </c:pt>
                <c:pt idx="345">
                  <c:v>-4.0739999999999998</c:v>
                </c:pt>
                <c:pt idx="346">
                  <c:v>-4.2450000000000001</c:v>
                </c:pt>
                <c:pt idx="347">
                  <c:v>-6.0049999999999999</c:v>
                </c:pt>
                <c:pt idx="348">
                  <c:v>-8.0399999999999991</c:v>
                </c:pt>
                <c:pt idx="349">
                  <c:v>-4.6360000000000001</c:v>
                </c:pt>
                <c:pt idx="350">
                  <c:v>-4.2679999999999998</c:v>
                </c:pt>
                <c:pt idx="351">
                  <c:v>-7.327</c:v>
                </c:pt>
                <c:pt idx="352">
                  <c:v>-5.7430000000000003</c:v>
                </c:pt>
                <c:pt idx="353">
                  <c:v>-0.84099999999999997</c:v>
                </c:pt>
                <c:pt idx="354">
                  <c:v>-0.41599999999999998</c:v>
                </c:pt>
                <c:pt idx="355">
                  <c:v>-4.9160000000000004</c:v>
                </c:pt>
                <c:pt idx="356">
                  <c:v>-5.0039999999999996</c:v>
                </c:pt>
                <c:pt idx="357">
                  <c:v>-5.7880000000000003</c:v>
                </c:pt>
                <c:pt idx="358">
                  <c:v>-5.8540000000000001</c:v>
                </c:pt>
                <c:pt idx="359">
                  <c:v>-7.7039999999999997</c:v>
                </c:pt>
                <c:pt idx="360">
                  <c:v>-6.7960000000000003</c:v>
                </c:pt>
                <c:pt idx="361">
                  <c:v>-3.0640000000000001</c:v>
                </c:pt>
                <c:pt idx="362">
                  <c:v>-1.9930000000000001</c:v>
                </c:pt>
                <c:pt idx="363">
                  <c:v>-2.0790000000000002</c:v>
                </c:pt>
                <c:pt idx="364">
                  <c:v>-2.2709999999999999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Data!$F$6:$F$370</c:f>
              <c:numCache>
                <c:formatCode>General</c:formatCode>
                <c:ptCount val="365"/>
                <c:pt idx="0">
                  <c:v>-9.32</c:v>
                </c:pt>
                <c:pt idx="1">
                  <c:v>-7.9930000000000003</c:v>
                </c:pt>
                <c:pt idx="2">
                  <c:v>-7.7270000000000003</c:v>
                </c:pt>
                <c:pt idx="3">
                  <c:v>-5.94</c:v>
                </c:pt>
                <c:pt idx="4">
                  <c:v>-5.9189999999999996</c:v>
                </c:pt>
                <c:pt idx="5">
                  <c:v>-9.66</c:v>
                </c:pt>
                <c:pt idx="6">
                  <c:v>-13.86</c:v>
                </c:pt>
                <c:pt idx="7">
                  <c:v>-14.84</c:v>
                </c:pt>
                <c:pt idx="8">
                  <c:v>-8.92</c:v>
                </c:pt>
                <c:pt idx="9">
                  <c:v>-4.3330000000000002</c:v>
                </c:pt>
                <c:pt idx="10">
                  <c:v>-5.0039999999999996</c:v>
                </c:pt>
                <c:pt idx="11">
                  <c:v>-5.0250000000000004</c:v>
                </c:pt>
                <c:pt idx="12">
                  <c:v>-5.2210000000000001</c:v>
                </c:pt>
                <c:pt idx="13">
                  <c:v>-4.2249999999999996</c:v>
                </c:pt>
                <c:pt idx="14">
                  <c:v>-6.907</c:v>
                </c:pt>
                <c:pt idx="15">
                  <c:v>-7.0830000000000002</c:v>
                </c:pt>
                <c:pt idx="16">
                  <c:v>-5.2640000000000002</c:v>
                </c:pt>
                <c:pt idx="17">
                  <c:v>-5.6779999999999999</c:v>
                </c:pt>
                <c:pt idx="18">
                  <c:v>-6.8410000000000002</c:v>
                </c:pt>
                <c:pt idx="19">
                  <c:v>-9.2799999999999994</c:v>
                </c:pt>
                <c:pt idx="20">
                  <c:v>-10.35</c:v>
                </c:pt>
                <c:pt idx="21">
                  <c:v>-9.7799999999999994</c:v>
                </c:pt>
                <c:pt idx="22">
                  <c:v>-8.19</c:v>
                </c:pt>
                <c:pt idx="23">
                  <c:v>-7.0830000000000002</c:v>
                </c:pt>
                <c:pt idx="24">
                  <c:v>-5.4180000000000001</c:v>
                </c:pt>
                <c:pt idx="25">
                  <c:v>-2.7410000000000001</c:v>
                </c:pt>
                <c:pt idx="26">
                  <c:v>-8.8000000000000007</c:v>
                </c:pt>
                <c:pt idx="27">
                  <c:v>-10.44</c:v>
                </c:pt>
                <c:pt idx="28">
                  <c:v>-9.43</c:v>
                </c:pt>
                <c:pt idx="29">
                  <c:v>-6.27</c:v>
                </c:pt>
                <c:pt idx="30">
                  <c:v>-1.758</c:v>
                </c:pt>
                <c:pt idx="31">
                  <c:v>-3.5129999999999999</c:v>
                </c:pt>
                <c:pt idx="32">
                  <c:v>-7.3949999999999996</c:v>
                </c:pt>
                <c:pt idx="33">
                  <c:v>-18.829999999999998</c:v>
                </c:pt>
                <c:pt idx="34">
                  <c:v>-25.06</c:v>
                </c:pt>
                <c:pt idx="35">
                  <c:v>-22.31</c:v>
                </c:pt>
                <c:pt idx="36">
                  <c:v>-23.13</c:v>
                </c:pt>
                <c:pt idx="37">
                  <c:v>-17.170000000000002</c:v>
                </c:pt>
                <c:pt idx="38">
                  <c:v>-18.670000000000002</c:v>
                </c:pt>
                <c:pt idx="39">
                  <c:v>-20.95</c:v>
                </c:pt>
                <c:pt idx="40">
                  <c:v>-20.92</c:v>
                </c:pt>
                <c:pt idx="41">
                  <c:v>-20.95</c:v>
                </c:pt>
                <c:pt idx="42">
                  <c:v>-15.42</c:v>
                </c:pt>
                <c:pt idx="43">
                  <c:v>-13.22</c:v>
                </c:pt>
                <c:pt idx="44">
                  <c:v>-13.05</c:v>
                </c:pt>
                <c:pt idx="45">
                  <c:v>-7.86</c:v>
                </c:pt>
                <c:pt idx="46">
                  <c:v>-8.5299999999999994</c:v>
                </c:pt>
                <c:pt idx="47">
                  <c:v>-15.49</c:v>
                </c:pt>
                <c:pt idx="48">
                  <c:v>-17.3</c:v>
                </c:pt>
                <c:pt idx="49">
                  <c:v>-11.32</c:v>
                </c:pt>
                <c:pt idx="50">
                  <c:v>-11</c:v>
                </c:pt>
                <c:pt idx="51">
                  <c:v>-12.58</c:v>
                </c:pt>
                <c:pt idx="52">
                  <c:v>-12.53</c:v>
                </c:pt>
                <c:pt idx="53">
                  <c:v>-10.93</c:v>
                </c:pt>
                <c:pt idx="54">
                  <c:v>-13.15</c:v>
                </c:pt>
                <c:pt idx="55">
                  <c:v>-17.670000000000002</c:v>
                </c:pt>
                <c:pt idx="56">
                  <c:v>-20.11</c:v>
                </c:pt>
                <c:pt idx="57">
                  <c:v>-16.829999999999998</c:v>
                </c:pt>
                <c:pt idx="58">
                  <c:v>-10.88</c:v>
                </c:pt>
                <c:pt idx="59">
                  <c:v>-11.58</c:v>
                </c:pt>
                <c:pt idx="60">
                  <c:v>-17.059999999999999</c:v>
                </c:pt>
                <c:pt idx="61">
                  <c:v>-19.329999999999998</c:v>
                </c:pt>
                <c:pt idx="62">
                  <c:v>-19.690000000000001</c:v>
                </c:pt>
                <c:pt idx="63">
                  <c:v>-15.32</c:v>
                </c:pt>
                <c:pt idx="64">
                  <c:v>-8.42</c:v>
                </c:pt>
                <c:pt idx="65">
                  <c:v>-11.07</c:v>
                </c:pt>
                <c:pt idx="66">
                  <c:v>-14.05</c:v>
                </c:pt>
                <c:pt idx="67">
                  <c:v>-12.58</c:v>
                </c:pt>
                <c:pt idx="68">
                  <c:v>-13.63</c:v>
                </c:pt>
                <c:pt idx="69">
                  <c:v>-10.26</c:v>
                </c:pt>
                <c:pt idx="70">
                  <c:v>-9.85</c:v>
                </c:pt>
                <c:pt idx="71">
                  <c:v>-11.16</c:v>
                </c:pt>
                <c:pt idx="72">
                  <c:v>-9.89</c:v>
                </c:pt>
                <c:pt idx="73">
                  <c:v>-5.8970000000000002</c:v>
                </c:pt>
                <c:pt idx="74">
                  <c:v>-5.6349999999999998</c:v>
                </c:pt>
                <c:pt idx="75">
                  <c:v>-3.17</c:v>
                </c:pt>
                <c:pt idx="76">
                  <c:v>-2.2909999999999999</c:v>
                </c:pt>
                <c:pt idx="77">
                  <c:v>9.7000000000000003E-2</c:v>
                </c:pt>
                <c:pt idx="78">
                  <c:v>2.0529999999999999</c:v>
                </c:pt>
                <c:pt idx="79">
                  <c:v>1.5229999999999999</c:v>
                </c:pt>
                <c:pt idx="80">
                  <c:v>0.82</c:v>
                </c:pt>
                <c:pt idx="81">
                  <c:v>-0.20100000000000001</c:v>
                </c:pt>
                <c:pt idx="82">
                  <c:v>-0.28699999999999998</c:v>
                </c:pt>
                <c:pt idx="83">
                  <c:v>-1.5</c:v>
                </c:pt>
                <c:pt idx="84">
                  <c:v>-5.09</c:v>
                </c:pt>
                <c:pt idx="85">
                  <c:v>-7.1509999999999998</c:v>
                </c:pt>
                <c:pt idx="86">
                  <c:v>-5.1130000000000004</c:v>
                </c:pt>
                <c:pt idx="87">
                  <c:v>-3.4929999999999999</c:v>
                </c:pt>
                <c:pt idx="88">
                  <c:v>-2.8919999999999999</c:v>
                </c:pt>
                <c:pt idx="89">
                  <c:v>-2.2480000000000002</c:v>
                </c:pt>
                <c:pt idx="90">
                  <c:v>-3.45</c:v>
                </c:pt>
                <c:pt idx="91">
                  <c:v>-3.5790000000000002</c:v>
                </c:pt>
                <c:pt idx="92">
                  <c:v>-1.417</c:v>
                </c:pt>
                <c:pt idx="93">
                  <c:v>-2.4630000000000001</c:v>
                </c:pt>
                <c:pt idx="94">
                  <c:v>-2.7629999999999999</c:v>
                </c:pt>
                <c:pt idx="95">
                  <c:v>-4.8959999999999999</c:v>
                </c:pt>
                <c:pt idx="96">
                  <c:v>-4.2450000000000001</c:v>
                </c:pt>
                <c:pt idx="97">
                  <c:v>-5.94</c:v>
                </c:pt>
                <c:pt idx="98">
                  <c:v>-2.4</c:v>
                </c:pt>
                <c:pt idx="99">
                  <c:v>-4.3970000000000002</c:v>
                </c:pt>
                <c:pt idx="100">
                  <c:v>-5.5919999999999996</c:v>
                </c:pt>
                <c:pt idx="101">
                  <c:v>-5.94</c:v>
                </c:pt>
                <c:pt idx="102">
                  <c:v>-5.2439999999999998</c:v>
                </c:pt>
                <c:pt idx="103">
                  <c:v>-6.0279999999999996</c:v>
                </c:pt>
                <c:pt idx="104">
                  <c:v>-8.08</c:v>
                </c:pt>
                <c:pt idx="105">
                  <c:v>-6.1159999999999997</c:v>
                </c:pt>
                <c:pt idx="106">
                  <c:v>-2.2480000000000002</c:v>
                </c:pt>
                <c:pt idx="107">
                  <c:v>1.0999999999999999E-2</c:v>
                </c:pt>
                <c:pt idx="108">
                  <c:v>-0.35</c:v>
                </c:pt>
                <c:pt idx="109">
                  <c:v>-2.5920000000000001</c:v>
                </c:pt>
                <c:pt idx="110">
                  <c:v>-2.9350000000000001</c:v>
                </c:pt>
                <c:pt idx="111">
                  <c:v>-0.224</c:v>
                </c:pt>
                <c:pt idx="112">
                  <c:v>-2.6549999999999998</c:v>
                </c:pt>
                <c:pt idx="113">
                  <c:v>-2.8490000000000002</c:v>
                </c:pt>
                <c:pt idx="114">
                  <c:v>-4.0739999999999998</c:v>
                </c:pt>
                <c:pt idx="115">
                  <c:v>-2.3570000000000002</c:v>
                </c:pt>
                <c:pt idx="116">
                  <c:v>-5.8310000000000004</c:v>
                </c:pt>
                <c:pt idx="117">
                  <c:v>-6.6879999999999997</c:v>
                </c:pt>
                <c:pt idx="118">
                  <c:v>-7.0629999999999997</c:v>
                </c:pt>
                <c:pt idx="119">
                  <c:v>-6.4459999999999997</c:v>
                </c:pt>
                <c:pt idx="120">
                  <c:v>-3.1930000000000001</c:v>
                </c:pt>
                <c:pt idx="121">
                  <c:v>-3.15</c:v>
                </c:pt>
                <c:pt idx="122">
                  <c:v>-1.9930000000000001</c:v>
                </c:pt>
                <c:pt idx="123">
                  <c:v>1.1379999999999999</c:v>
                </c:pt>
                <c:pt idx="124">
                  <c:v>-0.73399999999999999</c:v>
                </c:pt>
                <c:pt idx="125">
                  <c:v>0.73399999999999999</c:v>
                </c:pt>
                <c:pt idx="126">
                  <c:v>0.98899999999999999</c:v>
                </c:pt>
                <c:pt idx="127">
                  <c:v>2.63</c:v>
                </c:pt>
                <c:pt idx="128">
                  <c:v>1.629</c:v>
                </c:pt>
                <c:pt idx="129">
                  <c:v>4.1929999999999996</c:v>
                </c:pt>
                <c:pt idx="130">
                  <c:v>6.5039999999999996</c:v>
                </c:pt>
                <c:pt idx="131">
                  <c:v>5.4630000000000001</c:v>
                </c:pt>
                <c:pt idx="132">
                  <c:v>3.3570000000000002</c:v>
                </c:pt>
                <c:pt idx="133">
                  <c:v>0.628</c:v>
                </c:pt>
                <c:pt idx="134">
                  <c:v>-0.39300000000000002</c:v>
                </c:pt>
                <c:pt idx="135">
                  <c:v>3.0569999999999999</c:v>
                </c:pt>
                <c:pt idx="136">
                  <c:v>5.3999999999999999E-2</c:v>
                </c:pt>
                <c:pt idx="137">
                  <c:v>-7.4999999999999997E-2</c:v>
                </c:pt>
                <c:pt idx="138">
                  <c:v>0.69099999999999995</c:v>
                </c:pt>
                <c:pt idx="139">
                  <c:v>-1.2E-2</c:v>
                </c:pt>
                <c:pt idx="140">
                  <c:v>0.45800000000000002</c:v>
                </c:pt>
                <c:pt idx="141">
                  <c:v>1.97</c:v>
                </c:pt>
                <c:pt idx="142">
                  <c:v>4.0419999999999998</c:v>
                </c:pt>
                <c:pt idx="143">
                  <c:v>3.7210000000000001</c:v>
                </c:pt>
                <c:pt idx="144">
                  <c:v>3.4430000000000001</c:v>
                </c:pt>
                <c:pt idx="145">
                  <c:v>2.8439999999999999</c:v>
                </c:pt>
                <c:pt idx="146">
                  <c:v>3.5489999999999999</c:v>
                </c:pt>
                <c:pt idx="147">
                  <c:v>7.1369999999999996</c:v>
                </c:pt>
                <c:pt idx="148">
                  <c:v>9.3000000000000007</c:v>
                </c:pt>
                <c:pt idx="149">
                  <c:v>9.64</c:v>
                </c:pt>
                <c:pt idx="150">
                  <c:v>8.39</c:v>
                </c:pt>
                <c:pt idx="151">
                  <c:v>7.444</c:v>
                </c:pt>
                <c:pt idx="152">
                  <c:v>7.2450000000000001</c:v>
                </c:pt>
                <c:pt idx="153">
                  <c:v>4.8369999999999997</c:v>
                </c:pt>
                <c:pt idx="154">
                  <c:v>1.821</c:v>
                </c:pt>
                <c:pt idx="155">
                  <c:v>2.395</c:v>
                </c:pt>
                <c:pt idx="156">
                  <c:v>-0.71199999999999997</c:v>
                </c:pt>
                <c:pt idx="157">
                  <c:v>-1.8009999999999999</c:v>
                </c:pt>
                <c:pt idx="158">
                  <c:v>-0.5</c:v>
                </c:pt>
                <c:pt idx="159">
                  <c:v>-0.33</c:v>
                </c:pt>
                <c:pt idx="160">
                  <c:v>2.758</c:v>
                </c:pt>
                <c:pt idx="161">
                  <c:v>5.8959999999999999</c:v>
                </c:pt>
                <c:pt idx="162">
                  <c:v>8.2799999999999994</c:v>
                </c:pt>
                <c:pt idx="163">
                  <c:v>9.59</c:v>
                </c:pt>
                <c:pt idx="164">
                  <c:v>6.9630000000000001</c:v>
                </c:pt>
                <c:pt idx="165">
                  <c:v>9.1</c:v>
                </c:pt>
                <c:pt idx="166">
                  <c:v>10.039999999999999</c:v>
                </c:pt>
                <c:pt idx="167">
                  <c:v>8.0399999999999991</c:v>
                </c:pt>
                <c:pt idx="168">
                  <c:v>4.5999999999999996</c:v>
                </c:pt>
                <c:pt idx="169">
                  <c:v>9.7000000000000003E-2</c:v>
                </c:pt>
                <c:pt idx="170">
                  <c:v>-0.39300000000000002</c:v>
                </c:pt>
                <c:pt idx="171">
                  <c:v>0.309</c:v>
                </c:pt>
                <c:pt idx="172">
                  <c:v>4.8159999999999998</c:v>
                </c:pt>
                <c:pt idx="173">
                  <c:v>3.3570000000000002</c:v>
                </c:pt>
                <c:pt idx="174">
                  <c:v>1.48</c:v>
                </c:pt>
                <c:pt idx="175">
                  <c:v>2.4169999999999998</c:v>
                </c:pt>
                <c:pt idx="176">
                  <c:v>3.956</c:v>
                </c:pt>
                <c:pt idx="177">
                  <c:v>3.0139999999999998</c:v>
                </c:pt>
                <c:pt idx="178">
                  <c:v>2.2679999999999998</c:v>
                </c:pt>
                <c:pt idx="179">
                  <c:v>1.032</c:v>
                </c:pt>
                <c:pt idx="180">
                  <c:v>4.3220000000000001</c:v>
                </c:pt>
                <c:pt idx="181">
                  <c:v>7.2249999999999996</c:v>
                </c:pt>
                <c:pt idx="182">
                  <c:v>7.532</c:v>
                </c:pt>
                <c:pt idx="183">
                  <c:v>5.7649999999999997</c:v>
                </c:pt>
                <c:pt idx="184">
                  <c:v>7.3559999999999999</c:v>
                </c:pt>
                <c:pt idx="185">
                  <c:v>5.9820000000000002</c:v>
                </c:pt>
                <c:pt idx="186">
                  <c:v>5.2249999999999996</c:v>
                </c:pt>
                <c:pt idx="187">
                  <c:v>4.4509999999999996</c:v>
                </c:pt>
                <c:pt idx="188">
                  <c:v>4.5789999999999997</c:v>
                </c:pt>
                <c:pt idx="189">
                  <c:v>6.94</c:v>
                </c:pt>
                <c:pt idx="190">
                  <c:v>7.7939999999999996</c:v>
                </c:pt>
                <c:pt idx="191">
                  <c:v>6.8970000000000002</c:v>
                </c:pt>
                <c:pt idx="192">
                  <c:v>6.1130000000000004</c:v>
                </c:pt>
                <c:pt idx="193">
                  <c:v>7.4210000000000003</c:v>
                </c:pt>
                <c:pt idx="194">
                  <c:v>7.0940000000000003</c:v>
                </c:pt>
                <c:pt idx="195">
                  <c:v>6.1559999999999997</c:v>
                </c:pt>
                <c:pt idx="196">
                  <c:v>5.96</c:v>
                </c:pt>
                <c:pt idx="197">
                  <c:v>6.4160000000000004</c:v>
                </c:pt>
                <c:pt idx="198">
                  <c:v>2.3519999999999999</c:v>
                </c:pt>
                <c:pt idx="199">
                  <c:v>1.798</c:v>
                </c:pt>
                <c:pt idx="200">
                  <c:v>4.4710000000000001</c:v>
                </c:pt>
                <c:pt idx="201">
                  <c:v>5.9390000000000001</c:v>
                </c:pt>
                <c:pt idx="202">
                  <c:v>11.22</c:v>
                </c:pt>
                <c:pt idx="203">
                  <c:v>9.3000000000000007</c:v>
                </c:pt>
                <c:pt idx="204">
                  <c:v>4.2990000000000004</c:v>
                </c:pt>
                <c:pt idx="205">
                  <c:v>3.827</c:v>
                </c:pt>
                <c:pt idx="206">
                  <c:v>8.61</c:v>
                </c:pt>
                <c:pt idx="207">
                  <c:v>6.766</c:v>
                </c:pt>
                <c:pt idx="208">
                  <c:v>5.0739999999999998</c:v>
                </c:pt>
                <c:pt idx="209">
                  <c:v>8.48</c:v>
                </c:pt>
                <c:pt idx="210">
                  <c:v>8.5500000000000007</c:v>
                </c:pt>
                <c:pt idx="211">
                  <c:v>7.9269999999999996</c:v>
                </c:pt>
                <c:pt idx="212">
                  <c:v>8.66</c:v>
                </c:pt>
                <c:pt idx="213">
                  <c:v>7.7510000000000003</c:v>
                </c:pt>
                <c:pt idx="214">
                  <c:v>5.0090000000000003</c:v>
                </c:pt>
                <c:pt idx="215">
                  <c:v>6.351</c:v>
                </c:pt>
                <c:pt idx="216">
                  <c:v>9.9700000000000006</c:v>
                </c:pt>
                <c:pt idx="217">
                  <c:v>12.37</c:v>
                </c:pt>
                <c:pt idx="218">
                  <c:v>14.25</c:v>
                </c:pt>
                <c:pt idx="219">
                  <c:v>13</c:v>
                </c:pt>
                <c:pt idx="220">
                  <c:v>12.39</c:v>
                </c:pt>
                <c:pt idx="221">
                  <c:v>9.41</c:v>
                </c:pt>
                <c:pt idx="222">
                  <c:v>6.048</c:v>
                </c:pt>
                <c:pt idx="223">
                  <c:v>5.4850000000000003</c:v>
                </c:pt>
                <c:pt idx="224">
                  <c:v>7.0709999999999997</c:v>
                </c:pt>
                <c:pt idx="225">
                  <c:v>7.7939999999999996</c:v>
                </c:pt>
                <c:pt idx="226">
                  <c:v>7.9269999999999996</c:v>
                </c:pt>
                <c:pt idx="227">
                  <c:v>6.766</c:v>
                </c:pt>
                <c:pt idx="228">
                  <c:v>4.2789999999999999</c:v>
                </c:pt>
                <c:pt idx="229">
                  <c:v>4.8369999999999997</c:v>
                </c:pt>
                <c:pt idx="230">
                  <c:v>8.23</c:v>
                </c:pt>
                <c:pt idx="231">
                  <c:v>10.199999999999999</c:v>
                </c:pt>
                <c:pt idx="232">
                  <c:v>8.52</c:v>
                </c:pt>
                <c:pt idx="233">
                  <c:v>5.4630000000000001</c:v>
                </c:pt>
                <c:pt idx="234">
                  <c:v>7.2679999999999998</c:v>
                </c:pt>
                <c:pt idx="235">
                  <c:v>5.117</c:v>
                </c:pt>
                <c:pt idx="236">
                  <c:v>4.4509999999999996</c:v>
                </c:pt>
                <c:pt idx="237">
                  <c:v>3.5489999999999999</c:v>
                </c:pt>
                <c:pt idx="238">
                  <c:v>5.8959999999999999</c:v>
                </c:pt>
                <c:pt idx="239">
                  <c:v>10.58</c:v>
                </c:pt>
                <c:pt idx="240">
                  <c:v>10.52</c:v>
                </c:pt>
                <c:pt idx="241">
                  <c:v>11.4</c:v>
                </c:pt>
                <c:pt idx="242">
                  <c:v>11.29</c:v>
                </c:pt>
                <c:pt idx="243">
                  <c:v>8.5</c:v>
                </c:pt>
                <c:pt idx="244">
                  <c:v>7.2450000000000001</c:v>
                </c:pt>
                <c:pt idx="245">
                  <c:v>7.3330000000000002</c:v>
                </c:pt>
                <c:pt idx="246">
                  <c:v>5.7</c:v>
                </c:pt>
                <c:pt idx="247">
                  <c:v>8.83</c:v>
                </c:pt>
                <c:pt idx="248">
                  <c:v>11.43</c:v>
                </c:pt>
                <c:pt idx="249">
                  <c:v>9.1</c:v>
                </c:pt>
                <c:pt idx="250">
                  <c:v>5.548</c:v>
                </c:pt>
                <c:pt idx="251">
                  <c:v>3.9780000000000002</c:v>
                </c:pt>
                <c:pt idx="252">
                  <c:v>4.1500000000000004</c:v>
                </c:pt>
                <c:pt idx="253">
                  <c:v>5.3769999999999998</c:v>
                </c:pt>
                <c:pt idx="254">
                  <c:v>5.5910000000000002</c:v>
                </c:pt>
                <c:pt idx="255">
                  <c:v>4.665</c:v>
                </c:pt>
                <c:pt idx="256">
                  <c:v>4.859</c:v>
                </c:pt>
                <c:pt idx="257">
                  <c:v>3.3769999999999998</c:v>
                </c:pt>
                <c:pt idx="258">
                  <c:v>1.9470000000000001</c:v>
                </c:pt>
                <c:pt idx="259">
                  <c:v>2.395</c:v>
                </c:pt>
                <c:pt idx="260">
                  <c:v>2.4169999999999998</c:v>
                </c:pt>
                <c:pt idx="261">
                  <c:v>2.2250000000000001</c:v>
                </c:pt>
                <c:pt idx="262">
                  <c:v>2.5870000000000002</c:v>
                </c:pt>
                <c:pt idx="263">
                  <c:v>2.8010000000000002</c:v>
                </c:pt>
                <c:pt idx="264">
                  <c:v>4.5789999999999997</c:v>
                </c:pt>
                <c:pt idx="265">
                  <c:v>3.4430000000000001</c:v>
                </c:pt>
                <c:pt idx="266">
                  <c:v>0.96899999999999997</c:v>
                </c:pt>
                <c:pt idx="267">
                  <c:v>0.67100000000000004</c:v>
                </c:pt>
                <c:pt idx="268">
                  <c:v>-0.99</c:v>
                </c:pt>
                <c:pt idx="269">
                  <c:v>-1.907</c:v>
                </c:pt>
                <c:pt idx="270">
                  <c:v>-5.1779999999999999</c:v>
                </c:pt>
                <c:pt idx="271">
                  <c:v>-6.2240000000000002</c:v>
                </c:pt>
                <c:pt idx="272">
                  <c:v>-5.94</c:v>
                </c:pt>
                <c:pt idx="273">
                  <c:v>-4.7450000000000001</c:v>
                </c:pt>
                <c:pt idx="274">
                  <c:v>-2.3140000000000001</c:v>
                </c:pt>
                <c:pt idx="275">
                  <c:v>-2.677</c:v>
                </c:pt>
                <c:pt idx="276">
                  <c:v>-2.42</c:v>
                </c:pt>
                <c:pt idx="277">
                  <c:v>-1.5429999999999999</c:v>
                </c:pt>
                <c:pt idx="278">
                  <c:v>-2.7629999999999999</c:v>
                </c:pt>
                <c:pt idx="279">
                  <c:v>0.58499999999999996</c:v>
                </c:pt>
                <c:pt idx="280">
                  <c:v>-8.26</c:v>
                </c:pt>
                <c:pt idx="281">
                  <c:v>-10.3</c:v>
                </c:pt>
                <c:pt idx="282">
                  <c:v>-10.14</c:v>
                </c:pt>
                <c:pt idx="283">
                  <c:v>-5.2210000000000001</c:v>
                </c:pt>
                <c:pt idx="284">
                  <c:v>-3.2559999999999998</c:v>
                </c:pt>
                <c:pt idx="285">
                  <c:v>-1.417</c:v>
                </c:pt>
                <c:pt idx="286">
                  <c:v>-2.5259999999999998</c:v>
                </c:pt>
                <c:pt idx="287">
                  <c:v>-1.8640000000000001</c:v>
                </c:pt>
                <c:pt idx="288">
                  <c:v>-0.73399999999999999</c:v>
                </c:pt>
                <c:pt idx="289">
                  <c:v>-1.0760000000000001</c:v>
                </c:pt>
                <c:pt idx="290">
                  <c:v>-3.0640000000000001</c:v>
                </c:pt>
                <c:pt idx="291">
                  <c:v>-3.8159999999999998</c:v>
                </c:pt>
                <c:pt idx="292">
                  <c:v>-3.8359999999999999</c:v>
                </c:pt>
                <c:pt idx="293">
                  <c:v>-2.9350000000000001</c:v>
                </c:pt>
                <c:pt idx="294">
                  <c:v>-1.3939999999999999</c:v>
                </c:pt>
                <c:pt idx="295">
                  <c:v>-4.4619999999999997</c:v>
                </c:pt>
                <c:pt idx="296">
                  <c:v>-2.056</c:v>
                </c:pt>
                <c:pt idx="297">
                  <c:v>-4.117</c:v>
                </c:pt>
                <c:pt idx="298">
                  <c:v>-7.46</c:v>
                </c:pt>
                <c:pt idx="299">
                  <c:v>-8.7100000000000009</c:v>
                </c:pt>
                <c:pt idx="300">
                  <c:v>-13.25</c:v>
                </c:pt>
                <c:pt idx="301">
                  <c:v>-15.14</c:v>
                </c:pt>
                <c:pt idx="302">
                  <c:v>-8.73</c:v>
                </c:pt>
                <c:pt idx="303">
                  <c:v>-6.1390000000000002</c:v>
                </c:pt>
                <c:pt idx="304">
                  <c:v>-6.7080000000000002</c:v>
                </c:pt>
                <c:pt idx="305">
                  <c:v>0.47899999999999998</c:v>
                </c:pt>
                <c:pt idx="306">
                  <c:v>-5.1999999999999998E-2</c:v>
                </c:pt>
                <c:pt idx="307">
                  <c:v>0.58499999999999996</c:v>
                </c:pt>
                <c:pt idx="308">
                  <c:v>-1.2250000000000001</c:v>
                </c:pt>
                <c:pt idx="309">
                  <c:v>-3.5790000000000002</c:v>
                </c:pt>
                <c:pt idx="310">
                  <c:v>-3.15</c:v>
                </c:pt>
                <c:pt idx="311">
                  <c:v>1.4570000000000001</c:v>
                </c:pt>
                <c:pt idx="312">
                  <c:v>0.52200000000000002</c:v>
                </c:pt>
                <c:pt idx="313">
                  <c:v>-6.5540000000000003</c:v>
                </c:pt>
                <c:pt idx="314">
                  <c:v>-6.5540000000000003</c:v>
                </c:pt>
                <c:pt idx="315">
                  <c:v>-2.698</c:v>
                </c:pt>
                <c:pt idx="316">
                  <c:v>-2.3570000000000002</c:v>
                </c:pt>
                <c:pt idx="317">
                  <c:v>-3.0209999999999999</c:v>
                </c:pt>
                <c:pt idx="318">
                  <c:v>-2.2709999999999999</c:v>
                </c:pt>
                <c:pt idx="319">
                  <c:v>-3.3420000000000001</c:v>
                </c:pt>
                <c:pt idx="320">
                  <c:v>-2.2909999999999999</c:v>
                </c:pt>
                <c:pt idx="321">
                  <c:v>-1.8640000000000001</c:v>
                </c:pt>
                <c:pt idx="322">
                  <c:v>-6.2039999999999997</c:v>
                </c:pt>
                <c:pt idx="323">
                  <c:v>-8.17</c:v>
                </c:pt>
                <c:pt idx="324">
                  <c:v>-4.7220000000000004</c:v>
                </c:pt>
                <c:pt idx="325">
                  <c:v>-2.3769999999999998</c:v>
                </c:pt>
                <c:pt idx="326">
                  <c:v>-2.72</c:v>
                </c:pt>
                <c:pt idx="327">
                  <c:v>-6.0049999999999999</c:v>
                </c:pt>
                <c:pt idx="328">
                  <c:v>-10.050000000000001</c:v>
                </c:pt>
                <c:pt idx="329">
                  <c:v>-13.01</c:v>
                </c:pt>
                <c:pt idx="330">
                  <c:v>-14.3</c:v>
                </c:pt>
                <c:pt idx="331">
                  <c:v>-15.39</c:v>
                </c:pt>
                <c:pt idx="332">
                  <c:v>-14.35</c:v>
                </c:pt>
                <c:pt idx="333">
                  <c:v>-11.72</c:v>
                </c:pt>
                <c:pt idx="334">
                  <c:v>-12.48</c:v>
                </c:pt>
                <c:pt idx="335">
                  <c:v>-6.8410000000000002</c:v>
                </c:pt>
                <c:pt idx="336">
                  <c:v>-2.5259999999999998</c:v>
                </c:pt>
                <c:pt idx="337">
                  <c:v>-6.9720000000000004</c:v>
                </c:pt>
                <c:pt idx="338">
                  <c:v>-7.9729999999999999</c:v>
                </c:pt>
                <c:pt idx="339">
                  <c:v>-3.9020000000000001</c:v>
                </c:pt>
                <c:pt idx="340">
                  <c:v>-3.278</c:v>
                </c:pt>
                <c:pt idx="341">
                  <c:v>-10.74</c:v>
                </c:pt>
                <c:pt idx="342">
                  <c:v>-9.14</c:v>
                </c:pt>
                <c:pt idx="343">
                  <c:v>-4.6139999999999999</c:v>
                </c:pt>
                <c:pt idx="344">
                  <c:v>-6.9950000000000001</c:v>
                </c:pt>
                <c:pt idx="345">
                  <c:v>-6.7309999999999999</c:v>
                </c:pt>
                <c:pt idx="346">
                  <c:v>-6.3579999999999997</c:v>
                </c:pt>
                <c:pt idx="347">
                  <c:v>-8.42</c:v>
                </c:pt>
                <c:pt idx="348">
                  <c:v>-10.7</c:v>
                </c:pt>
                <c:pt idx="349">
                  <c:v>-11.63</c:v>
                </c:pt>
                <c:pt idx="350">
                  <c:v>-9.2799999999999994</c:v>
                </c:pt>
                <c:pt idx="351">
                  <c:v>-9.3000000000000007</c:v>
                </c:pt>
                <c:pt idx="352">
                  <c:v>-9.66</c:v>
                </c:pt>
                <c:pt idx="353">
                  <c:v>-5.7229999999999999</c:v>
                </c:pt>
                <c:pt idx="354">
                  <c:v>-5.9189999999999996</c:v>
                </c:pt>
                <c:pt idx="355">
                  <c:v>-8.4600000000000009</c:v>
                </c:pt>
                <c:pt idx="356">
                  <c:v>-7.327</c:v>
                </c:pt>
                <c:pt idx="357">
                  <c:v>-10.050000000000001</c:v>
                </c:pt>
                <c:pt idx="358">
                  <c:v>-10.4</c:v>
                </c:pt>
                <c:pt idx="359">
                  <c:v>-11.58</c:v>
                </c:pt>
                <c:pt idx="360">
                  <c:v>-10.91</c:v>
                </c:pt>
                <c:pt idx="361">
                  <c:v>-9.5</c:v>
                </c:pt>
                <c:pt idx="362">
                  <c:v>-4.4850000000000003</c:v>
                </c:pt>
                <c:pt idx="363">
                  <c:v>-5.0469999999999997</c:v>
                </c:pt>
                <c:pt idx="364">
                  <c:v>-5.3949999999999996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67488"/>
        <c:axId val="42769024"/>
      </c:lineChart>
      <c:catAx>
        <c:axId val="42767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7690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7690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Panel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767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03264561511064"/>
          <c:y val="0.16907372714024896"/>
          <c:w val="0.11249923979837315"/>
          <c:h val="0.161653400240355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RH uncorrected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71276510829707"/>
          <c:y val="0.13335321250524157"/>
          <c:w val="0.83005160133158673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95.1</c:v>
                </c:pt>
                <c:pt idx="1">
                  <c:v>94.9</c:v>
                </c:pt>
                <c:pt idx="2">
                  <c:v>96</c:v>
                </c:pt>
                <c:pt idx="3">
                  <c:v>95.1</c:v>
                </c:pt>
                <c:pt idx="4">
                  <c:v>94</c:v>
                </c:pt>
                <c:pt idx="5">
                  <c:v>93.8</c:v>
                </c:pt>
                <c:pt idx="6">
                  <c:v>91.5</c:v>
                </c:pt>
                <c:pt idx="7">
                  <c:v>91.1</c:v>
                </c:pt>
                <c:pt idx="8">
                  <c:v>95.6</c:v>
                </c:pt>
                <c:pt idx="9">
                  <c:v>95.8</c:v>
                </c:pt>
                <c:pt idx="10">
                  <c:v>94.6</c:v>
                </c:pt>
                <c:pt idx="11">
                  <c:v>94</c:v>
                </c:pt>
                <c:pt idx="12">
                  <c:v>93.7</c:v>
                </c:pt>
                <c:pt idx="13">
                  <c:v>83.2</c:v>
                </c:pt>
                <c:pt idx="14">
                  <c:v>84.9</c:v>
                </c:pt>
                <c:pt idx="15">
                  <c:v>93.3</c:v>
                </c:pt>
                <c:pt idx="16">
                  <c:v>94.3</c:v>
                </c:pt>
                <c:pt idx="17">
                  <c:v>94.2</c:v>
                </c:pt>
                <c:pt idx="18">
                  <c:v>94.2</c:v>
                </c:pt>
                <c:pt idx="19">
                  <c:v>92.8</c:v>
                </c:pt>
                <c:pt idx="20">
                  <c:v>90.9</c:v>
                </c:pt>
                <c:pt idx="21">
                  <c:v>92.6</c:v>
                </c:pt>
                <c:pt idx="22">
                  <c:v>92.7</c:v>
                </c:pt>
                <c:pt idx="23">
                  <c:v>92.2</c:v>
                </c:pt>
                <c:pt idx="24">
                  <c:v>91.2</c:v>
                </c:pt>
                <c:pt idx="25">
                  <c:v>91.5</c:v>
                </c:pt>
                <c:pt idx="26">
                  <c:v>87.8</c:v>
                </c:pt>
                <c:pt idx="27">
                  <c:v>86.5</c:v>
                </c:pt>
                <c:pt idx="28">
                  <c:v>61.66</c:v>
                </c:pt>
                <c:pt idx="29">
                  <c:v>83.3</c:v>
                </c:pt>
                <c:pt idx="30">
                  <c:v>84.6</c:v>
                </c:pt>
                <c:pt idx="31">
                  <c:v>96.1</c:v>
                </c:pt>
                <c:pt idx="32">
                  <c:v>95.1</c:v>
                </c:pt>
                <c:pt idx="33">
                  <c:v>93.3</c:v>
                </c:pt>
                <c:pt idx="34">
                  <c:v>79.86</c:v>
                </c:pt>
                <c:pt idx="35">
                  <c:v>79.02</c:v>
                </c:pt>
                <c:pt idx="36">
                  <c:v>80.2</c:v>
                </c:pt>
                <c:pt idx="37">
                  <c:v>88.8</c:v>
                </c:pt>
                <c:pt idx="38">
                  <c:v>88</c:v>
                </c:pt>
                <c:pt idx="39">
                  <c:v>79.94</c:v>
                </c:pt>
                <c:pt idx="40">
                  <c:v>84.8</c:v>
                </c:pt>
                <c:pt idx="41">
                  <c:v>84.2</c:v>
                </c:pt>
                <c:pt idx="42">
                  <c:v>88.8</c:v>
                </c:pt>
                <c:pt idx="43">
                  <c:v>89.9</c:v>
                </c:pt>
                <c:pt idx="44">
                  <c:v>91.4</c:v>
                </c:pt>
                <c:pt idx="45">
                  <c:v>92</c:v>
                </c:pt>
                <c:pt idx="46">
                  <c:v>91.5</c:v>
                </c:pt>
                <c:pt idx="47">
                  <c:v>91.1</c:v>
                </c:pt>
                <c:pt idx="48">
                  <c:v>87.9</c:v>
                </c:pt>
                <c:pt idx="49">
                  <c:v>89.8</c:v>
                </c:pt>
                <c:pt idx="50">
                  <c:v>88.3</c:v>
                </c:pt>
                <c:pt idx="51">
                  <c:v>88.4</c:v>
                </c:pt>
                <c:pt idx="52">
                  <c:v>88.1</c:v>
                </c:pt>
                <c:pt idx="53">
                  <c:v>88.8</c:v>
                </c:pt>
                <c:pt idx="54">
                  <c:v>87.4</c:v>
                </c:pt>
                <c:pt idx="55">
                  <c:v>84.9</c:v>
                </c:pt>
                <c:pt idx="56">
                  <c:v>83.6</c:v>
                </c:pt>
                <c:pt idx="57">
                  <c:v>90.1</c:v>
                </c:pt>
                <c:pt idx="58">
                  <c:v>89.3</c:v>
                </c:pt>
                <c:pt idx="59">
                  <c:v>88.3</c:v>
                </c:pt>
                <c:pt idx="60">
                  <c:v>86.3</c:v>
                </c:pt>
                <c:pt idx="61">
                  <c:v>82.7</c:v>
                </c:pt>
                <c:pt idx="62">
                  <c:v>81.8</c:v>
                </c:pt>
                <c:pt idx="63">
                  <c:v>90</c:v>
                </c:pt>
                <c:pt idx="64">
                  <c:v>91.8</c:v>
                </c:pt>
                <c:pt idx="65">
                  <c:v>93.1</c:v>
                </c:pt>
                <c:pt idx="66">
                  <c:v>87.4</c:v>
                </c:pt>
                <c:pt idx="67">
                  <c:v>87.7</c:v>
                </c:pt>
                <c:pt idx="68">
                  <c:v>87.4</c:v>
                </c:pt>
                <c:pt idx="69">
                  <c:v>88.7</c:v>
                </c:pt>
                <c:pt idx="70">
                  <c:v>92</c:v>
                </c:pt>
                <c:pt idx="71">
                  <c:v>87.7</c:v>
                </c:pt>
                <c:pt idx="72">
                  <c:v>85.5</c:v>
                </c:pt>
                <c:pt idx="73">
                  <c:v>88.6</c:v>
                </c:pt>
                <c:pt idx="74">
                  <c:v>88.3</c:v>
                </c:pt>
                <c:pt idx="75">
                  <c:v>78.89</c:v>
                </c:pt>
                <c:pt idx="76">
                  <c:v>65.540000000000006</c:v>
                </c:pt>
                <c:pt idx="77">
                  <c:v>51.68</c:v>
                </c:pt>
                <c:pt idx="78">
                  <c:v>54.54</c:v>
                </c:pt>
                <c:pt idx="79">
                  <c:v>45.29</c:v>
                </c:pt>
                <c:pt idx="80">
                  <c:v>92.5</c:v>
                </c:pt>
                <c:pt idx="81">
                  <c:v>95.6</c:v>
                </c:pt>
                <c:pt idx="82">
                  <c:v>96.3</c:v>
                </c:pt>
                <c:pt idx="83">
                  <c:v>96.3</c:v>
                </c:pt>
                <c:pt idx="84">
                  <c:v>95.8</c:v>
                </c:pt>
                <c:pt idx="85">
                  <c:v>88.7</c:v>
                </c:pt>
                <c:pt idx="86">
                  <c:v>79.569999999999993</c:v>
                </c:pt>
                <c:pt idx="87">
                  <c:v>68.680000000000007</c:v>
                </c:pt>
                <c:pt idx="88">
                  <c:v>65.91</c:v>
                </c:pt>
                <c:pt idx="89">
                  <c:v>93.8</c:v>
                </c:pt>
                <c:pt idx="90">
                  <c:v>79.84</c:v>
                </c:pt>
                <c:pt idx="91">
                  <c:v>63.71</c:v>
                </c:pt>
                <c:pt idx="92">
                  <c:v>96.8</c:v>
                </c:pt>
                <c:pt idx="93">
                  <c:v>89.9</c:v>
                </c:pt>
                <c:pt idx="94">
                  <c:v>96.7</c:v>
                </c:pt>
                <c:pt idx="95">
                  <c:v>94.7</c:v>
                </c:pt>
                <c:pt idx="96">
                  <c:v>94.7</c:v>
                </c:pt>
                <c:pt idx="97">
                  <c:v>95.9</c:v>
                </c:pt>
                <c:pt idx="98">
                  <c:v>96.2</c:v>
                </c:pt>
                <c:pt idx="99">
                  <c:v>94.4</c:v>
                </c:pt>
                <c:pt idx="100">
                  <c:v>93.1</c:v>
                </c:pt>
                <c:pt idx="101">
                  <c:v>91</c:v>
                </c:pt>
                <c:pt idx="102">
                  <c:v>96</c:v>
                </c:pt>
                <c:pt idx="103">
                  <c:v>86.4</c:v>
                </c:pt>
                <c:pt idx="104">
                  <c:v>91.2</c:v>
                </c:pt>
                <c:pt idx="105">
                  <c:v>83.8</c:v>
                </c:pt>
                <c:pt idx="106">
                  <c:v>86.7</c:v>
                </c:pt>
                <c:pt idx="107">
                  <c:v>97.7</c:v>
                </c:pt>
                <c:pt idx="108">
                  <c:v>97.8</c:v>
                </c:pt>
                <c:pt idx="109">
                  <c:v>96.4</c:v>
                </c:pt>
                <c:pt idx="110">
                  <c:v>56.81</c:v>
                </c:pt>
                <c:pt idx="111">
                  <c:v>85.3</c:v>
                </c:pt>
                <c:pt idx="112">
                  <c:v>86.9</c:v>
                </c:pt>
                <c:pt idx="113">
                  <c:v>82.9</c:v>
                </c:pt>
                <c:pt idx="114">
                  <c:v>64.739999999999995</c:v>
                </c:pt>
                <c:pt idx="115">
                  <c:v>79.430000000000007</c:v>
                </c:pt>
                <c:pt idx="116">
                  <c:v>92.7</c:v>
                </c:pt>
                <c:pt idx="117">
                  <c:v>92.5</c:v>
                </c:pt>
                <c:pt idx="118">
                  <c:v>89.7</c:v>
                </c:pt>
                <c:pt idx="119">
                  <c:v>76.53</c:v>
                </c:pt>
                <c:pt idx="120">
                  <c:v>84.8</c:v>
                </c:pt>
                <c:pt idx="121">
                  <c:v>92.5</c:v>
                </c:pt>
                <c:pt idx="122">
                  <c:v>85.9</c:v>
                </c:pt>
                <c:pt idx="123">
                  <c:v>78.12</c:v>
                </c:pt>
                <c:pt idx="124">
                  <c:v>80.8</c:v>
                </c:pt>
                <c:pt idx="125">
                  <c:v>76.13</c:v>
                </c:pt>
                <c:pt idx="126">
                  <c:v>80.3</c:v>
                </c:pt>
                <c:pt idx="127">
                  <c:v>68.8</c:v>
                </c:pt>
                <c:pt idx="128">
                  <c:v>59.85</c:v>
                </c:pt>
                <c:pt idx="129">
                  <c:v>56.59</c:v>
                </c:pt>
                <c:pt idx="130">
                  <c:v>60.34</c:v>
                </c:pt>
                <c:pt idx="131">
                  <c:v>57.85</c:v>
                </c:pt>
                <c:pt idx="132">
                  <c:v>56.36</c:v>
                </c:pt>
                <c:pt idx="133">
                  <c:v>96.9</c:v>
                </c:pt>
                <c:pt idx="134">
                  <c:v>94.5</c:v>
                </c:pt>
                <c:pt idx="135">
                  <c:v>98.2</c:v>
                </c:pt>
                <c:pt idx="136">
                  <c:v>97.8</c:v>
                </c:pt>
                <c:pt idx="137">
                  <c:v>97</c:v>
                </c:pt>
                <c:pt idx="138">
                  <c:v>95.6</c:v>
                </c:pt>
                <c:pt idx="139">
                  <c:v>94.5</c:v>
                </c:pt>
                <c:pt idx="140">
                  <c:v>76.12</c:v>
                </c:pt>
                <c:pt idx="141">
                  <c:v>72.040000000000006</c:v>
                </c:pt>
                <c:pt idx="142">
                  <c:v>84.5</c:v>
                </c:pt>
                <c:pt idx="143">
                  <c:v>96.8</c:v>
                </c:pt>
                <c:pt idx="144">
                  <c:v>97.4</c:v>
                </c:pt>
                <c:pt idx="145">
                  <c:v>95.1</c:v>
                </c:pt>
                <c:pt idx="146">
                  <c:v>70.650000000000006</c:v>
                </c:pt>
                <c:pt idx="147">
                  <c:v>60.2</c:v>
                </c:pt>
                <c:pt idx="148">
                  <c:v>55.45</c:v>
                </c:pt>
                <c:pt idx="149">
                  <c:v>91.4</c:v>
                </c:pt>
                <c:pt idx="150">
                  <c:v>96</c:v>
                </c:pt>
                <c:pt idx="151">
                  <c:v>58.95</c:v>
                </c:pt>
                <c:pt idx="152">
                  <c:v>70.02</c:v>
                </c:pt>
                <c:pt idx="153">
                  <c:v>79.430000000000007</c:v>
                </c:pt>
                <c:pt idx="154">
                  <c:v>71.72</c:v>
                </c:pt>
                <c:pt idx="155">
                  <c:v>96.2</c:v>
                </c:pt>
                <c:pt idx="156">
                  <c:v>96</c:v>
                </c:pt>
                <c:pt idx="157">
                  <c:v>96.3</c:v>
                </c:pt>
                <c:pt idx="158">
                  <c:v>97.2</c:v>
                </c:pt>
                <c:pt idx="159">
                  <c:v>88.2</c:v>
                </c:pt>
                <c:pt idx="160">
                  <c:v>84.4</c:v>
                </c:pt>
                <c:pt idx="161">
                  <c:v>86.7</c:v>
                </c:pt>
                <c:pt idx="162">
                  <c:v>77.13</c:v>
                </c:pt>
                <c:pt idx="163">
                  <c:v>64.27</c:v>
                </c:pt>
                <c:pt idx="164">
                  <c:v>70.709999999999994</c:v>
                </c:pt>
                <c:pt idx="165">
                  <c:v>69.319999999999993</c:v>
                </c:pt>
                <c:pt idx="166">
                  <c:v>70.52</c:v>
                </c:pt>
                <c:pt idx="167">
                  <c:v>76.489999999999995</c:v>
                </c:pt>
                <c:pt idx="168">
                  <c:v>84.2</c:v>
                </c:pt>
                <c:pt idx="169">
                  <c:v>96.6</c:v>
                </c:pt>
                <c:pt idx="170">
                  <c:v>97.2</c:v>
                </c:pt>
                <c:pt idx="171">
                  <c:v>97.9</c:v>
                </c:pt>
                <c:pt idx="172">
                  <c:v>92</c:v>
                </c:pt>
                <c:pt idx="173">
                  <c:v>97.7</c:v>
                </c:pt>
                <c:pt idx="174">
                  <c:v>97.4</c:v>
                </c:pt>
                <c:pt idx="175">
                  <c:v>91.8</c:v>
                </c:pt>
                <c:pt idx="176">
                  <c:v>95.2</c:v>
                </c:pt>
                <c:pt idx="177">
                  <c:v>96.9</c:v>
                </c:pt>
                <c:pt idx="178">
                  <c:v>97.5</c:v>
                </c:pt>
                <c:pt idx="179">
                  <c:v>92.3</c:v>
                </c:pt>
                <c:pt idx="180">
                  <c:v>82.4</c:v>
                </c:pt>
                <c:pt idx="181">
                  <c:v>78.17</c:v>
                </c:pt>
                <c:pt idx="182">
                  <c:v>93.4</c:v>
                </c:pt>
                <c:pt idx="183">
                  <c:v>86.7</c:v>
                </c:pt>
                <c:pt idx="184">
                  <c:v>93.9</c:v>
                </c:pt>
                <c:pt idx="185">
                  <c:v>97.6</c:v>
                </c:pt>
                <c:pt idx="186">
                  <c:v>97.4</c:v>
                </c:pt>
                <c:pt idx="187">
                  <c:v>92.9</c:v>
                </c:pt>
                <c:pt idx="188">
                  <c:v>95.5</c:v>
                </c:pt>
                <c:pt idx="189">
                  <c:v>82.8</c:v>
                </c:pt>
                <c:pt idx="190">
                  <c:v>96.6</c:v>
                </c:pt>
                <c:pt idx="191">
                  <c:v>96.1</c:v>
                </c:pt>
                <c:pt idx="192">
                  <c:v>88.8</c:v>
                </c:pt>
                <c:pt idx="193">
                  <c:v>78.11</c:v>
                </c:pt>
                <c:pt idx="194">
                  <c:v>74.930000000000007</c:v>
                </c:pt>
                <c:pt idx="195">
                  <c:v>92</c:v>
                </c:pt>
                <c:pt idx="196">
                  <c:v>97.2</c:v>
                </c:pt>
                <c:pt idx="197">
                  <c:v>97.9</c:v>
                </c:pt>
                <c:pt idx="198">
                  <c:v>93.9</c:v>
                </c:pt>
                <c:pt idx="199">
                  <c:v>96.4</c:v>
                </c:pt>
                <c:pt idx="200">
                  <c:v>94.8</c:v>
                </c:pt>
                <c:pt idx="201">
                  <c:v>87.1</c:v>
                </c:pt>
                <c:pt idx="202">
                  <c:v>88.4</c:v>
                </c:pt>
                <c:pt idx="203">
                  <c:v>93.9</c:v>
                </c:pt>
                <c:pt idx="204">
                  <c:v>95</c:v>
                </c:pt>
                <c:pt idx="205">
                  <c:v>76.84</c:v>
                </c:pt>
                <c:pt idx="206">
                  <c:v>72.23</c:v>
                </c:pt>
                <c:pt idx="207">
                  <c:v>89.2</c:v>
                </c:pt>
                <c:pt idx="208">
                  <c:v>93.2</c:v>
                </c:pt>
                <c:pt idx="209">
                  <c:v>65.34</c:v>
                </c:pt>
                <c:pt idx="210">
                  <c:v>70.95</c:v>
                </c:pt>
                <c:pt idx="211">
                  <c:v>79.02</c:v>
                </c:pt>
                <c:pt idx="212">
                  <c:v>82.8</c:v>
                </c:pt>
                <c:pt idx="213">
                  <c:v>62.82</c:v>
                </c:pt>
                <c:pt idx="214">
                  <c:v>85.5</c:v>
                </c:pt>
                <c:pt idx="215">
                  <c:v>81.3</c:v>
                </c:pt>
                <c:pt idx="216">
                  <c:v>61.61</c:v>
                </c:pt>
                <c:pt idx="217">
                  <c:v>59.14</c:v>
                </c:pt>
                <c:pt idx="218">
                  <c:v>44.78</c:v>
                </c:pt>
                <c:pt idx="219">
                  <c:v>46.84</c:v>
                </c:pt>
                <c:pt idx="220">
                  <c:v>70.03</c:v>
                </c:pt>
                <c:pt idx="221">
                  <c:v>96.5</c:v>
                </c:pt>
                <c:pt idx="222">
                  <c:v>97.9</c:v>
                </c:pt>
                <c:pt idx="223">
                  <c:v>97.4</c:v>
                </c:pt>
                <c:pt idx="224">
                  <c:v>95.5</c:v>
                </c:pt>
                <c:pt idx="225">
                  <c:v>84.9</c:v>
                </c:pt>
                <c:pt idx="226">
                  <c:v>81.8</c:v>
                </c:pt>
                <c:pt idx="227">
                  <c:v>93.1</c:v>
                </c:pt>
                <c:pt idx="228">
                  <c:v>92.8</c:v>
                </c:pt>
                <c:pt idx="229">
                  <c:v>91.5</c:v>
                </c:pt>
                <c:pt idx="230">
                  <c:v>65.540000000000006</c:v>
                </c:pt>
                <c:pt idx="231">
                  <c:v>52.63</c:v>
                </c:pt>
                <c:pt idx="232">
                  <c:v>93.4</c:v>
                </c:pt>
                <c:pt idx="233">
                  <c:v>87.5</c:v>
                </c:pt>
                <c:pt idx="234">
                  <c:v>95.5</c:v>
                </c:pt>
                <c:pt idx="235">
                  <c:v>85.4</c:v>
                </c:pt>
                <c:pt idx="236">
                  <c:v>97.4</c:v>
                </c:pt>
                <c:pt idx="237">
                  <c:v>96.6</c:v>
                </c:pt>
                <c:pt idx="238">
                  <c:v>73.930000000000007</c:v>
                </c:pt>
                <c:pt idx="239">
                  <c:v>66.19</c:v>
                </c:pt>
                <c:pt idx="240">
                  <c:v>64.510000000000005</c:v>
                </c:pt>
                <c:pt idx="241">
                  <c:v>83.9</c:v>
                </c:pt>
                <c:pt idx="242">
                  <c:v>91.7</c:v>
                </c:pt>
                <c:pt idx="243">
                  <c:v>87.1</c:v>
                </c:pt>
                <c:pt idx="244">
                  <c:v>88</c:v>
                </c:pt>
                <c:pt idx="245">
                  <c:v>96</c:v>
                </c:pt>
                <c:pt idx="246">
                  <c:v>96.2</c:v>
                </c:pt>
                <c:pt idx="247">
                  <c:v>73.31</c:v>
                </c:pt>
                <c:pt idx="248">
                  <c:v>83</c:v>
                </c:pt>
                <c:pt idx="249">
                  <c:v>90.9</c:v>
                </c:pt>
                <c:pt idx="250">
                  <c:v>96.8</c:v>
                </c:pt>
                <c:pt idx="251">
                  <c:v>96.7</c:v>
                </c:pt>
                <c:pt idx="252">
                  <c:v>97.2</c:v>
                </c:pt>
                <c:pt idx="253">
                  <c:v>96.9</c:v>
                </c:pt>
                <c:pt idx="254">
                  <c:v>95.6</c:v>
                </c:pt>
                <c:pt idx="255">
                  <c:v>95</c:v>
                </c:pt>
                <c:pt idx="256">
                  <c:v>97.5</c:v>
                </c:pt>
                <c:pt idx="257">
                  <c:v>97.9</c:v>
                </c:pt>
                <c:pt idx="258">
                  <c:v>96.9</c:v>
                </c:pt>
                <c:pt idx="259">
                  <c:v>97.5</c:v>
                </c:pt>
                <c:pt idx="260">
                  <c:v>97.9</c:v>
                </c:pt>
                <c:pt idx="261">
                  <c:v>97</c:v>
                </c:pt>
                <c:pt idx="262">
                  <c:v>97.8</c:v>
                </c:pt>
                <c:pt idx="263">
                  <c:v>96.1</c:v>
                </c:pt>
                <c:pt idx="264">
                  <c:v>97.9</c:v>
                </c:pt>
                <c:pt idx="265">
                  <c:v>97.9</c:v>
                </c:pt>
                <c:pt idx="266">
                  <c:v>93.6</c:v>
                </c:pt>
                <c:pt idx="267">
                  <c:v>92.3</c:v>
                </c:pt>
                <c:pt idx="268">
                  <c:v>97.7</c:v>
                </c:pt>
                <c:pt idx="269">
                  <c:v>95.5</c:v>
                </c:pt>
                <c:pt idx="270">
                  <c:v>95.3</c:v>
                </c:pt>
                <c:pt idx="271">
                  <c:v>91.9</c:v>
                </c:pt>
                <c:pt idx="272">
                  <c:v>91.6</c:v>
                </c:pt>
                <c:pt idx="273">
                  <c:v>92.4</c:v>
                </c:pt>
                <c:pt idx="274">
                  <c:v>93.1</c:v>
                </c:pt>
                <c:pt idx="275">
                  <c:v>96.4</c:v>
                </c:pt>
                <c:pt idx="276">
                  <c:v>96.7</c:v>
                </c:pt>
                <c:pt idx="277">
                  <c:v>96.6</c:v>
                </c:pt>
                <c:pt idx="278">
                  <c:v>90</c:v>
                </c:pt>
                <c:pt idx="279">
                  <c:v>97.6</c:v>
                </c:pt>
                <c:pt idx="280">
                  <c:v>93.9</c:v>
                </c:pt>
                <c:pt idx="281">
                  <c:v>90</c:v>
                </c:pt>
                <c:pt idx="282">
                  <c:v>83.2</c:v>
                </c:pt>
                <c:pt idx="283">
                  <c:v>62.33</c:v>
                </c:pt>
                <c:pt idx="284">
                  <c:v>66.150000000000006</c:v>
                </c:pt>
                <c:pt idx="285">
                  <c:v>96.6</c:v>
                </c:pt>
                <c:pt idx="286">
                  <c:v>95.7</c:v>
                </c:pt>
                <c:pt idx="287">
                  <c:v>88.3</c:v>
                </c:pt>
                <c:pt idx="288">
                  <c:v>96.4</c:v>
                </c:pt>
                <c:pt idx="289">
                  <c:v>96.6</c:v>
                </c:pt>
                <c:pt idx="290">
                  <c:v>95.3</c:v>
                </c:pt>
                <c:pt idx="291">
                  <c:v>94.6</c:v>
                </c:pt>
                <c:pt idx="292">
                  <c:v>94.8</c:v>
                </c:pt>
                <c:pt idx="293">
                  <c:v>96.7</c:v>
                </c:pt>
                <c:pt idx="294">
                  <c:v>97.3</c:v>
                </c:pt>
                <c:pt idx="295">
                  <c:v>90.9</c:v>
                </c:pt>
                <c:pt idx="296">
                  <c:v>93.1</c:v>
                </c:pt>
                <c:pt idx="297">
                  <c:v>96</c:v>
                </c:pt>
                <c:pt idx="298">
                  <c:v>93</c:v>
                </c:pt>
                <c:pt idx="299">
                  <c:v>88.4</c:v>
                </c:pt>
                <c:pt idx="300">
                  <c:v>92</c:v>
                </c:pt>
                <c:pt idx="301">
                  <c:v>64.66</c:v>
                </c:pt>
                <c:pt idx="302">
                  <c:v>53.89</c:v>
                </c:pt>
                <c:pt idx="303">
                  <c:v>82.8</c:v>
                </c:pt>
                <c:pt idx="304">
                  <c:v>87.7</c:v>
                </c:pt>
                <c:pt idx="305">
                  <c:v>93.6</c:v>
                </c:pt>
                <c:pt idx="306">
                  <c:v>95.5</c:v>
                </c:pt>
                <c:pt idx="307">
                  <c:v>97.2</c:v>
                </c:pt>
                <c:pt idx="308">
                  <c:v>92.2</c:v>
                </c:pt>
                <c:pt idx="309">
                  <c:v>95.5</c:v>
                </c:pt>
                <c:pt idx="310">
                  <c:v>81</c:v>
                </c:pt>
                <c:pt idx="311">
                  <c:v>67.489999999999995</c:v>
                </c:pt>
                <c:pt idx="312">
                  <c:v>95.7</c:v>
                </c:pt>
                <c:pt idx="313">
                  <c:v>96.5</c:v>
                </c:pt>
                <c:pt idx="314">
                  <c:v>84.8</c:v>
                </c:pt>
                <c:pt idx="315">
                  <c:v>96.3</c:v>
                </c:pt>
                <c:pt idx="316">
                  <c:v>95.6</c:v>
                </c:pt>
                <c:pt idx="317">
                  <c:v>96.2</c:v>
                </c:pt>
                <c:pt idx="318">
                  <c:v>96.7</c:v>
                </c:pt>
                <c:pt idx="319">
                  <c:v>96</c:v>
                </c:pt>
                <c:pt idx="320">
                  <c:v>97.9</c:v>
                </c:pt>
                <c:pt idx="321">
                  <c:v>95.8</c:v>
                </c:pt>
                <c:pt idx="322">
                  <c:v>95.4</c:v>
                </c:pt>
                <c:pt idx="323">
                  <c:v>93</c:v>
                </c:pt>
                <c:pt idx="324">
                  <c:v>92.4</c:v>
                </c:pt>
                <c:pt idx="325">
                  <c:v>66.760000000000005</c:v>
                </c:pt>
                <c:pt idx="326">
                  <c:v>89.8</c:v>
                </c:pt>
                <c:pt idx="327">
                  <c:v>96</c:v>
                </c:pt>
                <c:pt idx="328">
                  <c:v>92.1</c:v>
                </c:pt>
                <c:pt idx="329">
                  <c:v>88.1</c:v>
                </c:pt>
                <c:pt idx="330">
                  <c:v>84.7</c:v>
                </c:pt>
                <c:pt idx="331">
                  <c:v>80.8</c:v>
                </c:pt>
                <c:pt idx="332">
                  <c:v>80.8</c:v>
                </c:pt>
                <c:pt idx="333">
                  <c:v>86.4</c:v>
                </c:pt>
                <c:pt idx="334">
                  <c:v>91.7</c:v>
                </c:pt>
                <c:pt idx="335">
                  <c:v>95.2</c:v>
                </c:pt>
                <c:pt idx="336">
                  <c:v>95.4</c:v>
                </c:pt>
                <c:pt idx="337">
                  <c:v>95.5</c:v>
                </c:pt>
                <c:pt idx="338">
                  <c:v>95.4</c:v>
                </c:pt>
                <c:pt idx="339">
                  <c:v>95.4</c:v>
                </c:pt>
                <c:pt idx="340">
                  <c:v>95.6</c:v>
                </c:pt>
                <c:pt idx="341">
                  <c:v>93.9</c:v>
                </c:pt>
                <c:pt idx="342">
                  <c:v>86</c:v>
                </c:pt>
                <c:pt idx="343">
                  <c:v>94.6</c:v>
                </c:pt>
                <c:pt idx="344">
                  <c:v>94.8</c:v>
                </c:pt>
                <c:pt idx="345">
                  <c:v>93.4</c:v>
                </c:pt>
                <c:pt idx="346">
                  <c:v>93.1</c:v>
                </c:pt>
                <c:pt idx="347">
                  <c:v>92.2</c:v>
                </c:pt>
                <c:pt idx="348">
                  <c:v>90.3</c:v>
                </c:pt>
                <c:pt idx="349">
                  <c:v>93.4</c:v>
                </c:pt>
                <c:pt idx="350">
                  <c:v>93.4</c:v>
                </c:pt>
                <c:pt idx="351">
                  <c:v>91.5</c:v>
                </c:pt>
                <c:pt idx="352">
                  <c:v>93.1</c:v>
                </c:pt>
                <c:pt idx="353">
                  <c:v>96.5</c:v>
                </c:pt>
                <c:pt idx="354">
                  <c:v>96.7</c:v>
                </c:pt>
                <c:pt idx="355">
                  <c:v>92.8</c:v>
                </c:pt>
                <c:pt idx="356">
                  <c:v>92.4</c:v>
                </c:pt>
                <c:pt idx="357">
                  <c:v>91.8</c:v>
                </c:pt>
                <c:pt idx="358">
                  <c:v>92.5</c:v>
                </c:pt>
                <c:pt idx="359">
                  <c:v>91.2</c:v>
                </c:pt>
                <c:pt idx="360">
                  <c:v>91.5</c:v>
                </c:pt>
                <c:pt idx="361">
                  <c:v>95</c:v>
                </c:pt>
                <c:pt idx="362">
                  <c:v>94.7</c:v>
                </c:pt>
                <c:pt idx="363">
                  <c:v>95.5</c:v>
                </c:pt>
                <c:pt idx="364">
                  <c:v>95.7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Data!$V$6:$V$370</c:f>
              <c:numCache>
                <c:formatCode>General</c:formatCode>
                <c:ptCount val="365"/>
                <c:pt idx="0">
                  <c:v>77.290000000000006</c:v>
                </c:pt>
                <c:pt idx="1">
                  <c:v>87.3</c:v>
                </c:pt>
                <c:pt idx="2">
                  <c:v>91.3</c:v>
                </c:pt>
                <c:pt idx="3">
                  <c:v>88.8</c:v>
                </c:pt>
                <c:pt idx="4">
                  <c:v>92.3</c:v>
                </c:pt>
                <c:pt idx="5">
                  <c:v>84.8</c:v>
                </c:pt>
                <c:pt idx="6">
                  <c:v>74.06</c:v>
                </c:pt>
                <c:pt idx="7">
                  <c:v>73.78</c:v>
                </c:pt>
                <c:pt idx="8">
                  <c:v>90.5</c:v>
                </c:pt>
                <c:pt idx="9">
                  <c:v>92.9</c:v>
                </c:pt>
                <c:pt idx="10">
                  <c:v>92.5</c:v>
                </c:pt>
                <c:pt idx="11">
                  <c:v>91.7</c:v>
                </c:pt>
                <c:pt idx="12">
                  <c:v>81.900000000000006</c:v>
                </c:pt>
                <c:pt idx="13">
                  <c:v>35.32</c:v>
                </c:pt>
                <c:pt idx="14">
                  <c:v>49.94</c:v>
                </c:pt>
                <c:pt idx="15">
                  <c:v>80.400000000000006</c:v>
                </c:pt>
                <c:pt idx="16">
                  <c:v>92.2</c:v>
                </c:pt>
                <c:pt idx="17">
                  <c:v>90.2</c:v>
                </c:pt>
                <c:pt idx="18">
                  <c:v>85.2</c:v>
                </c:pt>
                <c:pt idx="19">
                  <c:v>81.599999999999994</c:v>
                </c:pt>
                <c:pt idx="20">
                  <c:v>79.89</c:v>
                </c:pt>
                <c:pt idx="21">
                  <c:v>85.3</c:v>
                </c:pt>
                <c:pt idx="22">
                  <c:v>89.4</c:v>
                </c:pt>
                <c:pt idx="23">
                  <c:v>68.489999999999995</c:v>
                </c:pt>
                <c:pt idx="24">
                  <c:v>67.16</c:v>
                </c:pt>
                <c:pt idx="25">
                  <c:v>56.78</c:v>
                </c:pt>
                <c:pt idx="26">
                  <c:v>59.66</c:v>
                </c:pt>
                <c:pt idx="27">
                  <c:v>38.51</c:v>
                </c:pt>
                <c:pt idx="28">
                  <c:v>8.08</c:v>
                </c:pt>
                <c:pt idx="29">
                  <c:v>15.25</c:v>
                </c:pt>
                <c:pt idx="30">
                  <c:v>56.04</c:v>
                </c:pt>
                <c:pt idx="31">
                  <c:v>71.86</c:v>
                </c:pt>
                <c:pt idx="32">
                  <c:v>63.04</c:v>
                </c:pt>
                <c:pt idx="33">
                  <c:v>64.27</c:v>
                </c:pt>
                <c:pt idx="34">
                  <c:v>73.69</c:v>
                </c:pt>
                <c:pt idx="35">
                  <c:v>42.64</c:v>
                </c:pt>
                <c:pt idx="36">
                  <c:v>55.03</c:v>
                </c:pt>
                <c:pt idx="37">
                  <c:v>37.18</c:v>
                </c:pt>
                <c:pt idx="38">
                  <c:v>79.05</c:v>
                </c:pt>
                <c:pt idx="39">
                  <c:v>76.38</c:v>
                </c:pt>
                <c:pt idx="40">
                  <c:v>74.36</c:v>
                </c:pt>
                <c:pt idx="41">
                  <c:v>76.22</c:v>
                </c:pt>
                <c:pt idx="42">
                  <c:v>83.4</c:v>
                </c:pt>
                <c:pt idx="43">
                  <c:v>81.8</c:v>
                </c:pt>
                <c:pt idx="44">
                  <c:v>83</c:v>
                </c:pt>
                <c:pt idx="45">
                  <c:v>89.1</c:v>
                </c:pt>
                <c:pt idx="46">
                  <c:v>86.6</c:v>
                </c:pt>
                <c:pt idx="47">
                  <c:v>82.2</c:v>
                </c:pt>
                <c:pt idx="48">
                  <c:v>80.599999999999994</c:v>
                </c:pt>
                <c:pt idx="49">
                  <c:v>87.2</c:v>
                </c:pt>
                <c:pt idx="50">
                  <c:v>85.9</c:v>
                </c:pt>
                <c:pt idx="51">
                  <c:v>84.5</c:v>
                </c:pt>
                <c:pt idx="52">
                  <c:v>85.6</c:v>
                </c:pt>
                <c:pt idx="53">
                  <c:v>86.3</c:v>
                </c:pt>
                <c:pt idx="54">
                  <c:v>83.8</c:v>
                </c:pt>
                <c:pt idx="55">
                  <c:v>79.900000000000006</c:v>
                </c:pt>
                <c:pt idx="56">
                  <c:v>77.510000000000005</c:v>
                </c:pt>
                <c:pt idx="57">
                  <c:v>79.209999999999994</c:v>
                </c:pt>
                <c:pt idx="58">
                  <c:v>86.3</c:v>
                </c:pt>
                <c:pt idx="59">
                  <c:v>83.2</c:v>
                </c:pt>
                <c:pt idx="60">
                  <c:v>79.56</c:v>
                </c:pt>
                <c:pt idx="61">
                  <c:v>68.58</c:v>
                </c:pt>
                <c:pt idx="62">
                  <c:v>56.15</c:v>
                </c:pt>
                <c:pt idx="63">
                  <c:v>61.32</c:v>
                </c:pt>
                <c:pt idx="64">
                  <c:v>89.5</c:v>
                </c:pt>
                <c:pt idx="65">
                  <c:v>74.510000000000005</c:v>
                </c:pt>
                <c:pt idx="66">
                  <c:v>61.74</c:v>
                </c:pt>
                <c:pt idx="67">
                  <c:v>68.03</c:v>
                </c:pt>
                <c:pt idx="68">
                  <c:v>45.94</c:v>
                </c:pt>
                <c:pt idx="69">
                  <c:v>70.400000000000006</c:v>
                </c:pt>
                <c:pt idx="70">
                  <c:v>86.9</c:v>
                </c:pt>
                <c:pt idx="71">
                  <c:v>58.61</c:v>
                </c:pt>
                <c:pt idx="72">
                  <c:v>44.31</c:v>
                </c:pt>
                <c:pt idx="73">
                  <c:v>52.92</c:v>
                </c:pt>
                <c:pt idx="74">
                  <c:v>45.34</c:v>
                </c:pt>
                <c:pt idx="75">
                  <c:v>38.31</c:v>
                </c:pt>
                <c:pt idx="76">
                  <c:v>21.75</c:v>
                </c:pt>
                <c:pt idx="77">
                  <c:v>23.92</c:v>
                </c:pt>
                <c:pt idx="78">
                  <c:v>21.95</c:v>
                </c:pt>
                <c:pt idx="79">
                  <c:v>23.71</c:v>
                </c:pt>
                <c:pt idx="80">
                  <c:v>28.4</c:v>
                </c:pt>
                <c:pt idx="81">
                  <c:v>60.99</c:v>
                </c:pt>
                <c:pt idx="82">
                  <c:v>60.48</c:v>
                </c:pt>
                <c:pt idx="83">
                  <c:v>89.8</c:v>
                </c:pt>
                <c:pt idx="84">
                  <c:v>63.31</c:v>
                </c:pt>
                <c:pt idx="85">
                  <c:v>57.24</c:v>
                </c:pt>
                <c:pt idx="86">
                  <c:v>46.29</c:v>
                </c:pt>
                <c:pt idx="87">
                  <c:v>34.26</c:v>
                </c:pt>
                <c:pt idx="88">
                  <c:v>33.11</c:v>
                </c:pt>
                <c:pt idx="89">
                  <c:v>39.67</c:v>
                </c:pt>
                <c:pt idx="90">
                  <c:v>28.72</c:v>
                </c:pt>
                <c:pt idx="91">
                  <c:v>23.31</c:v>
                </c:pt>
                <c:pt idx="92">
                  <c:v>39.479999999999997</c:v>
                </c:pt>
                <c:pt idx="93">
                  <c:v>58.93</c:v>
                </c:pt>
                <c:pt idx="94">
                  <c:v>87.7</c:v>
                </c:pt>
                <c:pt idx="95">
                  <c:v>90.6</c:v>
                </c:pt>
                <c:pt idx="96">
                  <c:v>51.27</c:v>
                </c:pt>
                <c:pt idx="97">
                  <c:v>74.66</c:v>
                </c:pt>
                <c:pt idx="98">
                  <c:v>80.099999999999994</c:v>
                </c:pt>
                <c:pt idx="99">
                  <c:v>81</c:v>
                </c:pt>
                <c:pt idx="100">
                  <c:v>70.64</c:v>
                </c:pt>
                <c:pt idx="101">
                  <c:v>61.65</c:v>
                </c:pt>
                <c:pt idx="102">
                  <c:v>71.56</c:v>
                </c:pt>
                <c:pt idx="103">
                  <c:v>47.83</c:v>
                </c:pt>
                <c:pt idx="104">
                  <c:v>49.52</c:v>
                </c:pt>
                <c:pt idx="105">
                  <c:v>30.45</c:v>
                </c:pt>
                <c:pt idx="106">
                  <c:v>45.08</c:v>
                </c:pt>
                <c:pt idx="107">
                  <c:v>84.8</c:v>
                </c:pt>
                <c:pt idx="108">
                  <c:v>71.23</c:v>
                </c:pt>
                <c:pt idx="109">
                  <c:v>41.76</c:v>
                </c:pt>
                <c:pt idx="110">
                  <c:v>16.72</c:v>
                </c:pt>
                <c:pt idx="111">
                  <c:v>39.14</c:v>
                </c:pt>
                <c:pt idx="112">
                  <c:v>44.53</c:v>
                </c:pt>
                <c:pt idx="113">
                  <c:v>38.96</c:v>
                </c:pt>
                <c:pt idx="114">
                  <c:v>22.06</c:v>
                </c:pt>
                <c:pt idx="115">
                  <c:v>24.97</c:v>
                </c:pt>
                <c:pt idx="116">
                  <c:v>67.2</c:v>
                </c:pt>
                <c:pt idx="117">
                  <c:v>41.83</c:v>
                </c:pt>
                <c:pt idx="118">
                  <c:v>38.799999999999997</c:v>
                </c:pt>
                <c:pt idx="119">
                  <c:v>31.56</c:v>
                </c:pt>
                <c:pt idx="120">
                  <c:v>45.85</c:v>
                </c:pt>
                <c:pt idx="121">
                  <c:v>51.66</c:v>
                </c:pt>
                <c:pt idx="122">
                  <c:v>43.1</c:v>
                </c:pt>
                <c:pt idx="123">
                  <c:v>49.28</c:v>
                </c:pt>
                <c:pt idx="124">
                  <c:v>36.46</c:v>
                </c:pt>
                <c:pt idx="125">
                  <c:v>36.54</c:v>
                </c:pt>
                <c:pt idx="126">
                  <c:v>41.81</c:v>
                </c:pt>
                <c:pt idx="127">
                  <c:v>42.86</c:v>
                </c:pt>
                <c:pt idx="128">
                  <c:v>24.69</c:v>
                </c:pt>
                <c:pt idx="129">
                  <c:v>37.58</c:v>
                </c:pt>
                <c:pt idx="130">
                  <c:v>33.57</c:v>
                </c:pt>
                <c:pt idx="131">
                  <c:v>20.97</c:v>
                </c:pt>
                <c:pt idx="132">
                  <c:v>31.09</c:v>
                </c:pt>
                <c:pt idx="133">
                  <c:v>45.28</c:v>
                </c:pt>
                <c:pt idx="134">
                  <c:v>46.52</c:v>
                </c:pt>
                <c:pt idx="135">
                  <c:v>93.3</c:v>
                </c:pt>
                <c:pt idx="136">
                  <c:v>75.78</c:v>
                </c:pt>
                <c:pt idx="137">
                  <c:v>79.260000000000005</c:v>
                </c:pt>
                <c:pt idx="138">
                  <c:v>60.96</c:v>
                </c:pt>
                <c:pt idx="139">
                  <c:v>46.16</c:v>
                </c:pt>
                <c:pt idx="140">
                  <c:v>56.43</c:v>
                </c:pt>
                <c:pt idx="141">
                  <c:v>40.32</c:v>
                </c:pt>
                <c:pt idx="142">
                  <c:v>49.48</c:v>
                </c:pt>
                <c:pt idx="143">
                  <c:v>51.67</c:v>
                </c:pt>
                <c:pt idx="144">
                  <c:v>92.9</c:v>
                </c:pt>
                <c:pt idx="145">
                  <c:v>52.62</c:v>
                </c:pt>
                <c:pt idx="146">
                  <c:v>24.51</c:v>
                </c:pt>
                <c:pt idx="147">
                  <c:v>20.36</c:v>
                </c:pt>
                <c:pt idx="148">
                  <c:v>22.21</c:v>
                </c:pt>
                <c:pt idx="149">
                  <c:v>33.46</c:v>
                </c:pt>
                <c:pt idx="150">
                  <c:v>41.54</c:v>
                </c:pt>
                <c:pt idx="151">
                  <c:v>20.53</c:v>
                </c:pt>
                <c:pt idx="152">
                  <c:v>13.85</c:v>
                </c:pt>
                <c:pt idx="153">
                  <c:v>20.16</c:v>
                </c:pt>
                <c:pt idx="154">
                  <c:v>24.25</c:v>
                </c:pt>
                <c:pt idx="155">
                  <c:v>36.96</c:v>
                </c:pt>
                <c:pt idx="156">
                  <c:v>48.32</c:v>
                </c:pt>
                <c:pt idx="157">
                  <c:v>60.08</c:v>
                </c:pt>
                <c:pt idx="158">
                  <c:v>59.67</c:v>
                </c:pt>
                <c:pt idx="159">
                  <c:v>25.46</c:v>
                </c:pt>
                <c:pt idx="160">
                  <c:v>64.94</c:v>
                </c:pt>
                <c:pt idx="161">
                  <c:v>46.22</c:v>
                </c:pt>
                <c:pt idx="162">
                  <c:v>29.3</c:v>
                </c:pt>
                <c:pt idx="163">
                  <c:v>32.979999999999997</c:v>
                </c:pt>
                <c:pt idx="164">
                  <c:v>33.46</c:v>
                </c:pt>
                <c:pt idx="165">
                  <c:v>24.05</c:v>
                </c:pt>
                <c:pt idx="166">
                  <c:v>31.23</c:v>
                </c:pt>
                <c:pt idx="167">
                  <c:v>29.3</c:v>
                </c:pt>
                <c:pt idx="168">
                  <c:v>30.26</c:v>
                </c:pt>
                <c:pt idx="169">
                  <c:v>59.17</c:v>
                </c:pt>
                <c:pt idx="170">
                  <c:v>96.3</c:v>
                </c:pt>
                <c:pt idx="171">
                  <c:v>58.16</c:v>
                </c:pt>
                <c:pt idx="172">
                  <c:v>54.88</c:v>
                </c:pt>
                <c:pt idx="173">
                  <c:v>39.76</c:v>
                </c:pt>
                <c:pt idx="174">
                  <c:v>65</c:v>
                </c:pt>
                <c:pt idx="175">
                  <c:v>40.369999999999997</c:v>
                </c:pt>
                <c:pt idx="176">
                  <c:v>35.659999999999997</c:v>
                </c:pt>
                <c:pt idx="177">
                  <c:v>47.09</c:v>
                </c:pt>
                <c:pt idx="178">
                  <c:v>51.51</c:v>
                </c:pt>
                <c:pt idx="179">
                  <c:v>56.55</c:v>
                </c:pt>
                <c:pt idx="180">
                  <c:v>37.96</c:v>
                </c:pt>
                <c:pt idx="181">
                  <c:v>29.21</c:v>
                </c:pt>
                <c:pt idx="182">
                  <c:v>52.25</c:v>
                </c:pt>
                <c:pt idx="183">
                  <c:v>32.75</c:v>
                </c:pt>
                <c:pt idx="184">
                  <c:v>69.64</c:v>
                </c:pt>
                <c:pt idx="185">
                  <c:v>59.66</c:v>
                </c:pt>
                <c:pt idx="186">
                  <c:v>70.53</c:v>
                </c:pt>
                <c:pt idx="187">
                  <c:v>56.81</c:v>
                </c:pt>
                <c:pt idx="188">
                  <c:v>54.65</c:v>
                </c:pt>
                <c:pt idx="189">
                  <c:v>50.48</c:v>
                </c:pt>
                <c:pt idx="190">
                  <c:v>60.15</c:v>
                </c:pt>
                <c:pt idx="191">
                  <c:v>56.53</c:v>
                </c:pt>
                <c:pt idx="192">
                  <c:v>55.85</c:v>
                </c:pt>
                <c:pt idx="193">
                  <c:v>44.84</c:v>
                </c:pt>
                <c:pt idx="194">
                  <c:v>47.41</c:v>
                </c:pt>
                <c:pt idx="195">
                  <c:v>39.18</c:v>
                </c:pt>
                <c:pt idx="196">
                  <c:v>53.9</c:v>
                </c:pt>
                <c:pt idx="197">
                  <c:v>74.459999999999994</c:v>
                </c:pt>
                <c:pt idx="198">
                  <c:v>54.46</c:v>
                </c:pt>
                <c:pt idx="199">
                  <c:v>58.82</c:v>
                </c:pt>
                <c:pt idx="200">
                  <c:v>59.68</c:v>
                </c:pt>
                <c:pt idx="201">
                  <c:v>33.590000000000003</c:v>
                </c:pt>
                <c:pt idx="202">
                  <c:v>30.11</c:v>
                </c:pt>
                <c:pt idx="203">
                  <c:v>43.35</c:v>
                </c:pt>
                <c:pt idx="204">
                  <c:v>53.44</c:v>
                </c:pt>
                <c:pt idx="205">
                  <c:v>40.479999999999997</c:v>
                </c:pt>
                <c:pt idx="206">
                  <c:v>20.9</c:v>
                </c:pt>
                <c:pt idx="207">
                  <c:v>39.72</c:v>
                </c:pt>
                <c:pt idx="208">
                  <c:v>38.19</c:v>
                </c:pt>
                <c:pt idx="209">
                  <c:v>24.58</c:v>
                </c:pt>
                <c:pt idx="210">
                  <c:v>27.86</c:v>
                </c:pt>
                <c:pt idx="211">
                  <c:v>38.99</c:v>
                </c:pt>
                <c:pt idx="212">
                  <c:v>29.57</c:v>
                </c:pt>
                <c:pt idx="213">
                  <c:v>40.82</c:v>
                </c:pt>
                <c:pt idx="214">
                  <c:v>39.1</c:v>
                </c:pt>
                <c:pt idx="215">
                  <c:v>25.52</c:v>
                </c:pt>
                <c:pt idx="216">
                  <c:v>29.64</c:v>
                </c:pt>
                <c:pt idx="217">
                  <c:v>11.17</c:v>
                </c:pt>
                <c:pt idx="218">
                  <c:v>14.45</c:v>
                </c:pt>
                <c:pt idx="219">
                  <c:v>16.98</c:v>
                </c:pt>
                <c:pt idx="220">
                  <c:v>27.93</c:v>
                </c:pt>
                <c:pt idx="221">
                  <c:v>58.16</c:v>
                </c:pt>
                <c:pt idx="222">
                  <c:v>85.3</c:v>
                </c:pt>
                <c:pt idx="223">
                  <c:v>42.68</c:v>
                </c:pt>
                <c:pt idx="224">
                  <c:v>51.2</c:v>
                </c:pt>
                <c:pt idx="225">
                  <c:v>38.090000000000003</c:v>
                </c:pt>
                <c:pt idx="226">
                  <c:v>35.729999999999997</c:v>
                </c:pt>
                <c:pt idx="227">
                  <c:v>62.28</c:v>
                </c:pt>
                <c:pt idx="228">
                  <c:v>50.35</c:v>
                </c:pt>
                <c:pt idx="229">
                  <c:v>30.12</c:v>
                </c:pt>
                <c:pt idx="230">
                  <c:v>30.9</c:v>
                </c:pt>
                <c:pt idx="231">
                  <c:v>28.9</c:v>
                </c:pt>
                <c:pt idx="232">
                  <c:v>36</c:v>
                </c:pt>
                <c:pt idx="233">
                  <c:v>40.53</c:v>
                </c:pt>
                <c:pt idx="234">
                  <c:v>46.42</c:v>
                </c:pt>
                <c:pt idx="235">
                  <c:v>37.299999999999997</c:v>
                </c:pt>
                <c:pt idx="236">
                  <c:v>61.62</c:v>
                </c:pt>
                <c:pt idx="237">
                  <c:v>49.78</c:v>
                </c:pt>
                <c:pt idx="238">
                  <c:v>32.11</c:v>
                </c:pt>
                <c:pt idx="239">
                  <c:v>34.770000000000003</c:v>
                </c:pt>
                <c:pt idx="240">
                  <c:v>19.48</c:v>
                </c:pt>
                <c:pt idx="241">
                  <c:v>46.7</c:v>
                </c:pt>
                <c:pt idx="242">
                  <c:v>46.32</c:v>
                </c:pt>
                <c:pt idx="243">
                  <c:v>44.23</c:v>
                </c:pt>
                <c:pt idx="244">
                  <c:v>39.67</c:v>
                </c:pt>
                <c:pt idx="245">
                  <c:v>29</c:v>
                </c:pt>
                <c:pt idx="246">
                  <c:v>38.659999999999997</c:v>
                </c:pt>
                <c:pt idx="247">
                  <c:v>34.229999999999997</c:v>
                </c:pt>
                <c:pt idx="248">
                  <c:v>28.22</c:v>
                </c:pt>
                <c:pt idx="249">
                  <c:v>55.17</c:v>
                </c:pt>
                <c:pt idx="250">
                  <c:v>62.77</c:v>
                </c:pt>
                <c:pt idx="251">
                  <c:v>69.53</c:v>
                </c:pt>
                <c:pt idx="252">
                  <c:v>72.67</c:v>
                </c:pt>
                <c:pt idx="253">
                  <c:v>60.94</c:v>
                </c:pt>
                <c:pt idx="254">
                  <c:v>53.46</c:v>
                </c:pt>
                <c:pt idx="255">
                  <c:v>65.17</c:v>
                </c:pt>
                <c:pt idx="256">
                  <c:v>77.03</c:v>
                </c:pt>
                <c:pt idx="257">
                  <c:v>93.4</c:v>
                </c:pt>
                <c:pt idx="258">
                  <c:v>77.38</c:v>
                </c:pt>
                <c:pt idx="259">
                  <c:v>82</c:v>
                </c:pt>
                <c:pt idx="260">
                  <c:v>96.4</c:v>
                </c:pt>
                <c:pt idx="261">
                  <c:v>72.36</c:v>
                </c:pt>
                <c:pt idx="262">
                  <c:v>71.760000000000005</c:v>
                </c:pt>
                <c:pt idx="263">
                  <c:v>57.5</c:v>
                </c:pt>
                <c:pt idx="264">
                  <c:v>84.5</c:v>
                </c:pt>
                <c:pt idx="265">
                  <c:v>83</c:v>
                </c:pt>
                <c:pt idx="266">
                  <c:v>58.82</c:v>
                </c:pt>
                <c:pt idx="267">
                  <c:v>56.97</c:v>
                </c:pt>
                <c:pt idx="268">
                  <c:v>75.209999999999994</c:v>
                </c:pt>
                <c:pt idx="269">
                  <c:v>80.400000000000006</c:v>
                </c:pt>
                <c:pt idx="270">
                  <c:v>87.4</c:v>
                </c:pt>
                <c:pt idx="271">
                  <c:v>85</c:v>
                </c:pt>
                <c:pt idx="272">
                  <c:v>76.48</c:v>
                </c:pt>
                <c:pt idx="273">
                  <c:v>70.2</c:v>
                </c:pt>
                <c:pt idx="274">
                  <c:v>83.1</c:v>
                </c:pt>
                <c:pt idx="275">
                  <c:v>85.7</c:v>
                </c:pt>
                <c:pt idx="276">
                  <c:v>64.09</c:v>
                </c:pt>
                <c:pt idx="277">
                  <c:v>68.45</c:v>
                </c:pt>
                <c:pt idx="278">
                  <c:v>58.34</c:v>
                </c:pt>
                <c:pt idx="279">
                  <c:v>51.58</c:v>
                </c:pt>
                <c:pt idx="280">
                  <c:v>78.62</c:v>
                </c:pt>
                <c:pt idx="281">
                  <c:v>77.42</c:v>
                </c:pt>
                <c:pt idx="282">
                  <c:v>28.22</c:v>
                </c:pt>
                <c:pt idx="283">
                  <c:v>35.57</c:v>
                </c:pt>
                <c:pt idx="284">
                  <c:v>36.299999999999997</c:v>
                </c:pt>
                <c:pt idx="285">
                  <c:v>51.92</c:v>
                </c:pt>
                <c:pt idx="286">
                  <c:v>67.25</c:v>
                </c:pt>
                <c:pt idx="287">
                  <c:v>76.73</c:v>
                </c:pt>
                <c:pt idx="288">
                  <c:v>56.99</c:v>
                </c:pt>
                <c:pt idx="289">
                  <c:v>72.33</c:v>
                </c:pt>
                <c:pt idx="290">
                  <c:v>73.38</c:v>
                </c:pt>
                <c:pt idx="291">
                  <c:v>80.8</c:v>
                </c:pt>
                <c:pt idx="292">
                  <c:v>75.31</c:v>
                </c:pt>
                <c:pt idx="293">
                  <c:v>93.8</c:v>
                </c:pt>
                <c:pt idx="294">
                  <c:v>75.27</c:v>
                </c:pt>
                <c:pt idx="295">
                  <c:v>65</c:v>
                </c:pt>
                <c:pt idx="296">
                  <c:v>64.05</c:v>
                </c:pt>
                <c:pt idx="297">
                  <c:v>72.239999999999995</c:v>
                </c:pt>
                <c:pt idx="298">
                  <c:v>76.23</c:v>
                </c:pt>
                <c:pt idx="299">
                  <c:v>55.52</c:v>
                </c:pt>
                <c:pt idx="300">
                  <c:v>34.43</c:v>
                </c:pt>
                <c:pt idx="301">
                  <c:v>21.71</c:v>
                </c:pt>
                <c:pt idx="302">
                  <c:v>31.07</c:v>
                </c:pt>
                <c:pt idx="303">
                  <c:v>44.69</c:v>
                </c:pt>
                <c:pt idx="304">
                  <c:v>24.7</c:v>
                </c:pt>
                <c:pt idx="305">
                  <c:v>44.45</c:v>
                </c:pt>
                <c:pt idx="306">
                  <c:v>70.02</c:v>
                </c:pt>
                <c:pt idx="307">
                  <c:v>62.21</c:v>
                </c:pt>
                <c:pt idx="308">
                  <c:v>60.02</c:v>
                </c:pt>
                <c:pt idx="309">
                  <c:v>48.84</c:v>
                </c:pt>
                <c:pt idx="310">
                  <c:v>38.86</c:v>
                </c:pt>
                <c:pt idx="311">
                  <c:v>38.22</c:v>
                </c:pt>
                <c:pt idx="312">
                  <c:v>47.31</c:v>
                </c:pt>
                <c:pt idx="313">
                  <c:v>74.150000000000006</c:v>
                </c:pt>
                <c:pt idx="314">
                  <c:v>62.15</c:v>
                </c:pt>
                <c:pt idx="315">
                  <c:v>64.12</c:v>
                </c:pt>
                <c:pt idx="316">
                  <c:v>85.5</c:v>
                </c:pt>
                <c:pt idx="317">
                  <c:v>87.9</c:v>
                </c:pt>
                <c:pt idx="318">
                  <c:v>92.8</c:v>
                </c:pt>
                <c:pt idx="319">
                  <c:v>86.1</c:v>
                </c:pt>
                <c:pt idx="320">
                  <c:v>72.23</c:v>
                </c:pt>
                <c:pt idx="321">
                  <c:v>40.659999999999997</c:v>
                </c:pt>
                <c:pt idx="322">
                  <c:v>91.7</c:v>
                </c:pt>
                <c:pt idx="323">
                  <c:v>87</c:v>
                </c:pt>
                <c:pt idx="324">
                  <c:v>46.24</c:v>
                </c:pt>
                <c:pt idx="325">
                  <c:v>27.24</c:v>
                </c:pt>
                <c:pt idx="326">
                  <c:v>62.67</c:v>
                </c:pt>
                <c:pt idx="327">
                  <c:v>64.77</c:v>
                </c:pt>
                <c:pt idx="328">
                  <c:v>84.3</c:v>
                </c:pt>
                <c:pt idx="329">
                  <c:v>71.33</c:v>
                </c:pt>
                <c:pt idx="330">
                  <c:v>73.819999999999993</c:v>
                </c:pt>
                <c:pt idx="331">
                  <c:v>61.43</c:v>
                </c:pt>
                <c:pt idx="332">
                  <c:v>50.09</c:v>
                </c:pt>
                <c:pt idx="333">
                  <c:v>48.98</c:v>
                </c:pt>
                <c:pt idx="334">
                  <c:v>86.1</c:v>
                </c:pt>
                <c:pt idx="335">
                  <c:v>91.4</c:v>
                </c:pt>
                <c:pt idx="336">
                  <c:v>80.099999999999994</c:v>
                </c:pt>
                <c:pt idx="337">
                  <c:v>80.3</c:v>
                </c:pt>
                <c:pt idx="338">
                  <c:v>77.08</c:v>
                </c:pt>
                <c:pt idx="339">
                  <c:v>89.8</c:v>
                </c:pt>
                <c:pt idx="340">
                  <c:v>94</c:v>
                </c:pt>
                <c:pt idx="341">
                  <c:v>81.2</c:v>
                </c:pt>
                <c:pt idx="342">
                  <c:v>65.510000000000005</c:v>
                </c:pt>
                <c:pt idx="343">
                  <c:v>63.71</c:v>
                </c:pt>
                <c:pt idx="344">
                  <c:v>90.6</c:v>
                </c:pt>
                <c:pt idx="345">
                  <c:v>91.9</c:v>
                </c:pt>
                <c:pt idx="346">
                  <c:v>91.2</c:v>
                </c:pt>
                <c:pt idx="347">
                  <c:v>89.6</c:v>
                </c:pt>
                <c:pt idx="348">
                  <c:v>87.1</c:v>
                </c:pt>
                <c:pt idx="349">
                  <c:v>86</c:v>
                </c:pt>
                <c:pt idx="350">
                  <c:v>88.6</c:v>
                </c:pt>
                <c:pt idx="351">
                  <c:v>89.1</c:v>
                </c:pt>
                <c:pt idx="352">
                  <c:v>88.6</c:v>
                </c:pt>
                <c:pt idx="353">
                  <c:v>92.3</c:v>
                </c:pt>
                <c:pt idx="354">
                  <c:v>90.4</c:v>
                </c:pt>
                <c:pt idx="355">
                  <c:v>88.4</c:v>
                </c:pt>
                <c:pt idx="356">
                  <c:v>89.8</c:v>
                </c:pt>
                <c:pt idx="357">
                  <c:v>88.1</c:v>
                </c:pt>
                <c:pt idx="358">
                  <c:v>87.1</c:v>
                </c:pt>
                <c:pt idx="359">
                  <c:v>86.7</c:v>
                </c:pt>
                <c:pt idx="360">
                  <c:v>87.6</c:v>
                </c:pt>
                <c:pt idx="361">
                  <c:v>88.1</c:v>
                </c:pt>
                <c:pt idx="362">
                  <c:v>92</c:v>
                </c:pt>
                <c:pt idx="363">
                  <c:v>92.2</c:v>
                </c:pt>
                <c:pt idx="364">
                  <c:v>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86816"/>
        <c:axId val="42788352"/>
      </c:lineChart>
      <c:catAx>
        <c:axId val="427868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7883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788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786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43171392484705"/>
          <c:y val="0.64223671745173871"/>
          <c:w val="0.10963634912362252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69184757125764"/>
          <c:y val="0.17782378047197833"/>
          <c:w val="0.83148435178596791"/>
          <c:h val="0.77525591170854713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Data!$BM$6:$BM$370</c:f>
              <c:numCache>
                <c:formatCode>General</c:formatCode>
                <c:ptCount val="365"/>
                <c:pt idx="0">
                  <c:v>-0.47699999999999987</c:v>
                </c:pt>
                <c:pt idx="1">
                  <c:v>-1.0209999999999999</c:v>
                </c:pt>
                <c:pt idx="2">
                  <c:v>-0.59099999999999997</c:v>
                </c:pt>
                <c:pt idx="3">
                  <c:v>-0.55299999999999994</c:v>
                </c:pt>
                <c:pt idx="4">
                  <c:v>-0.2629999999999999</c:v>
                </c:pt>
                <c:pt idx="5">
                  <c:v>-0.56400000000000006</c:v>
                </c:pt>
                <c:pt idx="6">
                  <c:v>-0.47000000000000064</c:v>
                </c:pt>
                <c:pt idx="7">
                  <c:v>-0.24299999999999944</c:v>
                </c:pt>
                <c:pt idx="8">
                  <c:v>-0.73299999999999987</c:v>
                </c:pt>
                <c:pt idx="9">
                  <c:v>-1.1679999999999999</c:v>
                </c:pt>
                <c:pt idx="10">
                  <c:v>-0.68800000000000017</c:v>
                </c:pt>
                <c:pt idx="11">
                  <c:v>-1.694</c:v>
                </c:pt>
                <c:pt idx="12">
                  <c:v>-2.2170000000000001</c:v>
                </c:pt>
                <c:pt idx="13">
                  <c:v>-3.0779999999999998</c:v>
                </c:pt>
                <c:pt idx="14">
                  <c:v>-1.867</c:v>
                </c:pt>
                <c:pt idx="15">
                  <c:v>-0.73900000000000032</c:v>
                </c:pt>
                <c:pt idx="16">
                  <c:v>-0.39999999999999991</c:v>
                </c:pt>
                <c:pt idx="17">
                  <c:v>-1.0310000000000001</c:v>
                </c:pt>
                <c:pt idx="18">
                  <c:v>-0.56499999999999995</c:v>
                </c:pt>
                <c:pt idx="19">
                  <c:v>-1.0990000000000002</c:v>
                </c:pt>
                <c:pt idx="20">
                  <c:v>0.40700000000000003</c:v>
                </c:pt>
                <c:pt idx="21">
                  <c:v>-0.53200000000000003</c:v>
                </c:pt>
                <c:pt idx="22">
                  <c:v>-0.23199999999999932</c:v>
                </c:pt>
                <c:pt idx="23">
                  <c:v>-1.8260000000000001</c:v>
                </c:pt>
                <c:pt idx="24">
                  <c:v>-1.956</c:v>
                </c:pt>
                <c:pt idx="25">
                  <c:v>-3.8610000000000002</c:v>
                </c:pt>
                <c:pt idx="26">
                  <c:v>-3.593</c:v>
                </c:pt>
                <c:pt idx="27">
                  <c:v>-1.9859999999999998</c:v>
                </c:pt>
                <c:pt idx="28">
                  <c:v>-3.9289999999999998</c:v>
                </c:pt>
                <c:pt idx="29">
                  <c:v>-3.278</c:v>
                </c:pt>
                <c:pt idx="30">
                  <c:v>-2.2839999999999998</c:v>
                </c:pt>
                <c:pt idx="31">
                  <c:v>-1.5450000000000002</c:v>
                </c:pt>
                <c:pt idx="32">
                  <c:v>-1.254</c:v>
                </c:pt>
                <c:pt idx="33">
                  <c:v>5.1999999999999602E-2</c:v>
                </c:pt>
                <c:pt idx="34">
                  <c:v>0.73000000000000043</c:v>
                </c:pt>
                <c:pt idx="35">
                  <c:v>0.47999999999999865</c:v>
                </c:pt>
                <c:pt idx="36">
                  <c:v>-1.0199999999999996</c:v>
                </c:pt>
                <c:pt idx="37">
                  <c:v>-0.34999999999999964</c:v>
                </c:pt>
                <c:pt idx="38">
                  <c:v>-0.41000000000000014</c:v>
                </c:pt>
                <c:pt idx="39">
                  <c:v>-0.16999999999999815</c:v>
                </c:pt>
                <c:pt idx="40">
                  <c:v>9.9999999999997868E-3</c:v>
                </c:pt>
                <c:pt idx="41">
                  <c:v>-0.26999999999999957</c:v>
                </c:pt>
                <c:pt idx="42">
                  <c:v>-0.83000000000000007</c:v>
                </c:pt>
                <c:pt idx="43">
                  <c:v>-1.4699999999999989</c:v>
                </c:pt>
                <c:pt idx="44">
                  <c:v>-0.54</c:v>
                </c:pt>
                <c:pt idx="45">
                  <c:v>-0.36599999999999966</c:v>
                </c:pt>
                <c:pt idx="46">
                  <c:v>-5.6999999999999496E-2</c:v>
                </c:pt>
                <c:pt idx="47">
                  <c:v>-0.19999999999999929</c:v>
                </c:pt>
                <c:pt idx="48">
                  <c:v>-0.57000000000000028</c:v>
                </c:pt>
                <c:pt idx="49">
                  <c:v>-0.27599999999999891</c:v>
                </c:pt>
                <c:pt idx="50">
                  <c:v>0.11000000000000121</c:v>
                </c:pt>
                <c:pt idx="51">
                  <c:v>0.39000000000000057</c:v>
                </c:pt>
                <c:pt idx="52">
                  <c:v>-0.49000000000000021</c:v>
                </c:pt>
                <c:pt idx="53">
                  <c:v>-0.57000000000000028</c:v>
                </c:pt>
                <c:pt idx="54">
                  <c:v>1.3699999999999992</c:v>
                </c:pt>
                <c:pt idx="55">
                  <c:v>2.9999999999999361E-2</c:v>
                </c:pt>
                <c:pt idx="56">
                  <c:v>-1.0400000000000009</c:v>
                </c:pt>
                <c:pt idx="57">
                  <c:v>-0.1899999999999995</c:v>
                </c:pt>
                <c:pt idx="58">
                  <c:v>-0.48000000000000043</c:v>
                </c:pt>
                <c:pt idx="59">
                  <c:v>1.8069999999999995</c:v>
                </c:pt>
                <c:pt idx="60">
                  <c:v>-0.5</c:v>
                </c:pt>
                <c:pt idx="61">
                  <c:v>3.4949999999999992</c:v>
                </c:pt>
                <c:pt idx="62">
                  <c:v>3.4060000000000006</c:v>
                </c:pt>
                <c:pt idx="63">
                  <c:v>-0.1639999999999997</c:v>
                </c:pt>
                <c:pt idx="64">
                  <c:v>8.1000000000000405E-2</c:v>
                </c:pt>
                <c:pt idx="65">
                  <c:v>0.74199999999999999</c:v>
                </c:pt>
                <c:pt idx="66">
                  <c:v>3.74</c:v>
                </c:pt>
                <c:pt idx="67">
                  <c:v>1.1500000000000004</c:v>
                </c:pt>
                <c:pt idx="68">
                  <c:v>1.3109999999999999</c:v>
                </c:pt>
                <c:pt idx="69">
                  <c:v>-0.64499999999999957</c:v>
                </c:pt>
                <c:pt idx="70">
                  <c:v>-0.40200000000000014</c:v>
                </c:pt>
                <c:pt idx="71">
                  <c:v>1.3250000000000002</c:v>
                </c:pt>
                <c:pt idx="72">
                  <c:v>-0.75800000000000001</c:v>
                </c:pt>
                <c:pt idx="73">
                  <c:v>-1.9640000000000002</c:v>
                </c:pt>
                <c:pt idx="74">
                  <c:v>-4.0069999999999997</c:v>
                </c:pt>
                <c:pt idx="75">
                  <c:v>-4.5960000000000001</c:v>
                </c:pt>
                <c:pt idx="76">
                  <c:v>-7.37</c:v>
                </c:pt>
                <c:pt idx="77">
                  <c:v>-9.2949999999999999</c:v>
                </c:pt>
                <c:pt idx="78">
                  <c:v>-11.100999999999999</c:v>
                </c:pt>
                <c:pt idx="79">
                  <c:v>-11.531000000000001</c:v>
                </c:pt>
                <c:pt idx="80">
                  <c:v>-9.4979999999999993</c:v>
                </c:pt>
                <c:pt idx="81">
                  <c:v>-3.1339999999999999</c:v>
                </c:pt>
                <c:pt idx="82">
                  <c:v>-4.883</c:v>
                </c:pt>
                <c:pt idx="83">
                  <c:v>-0.21899999999999997</c:v>
                </c:pt>
                <c:pt idx="84">
                  <c:v>-5.1000000000000045E-2</c:v>
                </c:pt>
                <c:pt idx="85">
                  <c:v>-2.0489999999999999</c:v>
                </c:pt>
                <c:pt idx="86">
                  <c:v>-2.83</c:v>
                </c:pt>
                <c:pt idx="87">
                  <c:v>-3.4659999999999997</c:v>
                </c:pt>
                <c:pt idx="88">
                  <c:v>-4.9530000000000003</c:v>
                </c:pt>
                <c:pt idx="89">
                  <c:v>-3.9769999999999994</c:v>
                </c:pt>
                <c:pt idx="90">
                  <c:v>-3.7070000000000003</c:v>
                </c:pt>
                <c:pt idx="91">
                  <c:v>-5.3840000000000003</c:v>
                </c:pt>
                <c:pt idx="92">
                  <c:v>-1.9179999999999997</c:v>
                </c:pt>
                <c:pt idx="93">
                  <c:v>-3.6859999999999999</c:v>
                </c:pt>
                <c:pt idx="94">
                  <c:v>-0.377</c:v>
                </c:pt>
                <c:pt idx="95">
                  <c:v>-5.8000000000000052E-2</c:v>
                </c:pt>
                <c:pt idx="96">
                  <c:v>-0.92500000000000004</c:v>
                </c:pt>
                <c:pt idx="97">
                  <c:v>-0.373</c:v>
                </c:pt>
                <c:pt idx="98">
                  <c:v>0.223</c:v>
                </c:pt>
                <c:pt idx="99">
                  <c:v>4.8000000000000043E-2</c:v>
                </c:pt>
                <c:pt idx="100">
                  <c:v>1.331</c:v>
                </c:pt>
                <c:pt idx="101">
                  <c:v>0.184</c:v>
                </c:pt>
                <c:pt idx="102">
                  <c:v>-0.30299999999999994</c:v>
                </c:pt>
                <c:pt idx="103">
                  <c:v>-1.149</c:v>
                </c:pt>
                <c:pt idx="104">
                  <c:v>0.43</c:v>
                </c:pt>
                <c:pt idx="105">
                  <c:v>-3.2970000000000002</c:v>
                </c:pt>
                <c:pt idx="106">
                  <c:v>-4.5060000000000002</c:v>
                </c:pt>
                <c:pt idx="107">
                  <c:v>-3.5960000000000001</c:v>
                </c:pt>
                <c:pt idx="108">
                  <c:v>-3.4939999999999998</c:v>
                </c:pt>
                <c:pt idx="109">
                  <c:v>-1.9870000000000001</c:v>
                </c:pt>
                <c:pt idx="110">
                  <c:v>-7.3840000000000003</c:v>
                </c:pt>
                <c:pt idx="111">
                  <c:v>-5.38</c:v>
                </c:pt>
                <c:pt idx="112">
                  <c:v>-5.1920000000000002</c:v>
                </c:pt>
                <c:pt idx="113">
                  <c:v>-2.702</c:v>
                </c:pt>
                <c:pt idx="114">
                  <c:v>-5.6589999999999998</c:v>
                </c:pt>
                <c:pt idx="115">
                  <c:v>-4.9889999999999999</c:v>
                </c:pt>
                <c:pt idx="116">
                  <c:v>-1.2670000000000003</c:v>
                </c:pt>
                <c:pt idx="117">
                  <c:v>-0.72199999999999998</c:v>
                </c:pt>
                <c:pt idx="118">
                  <c:v>-0.97099999999999997</c:v>
                </c:pt>
                <c:pt idx="119">
                  <c:v>-1.8259999999999998</c:v>
                </c:pt>
                <c:pt idx="120">
                  <c:v>-2.6399999999999997</c:v>
                </c:pt>
                <c:pt idx="121">
                  <c:v>-4.9889999999999999</c:v>
                </c:pt>
                <c:pt idx="122">
                  <c:v>-7.5790000000000006</c:v>
                </c:pt>
                <c:pt idx="123">
                  <c:v>-8.3240000000000016</c:v>
                </c:pt>
                <c:pt idx="124">
                  <c:v>-6.8519999999999994</c:v>
                </c:pt>
                <c:pt idx="125">
                  <c:v>-9.0830000000000002</c:v>
                </c:pt>
                <c:pt idx="126">
                  <c:v>-8.3659999999999997</c:v>
                </c:pt>
                <c:pt idx="127">
                  <c:v>-9.0289999999999999</c:v>
                </c:pt>
                <c:pt idx="128">
                  <c:v>-11.378</c:v>
                </c:pt>
                <c:pt idx="129">
                  <c:v>-13.268000000000001</c:v>
                </c:pt>
                <c:pt idx="130">
                  <c:v>-15.118999999999998</c:v>
                </c:pt>
                <c:pt idx="131">
                  <c:v>-13.561999999999999</c:v>
                </c:pt>
                <c:pt idx="132">
                  <c:v>-10.962999999999999</c:v>
                </c:pt>
                <c:pt idx="133">
                  <c:v>-7.37</c:v>
                </c:pt>
                <c:pt idx="134">
                  <c:v>-7.6270000000000007</c:v>
                </c:pt>
                <c:pt idx="135">
                  <c:v>-5.0220000000000002</c:v>
                </c:pt>
                <c:pt idx="136">
                  <c:v>-2.7670000000000003</c:v>
                </c:pt>
                <c:pt idx="137">
                  <c:v>-2.4869999999999997</c:v>
                </c:pt>
                <c:pt idx="138">
                  <c:v>-0.15200000000000014</c:v>
                </c:pt>
                <c:pt idx="139">
                  <c:v>2.6400000000000006</c:v>
                </c:pt>
                <c:pt idx="140">
                  <c:v>1.5600000000000005</c:v>
                </c:pt>
                <c:pt idx="141">
                  <c:v>4.9500000000000011</c:v>
                </c:pt>
                <c:pt idx="142">
                  <c:v>11.519999999999998</c:v>
                </c:pt>
                <c:pt idx="143">
                  <c:v>11.970000000000002</c:v>
                </c:pt>
                <c:pt idx="144">
                  <c:v>3.359</c:v>
                </c:pt>
                <c:pt idx="145">
                  <c:v>5.7700000000000014</c:v>
                </c:pt>
                <c:pt idx="146">
                  <c:v>9.98</c:v>
                </c:pt>
                <c:pt idx="147">
                  <c:v>11.869999999999997</c:v>
                </c:pt>
                <c:pt idx="148">
                  <c:v>14.510000000000002</c:v>
                </c:pt>
                <c:pt idx="149">
                  <c:v>6.4000000000000021</c:v>
                </c:pt>
                <c:pt idx="150">
                  <c:v>6.0599999999999987</c:v>
                </c:pt>
                <c:pt idx="151">
                  <c:v>9.3300000000000018</c:v>
                </c:pt>
                <c:pt idx="152">
                  <c:v>14.030000000000001</c:v>
                </c:pt>
                <c:pt idx="153">
                  <c:v>16.549999999999997</c:v>
                </c:pt>
                <c:pt idx="154">
                  <c:v>17.36</c:v>
                </c:pt>
                <c:pt idx="155">
                  <c:v>17.47</c:v>
                </c:pt>
                <c:pt idx="156">
                  <c:v>5.0919999999999996</c:v>
                </c:pt>
                <c:pt idx="157">
                  <c:v>8.718</c:v>
                </c:pt>
                <c:pt idx="158">
                  <c:v>2.9930000000000003</c:v>
                </c:pt>
                <c:pt idx="159">
                  <c:v>5.4499999999999993</c:v>
                </c:pt>
                <c:pt idx="160">
                  <c:v>7.6800000000000015</c:v>
                </c:pt>
                <c:pt idx="161">
                  <c:v>12.760000000000002</c:v>
                </c:pt>
                <c:pt idx="162">
                  <c:v>11.989999999999998</c:v>
                </c:pt>
                <c:pt idx="163">
                  <c:v>15.059999999999999</c:v>
                </c:pt>
                <c:pt idx="164">
                  <c:v>17.799999999999997</c:v>
                </c:pt>
                <c:pt idx="165">
                  <c:v>17.459999999999997</c:v>
                </c:pt>
                <c:pt idx="166">
                  <c:v>10.07</c:v>
                </c:pt>
                <c:pt idx="167">
                  <c:v>17.2</c:v>
                </c:pt>
                <c:pt idx="168">
                  <c:v>15.020000000000001</c:v>
                </c:pt>
                <c:pt idx="169">
                  <c:v>5.3970000000000002</c:v>
                </c:pt>
                <c:pt idx="170">
                  <c:v>-3.9999999999999925E-2</c:v>
                </c:pt>
                <c:pt idx="171">
                  <c:v>0.83000000000000007</c:v>
                </c:pt>
                <c:pt idx="172">
                  <c:v>6.4499999999999993</c:v>
                </c:pt>
                <c:pt idx="173">
                  <c:v>4.99</c:v>
                </c:pt>
                <c:pt idx="174">
                  <c:v>7.66</c:v>
                </c:pt>
                <c:pt idx="175">
                  <c:v>8.0100000000000016</c:v>
                </c:pt>
                <c:pt idx="176">
                  <c:v>6.91</c:v>
                </c:pt>
                <c:pt idx="177">
                  <c:v>5.870000000000001</c:v>
                </c:pt>
                <c:pt idx="178">
                  <c:v>7.91</c:v>
                </c:pt>
                <c:pt idx="179">
                  <c:v>5.1000000000000014</c:v>
                </c:pt>
                <c:pt idx="180">
                  <c:v>2.9000000000000004</c:v>
                </c:pt>
                <c:pt idx="181">
                  <c:v>14.25</c:v>
                </c:pt>
                <c:pt idx="182">
                  <c:v>6.6700000000000017</c:v>
                </c:pt>
                <c:pt idx="183">
                  <c:v>14.100000000000001</c:v>
                </c:pt>
                <c:pt idx="184">
                  <c:v>5.1699999999999982</c:v>
                </c:pt>
                <c:pt idx="185">
                  <c:v>2.9700000000000006</c:v>
                </c:pt>
                <c:pt idx="186">
                  <c:v>8.9599999999999991</c:v>
                </c:pt>
                <c:pt idx="187">
                  <c:v>7.57</c:v>
                </c:pt>
                <c:pt idx="188">
                  <c:v>2.58</c:v>
                </c:pt>
                <c:pt idx="189">
                  <c:v>3.58</c:v>
                </c:pt>
                <c:pt idx="190">
                  <c:v>7.3000000000000007</c:v>
                </c:pt>
                <c:pt idx="191">
                  <c:v>3.2099999999999991</c:v>
                </c:pt>
                <c:pt idx="192">
                  <c:v>6.4599999999999973</c:v>
                </c:pt>
                <c:pt idx="193">
                  <c:v>6.1699999999999982</c:v>
                </c:pt>
                <c:pt idx="194">
                  <c:v>7.8099999999999987</c:v>
                </c:pt>
                <c:pt idx="195">
                  <c:v>14.89</c:v>
                </c:pt>
                <c:pt idx="196">
                  <c:v>3.0199999999999996</c:v>
                </c:pt>
                <c:pt idx="197">
                  <c:v>4.0200000000000014</c:v>
                </c:pt>
                <c:pt idx="198">
                  <c:v>6.4</c:v>
                </c:pt>
                <c:pt idx="199">
                  <c:v>5.9599999999999991</c:v>
                </c:pt>
                <c:pt idx="200">
                  <c:v>2.75</c:v>
                </c:pt>
                <c:pt idx="201">
                  <c:v>9.1700000000000017</c:v>
                </c:pt>
                <c:pt idx="202">
                  <c:v>8.02</c:v>
                </c:pt>
                <c:pt idx="203">
                  <c:v>5.509999999999998</c:v>
                </c:pt>
                <c:pt idx="204">
                  <c:v>6.48</c:v>
                </c:pt>
                <c:pt idx="205">
                  <c:v>8.7099999999999973</c:v>
                </c:pt>
                <c:pt idx="206">
                  <c:v>12.169999999999998</c:v>
                </c:pt>
                <c:pt idx="207">
                  <c:v>15.559999999999999</c:v>
                </c:pt>
                <c:pt idx="208">
                  <c:v>14.830000000000002</c:v>
                </c:pt>
                <c:pt idx="209">
                  <c:v>14.689999999999998</c:v>
                </c:pt>
                <c:pt idx="210">
                  <c:v>14.780000000000001</c:v>
                </c:pt>
                <c:pt idx="211">
                  <c:v>15.330000000000002</c:v>
                </c:pt>
                <c:pt idx="212">
                  <c:v>14.129999999999999</c:v>
                </c:pt>
                <c:pt idx="213">
                  <c:v>12.279999999999998</c:v>
                </c:pt>
                <c:pt idx="214">
                  <c:v>18.71</c:v>
                </c:pt>
                <c:pt idx="215">
                  <c:v>18.23</c:v>
                </c:pt>
                <c:pt idx="216">
                  <c:v>17.54</c:v>
                </c:pt>
                <c:pt idx="217">
                  <c:v>17.2</c:v>
                </c:pt>
                <c:pt idx="218">
                  <c:v>18.09</c:v>
                </c:pt>
                <c:pt idx="219">
                  <c:v>18.110000000000003</c:v>
                </c:pt>
                <c:pt idx="220">
                  <c:v>16.389999999999997</c:v>
                </c:pt>
                <c:pt idx="221">
                  <c:v>8.370000000000001</c:v>
                </c:pt>
                <c:pt idx="222">
                  <c:v>1.1999999999999993</c:v>
                </c:pt>
                <c:pt idx="223">
                  <c:v>8.49</c:v>
                </c:pt>
                <c:pt idx="224">
                  <c:v>4.1400000000000006</c:v>
                </c:pt>
                <c:pt idx="225">
                  <c:v>7.7899999999999991</c:v>
                </c:pt>
                <c:pt idx="226">
                  <c:v>11.190000000000001</c:v>
                </c:pt>
                <c:pt idx="227">
                  <c:v>6.0000000000000018</c:v>
                </c:pt>
                <c:pt idx="228">
                  <c:v>7.6399999999999988</c:v>
                </c:pt>
                <c:pt idx="229">
                  <c:v>14.43</c:v>
                </c:pt>
                <c:pt idx="230">
                  <c:v>16.510000000000005</c:v>
                </c:pt>
                <c:pt idx="231">
                  <c:v>16.73</c:v>
                </c:pt>
                <c:pt idx="232">
                  <c:v>2.9400000000000013</c:v>
                </c:pt>
                <c:pt idx="233">
                  <c:v>18.370000000000005</c:v>
                </c:pt>
                <c:pt idx="234">
                  <c:v>2.9399999999999995</c:v>
                </c:pt>
                <c:pt idx="235">
                  <c:v>15.049999999999999</c:v>
                </c:pt>
                <c:pt idx="236">
                  <c:v>8.85</c:v>
                </c:pt>
                <c:pt idx="237">
                  <c:v>10.97</c:v>
                </c:pt>
                <c:pt idx="238">
                  <c:v>12.509999999999998</c:v>
                </c:pt>
                <c:pt idx="239">
                  <c:v>16.969999999999995</c:v>
                </c:pt>
                <c:pt idx="240">
                  <c:v>18.29</c:v>
                </c:pt>
                <c:pt idx="241">
                  <c:v>11.21</c:v>
                </c:pt>
                <c:pt idx="242">
                  <c:v>8.5200000000000031</c:v>
                </c:pt>
                <c:pt idx="243">
                  <c:v>10.93</c:v>
                </c:pt>
                <c:pt idx="244">
                  <c:v>17.810000000000002</c:v>
                </c:pt>
                <c:pt idx="245">
                  <c:v>18.439999999999998</c:v>
                </c:pt>
                <c:pt idx="246">
                  <c:v>3.7800000000000011</c:v>
                </c:pt>
                <c:pt idx="247">
                  <c:v>13.310000000000002</c:v>
                </c:pt>
                <c:pt idx="248">
                  <c:v>11.399999999999999</c:v>
                </c:pt>
                <c:pt idx="249">
                  <c:v>3.7100000000000009</c:v>
                </c:pt>
                <c:pt idx="250">
                  <c:v>-1.2800000000000011</c:v>
                </c:pt>
                <c:pt idx="251">
                  <c:v>2.2300000000000004</c:v>
                </c:pt>
                <c:pt idx="252">
                  <c:v>10.150000000000002</c:v>
                </c:pt>
                <c:pt idx="253">
                  <c:v>6.8300000000000018</c:v>
                </c:pt>
                <c:pt idx="254">
                  <c:v>2.09</c:v>
                </c:pt>
                <c:pt idx="255">
                  <c:v>2.7100000000000009</c:v>
                </c:pt>
                <c:pt idx="256">
                  <c:v>1.58</c:v>
                </c:pt>
                <c:pt idx="257">
                  <c:v>0.51800000000000068</c:v>
                </c:pt>
                <c:pt idx="258">
                  <c:v>4.2900000000000009</c:v>
                </c:pt>
                <c:pt idx="259">
                  <c:v>2.1749999999999998</c:v>
                </c:pt>
                <c:pt idx="260">
                  <c:v>4.1960000000000006</c:v>
                </c:pt>
                <c:pt idx="261">
                  <c:v>4.6500000000000004</c:v>
                </c:pt>
                <c:pt idx="262">
                  <c:v>3.7769999999999992</c:v>
                </c:pt>
                <c:pt idx="263">
                  <c:v>4.9199999999999982</c:v>
                </c:pt>
                <c:pt idx="264">
                  <c:v>0.58999999999999986</c:v>
                </c:pt>
                <c:pt idx="265">
                  <c:v>0.90899999999999981</c:v>
                </c:pt>
                <c:pt idx="266">
                  <c:v>3.5280000000000005</c:v>
                </c:pt>
                <c:pt idx="267">
                  <c:v>1.7749999999999995</c:v>
                </c:pt>
                <c:pt idx="268">
                  <c:v>0.55300000000000082</c:v>
                </c:pt>
                <c:pt idx="269">
                  <c:v>0.218</c:v>
                </c:pt>
                <c:pt idx="270">
                  <c:v>-0.30899999999999994</c:v>
                </c:pt>
                <c:pt idx="271">
                  <c:v>-0.36299999999999999</c:v>
                </c:pt>
                <c:pt idx="272">
                  <c:v>0.75599999999999989</c:v>
                </c:pt>
                <c:pt idx="273">
                  <c:v>-1.173</c:v>
                </c:pt>
                <c:pt idx="274">
                  <c:v>-0.83800000000000008</c:v>
                </c:pt>
                <c:pt idx="275">
                  <c:v>-0.79799999999999982</c:v>
                </c:pt>
                <c:pt idx="276">
                  <c:v>-1.8609999999999998</c:v>
                </c:pt>
                <c:pt idx="277">
                  <c:v>-2.2549999999999999</c:v>
                </c:pt>
                <c:pt idx="278">
                  <c:v>-4.0310000000000006</c:v>
                </c:pt>
                <c:pt idx="279">
                  <c:v>-4.6519999999999992</c:v>
                </c:pt>
                <c:pt idx="280">
                  <c:v>0.47499999999999998</c:v>
                </c:pt>
                <c:pt idx="281">
                  <c:v>1.7279999999999998</c:v>
                </c:pt>
                <c:pt idx="282">
                  <c:v>-1.3220000000000001</c:v>
                </c:pt>
                <c:pt idx="283">
                  <c:v>-2.7239999999999998</c:v>
                </c:pt>
                <c:pt idx="284">
                  <c:v>-3.7759999999999998</c:v>
                </c:pt>
                <c:pt idx="285">
                  <c:v>-1.173</c:v>
                </c:pt>
                <c:pt idx="286">
                  <c:v>-2.7290000000000001</c:v>
                </c:pt>
                <c:pt idx="287">
                  <c:v>-0.753</c:v>
                </c:pt>
                <c:pt idx="288">
                  <c:v>-3.4329999999999998</c:v>
                </c:pt>
                <c:pt idx="289">
                  <c:v>-1.9140000000000001</c:v>
                </c:pt>
                <c:pt idx="290">
                  <c:v>-0.99399999999999999</c:v>
                </c:pt>
                <c:pt idx="291">
                  <c:v>0.13800000000000001</c:v>
                </c:pt>
                <c:pt idx="292">
                  <c:v>-0.79500000000000015</c:v>
                </c:pt>
                <c:pt idx="293">
                  <c:v>-0.46599999999999997</c:v>
                </c:pt>
                <c:pt idx="294">
                  <c:v>-1.9380000000000002</c:v>
                </c:pt>
                <c:pt idx="295">
                  <c:v>-1.1739999999999999</c:v>
                </c:pt>
                <c:pt idx="296">
                  <c:v>-6.1189999999999998</c:v>
                </c:pt>
                <c:pt idx="297">
                  <c:v>-3.9290000000000003</c:v>
                </c:pt>
                <c:pt idx="298">
                  <c:v>0.33400000000000007</c:v>
                </c:pt>
                <c:pt idx="299">
                  <c:v>-0.83300000000000018</c:v>
                </c:pt>
                <c:pt idx="300">
                  <c:v>-0.58999999999999986</c:v>
                </c:pt>
                <c:pt idx="301">
                  <c:v>-0.89900000000000002</c:v>
                </c:pt>
                <c:pt idx="302">
                  <c:v>-1.7999999999999998</c:v>
                </c:pt>
                <c:pt idx="303">
                  <c:v>-1.0499999999999998</c:v>
                </c:pt>
                <c:pt idx="304">
                  <c:v>-3.2429999999999999</c:v>
                </c:pt>
                <c:pt idx="305">
                  <c:v>-4.6790000000000003</c:v>
                </c:pt>
                <c:pt idx="306">
                  <c:v>-1.8050000000000002</c:v>
                </c:pt>
                <c:pt idx="307">
                  <c:v>-5.9450000000000003</c:v>
                </c:pt>
                <c:pt idx="308">
                  <c:v>-3.3769999999999998</c:v>
                </c:pt>
                <c:pt idx="309">
                  <c:v>-2.1930000000000001</c:v>
                </c:pt>
                <c:pt idx="310">
                  <c:v>-3.6620000000000004</c:v>
                </c:pt>
                <c:pt idx="311">
                  <c:v>-6.9030000000000005</c:v>
                </c:pt>
                <c:pt idx="312">
                  <c:v>-3.3009999999999997</c:v>
                </c:pt>
                <c:pt idx="313">
                  <c:v>-0.64800000000000002</c:v>
                </c:pt>
                <c:pt idx="314">
                  <c:v>-0.77699999999999991</c:v>
                </c:pt>
                <c:pt idx="315">
                  <c:v>-0.47499999999999998</c:v>
                </c:pt>
                <c:pt idx="316">
                  <c:v>-1.393</c:v>
                </c:pt>
                <c:pt idx="317">
                  <c:v>-0.26299999999999996</c:v>
                </c:pt>
                <c:pt idx="318">
                  <c:v>-3.0000000000000027E-3</c:v>
                </c:pt>
                <c:pt idx="319">
                  <c:v>-0.15699999999999992</c:v>
                </c:pt>
                <c:pt idx="320">
                  <c:v>-1.946</c:v>
                </c:pt>
                <c:pt idx="321">
                  <c:v>-1.994</c:v>
                </c:pt>
                <c:pt idx="322">
                  <c:v>-0.3620000000000001</c:v>
                </c:pt>
                <c:pt idx="323">
                  <c:v>-1.4450000000000003</c:v>
                </c:pt>
                <c:pt idx="324">
                  <c:v>-2.6139999999999999</c:v>
                </c:pt>
                <c:pt idx="325">
                  <c:v>-3.5569999999999999</c:v>
                </c:pt>
                <c:pt idx="326">
                  <c:v>-1.4729999999999999</c:v>
                </c:pt>
                <c:pt idx="327">
                  <c:v>-0.29800000000000004</c:v>
                </c:pt>
                <c:pt idx="328">
                  <c:v>0.20900000000000052</c:v>
                </c:pt>
                <c:pt idx="329">
                  <c:v>0.5519999999999996</c:v>
                </c:pt>
                <c:pt idx="330">
                  <c:v>0.43000000000000149</c:v>
                </c:pt>
                <c:pt idx="331">
                  <c:v>-0.97000000000000064</c:v>
                </c:pt>
                <c:pt idx="332">
                  <c:v>-1.7809999999999988</c:v>
                </c:pt>
                <c:pt idx="333">
                  <c:v>-1.2949999999999999</c:v>
                </c:pt>
                <c:pt idx="334">
                  <c:v>-0.11599999999999966</c:v>
                </c:pt>
                <c:pt idx="335">
                  <c:v>-0.34199999999999964</c:v>
                </c:pt>
                <c:pt idx="336">
                  <c:v>-1.1870000000000001</c:v>
                </c:pt>
                <c:pt idx="337">
                  <c:v>-0.69599999999999995</c:v>
                </c:pt>
                <c:pt idx="338">
                  <c:v>-0.91699999999999982</c:v>
                </c:pt>
                <c:pt idx="339">
                  <c:v>-0.59099999999999997</c:v>
                </c:pt>
                <c:pt idx="340">
                  <c:v>-0.47599999999999998</c:v>
                </c:pt>
                <c:pt idx="341">
                  <c:v>9.0000000000003411E-3</c:v>
                </c:pt>
                <c:pt idx="342">
                  <c:v>-2.7620000000000005</c:v>
                </c:pt>
                <c:pt idx="343">
                  <c:v>-2.37</c:v>
                </c:pt>
                <c:pt idx="344">
                  <c:v>-0.44399999999999951</c:v>
                </c:pt>
                <c:pt idx="345">
                  <c:v>-0.79099999999999993</c:v>
                </c:pt>
                <c:pt idx="346">
                  <c:v>5.9999999999993392E-3</c:v>
                </c:pt>
                <c:pt idx="347">
                  <c:v>0.17900000000000027</c:v>
                </c:pt>
                <c:pt idx="348">
                  <c:v>0.17999999999999972</c:v>
                </c:pt>
                <c:pt idx="349">
                  <c:v>-0.67600000000000016</c:v>
                </c:pt>
                <c:pt idx="350">
                  <c:v>-1.2440000000000002</c:v>
                </c:pt>
                <c:pt idx="351">
                  <c:v>-0.54100000000000037</c:v>
                </c:pt>
                <c:pt idx="352">
                  <c:v>-0.63900000000000023</c:v>
                </c:pt>
                <c:pt idx="353">
                  <c:v>-0.53100000000000003</c:v>
                </c:pt>
                <c:pt idx="354">
                  <c:v>-0.55800000000000005</c:v>
                </c:pt>
                <c:pt idx="355">
                  <c:v>-0.71900000000000031</c:v>
                </c:pt>
                <c:pt idx="356">
                  <c:v>-0.65200000000000014</c:v>
                </c:pt>
                <c:pt idx="357">
                  <c:v>-0.30999999999999961</c:v>
                </c:pt>
                <c:pt idx="358">
                  <c:v>-2.2460000000000004</c:v>
                </c:pt>
                <c:pt idx="359">
                  <c:v>-2.8559999999999999</c:v>
                </c:pt>
                <c:pt idx="360">
                  <c:v>0.1899999999999995</c:v>
                </c:pt>
                <c:pt idx="361">
                  <c:v>-0.75499999999999989</c:v>
                </c:pt>
                <c:pt idx="362">
                  <c:v>-0.67899999999999983</c:v>
                </c:pt>
                <c:pt idx="363">
                  <c:v>-0.83699999999999997</c:v>
                </c:pt>
                <c:pt idx="364">
                  <c:v>-0.38700000000000001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Data!$BN$6:$BN$370</c:f>
              <c:numCache>
                <c:formatCode>General</c:formatCode>
                <c:ptCount val="365"/>
                <c:pt idx="0">
                  <c:v>-0.5</c:v>
                </c:pt>
                <c:pt idx="1">
                  <c:v>0.26999999999999957</c:v>
                </c:pt>
                <c:pt idx="2">
                  <c:v>-0.22700000000000031</c:v>
                </c:pt>
                <c:pt idx="3">
                  <c:v>-1.6120000000000001</c:v>
                </c:pt>
                <c:pt idx="4">
                  <c:v>-0.55499999999999972</c:v>
                </c:pt>
                <c:pt idx="5">
                  <c:v>-1.3000000000000007</c:v>
                </c:pt>
                <c:pt idx="6">
                  <c:v>-1.3399999999999999</c:v>
                </c:pt>
                <c:pt idx="7">
                  <c:v>-1.3300000000000018</c:v>
                </c:pt>
                <c:pt idx="8">
                  <c:v>-0.37799999999999923</c:v>
                </c:pt>
                <c:pt idx="9">
                  <c:v>-1.1680000000000001</c:v>
                </c:pt>
                <c:pt idx="10">
                  <c:v>-0.77400000000000002</c:v>
                </c:pt>
                <c:pt idx="11">
                  <c:v>-1.4169999999999998</c:v>
                </c:pt>
                <c:pt idx="12">
                  <c:v>-1.0369999999999999</c:v>
                </c:pt>
                <c:pt idx="13">
                  <c:v>-1.6990000000000007</c:v>
                </c:pt>
                <c:pt idx="14">
                  <c:v>-1.359</c:v>
                </c:pt>
                <c:pt idx="15">
                  <c:v>-0.40700000000000003</c:v>
                </c:pt>
                <c:pt idx="16">
                  <c:v>-0.89400000000000013</c:v>
                </c:pt>
                <c:pt idx="17">
                  <c:v>-0.95399999999999974</c:v>
                </c:pt>
                <c:pt idx="18">
                  <c:v>-1.4820000000000002</c:v>
                </c:pt>
                <c:pt idx="19">
                  <c:v>-1.8399999999999999</c:v>
                </c:pt>
                <c:pt idx="20">
                  <c:v>-1.6300000000000008</c:v>
                </c:pt>
                <c:pt idx="21">
                  <c:v>-0.72999999999999865</c:v>
                </c:pt>
                <c:pt idx="22">
                  <c:v>-1.2300000000000004</c:v>
                </c:pt>
                <c:pt idx="23">
                  <c:v>-1.0329999999999995</c:v>
                </c:pt>
                <c:pt idx="24">
                  <c:v>-1.2929999999999993</c:v>
                </c:pt>
                <c:pt idx="25">
                  <c:v>-2.0249999999999999</c:v>
                </c:pt>
                <c:pt idx="26">
                  <c:v>-1.8599999999999994</c:v>
                </c:pt>
                <c:pt idx="27">
                  <c:v>-1.5099999999999998</c:v>
                </c:pt>
                <c:pt idx="28">
                  <c:v>-2.6300000000000008</c:v>
                </c:pt>
                <c:pt idx="29">
                  <c:v>-2.9470000000000001</c:v>
                </c:pt>
                <c:pt idx="30">
                  <c:v>-1.8510000000000002</c:v>
                </c:pt>
                <c:pt idx="31">
                  <c:v>-0.24299999999999944</c:v>
                </c:pt>
                <c:pt idx="32">
                  <c:v>-1.2799999999999994</c:v>
                </c:pt>
                <c:pt idx="33">
                  <c:v>1.5899999999999999</c:v>
                </c:pt>
                <c:pt idx="34">
                  <c:v>0.90000000000000213</c:v>
                </c:pt>
                <c:pt idx="35">
                  <c:v>-0.64000000000000057</c:v>
                </c:pt>
                <c:pt idx="36">
                  <c:v>-0.87999999999999901</c:v>
                </c:pt>
                <c:pt idx="37">
                  <c:v>-2.259999999999998</c:v>
                </c:pt>
                <c:pt idx="38">
                  <c:v>-0.27999999999999758</c:v>
                </c:pt>
                <c:pt idx="39">
                  <c:v>-0.71999999999999886</c:v>
                </c:pt>
                <c:pt idx="40">
                  <c:v>-0.86999999999999744</c:v>
                </c:pt>
                <c:pt idx="41">
                  <c:v>-1.0500000000000007</c:v>
                </c:pt>
                <c:pt idx="42">
                  <c:v>-8.9999999999999858E-2</c:v>
                </c:pt>
                <c:pt idx="43">
                  <c:v>-1.4599999999999991</c:v>
                </c:pt>
                <c:pt idx="44">
                  <c:v>-1.7000000000000011</c:v>
                </c:pt>
                <c:pt idx="45">
                  <c:v>-1.6000000000000014</c:v>
                </c:pt>
                <c:pt idx="46">
                  <c:v>-1.3099999999999987</c:v>
                </c:pt>
                <c:pt idx="47">
                  <c:v>-1.1600000000000001</c:v>
                </c:pt>
                <c:pt idx="48">
                  <c:v>-1.3000000000000007</c:v>
                </c:pt>
                <c:pt idx="49">
                  <c:v>-0.69000000000000128</c:v>
                </c:pt>
                <c:pt idx="50">
                  <c:v>-0.41000000000000014</c:v>
                </c:pt>
                <c:pt idx="51">
                  <c:v>-1.8399999999999999</c:v>
                </c:pt>
                <c:pt idx="52">
                  <c:v>-0.58000000000000007</c:v>
                </c:pt>
                <c:pt idx="53">
                  <c:v>-0.98000000000000043</c:v>
                </c:pt>
                <c:pt idx="54">
                  <c:v>-0.83000000000000007</c:v>
                </c:pt>
                <c:pt idx="55">
                  <c:v>-1.2800000000000011</c:v>
                </c:pt>
                <c:pt idx="56">
                  <c:v>-1.2699999999999996</c:v>
                </c:pt>
                <c:pt idx="57">
                  <c:v>-1.6099999999999994</c:v>
                </c:pt>
                <c:pt idx="58">
                  <c:v>-0.82000000000000028</c:v>
                </c:pt>
                <c:pt idx="59">
                  <c:v>-0.35999999999999943</c:v>
                </c:pt>
                <c:pt idx="60">
                  <c:v>-1.5</c:v>
                </c:pt>
                <c:pt idx="61">
                  <c:v>-1.5500000000000007</c:v>
                </c:pt>
                <c:pt idx="62">
                  <c:v>-1.6199999999999974</c:v>
                </c:pt>
                <c:pt idx="63">
                  <c:v>-2.3299999999999983</c:v>
                </c:pt>
                <c:pt idx="64">
                  <c:v>-0.27000000000000135</c:v>
                </c:pt>
                <c:pt idx="65">
                  <c:v>-1.9499999999999993</c:v>
                </c:pt>
                <c:pt idx="66">
                  <c:v>-1.5699999999999985</c:v>
                </c:pt>
                <c:pt idx="67">
                  <c:v>-1.6600000000000001</c:v>
                </c:pt>
                <c:pt idx="68">
                  <c:v>-1.7899999999999991</c:v>
                </c:pt>
                <c:pt idx="69">
                  <c:v>0.12999999999999901</c:v>
                </c:pt>
                <c:pt idx="70">
                  <c:v>-1.9400000000000013</c:v>
                </c:pt>
                <c:pt idx="71">
                  <c:v>-2.0999999999999996</c:v>
                </c:pt>
                <c:pt idx="72">
                  <c:v>-1.9299999999999997</c:v>
                </c:pt>
                <c:pt idx="73">
                  <c:v>-1.6469999999999994</c:v>
                </c:pt>
                <c:pt idx="74">
                  <c:v>-1.6230000000000002</c:v>
                </c:pt>
                <c:pt idx="75">
                  <c:v>-2.3540000000000001</c:v>
                </c:pt>
                <c:pt idx="76">
                  <c:v>-2.8949999999999996</c:v>
                </c:pt>
                <c:pt idx="77">
                  <c:v>-3.988</c:v>
                </c:pt>
                <c:pt idx="78">
                  <c:v>-3.9450000000000003</c:v>
                </c:pt>
                <c:pt idx="79">
                  <c:v>-3.8229999999999995</c:v>
                </c:pt>
                <c:pt idx="80">
                  <c:v>-1.137</c:v>
                </c:pt>
                <c:pt idx="81">
                  <c:v>-0.43399999999999994</c:v>
                </c:pt>
                <c:pt idx="82">
                  <c:v>-0.41999999999999993</c:v>
                </c:pt>
                <c:pt idx="83">
                  <c:v>-0.37000000000000011</c:v>
                </c:pt>
                <c:pt idx="84">
                  <c:v>-1.5629999999999997</c:v>
                </c:pt>
                <c:pt idx="85">
                  <c:v>-1.3050000000000006</c:v>
                </c:pt>
                <c:pt idx="86">
                  <c:v>-1.8129999999999997</c:v>
                </c:pt>
                <c:pt idx="87">
                  <c:v>-2.4159999999999995</c:v>
                </c:pt>
                <c:pt idx="88">
                  <c:v>-2.593</c:v>
                </c:pt>
                <c:pt idx="89">
                  <c:v>-1.3780000000000001</c:v>
                </c:pt>
                <c:pt idx="90">
                  <c:v>-1.3620000000000001</c:v>
                </c:pt>
                <c:pt idx="91">
                  <c:v>-2.1280000000000006</c:v>
                </c:pt>
                <c:pt idx="92">
                  <c:v>-0.92799999999999994</c:v>
                </c:pt>
                <c:pt idx="93">
                  <c:v>-1.3759999999999999</c:v>
                </c:pt>
                <c:pt idx="94">
                  <c:v>-0.88900000000000023</c:v>
                </c:pt>
                <c:pt idx="95">
                  <c:v>-1.2810000000000006</c:v>
                </c:pt>
                <c:pt idx="96">
                  <c:v>-1.2759999999999998</c:v>
                </c:pt>
                <c:pt idx="97">
                  <c:v>-1.3440000000000003</c:v>
                </c:pt>
                <c:pt idx="98">
                  <c:v>-1.1999999999999997</c:v>
                </c:pt>
                <c:pt idx="99">
                  <c:v>-0.68700000000000028</c:v>
                </c:pt>
                <c:pt idx="100">
                  <c:v>-1.008</c:v>
                </c:pt>
                <c:pt idx="101">
                  <c:v>-1.4260000000000002</c:v>
                </c:pt>
                <c:pt idx="102">
                  <c:v>-1.1779999999999999</c:v>
                </c:pt>
                <c:pt idx="103">
                  <c:v>-1.3349999999999991</c:v>
                </c:pt>
                <c:pt idx="104">
                  <c:v>-1.3900000000000006</c:v>
                </c:pt>
                <c:pt idx="105">
                  <c:v>-2.0570000000000004</c:v>
                </c:pt>
                <c:pt idx="106">
                  <c:v>-1.4460000000000002</c:v>
                </c:pt>
                <c:pt idx="107">
                  <c:v>-0.14599999999999996</c:v>
                </c:pt>
                <c:pt idx="108">
                  <c:v>0.52499999999999991</c:v>
                </c:pt>
                <c:pt idx="109">
                  <c:v>-0.77099999999999991</c:v>
                </c:pt>
                <c:pt idx="110">
                  <c:v>-2.5180000000000002</c:v>
                </c:pt>
                <c:pt idx="111">
                  <c:v>-1.9920000000000002</c:v>
                </c:pt>
                <c:pt idx="112">
                  <c:v>-0.38499999999999979</c:v>
                </c:pt>
                <c:pt idx="113">
                  <c:v>-1.4240000000000004</c:v>
                </c:pt>
                <c:pt idx="114">
                  <c:v>-1.4729999999999999</c:v>
                </c:pt>
                <c:pt idx="115">
                  <c:v>-1.3679999999999994</c:v>
                </c:pt>
                <c:pt idx="116">
                  <c:v>1.2270000000000003</c:v>
                </c:pt>
                <c:pt idx="117">
                  <c:v>-1.2059999999999995</c:v>
                </c:pt>
                <c:pt idx="118">
                  <c:v>-0.62699999999999978</c:v>
                </c:pt>
                <c:pt idx="119">
                  <c:v>-2.0760000000000005</c:v>
                </c:pt>
                <c:pt idx="120">
                  <c:v>-1.0030000000000006</c:v>
                </c:pt>
                <c:pt idx="121">
                  <c:v>-0.55599999999999961</c:v>
                </c:pt>
                <c:pt idx="122">
                  <c:v>-0.90700000000000003</c:v>
                </c:pt>
                <c:pt idx="123">
                  <c:v>-1.018</c:v>
                </c:pt>
                <c:pt idx="124">
                  <c:v>-1.1139999999999999</c:v>
                </c:pt>
                <c:pt idx="125">
                  <c:v>-1.972</c:v>
                </c:pt>
                <c:pt idx="126">
                  <c:v>-1.6160000000000001</c:v>
                </c:pt>
                <c:pt idx="127">
                  <c:v>-3.121</c:v>
                </c:pt>
                <c:pt idx="128">
                  <c:v>-2.7989999999999999</c:v>
                </c:pt>
                <c:pt idx="129">
                  <c:v>-5.2389999999999999</c:v>
                </c:pt>
                <c:pt idx="130">
                  <c:v>-7.9559999999999995</c:v>
                </c:pt>
                <c:pt idx="131">
                  <c:v>-5.8010000000000002</c:v>
                </c:pt>
                <c:pt idx="132">
                  <c:v>-3.2210000000000001</c:v>
                </c:pt>
                <c:pt idx="133">
                  <c:v>-0.92800000000000005</c:v>
                </c:pt>
                <c:pt idx="134">
                  <c:v>-0.44800000000000006</c:v>
                </c:pt>
                <c:pt idx="135">
                  <c:v>-2.7930000000000001</c:v>
                </c:pt>
                <c:pt idx="136">
                  <c:v>7.8000000000000069E-2</c:v>
                </c:pt>
                <c:pt idx="137">
                  <c:v>-6.3E-2</c:v>
                </c:pt>
                <c:pt idx="138">
                  <c:v>-0.58800000000000008</c:v>
                </c:pt>
                <c:pt idx="139">
                  <c:v>0.24400000000000002</c:v>
                </c:pt>
                <c:pt idx="140">
                  <c:v>-0.315</c:v>
                </c:pt>
                <c:pt idx="141">
                  <c:v>-1.8240000000000001</c:v>
                </c:pt>
                <c:pt idx="142">
                  <c:v>-0.95199999999999996</c:v>
                </c:pt>
                <c:pt idx="143">
                  <c:v>-0.90799999999999992</c:v>
                </c:pt>
                <c:pt idx="144">
                  <c:v>-2.0330000000000004</c:v>
                </c:pt>
                <c:pt idx="145">
                  <c:v>-0.70800000000000018</c:v>
                </c:pt>
                <c:pt idx="146">
                  <c:v>-1.7210000000000001</c:v>
                </c:pt>
                <c:pt idx="147">
                  <c:v>-2.8559999999999999</c:v>
                </c:pt>
                <c:pt idx="148">
                  <c:v>-3.1360000000000001</c:v>
                </c:pt>
                <c:pt idx="149">
                  <c:v>-5.9749999999999996</c:v>
                </c:pt>
                <c:pt idx="150">
                  <c:v>-2.613999999999999</c:v>
                </c:pt>
                <c:pt idx="151">
                  <c:v>-2.4790000000000001</c:v>
                </c:pt>
                <c:pt idx="152">
                  <c:v>-2.1669999999999998</c:v>
                </c:pt>
                <c:pt idx="153">
                  <c:v>-1.5529999999999999</c:v>
                </c:pt>
                <c:pt idx="154">
                  <c:v>-0.55300000000000016</c:v>
                </c:pt>
                <c:pt idx="155">
                  <c:v>-1.3220000000000001</c:v>
                </c:pt>
                <c:pt idx="156">
                  <c:v>0.1120000000000001</c:v>
                </c:pt>
                <c:pt idx="157">
                  <c:v>0.752</c:v>
                </c:pt>
                <c:pt idx="158">
                  <c:v>0.11899999999999999</c:v>
                </c:pt>
                <c:pt idx="159">
                  <c:v>-0.21599999999999997</c:v>
                </c:pt>
                <c:pt idx="160">
                  <c:v>-1.397</c:v>
                </c:pt>
                <c:pt idx="161">
                  <c:v>-1.0519999999999996</c:v>
                </c:pt>
                <c:pt idx="162">
                  <c:v>-2.2550000000000008</c:v>
                </c:pt>
                <c:pt idx="163">
                  <c:v>-1.8239999999999998</c:v>
                </c:pt>
                <c:pt idx="164">
                  <c:v>-1.5660000000000007</c:v>
                </c:pt>
                <c:pt idx="165">
                  <c:v>-1.5659999999999998</c:v>
                </c:pt>
                <c:pt idx="166">
                  <c:v>-2.3600000000000012</c:v>
                </c:pt>
                <c:pt idx="167">
                  <c:v>-1.58</c:v>
                </c:pt>
                <c:pt idx="168">
                  <c:v>-0.6080000000000001</c:v>
                </c:pt>
                <c:pt idx="169">
                  <c:v>8.1999999999999962E-2</c:v>
                </c:pt>
                <c:pt idx="170">
                  <c:v>1.2000000000000011E-2</c:v>
                </c:pt>
                <c:pt idx="171">
                  <c:v>-0.70599999999999996</c:v>
                </c:pt>
                <c:pt idx="172">
                  <c:v>-0.31000000000000005</c:v>
                </c:pt>
                <c:pt idx="173">
                  <c:v>0.5</c:v>
                </c:pt>
                <c:pt idx="174">
                  <c:v>-0.74299999999999988</c:v>
                </c:pt>
                <c:pt idx="175">
                  <c:v>-0.53700000000000014</c:v>
                </c:pt>
                <c:pt idx="176">
                  <c:v>-1.6409999999999996</c:v>
                </c:pt>
                <c:pt idx="177">
                  <c:v>0.83800000000000008</c:v>
                </c:pt>
                <c:pt idx="178">
                  <c:v>-0.1379999999999999</c:v>
                </c:pt>
                <c:pt idx="179">
                  <c:v>-0.10799999999999998</c:v>
                </c:pt>
                <c:pt idx="180">
                  <c:v>-1.4589999999999996</c:v>
                </c:pt>
                <c:pt idx="181">
                  <c:v>-2.4359999999999999</c:v>
                </c:pt>
                <c:pt idx="182">
                  <c:v>-0.60899999999999999</c:v>
                </c:pt>
                <c:pt idx="183">
                  <c:v>-1.2119999999999997</c:v>
                </c:pt>
                <c:pt idx="184">
                  <c:v>-0.49799999999999933</c:v>
                </c:pt>
                <c:pt idx="185">
                  <c:v>9.2000000000000526E-2</c:v>
                </c:pt>
                <c:pt idx="186">
                  <c:v>-0.39100000000000001</c:v>
                </c:pt>
                <c:pt idx="187">
                  <c:v>-0.16000000000000014</c:v>
                </c:pt>
                <c:pt idx="188">
                  <c:v>-3.3650000000000002</c:v>
                </c:pt>
                <c:pt idx="189">
                  <c:v>-1.7960000000000003</c:v>
                </c:pt>
                <c:pt idx="190">
                  <c:v>-0.77400000000000002</c:v>
                </c:pt>
                <c:pt idx="191">
                  <c:v>-0.39799999999999969</c:v>
                </c:pt>
                <c:pt idx="192">
                  <c:v>-0.51500000000000057</c:v>
                </c:pt>
                <c:pt idx="193">
                  <c:v>-1.1219999999999999</c:v>
                </c:pt>
                <c:pt idx="194">
                  <c:v>-0.77000000000000046</c:v>
                </c:pt>
                <c:pt idx="195">
                  <c:v>-0.87400000000000055</c:v>
                </c:pt>
                <c:pt idx="196">
                  <c:v>-3.45</c:v>
                </c:pt>
                <c:pt idx="197">
                  <c:v>-0.94299999999999962</c:v>
                </c:pt>
                <c:pt idx="198">
                  <c:v>-1.4509999999999998</c:v>
                </c:pt>
                <c:pt idx="199">
                  <c:v>0.16000000000000014</c:v>
                </c:pt>
                <c:pt idx="200">
                  <c:v>0.13699999999999957</c:v>
                </c:pt>
                <c:pt idx="201">
                  <c:v>-1.577</c:v>
                </c:pt>
                <c:pt idx="202">
                  <c:v>-3.4299999999999997</c:v>
                </c:pt>
                <c:pt idx="203">
                  <c:v>-2.9999999999999361E-2</c:v>
                </c:pt>
                <c:pt idx="204">
                  <c:v>-0.12699999999999978</c:v>
                </c:pt>
                <c:pt idx="205">
                  <c:v>-0.83000000000000007</c:v>
                </c:pt>
                <c:pt idx="206">
                  <c:v>-1.8030000000000008</c:v>
                </c:pt>
                <c:pt idx="207">
                  <c:v>-0.44899999999999984</c:v>
                </c:pt>
                <c:pt idx="208">
                  <c:v>-0.57099999999999973</c:v>
                </c:pt>
                <c:pt idx="209">
                  <c:v>-1.8200000000000003</c:v>
                </c:pt>
                <c:pt idx="210">
                  <c:v>-1.6449999999999996</c:v>
                </c:pt>
                <c:pt idx="211">
                  <c:v>-1.0819999999999999</c:v>
                </c:pt>
                <c:pt idx="212">
                  <c:v>-1.0270000000000001</c:v>
                </c:pt>
                <c:pt idx="213">
                  <c:v>-1.1369999999999996</c:v>
                </c:pt>
                <c:pt idx="214">
                  <c:v>-0.56799999999999962</c:v>
                </c:pt>
                <c:pt idx="215">
                  <c:v>-1.0009999999999994</c:v>
                </c:pt>
                <c:pt idx="216">
                  <c:v>-2.2300000000000004</c:v>
                </c:pt>
                <c:pt idx="217">
                  <c:v>-2.2400000000000002</c:v>
                </c:pt>
                <c:pt idx="218">
                  <c:v>-2.7999999999999989</c:v>
                </c:pt>
                <c:pt idx="219">
                  <c:v>-2.879999999999999</c:v>
                </c:pt>
                <c:pt idx="220">
                  <c:v>-1.0500000000000007</c:v>
                </c:pt>
                <c:pt idx="221">
                  <c:v>-0.20800000000000018</c:v>
                </c:pt>
                <c:pt idx="222">
                  <c:v>0.28800000000000026</c:v>
                </c:pt>
                <c:pt idx="223">
                  <c:v>-0.32500000000000018</c:v>
                </c:pt>
                <c:pt idx="224">
                  <c:v>-1.056</c:v>
                </c:pt>
                <c:pt idx="225">
                  <c:v>-1.2740000000000009</c:v>
                </c:pt>
                <c:pt idx="226">
                  <c:v>-1.4920000000000009</c:v>
                </c:pt>
                <c:pt idx="227">
                  <c:v>-0.65800000000000036</c:v>
                </c:pt>
                <c:pt idx="228">
                  <c:v>-0.39999999999999947</c:v>
                </c:pt>
                <c:pt idx="229">
                  <c:v>-0.66999999999999993</c:v>
                </c:pt>
                <c:pt idx="230">
                  <c:v>-1.5889999999999995</c:v>
                </c:pt>
                <c:pt idx="231">
                  <c:v>-2.33</c:v>
                </c:pt>
                <c:pt idx="232">
                  <c:v>-1.2850000000000001</c:v>
                </c:pt>
                <c:pt idx="233">
                  <c:v>-1.0969999999999995</c:v>
                </c:pt>
                <c:pt idx="234">
                  <c:v>-1.6950000000000003</c:v>
                </c:pt>
                <c:pt idx="235">
                  <c:v>-0.73800000000000043</c:v>
                </c:pt>
                <c:pt idx="236">
                  <c:v>-0.60700000000000021</c:v>
                </c:pt>
                <c:pt idx="237">
                  <c:v>-0.38700000000000001</c:v>
                </c:pt>
                <c:pt idx="238">
                  <c:v>-1.6520000000000001</c:v>
                </c:pt>
                <c:pt idx="239">
                  <c:v>-2.3129999999999997</c:v>
                </c:pt>
                <c:pt idx="240">
                  <c:v>-2.4499999999999993</c:v>
                </c:pt>
                <c:pt idx="241">
                  <c:v>-1.0899999999999999</c:v>
                </c:pt>
                <c:pt idx="242">
                  <c:v>-1.6600000000000001</c:v>
                </c:pt>
                <c:pt idx="243">
                  <c:v>-1.2339999999999991</c:v>
                </c:pt>
                <c:pt idx="244">
                  <c:v>-1.0969999999999995</c:v>
                </c:pt>
                <c:pt idx="245">
                  <c:v>0.11699999999999999</c:v>
                </c:pt>
                <c:pt idx="246">
                  <c:v>-0.31099999999999994</c:v>
                </c:pt>
                <c:pt idx="247">
                  <c:v>-2.322000000000001</c:v>
                </c:pt>
                <c:pt idx="248">
                  <c:v>-1.5899999999999999</c:v>
                </c:pt>
                <c:pt idx="249">
                  <c:v>-1.253000000000001</c:v>
                </c:pt>
                <c:pt idx="250">
                  <c:v>0.22399999999999931</c:v>
                </c:pt>
                <c:pt idx="251">
                  <c:v>-2.395</c:v>
                </c:pt>
                <c:pt idx="252">
                  <c:v>2.2000000000000242E-2</c:v>
                </c:pt>
                <c:pt idx="253">
                  <c:v>0.20500000000000007</c:v>
                </c:pt>
                <c:pt idx="254">
                  <c:v>-0.85700000000000021</c:v>
                </c:pt>
                <c:pt idx="255">
                  <c:v>-0.94999999999999973</c:v>
                </c:pt>
                <c:pt idx="256">
                  <c:v>-7.5000000000000178E-2</c:v>
                </c:pt>
                <c:pt idx="257">
                  <c:v>0.55200000000000005</c:v>
                </c:pt>
                <c:pt idx="258">
                  <c:v>-0.19799999999999995</c:v>
                </c:pt>
                <c:pt idx="259">
                  <c:v>-0.53500000000000014</c:v>
                </c:pt>
                <c:pt idx="260">
                  <c:v>0.30799999999999983</c:v>
                </c:pt>
                <c:pt idx="261">
                  <c:v>-0.38499999999999979</c:v>
                </c:pt>
                <c:pt idx="262">
                  <c:v>-0.43699999999999983</c:v>
                </c:pt>
                <c:pt idx="263">
                  <c:v>-1.3539999999999996</c:v>
                </c:pt>
                <c:pt idx="264">
                  <c:v>-0.71899999999999986</c:v>
                </c:pt>
                <c:pt idx="265">
                  <c:v>-5.7999999999999829E-2</c:v>
                </c:pt>
                <c:pt idx="266">
                  <c:v>-0.22899999999999998</c:v>
                </c:pt>
                <c:pt idx="267">
                  <c:v>-0.33200000000000002</c:v>
                </c:pt>
                <c:pt idx="268">
                  <c:v>0.80200000000000005</c:v>
                </c:pt>
                <c:pt idx="269">
                  <c:v>-0.24400000000000022</c:v>
                </c:pt>
                <c:pt idx="270">
                  <c:v>-2.7999999999999581E-2</c:v>
                </c:pt>
                <c:pt idx="271">
                  <c:v>-0.72599999999999998</c:v>
                </c:pt>
                <c:pt idx="272">
                  <c:v>-0.20800000000000018</c:v>
                </c:pt>
                <c:pt idx="273">
                  <c:v>-1.1040000000000001</c:v>
                </c:pt>
                <c:pt idx="274">
                  <c:v>-1.0529999999999999</c:v>
                </c:pt>
                <c:pt idx="275">
                  <c:v>0.19100000000000028</c:v>
                </c:pt>
                <c:pt idx="276">
                  <c:v>-0.70900000000000007</c:v>
                </c:pt>
                <c:pt idx="277">
                  <c:v>-0.92799999999999994</c:v>
                </c:pt>
                <c:pt idx="278">
                  <c:v>-0.92100000000000026</c:v>
                </c:pt>
                <c:pt idx="279">
                  <c:v>0.52400000000000002</c:v>
                </c:pt>
                <c:pt idx="280">
                  <c:v>0.77000000000000135</c:v>
                </c:pt>
                <c:pt idx="281">
                  <c:v>0.48000000000000043</c:v>
                </c:pt>
                <c:pt idx="282">
                  <c:v>-0.25</c:v>
                </c:pt>
                <c:pt idx="283">
                  <c:v>-1.7789999999999999</c:v>
                </c:pt>
                <c:pt idx="284">
                  <c:v>-1.5189999999999997</c:v>
                </c:pt>
                <c:pt idx="285">
                  <c:v>9.000000000000008E-2</c:v>
                </c:pt>
                <c:pt idx="286">
                  <c:v>-0.83900000000000041</c:v>
                </c:pt>
                <c:pt idx="287">
                  <c:v>-0.85599999999999987</c:v>
                </c:pt>
                <c:pt idx="288">
                  <c:v>-1.0719999999999998</c:v>
                </c:pt>
                <c:pt idx="289">
                  <c:v>-0.30600000000000005</c:v>
                </c:pt>
                <c:pt idx="290">
                  <c:v>-0.7979999999999996</c:v>
                </c:pt>
                <c:pt idx="291">
                  <c:v>-1.0499999999999998</c:v>
                </c:pt>
                <c:pt idx="292">
                  <c:v>-0.52800000000000047</c:v>
                </c:pt>
                <c:pt idx="293">
                  <c:v>-0.76399999999999979</c:v>
                </c:pt>
                <c:pt idx="294">
                  <c:v>-0.19499999999999984</c:v>
                </c:pt>
                <c:pt idx="295">
                  <c:v>-1.1370000000000005</c:v>
                </c:pt>
                <c:pt idx="296">
                  <c:v>-1.1399999999999999</c:v>
                </c:pt>
                <c:pt idx="297">
                  <c:v>0.31400000000000006</c:v>
                </c:pt>
                <c:pt idx="298">
                  <c:v>-0.73000000000000043</c:v>
                </c:pt>
                <c:pt idx="299">
                  <c:v>-0.70000000000000107</c:v>
                </c:pt>
                <c:pt idx="300">
                  <c:v>-0.42999999999999972</c:v>
                </c:pt>
                <c:pt idx="301">
                  <c:v>-0.1899999999999995</c:v>
                </c:pt>
                <c:pt idx="302">
                  <c:v>-0.66999999999999993</c:v>
                </c:pt>
                <c:pt idx="303">
                  <c:v>-1.3470000000000004</c:v>
                </c:pt>
                <c:pt idx="304">
                  <c:v>-0.94599999999999973</c:v>
                </c:pt>
                <c:pt idx="305">
                  <c:v>-1.581</c:v>
                </c:pt>
                <c:pt idx="306">
                  <c:v>7.0000000000000062E-3</c:v>
                </c:pt>
                <c:pt idx="307">
                  <c:v>-0.9830000000000001</c:v>
                </c:pt>
                <c:pt idx="308">
                  <c:v>6.7999999999999616E-2</c:v>
                </c:pt>
                <c:pt idx="309">
                  <c:v>-0.25199999999999978</c:v>
                </c:pt>
                <c:pt idx="310">
                  <c:v>-1.149</c:v>
                </c:pt>
                <c:pt idx="311">
                  <c:v>-2.9820000000000002</c:v>
                </c:pt>
                <c:pt idx="312">
                  <c:v>-0.10800000000000004</c:v>
                </c:pt>
                <c:pt idx="313">
                  <c:v>1.0490000000000004</c:v>
                </c:pt>
                <c:pt idx="314">
                  <c:v>0.35800000000000054</c:v>
                </c:pt>
                <c:pt idx="315">
                  <c:v>0.19799999999999995</c:v>
                </c:pt>
                <c:pt idx="316">
                  <c:v>-1.0190000000000001</c:v>
                </c:pt>
                <c:pt idx="317">
                  <c:v>-0.77099999999999991</c:v>
                </c:pt>
                <c:pt idx="318">
                  <c:v>-0.37999999999999989</c:v>
                </c:pt>
                <c:pt idx="319">
                  <c:v>-0.35699999999999976</c:v>
                </c:pt>
                <c:pt idx="320">
                  <c:v>-1.0180000000000002</c:v>
                </c:pt>
                <c:pt idx="321">
                  <c:v>-0.45699999999999985</c:v>
                </c:pt>
                <c:pt idx="322">
                  <c:v>0.20199999999999996</c:v>
                </c:pt>
                <c:pt idx="323">
                  <c:v>-0.60999999999999943</c:v>
                </c:pt>
                <c:pt idx="324">
                  <c:v>-1.069</c:v>
                </c:pt>
                <c:pt idx="325">
                  <c:v>-2.9029999999999996</c:v>
                </c:pt>
                <c:pt idx="326">
                  <c:v>-1.1649999999999996</c:v>
                </c:pt>
                <c:pt idx="327">
                  <c:v>-0.27099999999999991</c:v>
                </c:pt>
                <c:pt idx="328">
                  <c:v>-0.87999999999999901</c:v>
                </c:pt>
                <c:pt idx="329">
                  <c:v>-0.48999999999999844</c:v>
                </c:pt>
                <c:pt idx="330">
                  <c:v>-0.34999999999999964</c:v>
                </c:pt>
                <c:pt idx="331">
                  <c:v>-0.12999999999999901</c:v>
                </c:pt>
                <c:pt idx="332">
                  <c:v>-0.3100000000000005</c:v>
                </c:pt>
                <c:pt idx="333">
                  <c:v>-0.54000000000000092</c:v>
                </c:pt>
                <c:pt idx="334">
                  <c:v>-0.34999999999999964</c:v>
                </c:pt>
                <c:pt idx="335">
                  <c:v>0.21399999999999952</c:v>
                </c:pt>
                <c:pt idx="336">
                  <c:v>-0.17399999999999993</c:v>
                </c:pt>
                <c:pt idx="337">
                  <c:v>-1.1799999999999997</c:v>
                </c:pt>
                <c:pt idx="338">
                  <c:v>-1.1600000000000001</c:v>
                </c:pt>
                <c:pt idx="339">
                  <c:v>-0.5129999999999999</c:v>
                </c:pt>
                <c:pt idx="340">
                  <c:v>-3.0000000000001137E-3</c:v>
                </c:pt>
                <c:pt idx="341">
                  <c:v>-0.79000000000000092</c:v>
                </c:pt>
                <c:pt idx="342">
                  <c:v>-1.4800000000000004</c:v>
                </c:pt>
                <c:pt idx="343">
                  <c:v>0.26699999999999946</c:v>
                </c:pt>
                <c:pt idx="344">
                  <c:v>0.11699999999999999</c:v>
                </c:pt>
                <c:pt idx="345">
                  <c:v>-1.3099999999999996</c:v>
                </c:pt>
                <c:pt idx="346">
                  <c:v>-0.90600000000000058</c:v>
                </c:pt>
                <c:pt idx="347">
                  <c:v>-0.5</c:v>
                </c:pt>
                <c:pt idx="348">
                  <c:v>-1.370000000000001</c:v>
                </c:pt>
                <c:pt idx="349">
                  <c:v>-1.379999999999999</c:v>
                </c:pt>
                <c:pt idx="350">
                  <c:v>-3.9999999999999147E-2</c:v>
                </c:pt>
                <c:pt idx="351">
                  <c:v>0</c:v>
                </c:pt>
                <c:pt idx="352">
                  <c:v>-0.77000000000000135</c:v>
                </c:pt>
                <c:pt idx="353">
                  <c:v>-0.44500000000000028</c:v>
                </c:pt>
                <c:pt idx="354">
                  <c:v>-0.78599999999999959</c:v>
                </c:pt>
                <c:pt idx="355">
                  <c:v>-0.9399999999999995</c:v>
                </c:pt>
                <c:pt idx="356">
                  <c:v>-1.3600000000000012</c:v>
                </c:pt>
                <c:pt idx="357">
                  <c:v>-1.0499999999999989</c:v>
                </c:pt>
                <c:pt idx="358">
                  <c:v>-1.4800000000000004</c:v>
                </c:pt>
                <c:pt idx="359">
                  <c:v>-1.5399999999999991</c:v>
                </c:pt>
                <c:pt idx="360">
                  <c:v>-0.33000000000000007</c:v>
                </c:pt>
                <c:pt idx="361">
                  <c:v>-1.0899999999999999</c:v>
                </c:pt>
                <c:pt idx="362">
                  <c:v>-1.298</c:v>
                </c:pt>
                <c:pt idx="363">
                  <c:v>1.499999999999968E-2</c:v>
                </c:pt>
                <c:pt idx="364">
                  <c:v>-0.13900000000000023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98080"/>
        <c:axId val="42803968"/>
      </c:lineChart>
      <c:catAx>
        <c:axId val="4279808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42803968"/>
        <c:crosses val="autoZero"/>
        <c:auto val="1"/>
        <c:lblAlgn val="ctr"/>
        <c:lblOffset val="100"/>
        <c:tickMarkSkip val="8"/>
        <c:noMultiLvlLbl val="0"/>
      </c:catAx>
      <c:valAx>
        <c:axId val="42803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279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76431011624638"/>
          <c:y val="0.20165696217611304"/>
          <c:w val="0.11180298000189474"/>
          <c:h val="0.15284023562312279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460543058235789"/>
          <c:y val="0.13335321250524157"/>
          <c:w val="0.81397508674564156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vapres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Data!$AQ$6:$AQ$370</c:f>
              <c:numCache>
                <c:formatCode>0.000</c:formatCode>
                <c:ptCount val="365"/>
                <c:pt idx="0">
                  <c:v>0.374</c:v>
                </c:pt>
                <c:pt idx="1">
                  <c:v>0.48099999999999998</c:v>
                </c:pt>
                <c:pt idx="2">
                  <c:v>0.504</c:v>
                </c:pt>
                <c:pt idx="3">
                  <c:v>0.46600000000000003</c:v>
                </c:pt>
                <c:pt idx="4">
                  <c:v>0.45100000000000001</c:v>
                </c:pt>
                <c:pt idx="5">
                  <c:v>0.39200000000000002</c:v>
                </c:pt>
                <c:pt idx="6">
                  <c:v>0.23699999999999999</c:v>
                </c:pt>
                <c:pt idx="7">
                  <c:v>0.249</c:v>
                </c:pt>
                <c:pt idx="8">
                  <c:v>0.49399999999999999</c:v>
                </c:pt>
                <c:pt idx="9">
                  <c:v>0.55700000000000005</c:v>
                </c:pt>
                <c:pt idx="10">
                  <c:v>0.48499999999999999</c:v>
                </c:pt>
                <c:pt idx="11">
                  <c:v>0.47</c:v>
                </c:pt>
                <c:pt idx="12">
                  <c:v>0.56699999999999995</c:v>
                </c:pt>
                <c:pt idx="13">
                  <c:v>0.25700000000000001</c:v>
                </c:pt>
                <c:pt idx="14">
                  <c:v>0.28499999999999998</c:v>
                </c:pt>
                <c:pt idx="15">
                  <c:v>0.38500000000000001</c:v>
                </c:pt>
                <c:pt idx="16">
                  <c:v>0.433</c:v>
                </c:pt>
                <c:pt idx="17">
                  <c:v>0.42799999999999999</c:v>
                </c:pt>
                <c:pt idx="18">
                  <c:v>0.40500000000000003</c:v>
                </c:pt>
                <c:pt idx="19">
                  <c:v>0.32700000000000001</c:v>
                </c:pt>
                <c:pt idx="20">
                  <c:v>0.27400000000000002</c:v>
                </c:pt>
                <c:pt idx="21">
                  <c:v>0.35299999999999998</c:v>
                </c:pt>
                <c:pt idx="22">
                  <c:v>0.35799999999999998</c:v>
                </c:pt>
                <c:pt idx="23">
                  <c:v>0.37</c:v>
                </c:pt>
                <c:pt idx="24">
                  <c:v>0.40600000000000003</c:v>
                </c:pt>
                <c:pt idx="25">
                  <c:v>0.45800000000000002</c:v>
                </c:pt>
                <c:pt idx="26">
                  <c:v>0.47199999999999998</c:v>
                </c:pt>
                <c:pt idx="27">
                  <c:v>0.17399999999999999</c:v>
                </c:pt>
                <c:pt idx="28">
                  <c:v>5.2999999999999999E-2</c:v>
                </c:pt>
                <c:pt idx="29">
                  <c:v>0.106</c:v>
                </c:pt>
                <c:pt idx="30">
                  <c:v>0.38800000000000001</c:v>
                </c:pt>
                <c:pt idx="31">
                  <c:v>0.42199999999999999</c:v>
                </c:pt>
                <c:pt idx="32">
                  <c:v>0.33200000000000002</c:v>
                </c:pt>
                <c:pt idx="33">
                  <c:v>0.216</c:v>
                </c:pt>
                <c:pt idx="34">
                  <c:v>9.4E-2</c:v>
                </c:pt>
                <c:pt idx="35">
                  <c:v>7.8E-2</c:v>
                </c:pt>
                <c:pt idx="36">
                  <c:v>0.105</c:v>
                </c:pt>
                <c:pt idx="37">
                  <c:v>0.1</c:v>
                </c:pt>
                <c:pt idx="38">
                  <c:v>0.20699999999999999</c:v>
                </c:pt>
                <c:pt idx="39">
                  <c:v>0.124</c:v>
                </c:pt>
                <c:pt idx="40">
                  <c:v>0.16300000000000001</c:v>
                </c:pt>
                <c:pt idx="41">
                  <c:v>0.16900000000000001</c:v>
                </c:pt>
                <c:pt idx="42">
                  <c:v>0.23100000000000001</c:v>
                </c:pt>
                <c:pt idx="43">
                  <c:v>0.27400000000000002</c:v>
                </c:pt>
                <c:pt idx="44">
                  <c:v>0.31</c:v>
                </c:pt>
                <c:pt idx="45">
                  <c:v>0.39300000000000002</c:v>
                </c:pt>
                <c:pt idx="46">
                  <c:v>0.318</c:v>
                </c:pt>
                <c:pt idx="47">
                  <c:v>0.255</c:v>
                </c:pt>
                <c:pt idx="48">
                  <c:v>0.22</c:v>
                </c:pt>
                <c:pt idx="49">
                  <c:v>0.29499999999999998</c:v>
                </c:pt>
                <c:pt idx="50">
                  <c:v>0.25700000000000001</c:v>
                </c:pt>
                <c:pt idx="51">
                  <c:v>0.245</c:v>
                </c:pt>
                <c:pt idx="52">
                  <c:v>0.248</c:v>
                </c:pt>
                <c:pt idx="53">
                  <c:v>0.27800000000000002</c:v>
                </c:pt>
                <c:pt idx="54">
                  <c:v>0.245</c:v>
                </c:pt>
                <c:pt idx="55">
                  <c:v>0.188</c:v>
                </c:pt>
                <c:pt idx="56">
                  <c:v>0.191</c:v>
                </c:pt>
                <c:pt idx="57">
                  <c:v>0.25800000000000001</c:v>
                </c:pt>
                <c:pt idx="58">
                  <c:v>0.27</c:v>
                </c:pt>
                <c:pt idx="59">
                  <c:v>0.27900000000000003</c:v>
                </c:pt>
                <c:pt idx="60">
                  <c:v>0.19800000000000001</c:v>
                </c:pt>
                <c:pt idx="61">
                  <c:v>0.188</c:v>
                </c:pt>
                <c:pt idx="62">
                  <c:v>0.17499999999999999</c:v>
                </c:pt>
                <c:pt idx="63">
                  <c:v>0.23400000000000001</c:v>
                </c:pt>
                <c:pt idx="64">
                  <c:v>0.35199999999999998</c:v>
                </c:pt>
                <c:pt idx="65">
                  <c:v>0.28899999999999998</c:v>
                </c:pt>
                <c:pt idx="66">
                  <c:v>0.219</c:v>
                </c:pt>
                <c:pt idx="67">
                  <c:v>0.23100000000000001</c:v>
                </c:pt>
                <c:pt idx="68">
                  <c:v>0.22900000000000001</c:v>
                </c:pt>
                <c:pt idx="69">
                  <c:v>0.26</c:v>
                </c:pt>
                <c:pt idx="70">
                  <c:v>0.33600000000000002</c:v>
                </c:pt>
                <c:pt idx="71">
                  <c:v>0.25900000000000001</c:v>
                </c:pt>
                <c:pt idx="72">
                  <c:v>0.26200000000000001</c:v>
                </c:pt>
                <c:pt idx="73">
                  <c:v>0.376</c:v>
                </c:pt>
                <c:pt idx="74">
                  <c:v>0.38</c:v>
                </c:pt>
                <c:pt idx="75">
                  <c:v>0.33600000000000002</c:v>
                </c:pt>
                <c:pt idx="76">
                  <c:v>0.23300000000000001</c:v>
                </c:pt>
                <c:pt idx="77">
                  <c:v>0.29099999999999998</c:v>
                </c:pt>
                <c:pt idx="78">
                  <c:v>0.30399999999999999</c:v>
                </c:pt>
                <c:pt idx="79">
                  <c:v>0.33700000000000002</c:v>
                </c:pt>
                <c:pt idx="80">
                  <c:v>0.35299999999999998</c:v>
                </c:pt>
                <c:pt idx="81">
                  <c:v>0.47399999999999998</c:v>
                </c:pt>
                <c:pt idx="82">
                  <c:v>0.52900000000000003</c:v>
                </c:pt>
                <c:pt idx="83">
                  <c:v>0.56799999999999995</c:v>
                </c:pt>
                <c:pt idx="84">
                  <c:v>0.36299999999999999</c:v>
                </c:pt>
                <c:pt idx="85">
                  <c:v>0.41699999999999998</c:v>
                </c:pt>
                <c:pt idx="86">
                  <c:v>0.35799999999999998</c:v>
                </c:pt>
                <c:pt idx="87">
                  <c:v>0.28000000000000003</c:v>
                </c:pt>
                <c:pt idx="88">
                  <c:v>0.30099999999999999</c:v>
                </c:pt>
                <c:pt idx="89">
                  <c:v>0.33800000000000002</c:v>
                </c:pt>
                <c:pt idx="90">
                  <c:v>0.23699999999999999</c:v>
                </c:pt>
                <c:pt idx="91">
                  <c:v>0.216</c:v>
                </c:pt>
                <c:pt idx="92">
                  <c:v>0.28199999999999997</c:v>
                </c:pt>
                <c:pt idx="93">
                  <c:v>0.48299999999999998</c:v>
                </c:pt>
                <c:pt idx="94">
                  <c:v>0.54700000000000004</c:v>
                </c:pt>
                <c:pt idx="95">
                  <c:v>0.49399999999999999</c:v>
                </c:pt>
                <c:pt idx="96">
                  <c:v>0.34200000000000003</c:v>
                </c:pt>
                <c:pt idx="97">
                  <c:v>0.46800000000000003</c:v>
                </c:pt>
                <c:pt idx="98">
                  <c:v>0.49199999999999999</c:v>
                </c:pt>
                <c:pt idx="99">
                  <c:v>0.41899999999999998</c:v>
                </c:pt>
                <c:pt idx="100">
                  <c:v>0.38900000000000001</c:v>
                </c:pt>
                <c:pt idx="101">
                  <c:v>0.38400000000000001</c:v>
                </c:pt>
                <c:pt idx="102">
                  <c:v>0.40799999999999997</c:v>
                </c:pt>
                <c:pt idx="103">
                  <c:v>0.28899999999999998</c:v>
                </c:pt>
                <c:pt idx="104">
                  <c:v>0.29299999999999998</c:v>
                </c:pt>
                <c:pt idx="105">
                  <c:v>0.24199999999999999</c:v>
                </c:pt>
                <c:pt idx="106">
                  <c:v>0.39300000000000002</c:v>
                </c:pt>
                <c:pt idx="107">
                  <c:v>0.69099999999999995</c:v>
                </c:pt>
                <c:pt idx="108">
                  <c:v>0.58699999999999997</c:v>
                </c:pt>
                <c:pt idx="109">
                  <c:v>0.30599999999999999</c:v>
                </c:pt>
                <c:pt idx="110">
                  <c:v>0.17799999999999999</c:v>
                </c:pt>
                <c:pt idx="111">
                  <c:v>0.35299999999999998</c:v>
                </c:pt>
                <c:pt idx="112">
                  <c:v>0.40400000000000003</c:v>
                </c:pt>
                <c:pt idx="113">
                  <c:v>0.29899999999999999</c:v>
                </c:pt>
                <c:pt idx="114">
                  <c:v>0.20899999999999999</c:v>
                </c:pt>
                <c:pt idx="115">
                  <c:v>0.22500000000000001</c:v>
                </c:pt>
                <c:pt idx="116">
                  <c:v>0.33900000000000002</c:v>
                </c:pt>
                <c:pt idx="117">
                  <c:v>0.27500000000000002</c:v>
                </c:pt>
                <c:pt idx="118">
                  <c:v>0.252</c:v>
                </c:pt>
                <c:pt idx="119">
                  <c:v>0.22500000000000001</c:v>
                </c:pt>
                <c:pt idx="120">
                  <c:v>0.34799999999999998</c:v>
                </c:pt>
                <c:pt idx="121">
                  <c:v>0.45900000000000002</c:v>
                </c:pt>
                <c:pt idx="122">
                  <c:v>0.46400000000000002</c:v>
                </c:pt>
                <c:pt idx="123">
                  <c:v>0.56100000000000005</c:v>
                </c:pt>
                <c:pt idx="124">
                  <c:v>0.377</c:v>
                </c:pt>
                <c:pt idx="125">
                  <c:v>0.438</c:v>
                </c:pt>
                <c:pt idx="126">
                  <c:v>0.48299999999999998</c:v>
                </c:pt>
                <c:pt idx="127">
                  <c:v>0.51900000000000002</c:v>
                </c:pt>
                <c:pt idx="128">
                  <c:v>0.35099999999999998</c:v>
                </c:pt>
                <c:pt idx="129">
                  <c:v>0.61399999999999999</c:v>
                </c:pt>
                <c:pt idx="130">
                  <c:v>0.61699999999999999</c:v>
                </c:pt>
                <c:pt idx="131">
                  <c:v>0.35399999999999998</c:v>
                </c:pt>
                <c:pt idx="132">
                  <c:v>0.44600000000000001</c:v>
                </c:pt>
                <c:pt idx="133">
                  <c:v>0.48799999999999999</c:v>
                </c:pt>
                <c:pt idx="134">
                  <c:v>0.55400000000000005</c:v>
                </c:pt>
                <c:pt idx="135">
                  <c:v>0.97399999999999998</c:v>
                </c:pt>
                <c:pt idx="136">
                  <c:v>0.629</c:v>
                </c:pt>
                <c:pt idx="137">
                  <c:v>0.74399999999999999</c:v>
                </c:pt>
                <c:pt idx="138">
                  <c:v>0.61499999999999999</c:v>
                </c:pt>
                <c:pt idx="139">
                  <c:v>0.48799999999999999</c:v>
                </c:pt>
                <c:pt idx="140">
                  <c:v>0.52400000000000002</c:v>
                </c:pt>
                <c:pt idx="141">
                  <c:v>0.52400000000000002</c:v>
                </c:pt>
                <c:pt idx="142">
                  <c:v>0.67</c:v>
                </c:pt>
                <c:pt idx="143">
                  <c:v>0.66900000000000004</c:v>
                </c:pt>
                <c:pt idx="144">
                  <c:v>0.88200000000000001</c:v>
                </c:pt>
                <c:pt idx="145">
                  <c:v>0.69799999999999995</c:v>
                </c:pt>
                <c:pt idx="146">
                  <c:v>0.433</c:v>
                </c:pt>
                <c:pt idx="147">
                  <c:v>0.43099999999999999</c:v>
                </c:pt>
                <c:pt idx="148">
                  <c:v>0.47299999999999998</c:v>
                </c:pt>
                <c:pt idx="149">
                  <c:v>0.66900000000000004</c:v>
                </c:pt>
                <c:pt idx="150">
                  <c:v>0.89</c:v>
                </c:pt>
                <c:pt idx="151">
                  <c:v>0.47499999999999998</c:v>
                </c:pt>
                <c:pt idx="152">
                  <c:v>0.32600000000000001</c:v>
                </c:pt>
                <c:pt idx="153">
                  <c:v>0.29399999999999998</c:v>
                </c:pt>
                <c:pt idx="154">
                  <c:v>0.36599999999999999</c:v>
                </c:pt>
                <c:pt idx="155">
                  <c:v>0.499</c:v>
                </c:pt>
                <c:pt idx="156">
                  <c:v>0.46</c:v>
                </c:pt>
                <c:pt idx="157">
                  <c:v>0.499</c:v>
                </c:pt>
                <c:pt idx="158">
                  <c:v>0.57499999999999996</c:v>
                </c:pt>
                <c:pt idx="159">
                  <c:v>0.371</c:v>
                </c:pt>
                <c:pt idx="160">
                  <c:v>0.78</c:v>
                </c:pt>
                <c:pt idx="161">
                  <c:v>0.86</c:v>
                </c:pt>
                <c:pt idx="162">
                  <c:v>0.71199999999999997</c:v>
                </c:pt>
                <c:pt idx="163">
                  <c:v>0.78200000000000003</c:v>
                </c:pt>
                <c:pt idx="164">
                  <c:v>0.64200000000000002</c:v>
                </c:pt>
                <c:pt idx="165">
                  <c:v>0.51</c:v>
                </c:pt>
                <c:pt idx="166">
                  <c:v>0.65400000000000003</c:v>
                </c:pt>
                <c:pt idx="167">
                  <c:v>0.69599999999999995</c:v>
                </c:pt>
                <c:pt idx="168">
                  <c:v>0.54300000000000004</c:v>
                </c:pt>
                <c:pt idx="169">
                  <c:v>0.496</c:v>
                </c:pt>
                <c:pt idx="170">
                  <c:v>0.624</c:v>
                </c:pt>
                <c:pt idx="171">
                  <c:v>0.77800000000000002</c:v>
                </c:pt>
                <c:pt idx="172">
                  <c:v>0.79700000000000004</c:v>
                </c:pt>
                <c:pt idx="173">
                  <c:v>0.48299999999999998</c:v>
                </c:pt>
                <c:pt idx="174">
                  <c:v>0.71</c:v>
                </c:pt>
                <c:pt idx="175">
                  <c:v>0.59299999999999997</c:v>
                </c:pt>
                <c:pt idx="176">
                  <c:v>0.58099999999999996</c:v>
                </c:pt>
                <c:pt idx="177">
                  <c:v>0.65300000000000002</c:v>
                </c:pt>
                <c:pt idx="178">
                  <c:v>0.64500000000000002</c:v>
                </c:pt>
                <c:pt idx="179">
                  <c:v>0.68799999999999994</c:v>
                </c:pt>
                <c:pt idx="180">
                  <c:v>0.67700000000000005</c:v>
                </c:pt>
                <c:pt idx="181">
                  <c:v>0.60099999999999998</c:v>
                </c:pt>
                <c:pt idx="182">
                  <c:v>0.75900000000000001</c:v>
                </c:pt>
                <c:pt idx="183">
                  <c:v>0.58399999999999996</c:v>
                </c:pt>
                <c:pt idx="184">
                  <c:v>0.94899999999999995</c:v>
                </c:pt>
                <c:pt idx="185">
                  <c:v>0.874</c:v>
                </c:pt>
                <c:pt idx="186">
                  <c:v>0.92300000000000004</c:v>
                </c:pt>
                <c:pt idx="187">
                  <c:v>0.79200000000000004</c:v>
                </c:pt>
                <c:pt idx="188">
                  <c:v>0.82199999999999995</c:v>
                </c:pt>
                <c:pt idx="189">
                  <c:v>0.91700000000000004</c:v>
                </c:pt>
                <c:pt idx="190">
                  <c:v>1.052</c:v>
                </c:pt>
                <c:pt idx="191">
                  <c:v>0.91700000000000004</c:v>
                </c:pt>
                <c:pt idx="192">
                  <c:v>1.0329999999999999</c:v>
                </c:pt>
                <c:pt idx="193">
                  <c:v>0.84699999999999998</c:v>
                </c:pt>
                <c:pt idx="194">
                  <c:v>0.77200000000000002</c:v>
                </c:pt>
                <c:pt idx="195">
                  <c:v>0.65600000000000003</c:v>
                </c:pt>
                <c:pt idx="196">
                  <c:v>0.877</c:v>
                </c:pt>
                <c:pt idx="197">
                  <c:v>0.98499999999999999</c:v>
                </c:pt>
                <c:pt idx="198">
                  <c:v>0.61599999999999999</c:v>
                </c:pt>
                <c:pt idx="199">
                  <c:v>0.68200000000000005</c:v>
                </c:pt>
                <c:pt idx="200">
                  <c:v>0.83</c:v>
                </c:pt>
                <c:pt idx="201">
                  <c:v>0.76600000000000001</c:v>
                </c:pt>
                <c:pt idx="202">
                  <c:v>0.871</c:v>
                </c:pt>
                <c:pt idx="203">
                  <c:v>1.0569999999999999</c:v>
                </c:pt>
                <c:pt idx="204">
                  <c:v>0.68799999999999994</c:v>
                </c:pt>
                <c:pt idx="205">
                  <c:v>0.79800000000000004</c:v>
                </c:pt>
                <c:pt idx="206">
                  <c:v>0.57199999999999995</c:v>
                </c:pt>
                <c:pt idx="207">
                  <c:v>0.68799999999999994</c:v>
                </c:pt>
                <c:pt idx="208">
                  <c:v>0.67700000000000005</c:v>
                </c:pt>
                <c:pt idx="209">
                  <c:v>0.59699999999999998</c:v>
                </c:pt>
                <c:pt idx="210">
                  <c:v>0.58299999999999996</c:v>
                </c:pt>
                <c:pt idx="211">
                  <c:v>0.91900000000000004</c:v>
                </c:pt>
                <c:pt idx="212">
                  <c:v>0.72299999999999998</c:v>
                </c:pt>
                <c:pt idx="213">
                  <c:v>0.83899999999999997</c:v>
                </c:pt>
                <c:pt idx="214">
                  <c:v>0.66100000000000003</c:v>
                </c:pt>
                <c:pt idx="215">
                  <c:v>0.496</c:v>
                </c:pt>
                <c:pt idx="216">
                  <c:v>0.74099999999999999</c:v>
                </c:pt>
                <c:pt idx="217">
                  <c:v>0.33300000000000002</c:v>
                </c:pt>
                <c:pt idx="218">
                  <c:v>0.44900000000000001</c:v>
                </c:pt>
                <c:pt idx="219">
                  <c:v>0.48399999999999999</c:v>
                </c:pt>
                <c:pt idx="220">
                  <c:v>0.68799999999999994</c:v>
                </c:pt>
                <c:pt idx="221">
                  <c:v>1.0209999999999999</c:v>
                </c:pt>
                <c:pt idx="222">
                  <c:v>0.99</c:v>
                </c:pt>
                <c:pt idx="223">
                  <c:v>0.73799999999999999</c:v>
                </c:pt>
                <c:pt idx="224">
                  <c:v>0.90700000000000003</c:v>
                </c:pt>
                <c:pt idx="225">
                  <c:v>0.71099999999999997</c:v>
                </c:pt>
                <c:pt idx="226">
                  <c:v>0.71699999999999997</c:v>
                </c:pt>
                <c:pt idx="227">
                  <c:v>0.89400000000000002</c:v>
                </c:pt>
                <c:pt idx="228">
                  <c:v>0.80400000000000005</c:v>
                </c:pt>
                <c:pt idx="229">
                  <c:v>0.64400000000000002</c:v>
                </c:pt>
                <c:pt idx="230">
                  <c:v>0.61099999999999999</c:v>
                </c:pt>
                <c:pt idx="231">
                  <c:v>0.76800000000000002</c:v>
                </c:pt>
                <c:pt idx="232">
                  <c:v>0.68600000000000005</c:v>
                </c:pt>
                <c:pt idx="233">
                  <c:v>0.64</c:v>
                </c:pt>
                <c:pt idx="234">
                  <c:v>0.63900000000000001</c:v>
                </c:pt>
                <c:pt idx="235">
                  <c:v>0.57099999999999995</c:v>
                </c:pt>
                <c:pt idx="236">
                  <c:v>0.75900000000000001</c:v>
                </c:pt>
                <c:pt idx="237">
                  <c:v>0.69899999999999995</c:v>
                </c:pt>
                <c:pt idx="238">
                  <c:v>0.74099999999999999</c:v>
                </c:pt>
                <c:pt idx="239">
                  <c:v>0.80200000000000005</c:v>
                </c:pt>
                <c:pt idx="240">
                  <c:v>0.48899999999999999</c:v>
                </c:pt>
                <c:pt idx="241">
                  <c:v>0.97499999999999998</c:v>
                </c:pt>
                <c:pt idx="242">
                  <c:v>0.99099999999999999</c:v>
                </c:pt>
                <c:pt idx="243">
                  <c:v>0.89900000000000002</c:v>
                </c:pt>
                <c:pt idx="244">
                  <c:v>0.72499999999999998</c:v>
                </c:pt>
                <c:pt idx="245">
                  <c:v>0.72399999999999998</c:v>
                </c:pt>
                <c:pt idx="246">
                  <c:v>0.73699999999999999</c:v>
                </c:pt>
                <c:pt idx="247">
                  <c:v>0.84899999999999998</c:v>
                </c:pt>
                <c:pt idx="248">
                  <c:v>0.66900000000000004</c:v>
                </c:pt>
                <c:pt idx="249">
                  <c:v>1.2190000000000001</c:v>
                </c:pt>
                <c:pt idx="250">
                  <c:v>0.83599999999999997</c:v>
                </c:pt>
                <c:pt idx="251">
                  <c:v>0.83</c:v>
                </c:pt>
                <c:pt idx="252">
                  <c:v>0.88</c:v>
                </c:pt>
                <c:pt idx="253">
                  <c:v>0.78700000000000003</c:v>
                </c:pt>
                <c:pt idx="254">
                  <c:v>0.80200000000000005</c:v>
                </c:pt>
                <c:pt idx="255">
                  <c:v>0.78400000000000003</c:v>
                </c:pt>
                <c:pt idx="256">
                  <c:v>0.86499999999999999</c:v>
                </c:pt>
                <c:pt idx="257">
                  <c:v>0.88300000000000001</c:v>
                </c:pt>
                <c:pt idx="258">
                  <c:v>0.71899999999999997</c:v>
                </c:pt>
                <c:pt idx="259">
                  <c:v>0.72</c:v>
                </c:pt>
                <c:pt idx="260">
                  <c:v>0.871</c:v>
                </c:pt>
                <c:pt idx="261">
                  <c:v>0.76400000000000001</c:v>
                </c:pt>
                <c:pt idx="262">
                  <c:v>0.70299999999999996</c:v>
                </c:pt>
                <c:pt idx="263">
                  <c:v>0.874</c:v>
                </c:pt>
                <c:pt idx="264">
                  <c:v>0.91900000000000004</c:v>
                </c:pt>
                <c:pt idx="265">
                  <c:v>0.70699999999999996</c:v>
                </c:pt>
                <c:pt idx="266">
                  <c:v>0.625</c:v>
                </c:pt>
                <c:pt idx="267">
                  <c:v>0.54500000000000004</c:v>
                </c:pt>
                <c:pt idx="268">
                  <c:v>0.72899999999999998</c:v>
                </c:pt>
                <c:pt idx="269">
                  <c:v>0.48399999999999999</c:v>
                </c:pt>
                <c:pt idx="270">
                  <c:v>0.46700000000000003</c:v>
                </c:pt>
                <c:pt idx="271">
                  <c:v>0.41599999999999998</c:v>
                </c:pt>
                <c:pt idx="272">
                  <c:v>0.41699999999999998</c:v>
                </c:pt>
                <c:pt idx="273">
                  <c:v>0.48299999999999998</c:v>
                </c:pt>
                <c:pt idx="274">
                  <c:v>0.53800000000000003</c:v>
                </c:pt>
                <c:pt idx="275">
                  <c:v>0.56799999999999995</c:v>
                </c:pt>
                <c:pt idx="276">
                  <c:v>0.45500000000000002</c:v>
                </c:pt>
                <c:pt idx="277">
                  <c:v>0.5</c:v>
                </c:pt>
                <c:pt idx="278">
                  <c:v>0.48399999999999999</c:v>
                </c:pt>
                <c:pt idx="279">
                  <c:v>0.46400000000000002</c:v>
                </c:pt>
                <c:pt idx="280">
                  <c:v>0.45200000000000001</c:v>
                </c:pt>
                <c:pt idx="281">
                  <c:v>0.28499999999999998</c:v>
                </c:pt>
                <c:pt idx="282">
                  <c:v>0.18</c:v>
                </c:pt>
                <c:pt idx="283">
                  <c:v>0.26600000000000001</c:v>
                </c:pt>
                <c:pt idx="284">
                  <c:v>0.29199999999999998</c:v>
                </c:pt>
                <c:pt idx="285">
                  <c:v>0.33900000000000002</c:v>
                </c:pt>
                <c:pt idx="286">
                  <c:v>0.50700000000000001</c:v>
                </c:pt>
                <c:pt idx="287">
                  <c:v>0.48299999999999998</c:v>
                </c:pt>
                <c:pt idx="288">
                  <c:v>0.44900000000000001</c:v>
                </c:pt>
                <c:pt idx="289">
                  <c:v>0.50900000000000001</c:v>
                </c:pt>
                <c:pt idx="290">
                  <c:v>0.438</c:v>
                </c:pt>
                <c:pt idx="291">
                  <c:v>0.47599999999999998</c:v>
                </c:pt>
                <c:pt idx="292">
                  <c:v>0.41499999999999998</c:v>
                </c:pt>
                <c:pt idx="293">
                  <c:v>0.58499999999999996</c:v>
                </c:pt>
                <c:pt idx="294">
                  <c:v>0.53200000000000003</c:v>
                </c:pt>
                <c:pt idx="295">
                  <c:v>0.40699999999999997</c:v>
                </c:pt>
                <c:pt idx="296">
                  <c:v>0.66</c:v>
                </c:pt>
                <c:pt idx="297">
                  <c:v>0.63400000000000001</c:v>
                </c:pt>
                <c:pt idx="298">
                  <c:v>0.36699999999999999</c:v>
                </c:pt>
                <c:pt idx="299">
                  <c:v>0.27100000000000002</c:v>
                </c:pt>
                <c:pt idx="300">
                  <c:v>0.14499999999999999</c:v>
                </c:pt>
                <c:pt idx="301">
                  <c:v>0.09</c:v>
                </c:pt>
                <c:pt idx="302">
                  <c:v>0.182</c:v>
                </c:pt>
                <c:pt idx="303">
                  <c:v>0.26100000000000001</c:v>
                </c:pt>
                <c:pt idx="304">
                  <c:v>0.183</c:v>
                </c:pt>
                <c:pt idx="305">
                  <c:v>0.38500000000000001</c:v>
                </c:pt>
                <c:pt idx="306">
                  <c:v>0.49299999999999999</c:v>
                </c:pt>
                <c:pt idx="307">
                  <c:v>0.60099999999999998</c:v>
                </c:pt>
                <c:pt idx="308">
                  <c:v>0.47499999999999998</c:v>
                </c:pt>
                <c:pt idx="309">
                  <c:v>0.34200000000000003</c:v>
                </c:pt>
                <c:pt idx="310">
                  <c:v>0.31</c:v>
                </c:pt>
                <c:pt idx="311">
                  <c:v>0.39</c:v>
                </c:pt>
                <c:pt idx="312">
                  <c:v>0.37</c:v>
                </c:pt>
                <c:pt idx="313">
                  <c:v>0.47199999999999998</c:v>
                </c:pt>
                <c:pt idx="314">
                  <c:v>0.375</c:v>
                </c:pt>
                <c:pt idx="315">
                  <c:v>0.38800000000000001</c:v>
                </c:pt>
                <c:pt idx="316">
                  <c:v>0.58099999999999996</c:v>
                </c:pt>
                <c:pt idx="317">
                  <c:v>0.53300000000000003</c:v>
                </c:pt>
                <c:pt idx="318">
                  <c:v>0.54500000000000004</c:v>
                </c:pt>
                <c:pt idx="319">
                  <c:v>0.496</c:v>
                </c:pt>
                <c:pt idx="320">
                  <c:v>0.54100000000000004</c:v>
                </c:pt>
                <c:pt idx="321">
                  <c:v>0.28000000000000003</c:v>
                </c:pt>
                <c:pt idx="322">
                  <c:v>0.502</c:v>
                </c:pt>
                <c:pt idx="323">
                  <c:v>0.41299999999999998</c:v>
                </c:pt>
                <c:pt idx="324">
                  <c:v>0.34200000000000003</c:v>
                </c:pt>
                <c:pt idx="325">
                  <c:v>0.20200000000000001</c:v>
                </c:pt>
                <c:pt idx="326">
                  <c:v>0.39500000000000002</c:v>
                </c:pt>
                <c:pt idx="327">
                  <c:v>0.36199999999999999</c:v>
                </c:pt>
                <c:pt idx="328">
                  <c:v>0.32100000000000001</c:v>
                </c:pt>
                <c:pt idx="329">
                  <c:v>0.23300000000000001</c:v>
                </c:pt>
                <c:pt idx="330">
                  <c:v>0.19600000000000001</c:v>
                </c:pt>
                <c:pt idx="331">
                  <c:v>0.17499999999999999</c:v>
                </c:pt>
                <c:pt idx="332">
                  <c:v>0.17699999999999999</c:v>
                </c:pt>
                <c:pt idx="333">
                  <c:v>0.192</c:v>
                </c:pt>
                <c:pt idx="334">
                  <c:v>0.33400000000000002</c:v>
                </c:pt>
                <c:pt idx="335">
                  <c:v>0.47899999999999998</c:v>
                </c:pt>
                <c:pt idx="336">
                  <c:v>0.52300000000000002</c:v>
                </c:pt>
                <c:pt idx="337">
                  <c:v>0.48499999999999999</c:v>
                </c:pt>
                <c:pt idx="338">
                  <c:v>0.39</c:v>
                </c:pt>
                <c:pt idx="339">
                  <c:v>0.51500000000000001</c:v>
                </c:pt>
                <c:pt idx="340">
                  <c:v>0.51700000000000002</c:v>
                </c:pt>
                <c:pt idx="341">
                  <c:v>0.36299999999999999</c:v>
                </c:pt>
                <c:pt idx="342">
                  <c:v>0.36899999999999999</c:v>
                </c:pt>
                <c:pt idx="343">
                  <c:v>0.38200000000000001</c:v>
                </c:pt>
                <c:pt idx="344">
                  <c:v>0.41599999999999998</c:v>
                </c:pt>
                <c:pt idx="345">
                  <c:v>0.42799999999999999</c:v>
                </c:pt>
                <c:pt idx="346">
                  <c:v>0.39600000000000002</c:v>
                </c:pt>
                <c:pt idx="347">
                  <c:v>0.34499999999999997</c:v>
                </c:pt>
                <c:pt idx="348">
                  <c:v>0.28199999999999997</c:v>
                </c:pt>
                <c:pt idx="349">
                  <c:v>0.39300000000000002</c:v>
                </c:pt>
                <c:pt idx="350">
                  <c:v>0.41499999999999998</c:v>
                </c:pt>
                <c:pt idx="351">
                  <c:v>0.34100000000000003</c:v>
                </c:pt>
                <c:pt idx="352">
                  <c:v>0.38600000000000001</c:v>
                </c:pt>
                <c:pt idx="353">
                  <c:v>0.54800000000000004</c:v>
                </c:pt>
                <c:pt idx="354">
                  <c:v>0.54700000000000004</c:v>
                </c:pt>
                <c:pt idx="355">
                  <c:v>0.38700000000000001</c:v>
                </c:pt>
                <c:pt idx="356">
                  <c:v>0.38300000000000001</c:v>
                </c:pt>
                <c:pt idx="357">
                  <c:v>0.34</c:v>
                </c:pt>
                <c:pt idx="358">
                  <c:v>0.35799999999999998</c:v>
                </c:pt>
                <c:pt idx="359">
                  <c:v>0.32800000000000001</c:v>
                </c:pt>
                <c:pt idx="360">
                  <c:v>0.316</c:v>
                </c:pt>
                <c:pt idx="361">
                  <c:v>0.44800000000000001</c:v>
                </c:pt>
                <c:pt idx="362">
                  <c:v>0.48099999999999998</c:v>
                </c:pt>
                <c:pt idx="363">
                  <c:v>0.499</c:v>
                </c:pt>
                <c:pt idx="364">
                  <c:v>0.49399999999999999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Data!$AR$6:$AR$370</c:f>
              <c:numCache>
                <c:formatCode>General</c:formatCode>
                <c:ptCount val="365"/>
                <c:pt idx="0">
                  <c:v>0.11</c:v>
                </c:pt>
                <c:pt idx="1">
                  <c:v>7.0000000000000007E-2</c:v>
                </c:pt>
                <c:pt idx="2">
                  <c:v>4.8000000000000001E-2</c:v>
                </c:pt>
                <c:pt idx="3">
                  <c:v>5.8999999999999997E-2</c:v>
                </c:pt>
                <c:pt idx="4">
                  <c:v>3.7999999999999999E-2</c:v>
                </c:pt>
                <c:pt idx="5">
                  <c:v>7.0000000000000007E-2</c:v>
                </c:pt>
                <c:pt idx="6">
                  <c:v>8.3000000000000004E-2</c:v>
                </c:pt>
                <c:pt idx="7">
                  <c:v>8.7999999999999995E-2</c:v>
                </c:pt>
                <c:pt idx="8">
                  <c:v>5.1999999999999998E-2</c:v>
                </c:pt>
                <c:pt idx="9">
                  <c:v>4.2999999999999997E-2</c:v>
                </c:pt>
                <c:pt idx="10">
                  <c:v>3.9E-2</c:v>
                </c:pt>
                <c:pt idx="11">
                  <c:v>4.2999999999999997E-2</c:v>
                </c:pt>
                <c:pt idx="12">
                  <c:v>0.125</c:v>
                </c:pt>
                <c:pt idx="13">
                  <c:v>0.47099999999999997</c:v>
                </c:pt>
                <c:pt idx="14">
                  <c:v>0.28599999999999998</c:v>
                </c:pt>
                <c:pt idx="15">
                  <c:v>9.4E-2</c:v>
                </c:pt>
                <c:pt idx="16">
                  <c:v>3.6999999999999998E-2</c:v>
                </c:pt>
                <c:pt idx="17">
                  <c:v>4.7E-2</c:v>
                </c:pt>
                <c:pt idx="18">
                  <c:v>7.0000000000000007E-2</c:v>
                </c:pt>
                <c:pt idx="19">
                  <c:v>7.3999999999999996E-2</c:v>
                </c:pt>
                <c:pt idx="20">
                  <c:v>6.9000000000000006E-2</c:v>
                </c:pt>
                <c:pt idx="21">
                  <c:v>6.0999999999999999E-2</c:v>
                </c:pt>
                <c:pt idx="22">
                  <c:v>4.2000000000000003E-2</c:v>
                </c:pt>
                <c:pt idx="23">
                  <c:v>0.17</c:v>
                </c:pt>
                <c:pt idx="24">
                  <c:v>0.19800000000000001</c:v>
                </c:pt>
                <c:pt idx="25">
                  <c:v>0.34799999999999998</c:v>
                </c:pt>
                <c:pt idx="26">
                  <c:v>0.31900000000000001</c:v>
                </c:pt>
                <c:pt idx="27">
                  <c:v>0.27800000000000002</c:v>
                </c:pt>
                <c:pt idx="28">
                  <c:v>0.60099999999999998</c:v>
                </c:pt>
                <c:pt idx="29">
                  <c:v>0.58699999999999997</c:v>
                </c:pt>
                <c:pt idx="30">
                  <c:v>0.30499999999999999</c:v>
                </c:pt>
                <c:pt idx="31">
                  <c:v>0.16500000000000001</c:v>
                </c:pt>
                <c:pt idx="32">
                  <c:v>0.19500000000000001</c:v>
                </c:pt>
                <c:pt idx="33">
                  <c:v>0.12</c:v>
                </c:pt>
                <c:pt idx="34">
                  <c:v>3.4000000000000002E-2</c:v>
                </c:pt>
                <c:pt idx="35">
                  <c:v>0.105</c:v>
                </c:pt>
                <c:pt idx="36">
                  <c:v>8.5999999999999993E-2</c:v>
                </c:pt>
                <c:pt idx="37">
                  <c:v>0.16900000000000001</c:v>
                </c:pt>
                <c:pt idx="38">
                  <c:v>5.5E-2</c:v>
                </c:pt>
                <c:pt idx="39">
                  <c:v>3.7999999999999999E-2</c:v>
                </c:pt>
                <c:pt idx="40">
                  <c:v>5.6000000000000001E-2</c:v>
                </c:pt>
                <c:pt idx="41">
                  <c:v>5.2999999999999999E-2</c:v>
                </c:pt>
                <c:pt idx="42">
                  <c:v>4.5999999999999999E-2</c:v>
                </c:pt>
                <c:pt idx="43">
                  <c:v>6.0999999999999999E-2</c:v>
                </c:pt>
                <c:pt idx="44">
                  <c:v>6.3E-2</c:v>
                </c:pt>
                <c:pt idx="45">
                  <c:v>4.8000000000000001E-2</c:v>
                </c:pt>
                <c:pt idx="46">
                  <c:v>4.9000000000000002E-2</c:v>
                </c:pt>
                <c:pt idx="47">
                  <c:v>5.5E-2</c:v>
                </c:pt>
                <c:pt idx="48">
                  <c:v>5.2999999999999999E-2</c:v>
                </c:pt>
                <c:pt idx="49">
                  <c:v>4.2999999999999997E-2</c:v>
                </c:pt>
                <c:pt idx="50">
                  <c:v>4.2000000000000003E-2</c:v>
                </c:pt>
                <c:pt idx="51">
                  <c:v>4.4999999999999998E-2</c:v>
                </c:pt>
                <c:pt idx="52">
                  <c:v>4.2000000000000003E-2</c:v>
                </c:pt>
                <c:pt idx="53">
                  <c:v>4.3999999999999997E-2</c:v>
                </c:pt>
                <c:pt idx="54">
                  <c:v>4.7E-2</c:v>
                </c:pt>
                <c:pt idx="55">
                  <c:v>4.7E-2</c:v>
                </c:pt>
                <c:pt idx="56">
                  <c:v>5.5E-2</c:v>
                </c:pt>
                <c:pt idx="57">
                  <c:v>6.8000000000000005E-2</c:v>
                </c:pt>
                <c:pt idx="58">
                  <c:v>4.2999999999999997E-2</c:v>
                </c:pt>
                <c:pt idx="59">
                  <c:v>5.6000000000000001E-2</c:v>
                </c:pt>
                <c:pt idx="60">
                  <c:v>5.0999999999999997E-2</c:v>
                </c:pt>
                <c:pt idx="61">
                  <c:v>8.5999999999999993E-2</c:v>
                </c:pt>
                <c:pt idx="62">
                  <c:v>0.13600000000000001</c:v>
                </c:pt>
                <c:pt idx="63">
                  <c:v>0.14799999999999999</c:v>
                </c:pt>
                <c:pt idx="64">
                  <c:v>4.1000000000000002E-2</c:v>
                </c:pt>
                <c:pt idx="65">
                  <c:v>9.9000000000000005E-2</c:v>
                </c:pt>
                <c:pt idx="66">
                  <c:v>0.13600000000000001</c:v>
                </c:pt>
                <c:pt idx="67">
                  <c:v>0.109</c:v>
                </c:pt>
                <c:pt idx="68">
                  <c:v>0.27</c:v>
                </c:pt>
                <c:pt idx="69">
                  <c:v>0.109</c:v>
                </c:pt>
                <c:pt idx="70">
                  <c:v>5.0999999999999997E-2</c:v>
                </c:pt>
                <c:pt idx="71">
                  <c:v>0.183</c:v>
                </c:pt>
                <c:pt idx="72">
                  <c:v>0.32900000000000001</c:v>
                </c:pt>
                <c:pt idx="73">
                  <c:v>0.33500000000000002</c:v>
                </c:pt>
                <c:pt idx="74">
                  <c:v>0.45900000000000002</c:v>
                </c:pt>
                <c:pt idx="75">
                  <c:v>0.54100000000000004</c:v>
                </c:pt>
                <c:pt idx="76">
                  <c:v>0.83599999999999997</c:v>
                </c:pt>
                <c:pt idx="77">
                  <c:v>0.92700000000000005</c:v>
                </c:pt>
                <c:pt idx="78">
                  <c:v>1.0780000000000001</c:v>
                </c:pt>
                <c:pt idx="79">
                  <c:v>1.085</c:v>
                </c:pt>
                <c:pt idx="80">
                  <c:v>0.89</c:v>
                </c:pt>
                <c:pt idx="81">
                  <c:v>0.30299999999999999</c:v>
                </c:pt>
                <c:pt idx="82">
                  <c:v>0.34499999999999997</c:v>
                </c:pt>
                <c:pt idx="83">
                  <c:v>6.5000000000000002E-2</c:v>
                </c:pt>
                <c:pt idx="84">
                  <c:v>0.21</c:v>
                </c:pt>
                <c:pt idx="85">
                  <c:v>0.312</c:v>
                </c:pt>
                <c:pt idx="86">
                  <c:v>0.41499999999999998</c:v>
                </c:pt>
                <c:pt idx="87">
                  <c:v>0.53600000000000003</c:v>
                </c:pt>
                <c:pt idx="88">
                  <c:v>0.60799999999999998</c:v>
                </c:pt>
                <c:pt idx="89">
                  <c:v>0.51300000000000001</c:v>
                </c:pt>
                <c:pt idx="90">
                  <c:v>0.58899999999999997</c:v>
                </c:pt>
                <c:pt idx="91">
                  <c:v>0.71099999999999997</c:v>
                </c:pt>
                <c:pt idx="92">
                  <c:v>0.432</c:v>
                </c:pt>
                <c:pt idx="93">
                  <c:v>0.33700000000000002</c:v>
                </c:pt>
                <c:pt idx="94">
                  <c:v>7.6999999999999999E-2</c:v>
                </c:pt>
                <c:pt idx="95">
                  <c:v>5.0999999999999997E-2</c:v>
                </c:pt>
                <c:pt idx="96">
                  <c:v>0.32500000000000001</c:v>
                </c:pt>
                <c:pt idx="97">
                  <c:v>0.159</c:v>
                </c:pt>
                <c:pt idx="98">
                  <c:v>0.122</c:v>
                </c:pt>
                <c:pt idx="99">
                  <c:v>9.8000000000000004E-2</c:v>
                </c:pt>
                <c:pt idx="100">
                  <c:v>0.16200000000000001</c:v>
                </c:pt>
                <c:pt idx="101">
                  <c:v>0.23799999999999999</c:v>
                </c:pt>
                <c:pt idx="102">
                  <c:v>0.16200000000000001</c:v>
                </c:pt>
                <c:pt idx="103">
                  <c:v>0.316</c:v>
                </c:pt>
                <c:pt idx="104">
                  <c:v>0.29899999999999999</c:v>
                </c:pt>
                <c:pt idx="105">
                  <c:v>0.55100000000000005</c:v>
                </c:pt>
                <c:pt idx="106">
                  <c:v>0.47799999999999998</c:v>
                </c:pt>
                <c:pt idx="107">
                  <c:v>0.124</c:v>
                </c:pt>
                <c:pt idx="108">
                  <c:v>0.23699999999999999</c:v>
                </c:pt>
                <c:pt idx="109">
                  <c:v>0.42599999999999999</c:v>
                </c:pt>
                <c:pt idx="110">
                  <c:v>0.88800000000000001</c:v>
                </c:pt>
                <c:pt idx="111">
                  <c:v>0.55000000000000004</c:v>
                </c:pt>
                <c:pt idx="112">
                  <c:v>0.504</c:v>
                </c:pt>
                <c:pt idx="113">
                  <c:v>0.46800000000000003</c:v>
                </c:pt>
                <c:pt idx="114">
                  <c:v>0.73699999999999999</c:v>
                </c:pt>
                <c:pt idx="115">
                  <c:v>0.67500000000000004</c:v>
                </c:pt>
                <c:pt idx="116">
                  <c:v>0.16500000000000001</c:v>
                </c:pt>
                <c:pt idx="117">
                  <c:v>0.38300000000000001</c:v>
                </c:pt>
                <c:pt idx="118">
                  <c:v>0.39700000000000002</c:v>
                </c:pt>
                <c:pt idx="119">
                  <c:v>0.48699999999999999</c:v>
                </c:pt>
                <c:pt idx="120">
                  <c:v>0.41</c:v>
                </c:pt>
                <c:pt idx="121">
                  <c:v>0.42899999999999999</c:v>
                </c:pt>
                <c:pt idx="122">
                  <c:v>0.61299999999999999</c:v>
                </c:pt>
                <c:pt idx="123">
                  <c:v>0.57699999999999996</c:v>
                </c:pt>
                <c:pt idx="124">
                  <c:v>0.65600000000000003</c:v>
                </c:pt>
                <c:pt idx="125">
                  <c:v>0.76200000000000001</c:v>
                </c:pt>
                <c:pt idx="126">
                  <c:v>0.67300000000000004</c:v>
                </c:pt>
                <c:pt idx="127">
                  <c:v>0.69099999999999995</c:v>
                </c:pt>
                <c:pt idx="128">
                  <c:v>1.07</c:v>
                </c:pt>
                <c:pt idx="129">
                  <c:v>1.0189999999999999</c:v>
                </c:pt>
                <c:pt idx="130">
                  <c:v>1.2190000000000001</c:v>
                </c:pt>
                <c:pt idx="131">
                  <c:v>1.3320000000000001</c:v>
                </c:pt>
                <c:pt idx="132">
                  <c:v>0.98799999999999999</c:v>
                </c:pt>
                <c:pt idx="133">
                  <c:v>0.58899999999999997</c:v>
                </c:pt>
                <c:pt idx="134">
                  <c:v>0.63700000000000001</c:v>
                </c:pt>
                <c:pt idx="135">
                  <c:v>7.0000000000000007E-2</c:v>
                </c:pt>
                <c:pt idx="136">
                  <c:v>0.20100000000000001</c:v>
                </c:pt>
                <c:pt idx="137">
                  <c:v>0.19400000000000001</c:v>
                </c:pt>
                <c:pt idx="138">
                  <c:v>0.39300000000000002</c:v>
                </c:pt>
                <c:pt idx="139">
                  <c:v>0.56799999999999995</c:v>
                </c:pt>
                <c:pt idx="140">
                  <c:v>0.40500000000000003</c:v>
                </c:pt>
                <c:pt idx="141">
                  <c:v>0.77600000000000002</c:v>
                </c:pt>
                <c:pt idx="142">
                  <c:v>0.68400000000000005</c:v>
                </c:pt>
                <c:pt idx="143">
                  <c:v>0.625</c:v>
                </c:pt>
                <c:pt idx="144">
                  <c:v>6.7000000000000004E-2</c:v>
                </c:pt>
                <c:pt idx="145">
                  <c:v>0.629</c:v>
                </c:pt>
                <c:pt idx="146">
                  <c:v>1.3340000000000001</c:v>
                </c:pt>
                <c:pt idx="147">
                  <c:v>1.6819999999999999</c:v>
                </c:pt>
                <c:pt idx="148">
                  <c:v>1.6579999999999999</c:v>
                </c:pt>
                <c:pt idx="149">
                  <c:v>1.3280000000000001</c:v>
                </c:pt>
                <c:pt idx="150">
                  <c:v>1.2549999999999999</c:v>
                </c:pt>
                <c:pt idx="151">
                  <c:v>1.8420000000000001</c:v>
                </c:pt>
                <c:pt idx="152">
                  <c:v>2.0190000000000001</c:v>
                </c:pt>
                <c:pt idx="153">
                  <c:v>1.161</c:v>
                </c:pt>
                <c:pt idx="154">
                  <c:v>1.1399999999999999</c:v>
                </c:pt>
                <c:pt idx="155">
                  <c:v>0.85</c:v>
                </c:pt>
                <c:pt idx="156">
                  <c:v>0.49199999999999999</c:v>
                </c:pt>
                <c:pt idx="157">
                  <c:v>0.33100000000000002</c:v>
                </c:pt>
                <c:pt idx="158">
                  <c:v>0.38800000000000001</c:v>
                </c:pt>
                <c:pt idx="159">
                  <c:v>1.0840000000000001</c:v>
                </c:pt>
                <c:pt idx="160">
                  <c:v>0.42199999999999999</c:v>
                </c:pt>
                <c:pt idx="161">
                  <c:v>1.0009999999999999</c:v>
                </c:pt>
                <c:pt idx="162">
                  <c:v>1.718</c:v>
                </c:pt>
                <c:pt idx="163">
                  <c:v>1.5880000000000001</c:v>
                </c:pt>
                <c:pt idx="164">
                  <c:v>1.274</c:v>
                </c:pt>
                <c:pt idx="165">
                  <c:v>1.6060000000000001</c:v>
                </c:pt>
                <c:pt idx="166">
                  <c:v>1.4419999999999999</c:v>
                </c:pt>
                <c:pt idx="167">
                  <c:v>1.679</c:v>
                </c:pt>
                <c:pt idx="168">
                  <c:v>1.2490000000000001</c:v>
                </c:pt>
                <c:pt idx="169">
                  <c:v>0.34200000000000003</c:v>
                </c:pt>
                <c:pt idx="170">
                  <c:v>2.4E-2</c:v>
                </c:pt>
                <c:pt idx="171">
                  <c:v>0.55900000000000005</c:v>
                </c:pt>
                <c:pt idx="172">
                  <c:v>0.65500000000000003</c:v>
                </c:pt>
                <c:pt idx="173">
                  <c:v>0.73099999999999998</c:v>
                </c:pt>
                <c:pt idx="174">
                  <c:v>0.38200000000000001</c:v>
                </c:pt>
                <c:pt idx="175">
                  <c:v>0.875</c:v>
                </c:pt>
                <c:pt idx="176">
                  <c:v>1.046</c:v>
                </c:pt>
                <c:pt idx="177">
                  <c:v>0.73299999999999998</c:v>
                </c:pt>
                <c:pt idx="178">
                  <c:v>0.60699999999999998</c:v>
                </c:pt>
                <c:pt idx="179">
                  <c:v>0.52800000000000002</c:v>
                </c:pt>
                <c:pt idx="180">
                  <c:v>1.105</c:v>
                </c:pt>
                <c:pt idx="181">
                  <c:v>1.4570000000000001</c:v>
                </c:pt>
                <c:pt idx="182">
                  <c:v>0.69199999999999995</c:v>
                </c:pt>
                <c:pt idx="183">
                  <c:v>1.196</c:v>
                </c:pt>
                <c:pt idx="184">
                  <c:v>0.41499999999999998</c:v>
                </c:pt>
                <c:pt idx="185">
                  <c:v>0.59</c:v>
                </c:pt>
                <c:pt idx="186">
                  <c:v>0.38600000000000001</c:v>
                </c:pt>
                <c:pt idx="187">
                  <c:v>0.60199999999999998</c:v>
                </c:pt>
                <c:pt idx="188">
                  <c:v>0.68100000000000005</c:v>
                </c:pt>
                <c:pt idx="189">
                  <c:v>0.89900000000000002</c:v>
                </c:pt>
                <c:pt idx="190">
                  <c:v>0.69599999999999995</c:v>
                </c:pt>
                <c:pt idx="191">
                  <c:v>0.70599999999999996</c:v>
                </c:pt>
                <c:pt idx="192">
                  <c:v>0.81499999999999995</c:v>
                </c:pt>
                <c:pt idx="193">
                  <c:v>1.044</c:v>
                </c:pt>
                <c:pt idx="194">
                  <c:v>0.85699999999999998</c:v>
                </c:pt>
                <c:pt idx="195">
                  <c:v>1.0169999999999999</c:v>
                </c:pt>
                <c:pt idx="196">
                  <c:v>0.75</c:v>
                </c:pt>
                <c:pt idx="197">
                  <c:v>0.33700000000000002</c:v>
                </c:pt>
                <c:pt idx="198">
                  <c:v>0.51400000000000001</c:v>
                </c:pt>
                <c:pt idx="199">
                  <c:v>0.47799999999999998</c:v>
                </c:pt>
                <c:pt idx="200">
                  <c:v>0.56000000000000005</c:v>
                </c:pt>
                <c:pt idx="201">
                  <c:v>1.514</c:v>
                </c:pt>
                <c:pt idx="202">
                  <c:v>2.0230000000000001</c:v>
                </c:pt>
                <c:pt idx="203">
                  <c:v>1.3779999999999999</c:v>
                </c:pt>
                <c:pt idx="204">
                  <c:v>0.6</c:v>
                </c:pt>
                <c:pt idx="205">
                  <c:v>1.1719999999999999</c:v>
                </c:pt>
                <c:pt idx="206">
                  <c:v>2.165</c:v>
                </c:pt>
                <c:pt idx="207">
                  <c:v>1.0449999999999999</c:v>
                </c:pt>
                <c:pt idx="208">
                  <c:v>1.095</c:v>
                </c:pt>
                <c:pt idx="209">
                  <c:v>1.83</c:v>
                </c:pt>
                <c:pt idx="210">
                  <c:v>1.5069999999999999</c:v>
                </c:pt>
                <c:pt idx="211">
                  <c:v>1.4370000000000001</c:v>
                </c:pt>
                <c:pt idx="212">
                  <c:v>1.72</c:v>
                </c:pt>
                <c:pt idx="213">
                  <c:v>1.2170000000000001</c:v>
                </c:pt>
                <c:pt idx="214">
                  <c:v>1.03</c:v>
                </c:pt>
                <c:pt idx="215">
                  <c:v>1.4490000000000001</c:v>
                </c:pt>
                <c:pt idx="216">
                  <c:v>1.762</c:v>
                </c:pt>
                <c:pt idx="217">
                  <c:v>2.64</c:v>
                </c:pt>
                <c:pt idx="218">
                  <c:v>2.6480000000000001</c:v>
                </c:pt>
                <c:pt idx="219">
                  <c:v>2.363</c:v>
                </c:pt>
                <c:pt idx="220">
                  <c:v>1.778</c:v>
                </c:pt>
                <c:pt idx="221">
                  <c:v>0.73299999999999998</c:v>
                </c:pt>
                <c:pt idx="222">
                  <c:v>0.17100000000000001</c:v>
                </c:pt>
                <c:pt idx="223">
                  <c:v>0.99</c:v>
                </c:pt>
                <c:pt idx="224">
                  <c:v>0.86399999999999999</c:v>
                </c:pt>
                <c:pt idx="225">
                  <c:v>1.155</c:v>
                </c:pt>
                <c:pt idx="226">
                  <c:v>1.2909999999999999</c:v>
                </c:pt>
                <c:pt idx="227">
                  <c:v>0.54100000000000004</c:v>
                </c:pt>
                <c:pt idx="228">
                  <c:v>0.79100000000000004</c:v>
                </c:pt>
                <c:pt idx="229">
                  <c:v>1.496</c:v>
                </c:pt>
                <c:pt idx="230">
                  <c:v>1.3660000000000001</c:v>
                </c:pt>
                <c:pt idx="231">
                  <c:v>1.889</c:v>
                </c:pt>
                <c:pt idx="232">
                  <c:v>1.22</c:v>
                </c:pt>
                <c:pt idx="233">
                  <c:v>0.94</c:v>
                </c:pt>
                <c:pt idx="234">
                  <c:v>0.73799999999999999</c:v>
                </c:pt>
                <c:pt idx="235">
                  <c:v>0.96</c:v>
                </c:pt>
                <c:pt idx="236">
                  <c:v>0.47299999999999998</c:v>
                </c:pt>
                <c:pt idx="237">
                  <c:v>0.70499999999999996</c:v>
                </c:pt>
                <c:pt idx="238">
                  <c:v>1.5669999999999999</c:v>
                </c:pt>
                <c:pt idx="239">
                  <c:v>1.5029999999999999</c:v>
                </c:pt>
                <c:pt idx="240">
                  <c:v>2.0190000000000001</c:v>
                </c:pt>
                <c:pt idx="241">
                  <c:v>1.113</c:v>
                </c:pt>
                <c:pt idx="242">
                  <c:v>1.149</c:v>
                </c:pt>
                <c:pt idx="243">
                  <c:v>1.135</c:v>
                </c:pt>
                <c:pt idx="244">
                  <c:v>1.101</c:v>
                </c:pt>
                <c:pt idx="245">
                  <c:v>1.7729999999999999</c:v>
                </c:pt>
                <c:pt idx="246">
                  <c:v>1.167</c:v>
                </c:pt>
                <c:pt idx="247">
                  <c:v>1.633</c:v>
                </c:pt>
                <c:pt idx="248">
                  <c:v>1.7030000000000001</c:v>
                </c:pt>
                <c:pt idx="249">
                  <c:v>0.98899999999999999</c:v>
                </c:pt>
                <c:pt idx="250">
                  <c:v>0.495</c:v>
                </c:pt>
                <c:pt idx="251">
                  <c:v>0.36399999999999999</c:v>
                </c:pt>
                <c:pt idx="252">
                  <c:v>0.33</c:v>
                </c:pt>
                <c:pt idx="253">
                  <c:v>0.505</c:v>
                </c:pt>
                <c:pt idx="254">
                  <c:v>0.69699999999999995</c:v>
                </c:pt>
                <c:pt idx="255">
                  <c:v>0.41799999999999998</c:v>
                </c:pt>
                <c:pt idx="256">
                  <c:v>0.25800000000000001</c:v>
                </c:pt>
                <c:pt idx="257">
                  <c:v>6.2E-2</c:v>
                </c:pt>
                <c:pt idx="258">
                  <c:v>0.21</c:v>
                </c:pt>
                <c:pt idx="259">
                  <c:v>0.158</c:v>
                </c:pt>
                <c:pt idx="260">
                  <c:v>3.3000000000000002E-2</c:v>
                </c:pt>
                <c:pt idx="261">
                  <c:v>0.29099999999999998</c:v>
                </c:pt>
                <c:pt idx="262">
                  <c:v>0.27600000000000002</c:v>
                </c:pt>
                <c:pt idx="263">
                  <c:v>0.64600000000000002</c:v>
                </c:pt>
                <c:pt idx="264">
                  <c:v>0.16900000000000001</c:v>
                </c:pt>
                <c:pt idx="265">
                  <c:v>0.14499999999999999</c:v>
                </c:pt>
                <c:pt idx="266">
                  <c:v>0.438</c:v>
                </c:pt>
                <c:pt idx="267">
                  <c:v>0.41099999999999998</c:v>
                </c:pt>
                <c:pt idx="268">
                  <c:v>0.24</c:v>
                </c:pt>
                <c:pt idx="269">
                  <c:v>0.11799999999999999</c:v>
                </c:pt>
                <c:pt idx="270">
                  <c:v>6.7000000000000004E-2</c:v>
                </c:pt>
                <c:pt idx="271">
                  <c:v>7.2999999999999995E-2</c:v>
                </c:pt>
                <c:pt idx="272">
                  <c:v>0.128</c:v>
                </c:pt>
                <c:pt idx="273">
                  <c:v>0.20499999999999999</c:v>
                </c:pt>
                <c:pt idx="274">
                  <c:v>0.109</c:v>
                </c:pt>
                <c:pt idx="275">
                  <c:v>9.5000000000000001E-2</c:v>
                </c:pt>
                <c:pt idx="276">
                  <c:v>0.255</c:v>
                </c:pt>
                <c:pt idx="277">
                  <c:v>0.23</c:v>
                </c:pt>
                <c:pt idx="278">
                  <c:v>0.34599999999999997</c:v>
                </c:pt>
                <c:pt idx="279">
                  <c:v>0.435</c:v>
                </c:pt>
                <c:pt idx="280">
                  <c:v>0.123</c:v>
                </c:pt>
                <c:pt idx="281">
                  <c:v>8.3000000000000004E-2</c:v>
                </c:pt>
                <c:pt idx="282">
                  <c:v>0.45800000000000002</c:v>
                </c:pt>
                <c:pt idx="283">
                  <c:v>0.48099999999999998</c:v>
                </c:pt>
                <c:pt idx="284">
                  <c:v>0.51200000000000001</c:v>
                </c:pt>
                <c:pt idx="285">
                  <c:v>0.314</c:v>
                </c:pt>
                <c:pt idx="286">
                  <c:v>0.246</c:v>
                </c:pt>
                <c:pt idx="287">
                  <c:v>0.14699999999999999</c:v>
                </c:pt>
                <c:pt idx="288">
                  <c:v>0.33900000000000002</c:v>
                </c:pt>
                <c:pt idx="289">
                  <c:v>0.19500000000000001</c:v>
                </c:pt>
                <c:pt idx="290">
                  <c:v>0.159</c:v>
                </c:pt>
                <c:pt idx="291">
                  <c:v>0.113</c:v>
                </c:pt>
                <c:pt idx="292">
                  <c:v>0.13600000000000001</c:v>
                </c:pt>
                <c:pt idx="293">
                  <c:v>3.9E-2</c:v>
                </c:pt>
                <c:pt idx="294">
                  <c:v>0.17499999999999999</c:v>
                </c:pt>
                <c:pt idx="295">
                  <c:v>0.219</c:v>
                </c:pt>
                <c:pt idx="296">
                  <c:v>0.37</c:v>
                </c:pt>
                <c:pt idx="297">
                  <c:v>0.24399999999999999</c:v>
                </c:pt>
                <c:pt idx="298">
                  <c:v>0.115</c:v>
                </c:pt>
                <c:pt idx="299">
                  <c:v>0.217</c:v>
                </c:pt>
                <c:pt idx="300">
                  <c:v>0.27700000000000002</c:v>
                </c:pt>
                <c:pt idx="301">
                  <c:v>0.32500000000000001</c:v>
                </c:pt>
                <c:pt idx="302">
                  <c:v>0.40300000000000002</c:v>
                </c:pt>
                <c:pt idx="303">
                  <c:v>0.32300000000000001</c:v>
                </c:pt>
                <c:pt idx="304">
                  <c:v>0.55800000000000005</c:v>
                </c:pt>
                <c:pt idx="305">
                  <c:v>0.48</c:v>
                </c:pt>
                <c:pt idx="306">
                  <c:v>0.21099999999999999</c:v>
                </c:pt>
                <c:pt idx="307">
                  <c:v>0.36499999999999999</c:v>
                </c:pt>
                <c:pt idx="308">
                  <c:v>0.317</c:v>
                </c:pt>
                <c:pt idx="309">
                  <c:v>0.35899999999999999</c:v>
                </c:pt>
                <c:pt idx="310">
                  <c:v>0.48699999999999999</c:v>
                </c:pt>
                <c:pt idx="311">
                  <c:v>0.63100000000000001</c:v>
                </c:pt>
                <c:pt idx="312">
                  <c:v>0.41199999999999998</c:v>
                </c:pt>
                <c:pt idx="313">
                  <c:v>0.16400000000000001</c:v>
                </c:pt>
                <c:pt idx="314">
                  <c:v>0.22800000000000001</c:v>
                </c:pt>
                <c:pt idx="315">
                  <c:v>0.217</c:v>
                </c:pt>
                <c:pt idx="316">
                  <c:v>9.9000000000000005E-2</c:v>
                </c:pt>
                <c:pt idx="317">
                  <c:v>7.2999999999999995E-2</c:v>
                </c:pt>
                <c:pt idx="318">
                  <c:v>4.2000000000000003E-2</c:v>
                </c:pt>
                <c:pt idx="319">
                  <c:v>0.08</c:v>
                </c:pt>
                <c:pt idx="320">
                  <c:v>0.20799999999999999</c:v>
                </c:pt>
                <c:pt idx="321">
                  <c:v>0.40799999999999997</c:v>
                </c:pt>
                <c:pt idx="322">
                  <c:v>4.4999999999999998E-2</c:v>
                </c:pt>
                <c:pt idx="323">
                  <c:v>6.2E-2</c:v>
                </c:pt>
                <c:pt idx="324">
                  <c:v>0.39800000000000002</c:v>
                </c:pt>
                <c:pt idx="325">
                  <c:v>0.54100000000000004</c:v>
                </c:pt>
                <c:pt idx="326">
                  <c:v>0.23499999999999999</c:v>
                </c:pt>
                <c:pt idx="327">
                  <c:v>0.19700000000000001</c:v>
                </c:pt>
                <c:pt idx="328">
                  <c:v>0.06</c:v>
                </c:pt>
                <c:pt idx="329">
                  <c:v>9.4E-2</c:v>
                </c:pt>
                <c:pt idx="330">
                  <c:v>7.0000000000000007E-2</c:v>
                </c:pt>
                <c:pt idx="331">
                  <c:v>0.11</c:v>
                </c:pt>
                <c:pt idx="332">
                  <c:v>0.17599999999999999</c:v>
                </c:pt>
                <c:pt idx="333">
                  <c:v>0.2</c:v>
                </c:pt>
                <c:pt idx="334">
                  <c:v>5.3999999999999999E-2</c:v>
                </c:pt>
                <c:pt idx="335">
                  <c:v>4.4999999999999998E-2</c:v>
                </c:pt>
                <c:pt idx="336">
                  <c:v>0.13</c:v>
                </c:pt>
                <c:pt idx="337">
                  <c:v>0.11899999999999999</c:v>
                </c:pt>
                <c:pt idx="338">
                  <c:v>0.11600000000000001</c:v>
                </c:pt>
                <c:pt idx="339">
                  <c:v>5.8000000000000003E-2</c:v>
                </c:pt>
                <c:pt idx="340">
                  <c:v>3.3000000000000002E-2</c:v>
                </c:pt>
                <c:pt idx="341">
                  <c:v>8.4000000000000005E-2</c:v>
                </c:pt>
                <c:pt idx="342">
                  <c:v>0.19400000000000001</c:v>
                </c:pt>
                <c:pt idx="343">
                  <c:v>0.218</c:v>
                </c:pt>
                <c:pt idx="344">
                  <c:v>4.2999999999999997E-2</c:v>
                </c:pt>
                <c:pt idx="345">
                  <c:v>3.7999999999999999E-2</c:v>
                </c:pt>
                <c:pt idx="346">
                  <c:v>3.7999999999999999E-2</c:v>
                </c:pt>
                <c:pt idx="347">
                  <c:v>0.04</c:v>
                </c:pt>
                <c:pt idx="348">
                  <c:v>4.2000000000000003E-2</c:v>
                </c:pt>
                <c:pt idx="349">
                  <c:v>6.4000000000000001E-2</c:v>
                </c:pt>
                <c:pt idx="350">
                  <c:v>5.2999999999999999E-2</c:v>
                </c:pt>
                <c:pt idx="351">
                  <c:v>4.2000000000000003E-2</c:v>
                </c:pt>
                <c:pt idx="352">
                  <c:v>0.05</c:v>
                </c:pt>
                <c:pt idx="353">
                  <c:v>4.5999999999999999E-2</c:v>
                </c:pt>
                <c:pt idx="354">
                  <c:v>5.8000000000000003E-2</c:v>
                </c:pt>
                <c:pt idx="355">
                  <c:v>5.0999999999999997E-2</c:v>
                </c:pt>
                <c:pt idx="356">
                  <c:v>4.3999999999999997E-2</c:v>
                </c:pt>
                <c:pt idx="357">
                  <c:v>4.5999999999999999E-2</c:v>
                </c:pt>
                <c:pt idx="358">
                  <c:v>5.2999999999999999E-2</c:v>
                </c:pt>
                <c:pt idx="359">
                  <c:v>0.05</c:v>
                </c:pt>
                <c:pt idx="360">
                  <c:v>4.4999999999999998E-2</c:v>
                </c:pt>
                <c:pt idx="361">
                  <c:v>6.0999999999999999E-2</c:v>
                </c:pt>
                <c:pt idx="362">
                  <c:v>4.2000000000000003E-2</c:v>
                </c:pt>
                <c:pt idx="363">
                  <c:v>4.2000000000000003E-2</c:v>
                </c:pt>
                <c:pt idx="364">
                  <c:v>4.9000000000000002E-2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29696"/>
        <c:axId val="42831232"/>
      </c:lineChart>
      <c:catAx>
        <c:axId val="428296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8312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8312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(kPa)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8296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45231219979436"/>
          <c:y val="0.22409076084424359"/>
          <c:w val="0.13205752679841676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0</xdr:row>
      <xdr:rowOff>71436</xdr:rowOff>
    </xdr:from>
    <xdr:to>
      <xdr:col>9</xdr:col>
      <xdr:colOff>85725</xdr:colOff>
      <xdr:row>21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204787</xdr:colOff>
      <xdr:row>0</xdr:row>
      <xdr:rowOff>109536</xdr:rowOff>
    </xdr:from>
    <xdr:to>
      <xdr:col>18</xdr:col>
      <xdr:colOff>66675</xdr:colOff>
      <xdr:row>21</xdr:row>
      <xdr:rowOff>47624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100011</xdr:colOff>
      <xdr:row>21</xdr:row>
      <xdr:rowOff>109536</xdr:rowOff>
    </xdr:from>
    <xdr:to>
      <xdr:col>9</xdr:col>
      <xdr:colOff>104774</xdr:colOff>
      <xdr:row>42</xdr:row>
      <xdr:rowOff>66674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204786</xdr:colOff>
      <xdr:row>22</xdr:row>
      <xdr:rowOff>23811</xdr:rowOff>
    </xdr:from>
    <xdr:to>
      <xdr:col>18</xdr:col>
      <xdr:colOff>76199</xdr:colOff>
      <xdr:row>42</xdr:row>
      <xdr:rowOff>66674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100011</xdr:colOff>
      <xdr:row>42</xdr:row>
      <xdr:rowOff>157162</xdr:rowOff>
    </xdr:from>
    <xdr:to>
      <xdr:col>9</xdr:col>
      <xdr:colOff>85725</xdr:colOff>
      <xdr:row>63</xdr:row>
      <xdr:rowOff>9525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223836</xdr:colOff>
      <xdr:row>43</xdr:row>
      <xdr:rowOff>23812</xdr:rowOff>
    </xdr:from>
    <xdr:to>
      <xdr:col>18</xdr:col>
      <xdr:colOff>76199</xdr:colOff>
      <xdr:row>62</xdr:row>
      <xdr:rowOff>142875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90487</xdr:colOff>
      <xdr:row>83</xdr:row>
      <xdr:rowOff>95250</xdr:rowOff>
    </xdr:from>
    <xdr:to>
      <xdr:col>9</xdr:col>
      <xdr:colOff>85725</xdr:colOff>
      <xdr:row>102</xdr:row>
      <xdr:rowOff>142875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280987</xdr:colOff>
      <xdr:row>63</xdr:row>
      <xdr:rowOff>71436</xdr:rowOff>
    </xdr:from>
    <xdr:to>
      <xdr:col>18</xdr:col>
      <xdr:colOff>85725</xdr:colOff>
      <xdr:row>82</xdr:row>
      <xdr:rowOff>142874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290511</xdr:colOff>
      <xdr:row>83</xdr:row>
      <xdr:rowOff>95250</xdr:rowOff>
    </xdr:from>
    <xdr:to>
      <xdr:col>18</xdr:col>
      <xdr:colOff>276225</xdr:colOff>
      <xdr:row>103</xdr:row>
      <xdr:rowOff>95250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114299</xdr:colOff>
      <xdr:row>103</xdr:row>
      <xdr:rowOff>95250</xdr:rowOff>
    </xdr:from>
    <xdr:to>
      <xdr:col>8</xdr:col>
      <xdr:colOff>561974</xdr:colOff>
      <xdr:row>123</xdr:row>
      <xdr:rowOff>76200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119061</xdr:colOff>
      <xdr:row>63</xdr:row>
      <xdr:rowOff>119062</xdr:rowOff>
    </xdr:from>
    <xdr:to>
      <xdr:col>9</xdr:col>
      <xdr:colOff>47624</xdr:colOff>
      <xdr:row>82</xdr:row>
      <xdr:rowOff>47625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304800</xdr:colOff>
      <xdr:row>104</xdr:row>
      <xdr:rowOff>66675</xdr:rowOff>
    </xdr:from>
    <xdr:to>
      <xdr:col>18</xdr:col>
      <xdr:colOff>142875</xdr:colOff>
      <xdr:row>124</xdr:row>
      <xdr:rowOff>47625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11"/>
  <sheetViews>
    <sheetView tabSelected="1" workbookViewId="0">
      <pane xSplit="2" ySplit="4" topLeftCell="C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5703125" style="1" bestFit="1" customWidth="1"/>
    <col min="2" max="3" width="6.7109375" style="1" customWidth="1"/>
    <col min="4" max="35" width="6.7109375" style="5" customWidth="1"/>
    <col min="36" max="36" width="18.42578125" style="5" customWidth="1"/>
    <col min="37" max="37" width="6.7109375" style="5" customWidth="1"/>
    <col min="38" max="45" width="6.7109375" style="1" customWidth="1"/>
    <col min="46" max="46" width="9.7109375" style="1" customWidth="1"/>
    <col min="47" max="71" width="6.7109375" style="1" customWidth="1"/>
    <col min="72" max="16384" width="9.140625" style="1"/>
  </cols>
  <sheetData>
    <row r="1" spans="1:66" x14ac:dyDescent="0.2">
      <c r="A1" s="1" t="s">
        <v>107</v>
      </c>
      <c r="D1" s="1"/>
      <c r="E1" s="1"/>
      <c r="F1" s="1"/>
      <c r="G1" s="1"/>
      <c r="H1" s="1"/>
      <c r="I1" s="1" t="s">
        <v>111</v>
      </c>
      <c r="J1" s="1"/>
      <c r="K1" s="1"/>
      <c r="L1" s="1"/>
      <c r="M1" s="1"/>
      <c r="N1" s="1"/>
      <c r="O1" s="1">
        <f>MAX(O6:O370)</f>
        <v>98.2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>
        <v>2.2749999999999999</v>
      </c>
      <c r="AM1" s="1">
        <f>MAX(AN6:AN370)</f>
        <v>98.2</v>
      </c>
      <c r="AN1" s="5"/>
      <c r="AO1" s="1">
        <v>1</v>
      </c>
      <c r="AT1" s="18" t="str">
        <f>A1</f>
        <v xml:space="preserve">Penticton Creek 2019 Site PC - daily data </v>
      </c>
      <c r="AU1" s="18"/>
    </row>
    <row r="2" spans="1:66" x14ac:dyDescent="0.2">
      <c r="A2" s="1" t="s">
        <v>113</v>
      </c>
      <c r="D2" s="1"/>
      <c r="E2" s="1" t="s">
        <v>14</v>
      </c>
      <c r="F2" s="1" t="s">
        <v>13</v>
      </c>
      <c r="G2" s="1" t="s">
        <v>12</v>
      </c>
      <c r="H2" s="1"/>
      <c r="I2" s="2"/>
      <c r="J2" s="2"/>
      <c r="K2" s="2"/>
      <c r="L2" s="2"/>
      <c r="M2" s="2"/>
      <c r="N2" s="2" t="s">
        <v>14</v>
      </c>
      <c r="O2" s="2"/>
      <c r="P2" s="2"/>
      <c r="Q2" s="2"/>
      <c r="R2" s="2"/>
      <c r="S2" s="2"/>
      <c r="T2" s="2"/>
      <c r="U2" s="2" t="s">
        <v>13</v>
      </c>
      <c r="V2" s="2"/>
      <c r="W2" s="2"/>
      <c r="X2" s="2"/>
      <c r="Y2" s="2"/>
      <c r="Z2" s="2"/>
      <c r="AA2" s="2"/>
      <c r="AB2" s="2" t="s">
        <v>20</v>
      </c>
      <c r="AC2" s="2" t="s">
        <v>23</v>
      </c>
      <c r="AD2" s="2" t="s">
        <v>26</v>
      </c>
      <c r="AE2" s="2" t="s">
        <v>27</v>
      </c>
      <c r="AF2" s="2" t="s">
        <v>26</v>
      </c>
      <c r="AG2" s="2" t="s">
        <v>27</v>
      </c>
      <c r="AH2" s="2" t="s">
        <v>20</v>
      </c>
      <c r="AI2" s="2" t="s">
        <v>96</v>
      </c>
      <c r="AJ2" s="1" t="s">
        <v>4</v>
      </c>
      <c r="AK2" s="1" t="s">
        <v>5</v>
      </c>
      <c r="AL2" s="1" t="s">
        <v>31</v>
      </c>
      <c r="AM2" s="2"/>
      <c r="AN2" s="1" t="s">
        <v>46</v>
      </c>
      <c r="AQ2" s="1" t="s">
        <v>79</v>
      </c>
      <c r="AT2" s="18" t="str">
        <f>A2</f>
        <v>Last edit 1/01/26</v>
      </c>
      <c r="AV2" s="1" t="s">
        <v>89</v>
      </c>
      <c r="BA2" s="5" t="s">
        <v>81</v>
      </c>
    </row>
    <row r="3" spans="1:66" x14ac:dyDescent="0.2">
      <c r="A3" s="2" t="s">
        <v>1</v>
      </c>
      <c r="B3" s="2" t="s">
        <v>0</v>
      </c>
      <c r="C3" s="1" t="s">
        <v>3</v>
      </c>
      <c r="D3" s="2" t="s">
        <v>16</v>
      </c>
      <c r="E3" s="2" t="s">
        <v>6</v>
      </c>
      <c r="F3" s="2" t="s">
        <v>6</v>
      </c>
      <c r="G3" s="2" t="s">
        <v>2</v>
      </c>
      <c r="H3" s="2" t="s">
        <v>7</v>
      </c>
      <c r="I3" s="2" t="s">
        <v>10</v>
      </c>
      <c r="J3" s="2" t="s">
        <v>11</v>
      </c>
      <c r="K3" s="2" t="s">
        <v>44</v>
      </c>
      <c r="L3" s="2" t="s">
        <v>8</v>
      </c>
      <c r="M3" s="2" t="s">
        <v>9</v>
      </c>
      <c r="N3" s="2" t="s">
        <v>2</v>
      </c>
      <c r="O3" s="2" t="s">
        <v>7</v>
      </c>
      <c r="P3" s="2" t="s">
        <v>10</v>
      </c>
      <c r="Q3" s="2" t="s">
        <v>11</v>
      </c>
      <c r="R3" s="2" t="s">
        <v>44</v>
      </c>
      <c r="S3" s="2" t="s">
        <v>8</v>
      </c>
      <c r="T3" s="2" t="s">
        <v>9</v>
      </c>
      <c r="U3" s="2" t="s">
        <v>2</v>
      </c>
      <c r="V3" s="2" t="s">
        <v>7</v>
      </c>
      <c r="W3" s="2" t="s">
        <v>10</v>
      </c>
      <c r="X3" s="2" t="s">
        <v>11</v>
      </c>
      <c r="Y3" s="2" t="s">
        <v>44</v>
      </c>
      <c r="Z3" s="2" t="s">
        <v>8</v>
      </c>
      <c r="AA3" s="2" t="s">
        <v>9</v>
      </c>
      <c r="AB3" s="2" t="s">
        <v>21</v>
      </c>
      <c r="AC3" s="2" t="s">
        <v>24</v>
      </c>
      <c r="AD3" s="2" t="s">
        <v>24</v>
      </c>
      <c r="AE3" s="2" t="s">
        <v>24</v>
      </c>
      <c r="AF3" s="2" t="s">
        <v>28</v>
      </c>
      <c r="AG3" s="2" t="s">
        <v>28</v>
      </c>
      <c r="AH3" s="2" t="s">
        <v>29</v>
      </c>
      <c r="AI3" s="2" t="s">
        <v>106</v>
      </c>
      <c r="AJ3" s="1"/>
      <c r="AK3" s="1" t="s">
        <v>15</v>
      </c>
      <c r="AL3" s="1" t="s">
        <v>98</v>
      </c>
      <c r="AM3" s="2"/>
      <c r="AN3" s="1" t="s">
        <v>14</v>
      </c>
      <c r="AO3" s="1" t="s">
        <v>30</v>
      </c>
      <c r="AP3" s="1" t="s">
        <v>13</v>
      </c>
      <c r="AQ3" s="1" t="s">
        <v>78</v>
      </c>
      <c r="AR3" s="1" t="s">
        <v>102</v>
      </c>
      <c r="AT3" s="1" t="s">
        <v>1</v>
      </c>
      <c r="AU3" s="1" t="s">
        <v>90</v>
      </c>
      <c r="AV3" s="1" t="s">
        <v>82</v>
      </c>
      <c r="AW3" s="1" t="s">
        <v>83</v>
      </c>
      <c r="AX3" s="1" t="s">
        <v>84</v>
      </c>
      <c r="AY3" s="1" t="s">
        <v>85</v>
      </c>
      <c r="AZ3" s="1" t="s">
        <v>86</v>
      </c>
      <c r="BA3" s="5" t="s">
        <v>87</v>
      </c>
      <c r="BB3" s="1" t="s">
        <v>77</v>
      </c>
      <c r="BC3" s="1" t="s">
        <v>88</v>
      </c>
      <c r="BD3" s="1" t="s">
        <v>93</v>
      </c>
      <c r="BE3" s="1" t="s">
        <v>94</v>
      </c>
      <c r="BF3" s="2" t="s">
        <v>44</v>
      </c>
      <c r="BG3" s="2" t="s">
        <v>8</v>
      </c>
      <c r="BH3" s="2" t="s">
        <v>9</v>
      </c>
      <c r="BI3" s="2" t="s">
        <v>96</v>
      </c>
      <c r="BJ3" s="1" t="s">
        <v>64</v>
      </c>
      <c r="BK3" s="1" t="s">
        <v>102</v>
      </c>
      <c r="BM3" s="1" t="s">
        <v>91</v>
      </c>
    </row>
    <row r="4" spans="1:66" x14ac:dyDescent="0.2">
      <c r="D4" s="2" t="s">
        <v>17</v>
      </c>
      <c r="E4" s="2" t="s">
        <v>18</v>
      </c>
      <c r="F4" s="2" t="s">
        <v>18</v>
      </c>
      <c r="G4" s="2" t="s">
        <v>18</v>
      </c>
      <c r="H4" s="2" t="s">
        <v>19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19</v>
      </c>
      <c r="P4" s="2" t="s">
        <v>18</v>
      </c>
      <c r="Q4" s="2" t="s">
        <v>18</v>
      </c>
      <c r="R4" s="2" t="s">
        <v>18</v>
      </c>
      <c r="S4" s="2" t="s">
        <v>18</v>
      </c>
      <c r="T4" s="2" t="s">
        <v>18</v>
      </c>
      <c r="U4" s="2" t="s">
        <v>18</v>
      </c>
      <c r="V4" s="2" t="s">
        <v>19</v>
      </c>
      <c r="W4" s="2" t="s">
        <v>18</v>
      </c>
      <c r="X4" s="2" t="s">
        <v>18</v>
      </c>
      <c r="Y4" s="2" t="s">
        <v>18</v>
      </c>
      <c r="Z4" s="2" t="s">
        <v>18</v>
      </c>
      <c r="AA4" s="2" t="s">
        <v>18</v>
      </c>
      <c r="AB4" s="2" t="s">
        <v>22</v>
      </c>
      <c r="AC4" s="2" t="s">
        <v>25</v>
      </c>
      <c r="AD4" s="2" t="s">
        <v>25</v>
      </c>
      <c r="AE4" s="2" t="s">
        <v>25</v>
      </c>
      <c r="AF4" s="2" t="s">
        <v>25</v>
      </c>
      <c r="AG4" s="2" t="s">
        <v>25</v>
      </c>
      <c r="AH4" s="2" t="s">
        <v>22</v>
      </c>
      <c r="AI4" s="2" t="s">
        <v>95</v>
      </c>
      <c r="AJ4" s="1"/>
      <c r="AK4" s="1" t="s">
        <v>101</v>
      </c>
      <c r="AL4" s="1" t="s">
        <v>25</v>
      </c>
      <c r="AQ4" s="1" t="s">
        <v>80</v>
      </c>
      <c r="AR4" s="1" t="s">
        <v>80</v>
      </c>
      <c r="AV4" s="1" t="s">
        <v>25</v>
      </c>
      <c r="AW4" s="1" t="s">
        <v>25</v>
      </c>
      <c r="AX4" s="1" t="s">
        <v>25</v>
      </c>
      <c r="AY4" s="1" t="s">
        <v>19</v>
      </c>
      <c r="AZ4" s="1" t="s">
        <v>19</v>
      </c>
      <c r="BA4" s="5" t="s">
        <v>101</v>
      </c>
      <c r="BB4" s="1" t="s">
        <v>25</v>
      </c>
      <c r="BC4" s="1" t="s">
        <v>25</v>
      </c>
      <c r="BD4" s="2" t="s">
        <v>25</v>
      </c>
      <c r="BE4" s="2" t="s">
        <v>25</v>
      </c>
      <c r="BF4" s="1" t="s">
        <v>25</v>
      </c>
      <c r="BG4" s="1" t="s">
        <v>25</v>
      </c>
      <c r="BH4" s="1" t="s">
        <v>25</v>
      </c>
      <c r="BI4" s="1" t="s">
        <v>95</v>
      </c>
      <c r="BJ4" s="1" t="s">
        <v>80</v>
      </c>
      <c r="BK4" s="1" t="s">
        <v>80</v>
      </c>
      <c r="BL4" s="2"/>
      <c r="BM4" s="1" t="s">
        <v>14</v>
      </c>
      <c r="BN4" s="1" t="s">
        <v>13</v>
      </c>
    </row>
    <row r="5" spans="1:66" ht="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Q5" s="17"/>
      <c r="AR5" s="17"/>
      <c r="BA5" s="16"/>
      <c r="BB5" s="16"/>
      <c r="BF5" s="16"/>
      <c r="BG5" s="16"/>
      <c r="BH5" s="16"/>
      <c r="BI5" s="5"/>
    </row>
    <row r="6" spans="1:66" x14ac:dyDescent="0.2">
      <c r="A6" s="4">
        <v>43466</v>
      </c>
      <c r="B6" s="1">
        <v>1</v>
      </c>
      <c r="C6" s="1">
        <v>12</v>
      </c>
      <c r="D6" s="5">
        <v>12.74</v>
      </c>
      <c r="E6" s="5">
        <v>-3.45</v>
      </c>
      <c r="F6" s="5">
        <v>-9.32</v>
      </c>
      <c r="G6" s="5">
        <v>-5.548</v>
      </c>
      <c r="H6" s="5">
        <v>90</v>
      </c>
      <c r="I6" s="5">
        <v>-0.122</v>
      </c>
      <c r="J6" s="5">
        <v>-1.181</v>
      </c>
      <c r="K6" s="5">
        <v>-6.6000000000000003E-2</v>
      </c>
      <c r="L6" s="5">
        <v>0.39500000000000002</v>
      </c>
      <c r="M6" s="5">
        <v>1.204</v>
      </c>
      <c r="N6" s="5">
        <v>-3.149</v>
      </c>
      <c r="O6" s="5">
        <v>95.1</v>
      </c>
      <c r="P6" s="5">
        <v>-4.1000000000000002E-2</v>
      </c>
      <c r="Q6" s="5">
        <v>-1.0840000000000001</v>
      </c>
      <c r="R6" s="5">
        <v>1.9E-2</v>
      </c>
      <c r="S6" s="5">
        <v>0.48</v>
      </c>
      <c r="T6" s="5">
        <v>1.2909999999999999</v>
      </c>
      <c r="U6" s="5">
        <v>-9.1199999999999992</v>
      </c>
      <c r="V6" s="5">
        <v>77.290000000000006</v>
      </c>
      <c r="W6" s="5">
        <v>-0.20899999999999999</v>
      </c>
      <c r="X6" s="5">
        <v>-1.2809999999999999</v>
      </c>
      <c r="Y6" s="5">
        <v>-0.14599999999999999</v>
      </c>
      <c r="Z6" s="5">
        <v>0.311</v>
      </c>
      <c r="AA6" s="5">
        <v>1.1259999999999999</v>
      </c>
      <c r="AB6" s="5">
        <v>1.524</v>
      </c>
      <c r="AC6" s="5">
        <v>-6.1139999999999999</v>
      </c>
      <c r="AD6" s="5">
        <v>-3.6259999999999999</v>
      </c>
      <c r="AE6" s="5">
        <v>-9.6199999999999992</v>
      </c>
      <c r="AF6" s="5">
        <v>-3.4950000000000001</v>
      </c>
      <c r="AG6" s="5">
        <v>-8.83</v>
      </c>
      <c r="AH6" s="5">
        <v>1.5329999999999999</v>
      </c>
      <c r="AI6" s="5" t="s">
        <v>99</v>
      </c>
      <c r="AK6" s="5">
        <f t="shared" ref="AK6:AK69" si="0">AK$1-AB6</f>
        <v>0.75099999999999989</v>
      </c>
      <c r="AL6" s="8">
        <f t="shared" ref="AL6:AL69" si="1">ROUND(AVERAGE(J6:K6),1)</f>
        <v>-0.6</v>
      </c>
      <c r="AN6" s="1">
        <f>ROUND(O6*AO$1,1)</f>
        <v>95.1</v>
      </c>
      <c r="AO6" s="1">
        <f>ROUND(H6*AO$1,1)</f>
        <v>90</v>
      </c>
      <c r="AP6" s="1">
        <f>ROUND(V6*AO$1,1)</f>
        <v>77.3</v>
      </c>
      <c r="AQ6" s="17">
        <f t="shared" ref="AQ6:AQ68" si="2">ROUND((0.6105*(EXP((17.273*N6)/(N6+237.3))))*AP6/100,3)</f>
        <v>0.374</v>
      </c>
      <c r="AR6" s="22">
        <f>ROUND(AQ6/AP6*(100-AP6),3)</f>
        <v>0.11</v>
      </c>
      <c r="AT6" s="19">
        <f t="shared" ref="AT6:AT69" si="3">A6</f>
        <v>43466</v>
      </c>
      <c r="AU6" s="20">
        <f t="shared" ref="AU6:AU69" si="4">B6</f>
        <v>1</v>
      </c>
      <c r="AV6" s="1">
        <f t="shared" ref="AV6" si="5">ROUND(G6,1)</f>
        <v>-5.5</v>
      </c>
      <c r="AW6" s="1">
        <f t="shared" ref="AW6" si="6">ROUND(N6,1)</f>
        <v>-3.1</v>
      </c>
      <c r="AX6" s="1">
        <f t="shared" ref="AX6" si="7">ROUND(U6,1)</f>
        <v>-9.1</v>
      </c>
      <c r="AY6" s="1">
        <f t="shared" ref="AY6:AY68" si="8">AO6</f>
        <v>90</v>
      </c>
      <c r="AZ6" s="1">
        <f t="shared" ref="AZ6:AZ68" si="9">AP6</f>
        <v>77.3</v>
      </c>
      <c r="BA6" s="1">
        <f>AK6</f>
        <v>0.75099999999999989</v>
      </c>
      <c r="BB6" s="5">
        <f>IF(AL6="","NAN",AL6)</f>
        <v>-0.6</v>
      </c>
      <c r="BC6" s="1">
        <f t="shared" ref="BC6:BC69" si="10">ROUND(AC6,1)</f>
        <v>-6.1</v>
      </c>
      <c r="BD6" s="1">
        <f t="shared" ref="BD6:BD69" si="11">ROUND(AD6,1)</f>
        <v>-3.6</v>
      </c>
      <c r="BE6" s="1">
        <f t="shared" ref="BE6:BE69" si="12">ROUND(AE6,1)</f>
        <v>-9.6</v>
      </c>
      <c r="BF6" s="5">
        <f>ROUND(K6,1)</f>
        <v>-0.1</v>
      </c>
      <c r="BG6" s="5">
        <f>ROUND(L6,1)</f>
        <v>0.4</v>
      </c>
      <c r="BH6" s="5">
        <f>ROUND(M6,1)</f>
        <v>1.2</v>
      </c>
      <c r="BI6" s="5" t="str">
        <f>IF(AI6="NAN","NAN",ROUND(AI6,3))</f>
        <v>NAN</v>
      </c>
      <c r="BJ6" s="10">
        <f>AQ6</f>
        <v>0.374</v>
      </c>
      <c r="BK6" s="10">
        <f>AR6</f>
        <v>0.11</v>
      </c>
      <c r="BM6" s="1">
        <f>AD6-N6</f>
        <v>-0.47699999999999987</v>
      </c>
      <c r="BN6" s="1">
        <f>AE6-U6</f>
        <v>-0.5</v>
      </c>
    </row>
    <row r="7" spans="1:66" x14ac:dyDescent="0.2">
      <c r="A7" s="4">
        <f>A6+1</f>
        <v>43467</v>
      </c>
      <c r="B7" s="1">
        <v>2</v>
      </c>
      <c r="C7" s="1">
        <v>12</v>
      </c>
      <c r="D7" s="5">
        <v>12.73</v>
      </c>
      <c r="E7" s="5">
        <v>-2.4</v>
      </c>
      <c r="F7" s="5">
        <v>-7.9930000000000003</v>
      </c>
      <c r="G7" s="5">
        <v>-4.4790000000000001</v>
      </c>
      <c r="H7" s="5">
        <v>92.3</v>
      </c>
      <c r="I7" s="5">
        <v>-0.111</v>
      </c>
      <c r="J7" s="5">
        <v>-1.1359999999999999</v>
      </c>
      <c r="K7" s="5">
        <v>-5.7000000000000002E-2</v>
      </c>
      <c r="L7" s="5">
        <v>0.39900000000000002</v>
      </c>
      <c r="M7" s="5">
        <v>1.202</v>
      </c>
      <c r="N7" s="5">
        <v>-1.399</v>
      </c>
      <c r="O7" s="5">
        <v>94.9</v>
      </c>
      <c r="P7" s="5">
        <v>-3.6999999999999998E-2</v>
      </c>
      <c r="Q7" s="5">
        <v>-1.0069999999999999</v>
      </c>
      <c r="R7" s="5">
        <v>1.9E-2</v>
      </c>
      <c r="S7" s="5">
        <v>0.48799999999999999</v>
      </c>
      <c r="T7" s="5">
        <v>1.284</v>
      </c>
      <c r="U7" s="5">
        <v>-9.33</v>
      </c>
      <c r="V7" s="5">
        <v>87.3</v>
      </c>
      <c r="W7" s="5">
        <v>-0.19700000000000001</v>
      </c>
      <c r="X7" s="5">
        <v>-1.256</v>
      </c>
      <c r="Y7" s="5">
        <v>-0.14199999999999999</v>
      </c>
      <c r="Z7" s="5">
        <v>0.29499999999999998</v>
      </c>
      <c r="AA7" s="5">
        <v>1.1080000000000001</v>
      </c>
      <c r="AB7" s="5">
        <v>1.554</v>
      </c>
      <c r="AC7" s="5">
        <v>-5.0069999999999997</v>
      </c>
      <c r="AD7" s="5">
        <v>-2.42</v>
      </c>
      <c r="AE7" s="5">
        <v>-9.06</v>
      </c>
      <c r="AF7" s="5">
        <v>-1.9239999999999999</v>
      </c>
      <c r="AG7" s="5">
        <v>-9.5</v>
      </c>
      <c r="AH7" s="5">
        <v>1.5720000000000001</v>
      </c>
      <c r="AI7" s="5" t="s">
        <v>99</v>
      </c>
      <c r="AK7" s="5">
        <f t="shared" si="0"/>
        <v>0.72099999999999986</v>
      </c>
      <c r="AL7" s="8">
        <f t="shared" si="1"/>
        <v>-0.6</v>
      </c>
      <c r="AN7" s="1">
        <f t="shared" ref="AN7:AN70" si="13">ROUND(O7*AO$1,1)</f>
        <v>94.9</v>
      </c>
      <c r="AO7" s="1">
        <f t="shared" ref="AO7:AO70" si="14">ROUND(H7*AO$1,1)</f>
        <v>92.3</v>
      </c>
      <c r="AP7" s="1">
        <f t="shared" ref="AP7:AP70" si="15">ROUND(V7*AO$1,1)</f>
        <v>87.3</v>
      </c>
      <c r="AQ7" s="17">
        <f t="shared" si="2"/>
        <v>0.48099999999999998</v>
      </c>
      <c r="AR7" s="22">
        <f t="shared" ref="AR7:AR70" si="16">ROUND(AQ7/AP7*(100-AP7),3)</f>
        <v>7.0000000000000007E-2</v>
      </c>
      <c r="AT7" s="19">
        <f t="shared" si="3"/>
        <v>43467</v>
      </c>
      <c r="AU7" s="20">
        <f t="shared" si="4"/>
        <v>2</v>
      </c>
      <c r="AV7" s="1">
        <f t="shared" ref="AV7:AV70" si="17">ROUND(G7,1)</f>
        <v>-4.5</v>
      </c>
      <c r="AW7" s="1">
        <f t="shared" ref="AW7:AW70" si="18">ROUND(N7,1)</f>
        <v>-1.4</v>
      </c>
      <c r="AX7" s="1">
        <f t="shared" ref="AX7:AX70" si="19">ROUND(U7,1)</f>
        <v>-9.3000000000000007</v>
      </c>
      <c r="AY7" s="1">
        <f t="shared" si="8"/>
        <v>92.3</v>
      </c>
      <c r="AZ7" s="1">
        <f t="shared" si="9"/>
        <v>87.3</v>
      </c>
      <c r="BA7" s="1">
        <f t="shared" ref="BA7:BA70" si="20">AK7</f>
        <v>0.72099999999999986</v>
      </c>
      <c r="BB7" s="5">
        <f t="shared" ref="BB7:BB70" si="21">IF(AL7="","NAN",AL7)</f>
        <v>-0.6</v>
      </c>
      <c r="BC7" s="1">
        <f t="shared" si="10"/>
        <v>-5</v>
      </c>
      <c r="BD7" s="1">
        <f t="shared" si="11"/>
        <v>-2.4</v>
      </c>
      <c r="BE7" s="1">
        <f t="shared" si="12"/>
        <v>-9.1</v>
      </c>
      <c r="BF7" s="5">
        <f t="shared" ref="BF7:BF70" si="22">ROUND(K7,1)</f>
        <v>-0.1</v>
      </c>
      <c r="BG7" s="5">
        <f t="shared" ref="BG7:BG70" si="23">ROUND(L7,1)</f>
        <v>0.4</v>
      </c>
      <c r="BH7" s="5">
        <f t="shared" ref="BH7:BH70" si="24">ROUND(M7,1)</f>
        <v>1.2</v>
      </c>
      <c r="BI7" s="5" t="str">
        <f t="shared" ref="BI7:BI70" si="25">IF(AI7="NAN","NAN",ROUND(AI7,3))</f>
        <v>NAN</v>
      </c>
      <c r="BJ7" s="10">
        <f t="shared" ref="BJ7:BJ70" si="26">AQ7</f>
        <v>0.48099999999999998</v>
      </c>
      <c r="BK7" s="10">
        <f t="shared" ref="BK7:BK70" si="27">AR7</f>
        <v>7.0000000000000007E-2</v>
      </c>
      <c r="BM7" s="1">
        <f t="shared" ref="BM7:BM70" si="28">AD7-N7</f>
        <v>-1.0209999999999999</v>
      </c>
      <c r="BN7" s="1">
        <f t="shared" ref="BN7:BN70" si="29">AE7-U7</f>
        <v>0.26999999999999957</v>
      </c>
    </row>
    <row r="8" spans="1:66" x14ac:dyDescent="0.2">
      <c r="A8" s="4">
        <f t="shared" ref="A8:A71" si="30">A7+1</f>
        <v>43468</v>
      </c>
      <c r="B8" s="1">
        <v>3</v>
      </c>
      <c r="C8" s="1">
        <v>12</v>
      </c>
      <c r="D8" s="5">
        <v>12.73</v>
      </c>
      <c r="E8" s="5">
        <v>-2.0129999999999999</v>
      </c>
      <c r="F8" s="5">
        <v>-7.7270000000000003</v>
      </c>
      <c r="G8" s="5">
        <v>-3.3340000000000001</v>
      </c>
      <c r="H8" s="5">
        <v>94</v>
      </c>
      <c r="I8" s="5">
        <v>-9.7000000000000003E-2</v>
      </c>
      <c r="J8" s="5">
        <v>-0.98699999999999999</v>
      </c>
      <c r="K8" s="5">
        <v>-0.05</v>
      </c>
      <c r="L8" s="5">
        <v>0.40100000000000002</v>
      </c>
      <c r="M8" s="5">
        <v>1.1950000000000001</v>
      </c>
      <c r="N8" s="5">
        <v>-1.3660000000000001</v>
      </c>
      <c r="O8" s="5">
        <v>96</v>
      </c>
      <c r="P8" s="5">
        <v>-1.2999999999999999E-2</v>
      </c>
      <c r="Q8" s="5">
        <v>-0.84899999999999998</v>
      </c>
      <c r="R8" s="5">
        <v>3.5000000000000003E-2</v>
      </c>
      <c r="S8" s="5">
        <v>0.48399999999999999</v>
      </c>
      <c r="T8" s="5">
        <v>1.2829999999999999</v>
      </c>
      <c r="U8" s="5">
        <v>-6.2210000000000001</v>
      </c>
      <c r="V8" s="5">
        <v>91.3</v>
      </c>
      <c r="W8" s="5">
        <v>-0.19500000000000001</v>
      </c>
      <c r="X8" s="5">
        <v>-1.157</v>
      </c>
      <c r="Y8" s="5">
        <v>-0.13300000000000001</v>
      </c>
      <c r="Z8" s="5">
        <v>0.32</v>
      </c>
      <c r="AA8" s="5">
        <v>1.111</v>
      </c>
      <c r="AB8" s="5">
        <v>1.55</v>
      </c>
      <c r="AC8" s="5">
        <v>-3.7879999999999998</v>
      </c>
      <c r="AD8" s="5">
        <v>-1.9570000000000001</v>
      </c>
      <c r="AE8" s="5">
        <v>-6.4480000000000004</v>
      </c>
      <c r="AF8" s="5">
        <v>-1.762</v>
      </c>
      <c r="AG8" s="5">
        <v>-6.7069999999999999</v>
      </c>
      <c r="AH8" s="5">
        <v>1.556</v>
      </c>
      <c r="AI8" s="5" t="s">
        <v>99</v>
      </c>
      <c r="AK8" s="5">
        <f t="shared" si="0"/>
        <v>0.72499999999999987</v>
      </c>
      <c r="AL8" s="8">
        <f t="shared" si="1"/>
        <v>-0.5</v>
      </c>
      <c r="AN8" s="1">
        <f t="shared" si="13"/>
        <v>96</v>
      </c>
      <c r="AO8" s="1">
        <f t="shared" si="14"/>
        <v>94</v>
      </c>
      <c r="AP8" s="1">
        <f t="shared" si="15"/>
        <v>91.3</v>
      </c>
      <c r="AQ8" s="17">
        <f t="shared" si="2"/>
        <v>0.504</v>
      </c>
      <c r="AR8" s="22">
        <f t="shared" si="16"/>
        <v>4.8000000000000001E-2</v>
      </c>
      <c r="AT8" s="19">
        <f t="shared" si="3"/>
        <v>43468</v>
      </c>
      <c r="AU8" s="20">
        <f t="shared" si="4"/>
        <v>3</v>
      </c>
      <c r="AV8" s="1">
        <f t="shared" si="17"/>
        <v>-3.3</v>
      </c>
      <c r="AW8" s="1">
        <f t="shared" si="18"/>
        <v>-1.4</v>
      </c>
      <c r="AX8" s="1">
        <f t="shared" si="19"/>
        <v>-6.2</v>
      </c>
      <c r="AY8" s="1">
        <f t="shared" si="8"/>
        <v>94</v>
      </c>
      <c r="AZ8" s="1">
        <f t="shared" si="9"/>
        <v>91.3</v>
      </c>
      <c r="BA8" s="1">
        <f t="shared" si="20"/>
        <v>0.72499999999999987</v>
      </c>
      <c r="BB8" s="5">
        <f t="shared" si="21"/>
        <v>-0.5</v>
      </c>
      <c r="BC8" s="1">
        <f t="shared" si="10"/>
        <v>-3.8</v>
      </c>
      <c r="BD8" s="1">
        <f t="shared" si="11"/>
        <v>-2</v>
      </c>
      <c r="BE8" s="1">
        <f t="shared" si="12"/>
        <v>-6.4</v>
      </c>
      <c r="BF8" s="5">
        <f t="shared" si="22"/>
        <v>-0.1</v>
      </c>
      <c r="BG8" s="5">
        <f t="shared" si="23"/>
        <v>0.4</v>
      </c>
      <c r="BH8" s="5">
        <f t="shared" si="24"/>
        <v>1.2</v>
      </c>
      <c r="BI8" s="5" t="str">
        <f t="shared" si="25"/>
        <v>NAN</v>
      </c>
      <c r="BJ8" s="10">
        <f t="shared" si="26"/>
        <v>0.504</v>
      </c>
      <c r="BK8" s="10">
        <f t="shared" si="27"/>
        <v>4.8000000000000001E-2</v>
      </c>
      <c r="BM8" s="1">
        <f t="shared" si="28"/>
        <v>-0.59099999999999997</v>
      </c>
      <c r="BN8" s="1">
        <f t="shared" si="29"/>
        <v>-0.22700000000000031</v>
      </c>
    </row>
    <row r="9" spans="1:66" x14ac:dyDescent="0.2">
      <c r="A9" s="4">
        <f t="shared" si="30"/>
        <v>43469</v>
      </c>
      <c r="B9" s="1">
        <v>4</v>
      </c>
      <c r="C9" s="1">
        <v>12</v>
      </c>
      <c r="D9" s="5">
        <v>12.82</v>
      </c>
      <c r="E9" s="5">
        <v>-1.7150000000000001</v>
      </c>
      <c r="F9" s="5">
        <v>-5.94</v>
      </c>
      <c r="G9" s="5">
        <v>-3.9060000000000001</v>
      </c>
      <c r="H9" s="5">
        <v>93</v>
      </c>
      <c r="I9" s="5">
        <v>-7.3999999999999996E-2</v>
      </c>
      <c r="J9" s="5">
        <v>-0.84699999999999998</v>
      </c>
      <c r="K9" s="5">
        <v>-3.9E-2</v>
      </c>
      <c r="L9" s="5">
        <v>0.40400000000000003</v>
      </c>
      <c r="M9" s="5">
        <v>1.196</v>
      </c>
      <c r="N9" s="5">
        <v>-2.0750000000000002</v>
      </c>
      <c r="O9" s="5">
        <v>95.1</v>
      </c>
      <c r="P9" s="5">
        <v>8.9999999999999993E-3</v>
      </c>
      <c r="Q9" s="5">
        <v>-0.72899999999999998</v>
      </c>
      <c r="R9" s="5">
        <v>4.4999999999999998E-2</v>
      </c>
      <c r="S9" s="5">
        <v>0.49099999999999999</v>
      </c>
      <c r="T9" s="5">
        <v>1.2729999999999999</v>
      </c>
      <c r="U9" s="5">
        <v>-6.4580000000000002</v>
      </c>
      <c r="V9" s="5">
        <v>88.8</v>
      </c>
      <c r="W9" s="5">
        <v>-0.154</v>
      </c>
      <c r="X9" s="5">
        <v>-0.97499999999999998</v>
      </c>
      <c r="Y9" s="5">
        <v>-0.11899999999999999</v>
      </c>
      <c r="Z9" s="5">
        <v>0.32700000000000001</v>
      </c>
      <c r="AA9" s="5">
        <v>1.121</v>
      </c>
      <c r="AB9" s="5">
        <v>1.5649999999999999</v>
      </c>
      <c r="AC9" s="5">
        <v>-5.0860000000000003</v>
      </c>
      <c r="AD9" s="5">
        <v>-2.6280000000000001</v>
      </c>
      <c r="AE9" s="5">
        <v>-8.07</v>
      </c>
      <c r="AF9" s="5">
        <v>-2.2599999999999998</v>
      </c>
      <c r="AG9" s="5">
        <v>-6.7859999999999996</v>
      </c>
      <c r="AH9" s="5">
        <v>1.581</v>
      </c>
      <c r="AI9" s="5" t="s">
        <v>99</v>
      </c>
      <c r="AK9" s="5">
        <f t="shared" si="0"/>
        <v>0.71</v>
      </c>
      <c r="AL9" s="8">
        <f t="shared" si="1"/>
        <v>-0.4</v>
      </c>
      <c r="AN9" s="1">
        <f t="shared" si="13"/>
        <v>95.1</v>
      </c>
      <c r="AO9" s="1">
        <f t="shared" si="14"/>
        <v>93</v>
      </c>
      <c r="AP9" s="1">
        <f t="shared" si="15"/>
        <v>88.8</v>
      </c>
      <c r="AQ9" s="17">
        <f t="shared" si="2"/>
        <v>0.46600000000000003</v>
      </c>
      <c r="AR9" s="22">
        <f t="shared" si="16"/>
        <v>5.8999999999999997E-2</v>
      </c>
      <c r="AT9" s="19">
        <f t="shared" si="3"/>
        <v>43469</v>
      </c>
      <c r="AU9" s="20">
        <f t="shared" si="4"/>
        <v>4</v>
      </c>
      <c r="AV9" s="1">
        <f t="shared" si="17"/>
        <v>-3.9</v>
      </c>
      <c r="AW9" s="1">
        <f t="shared" si="18"/>
        <v>-2.1</v>
      </c>
      <c r="AX9" s="1">
        <f t="shared" si="19"/>
        <v>-6.5</v>
      </c>
      <c r="AY9" s="1">
        <f t="shared" si="8"/>
        <v>93</v>
      </c>
      <c r="AZ9" s="1">
        <f t="shared" si="9"/>
        <v>88.8</v>
      </c>
      <c r="BA9" s="1">
        <f t="shared" si="20"/>
        <v>0.71</v>
      </c>
      <c r="BB9" s="5">
        <f t="shared" si="21"/>
        <v>-0.4</v>
      </c>
      <c r="BC9" s="1">
        <f t="shared" si="10"/>
        <v>-5.0999999999999996</v>
      </c>
      <c r="BD9" s="1">
        <f t="shared" si="11"/>
        <v>-2.6</v>
      </c>
      <c r="BE9" s="1">
        <f t="shared" si="12"/>
        <v>-8.1</v>
      </c>
      <c r="BF9" s="5">
        <f t="shared" si="22"/>
        <v>0</v>
      </c>
      <c r="BG9" s="5">
        <f t="shared" si="23"/>
        <v>0.4</v>
      </c>
      <c r="BH9" s="5">
        <f t="shared" si="24"/>
        <v>1.2</v>
      </c>
      <c r="BI9" s="5" t="str">
        <f t="shared" si="25"/>
        <v>NAN</v>
      </c>
      <c r="BJ9" s="10">
        <f t="shared" si="26"/>
        <v>0.46600000000000003</v>
      </c>
      <c r="BK9" s="10">
        <f t="shared" si="27"/>
        <v>5.8999999999999997E-2</v>
      </c>
      <c r="BM9" s="1">
        <f t="shared" si="28"/>
        <v>-0.55299999999999994</v>
      </c>
      <c r="BN9" s="1">
        <f t="shared" si="29"/>
        <v>-1.6120000000000001</v>
      </c>
    </row>
    <row r="10" spans="1:66" x14ac:dyDescent="0.2">
      <c r="A10" s="4">
        <f t="shared" si="30"/>
        <v>43470</v>
      </c>
      <c r="B10" s="1">
        <v>5</v>
      </c>
      <c r="C10" s="1">
        <v>12</v>
      </c>
      <c r="D10" s="5">
        <v>12.73</v>
      </c>
      <c r="E10" s="5">
        <v>-3.1930000000000001</v>
      </c>
      <c r="F10" s="5">
        <v>-5.9189999999999996</v>
      </c>
      <c r="G10" s="5">
        <v>-4.508</v>
      </c>
      <c r="H10" s="5">
        <v>93.1</v>
      </c>
      <c r="I10" s="5">
        <v>-7.3999999999999996E-2</v>
      </c>
      <c r="J10" s="5">
        <v>-0.79400000000000004</v>
      </c>
      <c r="K10" s="5">
        <v>-0.04</v>
      </c>
      <c r="L10" s="5">
        <v>0.39700000000000002</v>
      </c>
      <c r="M10" s="5">
        <v>1.181</v>
      </c>
      <c r="N10" s="5">
        <v>-3.016</v>
      </c>
      <c r="O10" s="5">
        <v>94</v>
      </c>
      <c r="P10" s="5">
        <v>3.0000000000000001E-3</v>
      </c>
      <c r="Q10" s="5">
        <v>-0.71499999999999997</v>
      </c>
      <c r="R10" s="5">
        <v>4.1000000000000002E-2</v>
      </c>
      <c r="S10" s="5">
        <v>0.47699999999999998</v>
      </c>
      <c r="T10" s="5">
        <v>1.2569999999999999</v>
      </c>
      <c r="U10" s="5">
        <v>-5.6130000000000004</v>
      </c>
      <c r="V10" s="5">
        <v>92.3</v>
      </c>
      <c r="W10" s="5">
        <v>-0.151</v>
      </c>
      <c r="X10" s="5">
        <v>-0.89</v>
      </c>
      <c r="Y10" s="5">
        <v>-0.113</v>
      </c>
      <c r="Z10" s="5">
        <v>0.317</v>
      </c>
      <c r="AA10" s="5">
        <v>1.1020000000000001</v>
      </c>
      <c r="AB10" s="5">
        <v>1.5609999999999999</v>
      </c>
      <c r="AC10" s="5">
        <v>-5.0449999999999999</v>
      </c>
      <c r="AD10" s="5">
        <v>-3.2789999999999999</v>
      </c>
      <c r="AE10" s="5">
        <v>-6.1680000000000001</v>
      </c>
      <c r="AF10" s="5">
        <v>-3.048</v>
      </c>
      <c r="AG10" s="5">
        <v>-6.0170000000000003</v>
      </c>
      <c r="AH10" s="5">
        <v>1.575</v>
      </c>
      <c r="AI10" s="5" t="s">
        <v>99</v>
      </c>
      <c r="AK10" s="5">
        <f t="shared" si="0"/>
        <v>0.71399999999999997</v>
      </c>
      <c r="AL10" s="8">
        <f t="shared" si="1"/>
        <v>-0.4</v>
      </c>
      <c r="AN10" s="1">
        <f t="shared" si="13"/>
        <v>94</v>
      </c>
      <c r="AO10" s="1">
        <f t="shared" si="14"/>
        <v>93.1</v>
      </c>
      <c r="AP10" s="1">
        <f t="shared" si="15"/>
        <v>92.3</v>
      </c>
      <c r="AQ10" s="17">
        <f t="shared" si="2"/>
        <v>0.45100000000000001</v>
      </c>
      <c r="AR10" s="22">
        <f t="shared" si="16"/>
        <v>3.7999999999999999E-2</v>
      </c>
      <c r="AT10" s="19">
        <f t="shared" si="3"/>
        <v>43470</v>
      </c>
      <c r="AU10" s="20">
        <f t="shared" si="4"/>
        <v>5</v>
      </c>
      <c r="AV10" s="1">
        <f t="shared" si="17"/>
        <v>-4.5</v>
      </c>
      <c r="AW10" s="1">
        <f t="shared" si="18"/>
        <v>-3</v>
      </c>
      <c r="AX10" s="1">
        <f t="shared" si="19"/>
        <v>-5.6</v>
      </c>
      <c r="AY10" s="1">
        <f t="shared" si="8"/>
        <v>93.1</v>
      </c>
      <c r="AZ10" s="1">
        <f t="shared" si="9"/>
        <v>92.3</v>
      </c>
      <c r="BA10" s="1">
        <f t="shared" si="20"/>
        <v>0.71399999999999997</v>
      </c>
      <c r="BB10" s="5">
        <f t="shared" si="21"/>
        <v>-0.4</v>
      </c>
      <c r="BC10" s="1">
        <f t="shared" si="10"/>
        <v>-5</v>
      </c>
      <c r="BD10" s="1">
        <f t="shared" si="11"/>
        <v>-3.3</v>
      </c>
      <c r="BE10" s="1">
        <f t="shared" si="12"/>
        <v>-6.2</v>
      </c>
      <c r="BF10" s="5">
        <f t="shared" si="22"/>
        <v>0</v>
      </c>
      <c r="BG10" s="5">
        <f t="shared" si="23"/>
        <v>0.4</v>
      </c>
      <c r="BH10" s="5">
        <f t="shared" si="24"/>
        <v>1.2</v>
      </c>
      <c r="BI10" s="5" t="str">
        <f t="shared" si="25"/>
        <v>NAN</v>
      </c>
      <c r="BJ10" s="10">
        <f t="shared" si="26"/>
        <v>0.45100000000000001</v>
      </c>
      <c r="BK10" s="10">
        <f t="shared" si="27"/>
        <v>3.7999999999999999E-2</v>
      </c>
      <c r="BM10" s="1">
        <f t="shared" si="28"/>
        <v>-0.2629999999999999</v>
      </c>
      <c r="BN10" s="1">
        <f t="shared" si="29"/>
        <v>-0.55499999999999972</v>
      </c>
    </row>
    <row r="11" spans="1:66" x14ac:dyDescent="0.2">
      <c r="A11" s="4">
        <f t="shared" si="30"/>
        <v>43471</v>
      </c>
      <c r="B11" s="1">
        <v>6</v>
      </c>
      <c r="C11" s="1">
        <v>12</v>
      </c>
      <c r="D11" s="5">
        <v>12.79</v>
      </c>
      <c r="E11" s="5">
        <v>-4.1390000000000002</v>
      </c>
      <c r="F11" s="5">
        <v>-9.66</v>
      </c>
      <c r="G11" s="5">
        <v>-6.4980000000000002</v>
      </c>
      <c r="H11" s="5">
        <v>90.6</v>
      </c>
      <c r="I11" s="5">
        <v>-0.08</v>
      </c>
      <c r="J11" s="5">
        <v>-0.82299999999999995</v>
      </c>
      <c r="K11" s="5">
        <v>-4.4999999999999998E-2</v>
      </c>
      <c r="L11" s="5">
        <v>0.38800000000000001</v>
      </c>
      <c r="M11" s="5">
        <v>1.1679999999999999</v>
      </c>
      <c r="N11" s="5">
        <v>-3.758</v>
      </c>
      <c r="O11" s="5">
        <v>93.8</v>
      </c>
      <c r="P11" s="5">
        <v>-2E-3</v>
      </c>
      <c r="Q11" s="5">
        <v>-0.749</v>
      </c>
      <c r="R11" s="5">
        <v>3.2000000000000001E-2</v>
      </c>
      <c r="S11" s="5">
        <v>0.46500000000000002</v>
      </c>
      <c r="T11" s="5">
        <v>1.2490000000000001</v>
      </c>
      <c r="U11" s="5">
        <v>-10.34</v>
      </c>
      <c r="V11" s="5">
        <v>84.8</v>
      </c>
      <c r="W11" s="5">
        <v>-0.16900000000000001</v>
      </c>
      <c r="X11" s="5">
        <v>-0.90200000000000002</v>
      </c>
      <c r="Y11" s="5">
        <v>-0.13400000000000001</v>
      </c>
      <c r="Z11" s="5">
        <v>0.308</v>
      </c>
      <c r="AA11" s="5">
        <v>1.08</v>
      </c>
      <c r="AB11" s="5">
        <v>1.569</v>
      </c>
      <c r="AC11" s="5">
        <v>-7.4009999999999998</v>
      </c>
      <c r="AD11" s="5">
        <v>-4.3220000000000001</v>
      </c>
      <c r="AE11" s="5">
        <v>-11.64</v>
      </c>
      <c r="AF11" s="5">
        <v>-4.1980000000000004</v>
      </c>
      <c r="AG11" s="5">
        <v>-10.65</v>
      </c>
      <c r="AH11" s="5">
        <v>1.599</v>
      </c>
      <c r="AI11" s="5" t="s">
        <v>99</v>
      </c>
      <c r="AK11" s="5">
        <f t="shared" si="0"/>
        <v>0.70599999999999996</v>
      </c>
      <c r="AL11" s="8">
        <f t="shared" si="1"/>
        <v>-0.4</v>
      </c>
      <c r="AN11" s="1">
        <f t="shared" si="13"/>
        <v>93.8</v>
      </c>
      <c r="AO11" s="1">
        <f t="shared" si="14"/>
        <v>90.6</v>
      </c>
      <c r="AP11" s="1">
        <f t="shared" si="15"/>
        <v>84.8</v>
      </c>
      <c r="AQ11" s="17">
        <f t="shared" si="2"/>
        <v>0.39200000000000002</v>
      </c>
      <c r="AR11" s="22">
        <f t="shared" si="16"/>
        <v>7.0000000000000007E-2</v>
      </c>
      <c r="AT11" s="19">
        <f t="shared" si="3"/>
        <v>43471</v>
      </c>
      <c r="AU11" s="20">
        <f t="shared" si="4"/>
        <v>6</v>
      </c>
      <c r="AV11" s="1">
        <f t="shared" si="17"/>
        <v>-6.5</v>
      </c>
      <c r="AW11" s="1">
        <f t="shared" si="18"/>
        <v>-3.8</v>
      </c>
      <c r="AX11" s="1">
        <f t="shared" si="19"/>
        <v>-10.3</v>
      </c>
      <c r="AY11" s="1">
        <f t="shared" si="8"/>
        <v>90.6</v>
      </c>
      <c r="AZ11" s="1">
        <f t="shared" si="9"/>
        <v>84.8</v>
      </c>
      <c r="BA11" s="1">
        <f t="shared" si="20"/>
        <v>0.70599999999999996</v>
      </c>
      <c r="BB11" s="5">
        <f t="shared" si="21"/>
        <v>-0.4</v>
      </c>
      <c r="BC11" s="1">
        <f t="shared" si="10"/>
        <v>-7.4</v>
      </c>
      <c r="BD11" s="1">
        <f t="shared" si="11"/>
        <v>-4.3</v>
      </c>
      <c r="BE11" s="1">
        <f t="shared" si="12"/>
        <v>-11.6</v>
      </c>
      <c r="BF11" s="5">
        <f t="shared" si="22"/>
        <v>0</v>
      </c>
      <c r="BG11" s="5">
        <f t="shared" si="23"/>
        <v>0.4</v>
      </c>
      <c r="BH11" s="5">
        <f t="shared" si="24"/>
        <v>1.2</v>
      </c>
      <c r="BI11" s="5" t="str">
        <f t="shared" si="25"/>
        <v>NAN</v>
      </c>
      <c r="BJ11" s="10">
        <f t="shared" si="26"/>
        <v>0.39200000000000002</v>
      </c>
      <c r="BK11" s="10">
        <f t="shared" si="27"/>
        <v>7.0000000000000007E-2</v>
      </c>
      <c r="BM11" s="1">
        <f t="shared" si="28"/>
        <v>-0.56400000000000006</v>
      </c>
      <c r="BN11" s="1">
        <f t="shared" si="29"/>
        <v>-1.3000000000000007</v>
      </c>
    </row>
    <row r="12" spans="1:66" x14ac:dyDescent="0.2">
      <c r="A12" s="4">
        <f t="shared" si="30"/>
        <v>43472</v>
      </c>
      <c r="B12" s="1">
        <v>7</v>
      </c>
      <c r="C12" s="1">
        <v>12</v>
      </c>
      <c r="D12" s="5">
        <v>12.78</v>
      </c>
      <c r="E12" s="5">
        <v>-8.17</v>
      </c>
      <c r="F12" s="5">
        <v>-13.86</v>
      </c>
      <c r="G12" s="5">
        <v>-10.46</v>
      </c>
      <c r="H12" s="5">
        <v>85.7</v>
      </c>
      <c r="I12" s="5">
        <v>-0.109</v>
      </c>
      <c r="J12" s="5">
        <v>-0.94599999999999995</v>
      </c>
      <c r="K12" s="5">
        <v>-6.4000000000000001E-2</v>
      </c>
      <c r="L12" s="5">
        <v>0.36399999999999999</v>
      </c>
      <c r="M12" s="5">
        <v>1.1399999999999999</v>
      </c>
      <c r="N12" s="5">
        <v>-8.5399999999999991</v>
      </c>
      <c r="O12" s="5">
        <v>91.5</v>
      </c>
      <c r="P12" s="5">
        <v>-3.1E-2</v>
      </c>
      <c r="Q12" s="5">
        <v>-0.79400000000000004</v>
      </c>
      <c r="R12" s="5">
        <v>1.9E-2</v>
      </c>
      <c r="S12" s="5">
        <v>0.44400000000000001</v>
      </c>
      <c r="T12" s="5">
        <v>1.214</v>
      </c>
      <c r="U12" s="5">
        <v>-14.49</v>
      </c>
      <c r="V12" s="5">
        <v>74.06</v>
      </c>
      <c r="W12" s="5">
        <v>-0.214</v>
      </c>
      <c r="X12" s="5">
        <v>-1.1599999999999999</v>
      </c>
      <c r="Y12" s="5">
        <v>-0.14899999999999999</v>
      </c>
      <c r="Z12" s="5">
        <v>0.26800000000000002</v>
      </c>
      <c r="AA12" s="5">
        <v>1.0509999999999999</v>
      </c>
      <c r="AB12" s="5">
        <v>1.61</v>
      </c>
      <c r="AC12" s="5">
        <v>-11.32</v>
      </c>
      <c r="AD12" s="5">
        <v>-9.01</v>
      </c>
      <c r="AE12" s="5">
        <v>-15.83</v>
      </c>
      <c r="AF12" s="5">
        <v>-8.65</v>
      </c>
      <c r="AG12" s="5">
        <v>-14.72</v>
      </c>
      <c r="AH12" s="5">
        <v>1.655</v>
      </c>
      <c r="AI12" s="5" t="s">
        <v>99</v>
      </c>
      <c r="AK12" s="5">
        <f t="shared" si="0"/>
        <v>0.66499999999999981</v>
      </c>
      <c r="AL12" s="8">
        <f t="shared" si="1"/>
        <v>-0.5</v>
      </c>
      <c r="AN12" s="1">
        <f t="shared" si="13"/>
        <v>91.5</v>
      </c>
      <c r="AO12" s="1">
        <f t="shared" si="14"/>
        <v>85.7</v>
      </c>
      <c r="AP12" s="1">
        <f t="shared" si="15"/>
        <v>74.099999999999994</v>
      </c>
      <c r="AQ12" s="17">
        <f t="shared" si="2"/>
        <v>0.23699999999999999</v>
      </c>
      <c r="AR12" s="22">
        <f t="shared" si="16"/>
        <v>8.3000000000000004E-2</v>
      </c>
      <c r="AT12" s="19">
        <f t="shared" si="3"/>
        <v>43472</v>
      </c>
      <c r="AU12" s="20">
        <f t="shared" si="4"/>
        <v>7</v>
      </c>
      <c r="AV12" s="1">
        <f t="shared" si="17"/>
        <v>-10.5</v>
      </c>
      <c r="AW12" s="1">
        <f t="shared" si="18"/>
        <v>-8.5</v>
      </c>
      <c r="AX12" s="1">
        <f t="shared" si="19"/>
        <v>-14.5</v>
      </c>
      <c r="AY12" s="1">
        <f t="shared" si="8"/>
        <v>85.7</v>
      </c>
      <c r="AZ12" s="1">
        <f t="shared" si="9"/>
        <v>74.099999999999994</v>
      </c>
      <c r="BA12" s="1">
        <f t="shared" si="20"/>
        <v>0.66499999999999981</v>
      </c>
      <c r="BB12" s="5">
        <f t="shared" si="21"/>
        <v>-0.5</v>
      </c>
      <c r="BC12" s="1">
        <f t="shared" si="10"/>
        <v>-11.3</v>
      </c>
      <c r="BD12" s="1">
        <f t="shared" si="11"/>
        <v>-9</v>
      </c>
      <c r="BE12" s="1">
        <f t="shared" si="12"/>
        <v>-15.8</v>
      </c>
      <c r="BF12" s="5">
        <f t="shared" si="22"/>
        <v>-0.1</v>
      </c>
      <c r="BG12" s="5">
        <f t="shared" si="23"/>
        <v>0.4</v>
      </c>
      <c r="BH12" s="5">
        <f t="shared" si="24"/>
        <v>1.1000000000000001</v>
      </c>
      <c r="BI12" s="5" t="str">
        <f t="shared" si="25"/>
        <v>NAN</v>
      </c>
      <c r="BJ12" s="10">
        <f t="shared" si="26"/>
        <v>0.23699999999999999</v>
      </c>
      <c r="BK12" s="10">
        <f t="shared" si="27"/>
        <v>8.3000000000000004E-2</v>
      </c>
      <c r="BM12" s="1">
        <f t="shared" si="28"/>
        <v>-0.47000000000000064</v>
      </c>
      <c r="BN12" s="1">
        <f t="shared" si="29"/>
        <v>-1.3399999999999999</v>
      </c>
    </row>
    <row r="13" spans="1:66" x14ac:dyDescent="0.2">
      <c r="A13" s="4">
        <f t="shared" si="30"/>
        <v>43473</v>
      </c>
      <c r="B13" s="1">
        <v>8</v>
      </c>
      <c r="C13" s="1">
        <v>12</v>
      </c>
      <c r="D13" s="5">
        <v>12.72</v>
      </c>
      <c r="E13" s="5">
        <v>-8.92</v>
      </c>
      <c r="F13" s="5">
        <v>-14.84</v>
      </c>
      <c r="G13" s="5">
        <v>-11.96</v>
      </c>
      <c r="H13" s="5">
        <v>85.2</v>
      </c>
      <c r="I13" s="5">
        <v>-0.159</v>
      </c>
      <c r="J13" s="5">
        <v>-1.2929999999999999</v>
      </c>
      <c r="K13" s="5">
        <v>-8.2000000000000003E-2</v>
      </c>
      <c r="L13" s="5">
        <v>0.35</v>
      </c>
      <c r="M13" s="5">
        <v>1.1140000000000001</v>
      </c>
      <c r="N13" s="5">
        <v>-7.867</v>
      </c>
      <c r="O13" s="5">
        <v>91.1</v>
      </c>
      <c r="P13" s="5">
        <v>-0.09</v>
      </c>
      <c r="Q13" s="5">
        <v>-1.046</v>
      </c>
      <c r="R13" s="5">
        <v>1.7999999999999999E-2</v>
      </c>
      <c r="S13" s="5">
        <v>0.437</v>
      </c>
      <c r="T13" s="5">
        <v>1.196</v>
      </c>
      <c r="U13" s="5">
        <v>-15.27</v>
      </c>
      <c r="V13" s="5">
        <v>73.78</v>
      </c>
      <c r="W13" s="5">
        <v>-0.23200000000000001</v>
      </c>
      <c r="X13" s="5">
        <v>-1.573</v>
      </c>
      <c r="Y13" s="5">
        <v>-0.16300000000000001</v>
      </c>
      <c r="Z13" s="5">
        <v>0.27200000000000002</v>
      </c>
      <c r="AA13" s="5">
        <v>1.036</v>
      </c>
      <c r="AB13" s="5">
        <v>1.5369999999999999</v>
      </c>
      <c r="AC13" s="5">
        <v>-12.52</v>
      </c>
      <c r="AD13" s="5">
        <v>-8.11</v>
      </c>
      <c r="AE13" s="5">
        <v>-16.600000000000001</v>
      </c>
      <c r="AF13" s="5">
        <v>-8.33</v>
      </c>
      <c r="AG13" s="5">
        <v>-15.55</v>
      </c>
      <c r="AH13" s="5">
        <v>1.56</v>
      </c>
      <c r="AI13" s="5" t="s">
        <v>99</v>
      </c>
      <c r="AK13" s="5">
        <f t="shared" si="0"/>
        <v>0.73799999999999999</v>
      </c>
      <c r="AL13" s="8">
        <f t="shared" si="1"/>
        <v>-0.7</v>
      </c>
      <c r="AN13" s="1">
        <f t="shared" si="13"/>
        <v>91.1</v>
      </c>
      <c r="AO13" s="1">
        <f t="shared" si="14"/>
        <v>85.2</v>
      </c>
      <c r="AP13" s="1">
        <f t="shared" si="15"/>
        <v>73.8</v>
      </c>
      <c r="AQ13" s="17">
        <f t="shared" si="2"/>
        <v>0.249</v>
      </c>
      <c r="AR13" s="22">
        <f t="shared" si="16"/>
        <v>8.7999999999999995E-2</v>
      </c>
      <c r="AT13" s="19">
        <f t="shared" si="3"/>
        <v>43473</v>
      </c>
      <c r="AU13" s="20">
        <f t="shared" si="4"/>
        <v>8</v>
      </c>
      <c r="AV13" s="1">
        <f t="shared" si="17"/>
        <v>-12</v>
      </c>
      <c r="AW13" s="1">
        <f t="shared" si="18"/>
        <v>-7.9</v>
      </c>
      <c r="AX13" s="1">
        <f t="shared" si="19"/>
        <v>-15.3</v>
      </c>
      <c r="AY13" s="1">
        <f t="shared" si="8"/>
        <v>85.2</v>
      </c>
      <c r="AZ13" s="1">
        <f t="shared" si="9"/>
        <v>73.8</v>
      </c>
      <c r="BA13" s="1">
        <f t="shared" si="20"/>
        <v>0.73799999999999999</v>
      </c>
      <c r="BB13" s="5">
        <f t="shared" si="21"/>
        <v>-0.7</v>
      </c>
      <c r="BC13" s="1">
        <f t="shared" si="10"/>
        <v>-12.5</v>
      </c>
      <c r="BD13" s="1">
        <f t="shared" si="11"/>
        <v>-8.1</v>
      </c>
      <c r="BE13" s="1">
        <f t="shared" si="12"/>
        <v>-16.600000000000001</v>
      </c>
      <c r="BF13" s="5">
        <f t="shared" si="22"/>
        <v>-0.1</v>
      </c>
      <c r="BG13" s="5">
        <f t="shared" si="23"/>
        <v>0.4</v>
      </c>
      <c r="BH13" s="5">
        <f t="shared" si="24"/>
        <v>1.1000000000000001</v>
      </c>
      <c r="BI13" s="5" t="str">
        <f t="shared" si="25"/>
        <v>NAN</v>
      </c>
      <c r="BJ13" s="10">
        <f t="shared" si="26"/>
        <v>0.249</v>
      </c>
      <c r="BK13" s="10">
        <f t="shared" si="27"/>
        <v>8.7999999999999995E-2</v>
      </c>
      <c r="BM13" s="1">
        <f t="shared" si="28"/>
        <v>-0.24299999999999944</v>
      </c>
      <c r="BN13" s="1">
        <f t="shared" si="29"/>
        <v>-1.3300000000000018</v>
      </c>
    </row>
    <row r="14" spans="1:66" x14ac:dyDescent="0.2">
      <c r="A14" s="4">
        <f t="shared" si="30"/>
        <v>43474</v>
      </c>
      <c r="B14" s="1">
        <v>9</v>
      </c>
      <c r="C14" s="1">
        <v>12</v>
      </c>
      <c r="D14" s="5">
        <v>12.72</v>
      </c>
      <c r="E14" s="5">
        <v>-2.3769999999999998</v>
      </c>
      <c r="F14" s="5">
        <v>-8.92</v>
      </c>
      <c r="G14" s="5">
        <v>-4.1529999999999996</v>
      </c>
      <c r="H14" s="5">
        <v>93.5</v>
      </c>
      <c r="I14" s="5">
        <v>-0.159</v>
      </c>
      <c r="J14" s="5">
        <v>-1.629</v>
      </c>
      <c r="K14" s="5">
        <v>-5.1999999999999998E-2</v>
      </c>
      <c r="L14" s="5">
        <v>0.39200000000000002</v>
      </c>
      <c r="M14" s="5">
        <v>1.149</v>
      </c>
      <c r="N14" s="5">
        <v>-1.5349999999999999</v>
      </c>
      <c r="O14" s="5">
        <v>95.6</v>
      </c>
      <c r="P14" s="5">
        <v>-7.8E-2</v>
      </c>
      <c r="Q14" s="5">
        <v>-1.474</v>
      </c>
      <c r="R14" s="5">
        <v>2.7E-2</v>
      </c>
      <c r="S14" s="5">
        <v>0.47499999999999998</v>
      </c>
      <c r="T14" s="5">
        <v>1.23</v>
      </c>
      <c r="U14" s="5">
        <v>-7.9020000000000001</v>
      </c>
      <c r="V14" s="5">
        <v>90.5</v>
      </c>
      <c r="W14" s="5">
        <v>-0.23699999999999999</v>
      </c>
      <c r="X14" s="5">
        <v>-1.736</v>
      </c>
      <c r="Y14" s="5">
        <v>-0.14599999999999999</v>
      </c>
      <c r="Z14" s="5">
        <v>0.309</v>
      </c>
      <c r="AA14" s="5">
        <v>1.06</v>
      </c>
      <c r="AB14" s="5">
        <v>1.5589999999999999</v>
      </c>
      <c r="AC14" s="5">
        <v>-4.6980000000000004</v>
      </c>
      <c r="AD14" s="5">
        <v>-2.2679999999999998</v>
      </c>
      <c r="AE14" s="5">
        <v>-8.2799999999999994</v>
      </c>
      <c r="AF14" s="5">
        <v>-1.99</v>
      </c>
      <c r="AG14" s="5">
        <v>-8.32</v>
      </c>
      <c r="AH14" s="5">
        <v>1.5680000000000001</v>
      </c>
      <c r="AI14" s="5" t="s">
        <v>99</v>
      </c>
      <c r="AK14" s="5">
        <f t="shared" si="0"/>
        <v>0.71599999999999997</v>
      </c>
      <c r="AL14" s="8">
        <f t="shared" si="1"/>
        <v>-0.8</v>
      </c>
      <c r="AN14" s="1">
        <f t="shared" si="13"/>
        <v>95.6</v>
      </c>
      <c r="AO14" s="1">
        <f t="shared" si="14"/>
        <v>93.5</v>
      </c>
      <c r="AP14" s="1">
        <f t="shared" si="15"/>
        <v>90.5</v>
      </c>
      <c r="AQ14" s="17">
        <f t="shared" si="2"/>
        <v>0.49399999999999999</v>
      </c>
      <c r="AR14" s="22">
        <f t="shared" si="16"/>
        <v>5.1999999999999998E-2</v>
      </c>
      <c r="AT14" s="19">
        <f t="shared" si="3"/>
        <v>43474</v>
      </c>
      <c r="AU14" s="20">
        <f t="shared" si="4"/>
        <v>9</v>
      </c>
      <c r="AV14" s="1">
        <f t="shared" si="17"/>
        <v>-4.2</v>
      </c>
      <c r="AW14" s="1">
        <f t="shared" si="18"/>
        <v>-1.5</v>
      </c>
      <c r="AX14" s="1">
        <f t="shared" si="19"/>
        <v>-7.9</v>
      </c>
      <c r="AY14" s="1">
        <f t="shared" si="8"/>
        <v>93.5</v>
      </c>
      <c r="AZ14" s="1">
        <f t="shared" si="9"/>
        <v>90.5</v>
      </c>
      <c r="BA14" s="1">
        <f t="shared" si="20"/>
        <v>0.71599999999999997</v>
      </c>
      <c r="BB14" s="5">
        <f t="shared" si="21"/>
        <v>-0.8</v>
      </c>
      <c r="BC14" s="1">
        <f t="shared" si="10"/>
        <v>-4.7</v>
      </c>
      <c r="BD14" s="1">
        <f t="shared" si="11"/>
        <v>-2.2999999999999998</v>
      </c>
      <c r="BE14" s="1">
        <f t="shared" si="12"/>
        <v>-8.3000000000000007</v>
      </c>
      <c r="BF14" s="5">
        <f t="shared" si="22"/>
        <v>-0.1</v>
      </c>
      <c r="BG14" s="5">
        <f t="shared" si="23"/>
        <v>0.4</v>
      </c>
      <c r="BH14" s="5">
        <f t="shared" si="24"/>
        <v>1.1000000000000001</v>
      </c>
      <c r="BI14" s="5" t="str">
        <f t="shared" si="25"/>
        <v>NAN</v>
      </c>
      <c r="BJ14" s="10">
        <f t="shared" si="26"/>
        <v>0.49399999999999999</v>
      </c>
      <c r="BK14" s="10">
        <f t="shared" si="27"/>
        <v>5.1999999999999998E-2</v>
      </c>
      <c r="BM14" s="1">
        <f t="shared" si="28"/>
        <v>-0.73299999999999987</v>
      </c>
      <c r="BN14" s="1">
        <f t="shared" si="29"/>
        <v>-0.37799999999999923</v>
      </c>
    </row>
    <row r="15" spans="1:66" x14ac:dyDescent="0.2">
      <c r="A15" s="4">
        <f t="shared" si="30"/>
        <v>43475</v>
      </c>
      <c r="B15" s="1">
        <v>10</v>
      </c>
      <c r="C15" s="1">
        <v>12</v>
      </c>
      <c r="D15" s="5">
        <v>12.81</v>
      </c>
      <c r="E15" s="5">
        <v>-0.52200000000000002</v>
      </c>
      <c r="F15" s="5">
        <v>-4.3330000000000002</v>
      </c>
      <c r="G15" s="5">
        <v>-2.8980000000000001</v>
      </c>
      <c r="H15" s="5">
        <v>94.2</v>
      </c>
      <c r="I15" s="5">
        <v>-0.13200000000000001</v>
      </c>
      <c r="J15" s="5">
        <v>-1.452</v>
      </c>
      <c r="K15" s="5">
        <v>-4.5999999999999999E-2</v>
      </c>
      <c r="L15" s="5">
        <v>0.39900000000000002</v>
      </c>
      <c r="M15" s="5">
        <v>1.155</v>
      </c>
      <c r="N15" s="5">
        <v>-0.25</v>
      </c>
      <c r="O15" s="5">
        <v>95.8</v>
      </c>
      <c r="P15" s="5">
        <v>-2.9000000000000001E-2</v>
      </c>
      <c r="Q15" s="5">
        <v>-1.232</v>
      </c>
      <c r="R15" s="5">
        <v>5.0999999999999997E-2</v>
      </c>
      <c r="S15" s="5">
        <v>0.50800000000000001</v>
      </c>
      <c r="T15" s="5">
        <v>1.256</v>
      </c>
      <c r="U15" s="5">
        <v>-4.468</v>
      </c>
      <c r="V15" s="5">
        <v>92.9</v>
      </c>
      <c r="W15" s="5">
        <v>-0.23200000000000001</v>
      </c>
      <c r="X15" s="5">
        <v>-1.6779999999999999</v>
      </c>
      <c r="Y15" s="5">
        <v>-0.126</v>
      </c>
      <c r="Z15" s="5">
        <v>0.318</v>
      </c>
      <c r="AA15" s="5">
        <v>1.075</v>
      </c>
      <c r="AB15" s="5">
        <v>1.5569999999999999</v>
      </c>
      <c r="AC15" s="5">
        <v>-4.069</v>
      </c>
      <c r="AD15" s="5">
        <v>-1.4179999999999999</v>
      </c>
      <c r="AE15" s="5">
        <v>-5.6360000000000001</v>
      </c>
      <c r="AF15" s="5">
        <v>-0.64900000000000002</v>
      </c>
      <c r="AG15" s="5">
        <v>-4.7619999999999996</v>
      </c>
      <c r="AH15" s="5">
        <v>1.57</v>
      </c>
      <c r="AI15" s="5" t="s">
        <v>99</v>
      </c>
      <c r="AK15" s="5">
        <f t="shared" si="0"/>
        <v>0.71799999999999997</v>
      </c>
      <c r="AL15" s="8">
        <f t="shared" si="1"/>
        <v>-0.7</v>
      </c>
      <c r="AN15" s="1">
        <f t="shared" si="13"/>
        <v>95.8</v>
      </c>
      <c r="AO15" s="1">
        <f t="shared" si="14"/>
        <v>94.2</v>
      </c>
      <c r="AP15" s="1">
        <f t="shared" si="15"/>
        <v>92.9</v>
      </c>
      <c r="AQ15" s="17">
        <f t="shared" si="2"/>
        <v>0.55700000000000005</v>
      </c>
      <c r="AR15" s="22">
        <f t="shared" si="16"/>
        <v>4.2999999999999997E-2</v>
      </c>
      <c r="AT15" s="19">
        <f t="shared" si="3"/>
        <v>43475</v>
      </c>
      <c r="AU15" s="20">
        <f t="shared" si="4"/>
        <v>10</v>
      </c>
      <c r="AV15" s="1">
        <f t="shared" si="17"/>
        <v>-2.9</v>
      </c>
      <c r="AW15" s="1">
        <f t="shared" si="18"/>
        <v>-0.3</v>
      </c>
      <c r="AX15" s="1">
        <f t="shared" si="19"/>
        <v>-4.5</v>
      </c>
      <c r="AY15" s="1">
        <f t="shared" si="8"/>
        <v>94.2</v>
      </c>
      <c r="AZ15" s="1">
        <f t="shared" si="9"/>
        <v>92.9</v>
      </c>
      <c r="BA15" s="1">
        <f t="shared" si="20"/>
        <v>0.71799999999999997</v>
      </c>
      <c r="BB15" s="5">
        <f t="shared" si="21"/>
        <v>-0.7</v>
      </c>
      <c r="BC15" s="1">
        <f t="shared" si="10"/>
        <v>-4.0999999999999996</v>
      </c>
      <c r="BD15" s="1">
        <f t="shared" si="11"/>
        <v>-1.4</v>
      </c>
      <c r="BE15" s="1">
        <f t="shared" si="12"/>
        <v>-5.6</v>
      </c>
      <c r="BF15" s="5">
        <f t="shared" si="22"/>
        <v>0</v>
      </c>
      <c r="BG15" s="5">
        <f t="shared" si="23"/>
        <v>0.4</v>
      </c>
      <c r="BH15" s="5">
        <f t="shared" si="24"/>
        <v>1.2</v>
      </c>
      <c r="BI15" s="5" t="str">
        <f t="shared" si="25"/>
        <v>NAN</v>
      </c>
      <c r="BJ15" s="10">
        <f t="shared" si="26"/>
        <v>0.55700000000000005</v>
      </c>
      <c r="BK15" s="10">
        <f t="shared" si="27"/>
        <v>4.2999999999999997E-2</v>
      </c>
      <c r="BM15" s="1">
        <f t="shared" si="28"/>
        <v>-1.1679999999999999</v>
      </c>
      <c r="BN15" s="1">
        <f t="shared" si="29"/>
        <v>-1.1680000000000001</v>
      </c>
    </row>
    <row r="16" spans="1:66" x14ac:dyDescent="0.2">
      <c r="A16" s="4">
        <f t="shared" si="30"/>
        <v>43476</v>
      </c>
      <c r="B16" s="1">
        <v>11</v>
      </c>
      <c r="C16" s="1">
        <v>12</v>
      </c>
      <c r="D16" s="5">
        <v>12.76</v>
      </c>
      <c r="E16" s="5">
        <v>-2.056</v>
      </c>
      <c r="F16" s="5">
        <v>-5.0039999999999996</v>
      </c>
      <c r="G16" s="5">
        <v>-3.8279999999999998</v>
      </c>
      <c r="H16" s="5">
        <v>93.5</v>
      </c>
      <c r="I16" s="5">
        <v>-0.104</v>
      </c>
      <c r="J16" s="5">
        <v>-1.1439999999999999</v>
      </c>
      <c r="K16" s="5">
        <v>-0.05</v>
      </c>
      <c r="L16" s="5">
        <v>0.38600000000000001</v>
      </c>
      <c r="M16" s="5">
        <v>1.1399999999999999</v>
      </c>
      <c r="N16" s="5">
        <v>-2.073</v>
      </c>
      <c r="O16" s="5">
        <v>94.6</v>
      </c>
      <c r="P16" s="5">
        <v>-0.01</v>
      </c>
      <c r="Q16" s="5">
        <v>-0.98799999999999999</v>
      </c>
      <c r="R16" s="5">
        <v>3.5999999999999997E-2</v>
      </c>
      <c r="S16" s="5">
        <v>0.47499999999999998</v>
      </c>
      <c r="T16" s="5">
        <v>1.2290000000000001</v>
      </c>
      <c r="U16" s="5">
        <v>-5.1420000000000003</v>
      </c>
      <c r="V16" s="5">
        <v>92.5</v>
      </c>
      <c r="W16" s="5">
        <v>-0.188</v>
      </c>
      <c r="X16" s="5">
        <v>-1.3340000000000001</v>
      </c>
      <c r="Y16" s="5">
        <v>-0.11799999999999999</v>
      </c>
      <c r="Z16" s="5">
        <v>0.318</v>
      </c>
      <c r="AA16" s="5">
        <v>1.0649999999999999</v>
      </c>
      <c r="AB16" s="5">
        <v>1.581</v>
      </c>
      <c r="AC16" s="5">
        <v>-4.6109999999999998</v>
      </c>
      <c r="AD16" s="5">
        <v>-2.7610000000000001</v>
      </c>
      <c r="AE16" s="5">
        <v>-5.9160000000000004</v>
      </c>
      <c r="AF16" s="5">
        <v>-2.1190000000000002</v>
      </c>
      <c r="AG16" s="5">
        <v>-5.3940000000000001</v>
      </c>
      <c r="AH16" s="5">
        <v>1.5940000000000001</v>
      </c>
      <c r="AI16" s="5" t="s">
        <v>99</v>
      </c>
      <c r="AK16" s="5">
        <f t="shared" si="0"/>
        <v>0.69399999999999995</v>
      </c>
      <c r="AL16" s="8">
        <f t="shared" si="1"/>
        <v>-0.6</v>
      </c>
      <c r="AN16" s="1">
        <f t="shared" si="13"/>
        <v>94.6</v>
      </c>
      <c r="AO16" s="1">
        <f t="shared" si="14"/>
        <v>93.5</v>
      </c>
      <c r="AP16" s="1">
        <f t="shared" si="15"/>
        <v>92.5</v>
      </c>
      <c r="AQ16" s="17">
        <f t="shared" si="2"/>
        <v>0.48499999999999999</v>
      </c>
      <c r="AR16" s="22">
        <f t="shared" si="16"/>
        <v>3.9E-2</v>
      </c>
      <c r="AT16" s="19">
        <f t="shared" si="3"/>
        <v>43476</v>
      </c>
      <c r="AU16" s="20">
        <f t="shared" si="4"/>
        <v>11</v>
      </c>
      <c r="AV16" s="1">
        <f t="shared" si="17"/>
        <v>-3.8</v>
      </c>
      <c r="AW16" s="1">
        <f t="shared" si="18"/>
        <v>-2.1</v>
      </c>
      <c r="AX16" s="1">
        <f t="shared" si="19"/>
        <v>-5.0999999999999996</v>
      </c>
      <c r="AY16" s="1">
        <f t="shared" si="8"/>
        <v>93.5</v>
      </c>
      <c r="AZ16" s="1">
        <f t="shared" si="9"/>
        <v>92.5</v>
      </c>
      <c r="BA16" s="1">
        <f t="shared" si="20"/>
        <v>0.69399999999999995</v>
      </c>
      <c r="BB16" s="5">
        <f t="shared" si="21"/>
        <v>-0.6</v>
      </c>
      <c r="BC16" s="1">
        <f t="shared" si="10"/>
        <v>-4.5999999999999996</v>
      </c>
      <c r="BD16" s="1">
        <f t="shared" si="11"/>
        <v>-2.8</v>
      </c>
      <c r="BE16" s="1">
        <f t="shared" si="12"/>
        <v>-5.9</v>
      </c>
      <c r="BF16" s="5">
        <f t="shared" si="22"/>
        <v>-0.1</v>
      </c>
      <c r="BG16" s="5">
        <f t="shared" si="23"/>
        <v>0.4</v>
      </c>
      <c r="BH16" s="5">
        <f t="shared" si="24"/>
        <v>1.1000000000000001</v>
      </c>
      <c r="BI16" s="5" t="str">
        <f t="shared" si="25"/>
        <v>NAN</v>
      </c>
      <c r="BJ16" s="10">
        <f t="shared" si="26"/>
        <v>0.48499999999999999</v>
      </c>
      <c r="BK16" s="10">
        <f t="shared" si="27"/>
        <v>3.9E-2</v>
      </c>
      <c r="BM16" s="1">
        <f t="shared" si="28"/>
        <v>-0.68800000000000017</v>
      </c>
      <c r="BN16" s="1">
        <f t="shared" si="29"/>
        <v>-0.77400000000000002</v>
      </c>
    </row>
    <row r="17" spans="1:66" x14ac:dyDescent="0.2">
      <c r="A17" s="4">
        <f t="shared" si="30"/>
        <v>43477</v>
      </c>
      <c r="B17" s="1">
        <v>12</v>
      </c>
      <c r="C17" s="1">
        <v>12</v>
      </c>
      <c r="D17" s="5">
        <v>12.77</v>
      </c>
      <c r="E17" s="5">
        <v>-2.72</v>
      </c>
      <c r="F17" s="5">
        <v>-5.0250000000000004</v>
      </c>
      <c r="G17" s="5">
        <v>-4.1920000000000002</v>
      </c>
      <c r="H17" s="5">
        <v>92.9</v>
      </c>
      <c r="I17" s="5">
        <v>-0.09</v>
      </c>
      <c r="J17" s="5">
        <v>-1.008</v>
      </c>
      <c r="K17" s="5">
        <v>-4.7E-2</v>
      </c>
      <c r="L17" s="5">
        <v>0.38</v>
      </c>
      <c r="M17" s="5">
        <v>1.129</v>
      </c>
      <c r="N17" s="5">
        <v>-2.38</v>
      </c>
      <c r="O17" s="5">
        <v>94</v>
      </c>
      <c r="P17" s="5">
        <v>-1.4999999999999999E-2</v>
      </c>
      <c r="Q17" s="5">
        <v>-0.91500000000000004</v>
      </c>
      <c r="R17" s="5">
        <v>3.2000000000000001E-2</v>
      </c>
      <c r="S17" s="5">
        <v>0.46899999999999997</v>
      </c>
      <c r="T17" s="5">
        <v>1.2130000000000001</v>
      </c>
      <c r="U17" s="5">
        <v>-5.109</v>
      </c>
      <c r="V17" s="5">
        <v>91.7</v>
      </c>
      <c r="W17" s="5">
        <v>-0.17399999999999999</v>
      </c>
      <c r="X17" s="5">
        <v>-1.1299999999999999</v>
      </c>
      <c r="Y17" s="5">
        <v>-0.13200000000000001</v>
      </c>
      <c r="Z17" s="5">
        <v>0.29299999999999998</v>
      </c>
      <c r="AA17" s="5">
        <v>1.0529999999999999</v>
      </c>
      <c r="AB17" s="5">
        <v>1.577</v>
      </c>
      <c r="AC17" s="5">
        <v>-5.5650000000000004</v>
      </c>
      <c r="AD17" s="5">
        <v>-4.0739999999999998</v>
      </c>
      <c r="AE17" s="5">
        <v>-6.5259999999999998</v>
      </c>
      <c r="AF17" s="5">
        <v>-3.048</v>
      </c>
      <c r="AG17" s="5">
        <v>-5.4050000000000002</v>
      </c>
      <c r="AH17" s="5">
        <v>1.591</v>
      </c>
      <c r="AI17" s="5" t="s">
        <v>99</v>
      </c>
      <c r="AK17" s="5">
        <f t="shared" si="0"/>
        <v>0.69799999999999995</v>
      </c>
      <c r="AL17" s="8">
        <f t="shared" si="1"/>
        <v>-0.5</v>
      </c>
      <c r="AN17" s="1">
        <f t="shared" si="13"/>
        <v>94</v>
      </c>
      <c r="AO17" s="1">
        <f t="shared" si="14"/>
        <v>92.9</v>
      </c>
      <c r="AP17" s="1">
        <f t="shared" si="15"/>
        <v>91.7</v>
      </c>
      <c r="AQ17" s="17">
        <f t="shared" si="2"/>
        <v>0.47</v>
      </c>
      <c r="AR17" s="22">
        <f t="shared" si="16"/>
        <v>4.2999999999999997E-2</v>
      </c>
      <c r="AT17" s="19">
        <f t="shared" si="3"/>
        <v>43477</v>
      </c>
      <c r="AU17" s="20">
        <f t="shared" si="4"/>
        <v>12</v>
      </c>
      <c r="AV17" s="1">
        <f t="shared" si="17"/>
        <v>-4.2</v>
      </c>
      <c r="AW17" s="1">
        <f t="shared" si="18"/>
        <v>-2.4</v>
      </c>
      <c r="AX17" s="1">
        <f t="shared" si="19"/>
        <v>-5.0999999999999996</v>
      </c>
      <c r="AY17" s="1">
        <f t="shared" si="8"/>
        <v>92.9</v>
      </c>
      <c r="AZ17" s="1">
        <f t="shared" si="9"/>
        <v>91.7</v>
      </c>
      <c r="BA17" s="1">
        <f t="shared" si="20"/>
        <v>0.69799999999999995</v>
      </c>
      <c r="BB17" s="5">
        <f t="shared" si="21"/>
        <v>-0.5</v>
      </c>
      <c r="BC17" s="1">
        <f t="shared" si="10"/>
        <v>-5.6</v>
      </c>
      <c r="BD17" s="1">
        <f t="shared" si="11"/>
        <v>-4.0999999999999996</v>
      </c>
      <c r="BE17" s="1">
        <f t="shared" si="12"/>
        <v>-6.5</v>
      </c>
      <c r="BF17" s="5">
        <f t="shared" si="22"/>
        <v>0</v>
      </c>
      <c r="BG17" s="5">
        <f t="shared" si="23"/>
        <v>0.4</v>
      </c>
      <c r="BH17" s="5">
        <f t="shared" si="24"/>
        <v>1.1000000000000001</v>
      </c>
      <c r="BI17" s="5" t="str">
        <f t="shared" si="25"/>
        <v>NAN</v>
      </c>
      <c r="BJ17" s="10">
        <f t="shared" si="26"/>
        <v>0.47</v>
      </c>
      <c r="BK17" s="10">
        <f t="shared" si="27"/>
        <v>4.2999999999999997E-2</v>
      </c>
      <c r="BM17" s="1">
        <f t="shared" si="28"/>
        <v>-1.694</v>
      </c>
      <c r="BN17" s="1">
        <f t="shared" si="29"/>
        <v>-1.4169999999999998</v>
      </c>
    </row>
    <row r="18" spans="1:66" x14ac:dyDescent="0.2">
      <c r="A18" s="4">
        <f t="shared" si="30"/>
        <v>43478</v>
      </c>
      <c r="B18" s="1">
        <v>13</v>
      </c>
      <c r="C18" s="1">
        <v>12</v>
      </c>
      <c r="D18" s="5">
        <v>12.89</v>
      </c>
      <c r="E18" s="5">
        <v>1.224</v>
      </c>
      <c r="F18" s="5">
        <v>-5.2210000000000001</v>
      </c>
      <c r="G18" s="5">
        <v>-2.8959999999999999</v>
      </c>
      <c r="H18" s="5">
        <v>89.8</v>
      </c>
      <c r="I18" s="5">
        <v>-7.0999999999999994E-2</v>
      </c>
      <c r="J18" s="5">
        <v>-0.97099999999999997</v>
      </c>
      <c r="K18" s="5">
        <v>-2.5999999999999999E-2</v>
      </c>
      <c r="L18" s="5">
        <v>0.39700000000000002</v>
      </c>
      <c r="M18" s="5">
        <v>1.137</v>
      </c>
      <c r="N18" s="5">
        <v>1.7430000000000001</v>
      </c>
      <c r="O18" s="5">
        <v>93.7</v>
      </c>
      <c r="P18" s="5">
        <v>5.0999999999999997E-2</v>
      </c>
      <c r="Q18" s="5">
        <v>-0.84199999999999997</v>
      </c>
      <c r="R18" s="5">
        <v>9.0999999999999998E-2</v>
      </c>
      <c r="S18" s="5">
        <v>0.50700000000000001</v>
      </c>
      <c r="T18" s="5">
        <v>1.2470000000000001</v>
      </c>
      <c r="U18" s="5">
        <v>-5.343</v>
      </c>
      <c r="V18" s="5">
        <v>81.900000000000006</v>
      </c>
      <c r="W18" s="5">
        <v>-0.16700000000000001</v>
      </c>
      <c r="X18" s="5">
        <v>-1.0589999999999999</v>
      </c>
      <c r="Y18" s="5">
        <v>-0.11600000000000001</v>
      </c>
      <c r="Z18" s="5">
        <v>0.316</v>
      </c>
      <c r="AA18" s="5">
        <v>1.04</v>
      </c>
      <c r="AB18" s="5">
        <v>1.58</v>
      </c>
      <c r="AC18" s="5">
        <v>-4.4089999999999998</v>
      </c>
      <c r="AD18" s="5">
        <v>-0.47399999999999998</v>
      </c>
      <c r="AE18" s="5">
        <v>-6.38</v>
      </c>
      <c r="AF18" s="5">
        <v>0.89400000000000002</v>
      </c>
      <c r="AG18" s="5">
        <v>-5.585</v>
      </c>
      <c r="AH18" s="5">
        <v>1.59</v>
      </c>
      <c r="AI18" s="5" t="s">
        <v>99</v>
      </c>
      <c r="AK18" s="5">
        <f t="shared" si="0"/>
        <v>0.69499999999999984</v>
      </c>
      <c r="AL18" s="8">
        <f t="shared" si="1"/>
        <v>-0.5</v>
      </c>
      <c r="AN18" s="1">
        <f t="shared" si="13"/>
        <v>93.7</v>
      </c>
      <c r="AO18" s="1">
        <f t="shared" si="14"/>
        <v>89.8</v>
      </c>
      <c r="AP18" s="1">
        <f t="shared" si="15"/>
        <v>81.900000000000006</v>
      </c>
      <c r="AQ18" s="17">
        <f t="shared" si="2"/>
        <v>0.56699999999999995</v>
      </c>
      <c r="AR18" s="22">
        <f t="shared" si="16"/>
        <v>0.125</v>
      </c>
      <c r="AT18" s="19">
        <f t="shared" si="3"/>
        <v>43478</v>
      </c>
      <c r="AU18" s="20">
        <f t="shared" si="4"/>
        <v>13</v>
      </c>
      <c r="AV18" s="1">
        <f t="shared" si="17"/>
        <v>-2.9</v>
      </c>
      <c r="AW18" s="1">
        <f t="shared" si="18"/>
        <v>1.7</v>
      </c>
      <c r="AX18" s="1">
        <f t="shared" si="19"/>
        <v>-5.3</v>
      </c>
      <c r="AY18" s="1">
        <f t="shared" si="8"/>
        <v>89.8</v>
      </c>
      <c r="AZ18" s="1">
        <f t="shared" si="9"/>
        <v>81.900000000000006</v>
      </c>
      <c r="BA18" s="1">
        <f t="shared" si="20"/>
        <v>0.69499999999999984</v>
      </c>
      <c r="BB18" s="5">
        <f t="shared" si="21"/>
        <v>-0.5</v>
      </c>
      <c r="BC18" s="1">
        <f t="shared" si="10"/>
        <v>-4.4000000000000004</v>
      </c>
      <c r="BD18" s="1">
        <f t="shared" si="11"/>
        <v>-0.5</v>
      </c>
      <c r="BE18" s="1">
        <f t="shared" si="12"/>
        <v>-6.4</v>
      </c>
      <c r="BF18" s="5">
        <f t="shared" si="22"/>
        <v>0</v>
      </c>
      <c r="BG18" s="5">
        <f t="shared" si="23"/>
        <v>0.4</v>
      </c>
      <c r="BH18" s="5">
        <f t="shared" si="24"/>
        <v>1.1000000000000001</v>
      </c>
      <c r="BI18" s="5" t="str">
        <f t="shared" si="25"/>
        <v>NAN</v>
      </c>
      <c r="BJ18" s="10">
        <f t="shared" si="26"/>
        <v>0.56699999999999995</v>
      </c>
      <c r="BK18" s="10">
        <f t="shared" si="27"/>
        <v>0.125</v>
      </c>
      <c r="BM18" s="1">
        <f t="shared" si="28"/>
        <v>-2.2170000000000001</v>
      </c>
      <c r="BN18" s="1">
        <f t="shared" si="29"/>
        <v>-1.0369999999999999</v>
      </c>
    </row>
    <row r="19" spans="1:66" x14ac:dyDescent="0.2">
      <c r="A19" s="4">
        <f t="shared" si="30"/>
        <v>43479</v>
      </c>
      <c r="B19" s="1">
        <v>14</v>
      </c>
      <c r="C19" s="1">
        <v>12</v>
      </c>
      <c r="D19" s="5">
        <v>12.93</v>
      </c>
      <c r="E19" s="5">
        <v>1.821</v>
      </c>
      <c r="F19" s="5">
        <v>-4.2249999999999996</v>
      </c>
      <c r="G19" s="5">
        <v>-1.7350000000000001</v>
      </c>
      <c r="H19" s="5">
        <v>62.92</v>
      </c>
      <c r="I19" s="5">
        <v>-5.3999999999999999E-2</v>
      </c>
      <c r="J19" s="5">
        <v>-0.91300000000000003</v>
      </c>
      <c r="K19" s="5">
        <v>-1.0999999999999999E-2</v>
      </c>
      <c r="L19" s="5">
        <v>0.40799999999999997</v>
      </c>
      <c r="M19" s="5">
        <v>1.143</v>
      </c>
      <c r="N19" s="5">
        <v>2.448</v>
      </c>
      <c r="O19" s="5">
        <v>83.2</v>
      </c>
      <c r="P19" s="5">
        <v>6.0999999999999999E-2</v>
      </c>
      <c r="Q19" s="5">
        <v>-0.78100000000000003</v>
      </c>
      <c r="R19" s="5">
        <v>0.10100000000000001</v>
      </c>
      <c r="S19" s="5">
        <v>0.51400000000000001</v>
      </c>
      <c r="T19" s="5">
        <v>1.2529999999999999</v>
      </c>
      <c r="U19" s="5">
        <v>-4.4029999999999996</v>
      </c>
      <c r="V19" s="5">
        <v>35.32</v>
      </c>
      <c r="W19" s="5">
        <v>-0.155</v>
      </c>
      <c r="X19" s="5">
        <v>-1.02</v>
      </c>
      <c r="Y19" s="5">
        <v>-0.1</v>
      </c>
      <c r="Z19" s="5">
        <v>0.32600000000000001</v>
      </c>
      <c r="AA19" s="5">
        <v>1.06</v>
      </c>
      <c r="AB19" s="5">
        <v>1.591</v>
      </c>
      <c r="AC19" s="5">
        <v>-4.399</v>
      </c>
      <c r="AD19" s="5">
        <v>-0.63</v>
      </c>
      <c r="AE19" s="5">
        <v>-6.1020000000000003</v>
      </c>
      <c r="AF19" s="5">
        <v>2.6389999999999998</v>
      </c>
      <c r="AG19" s="5">
        <v>-4.5490000000000004</v>
      </c>
      <c r="AH19" s="5">
        <v>1.6</v>
      </c>
      <c r="AI19" s="5" t="s">
        <v>99</v>
      </c>
      <c r="AK19" s="5">
        <f t="shared" si="0"/>
        <v>0.68399999999999994</v>
      </c>
      <c r="AL19" s="8">
        <f t="shared" si="1"/>
        <v>-0.5</v>
      </c>
      <c r="AN19" s="1">
        <f t="shared" si="13"/>
        <v>83.2</v>
      </c>
      <c r="AO19" s="1">
        <f t="shared" si="14"/>
        <v>62.9</v>
      </c>
      <c r="AP19" s="1">
        <f t="shared" si="15"/>
        <v>35.299999999999997</v>
      </c>
      <c r="AQ19" s="17">
        <f t="shared" si="2"/>
        <v>0.25700000000000001</v>
      </c>
      <c r="AR19" s="22">
        <f t="shared" si="16"/>
        <v>0.47099999999999997</v>
      </c>
      <c r="AT19" s="19">
        <f t="shared" si="3"/>
        <v>43479</v>
      </c>
      <c r="AU19" s="20">
        <f t="shared" si="4"/>
        <v>14</v>
      </c>
      <c r="AV19" s="1">
        <f t="shared" si="17"/>
        <v>-1.7</v>
      </c>
      <c r="AW19" s="1">
        <f t="shared" si="18"/>
        <v>2.4</v>
      </c>
      <c r="AX19" s="1">
        <f t="shared" si="19"/>
        <v>-4.4000000000000004</v>
      </c>
      <c r="AY19" s="1">
        <f t="shared" si="8"/>
        <v>62.9</v>
      </c>
      <c r="AZ19" s="1">
        <f t="shared" si="9"/>
        <v>35.299999999999997</v>
      </c>
      <c r="BA19" s="1">
        <f t="shared" si="20"/>
        <v>0.68399999999999994</v>
      </c>
      <c r="BB19" s="5">
        <f t="shared" si="21"/>
        <v>-0.5</v>
      </c>
      <c r="BC19" s="1">
        <f t="shared" si="10"/>
        <v>-4.4000000000000004</v>
      </c>
      <c r="BD19" s="1">
        <f t="shared" si="11"/>
        <v>-0.6</v>
      </c>
      <c r="BE19" s="1">
        <f t="shared" si="12"/>
        <v>-6.1</v>
      </c>
      <c r="BF19" s="5">
        <f t="shared" si="22"/>
        <v>0</v>
      </c>
      <c r="BG19" s="5">
        <f t="shared" si="23"/>
        <v>0.4</v>
      </c>
      <c r="BH19" s="5">
        <f t="shared" si="24"/>
        <v>1.1000000000000001</v>
      </c>
      <c r="BI19" s="5" t="str">
        <f t="shared" si="25"/>
        <v>NAN</v>
      </c>
      <c r="BJ19" s="10">
        <f t="shared" si="26"/>
        <v>0.25700000000000001</v>
      </c>
      <c r="BK19" s="10">
        <f t="shared" si="27"/>
        <v>0.47099999999999997</v>
      </c>
      <c r="BM19" s="1">
        <f t="shared" si="28"/>
        <v>-3.0779999999999998</v>
      </c>
      <c r="BN19" s="1">
        <f t="shared" si="29"/>
        <v>-1.6990000000000007</v>
      </c>
    </row>
    <row r="20" spans="1:66" x14ac:dyDescent="0.2">
      <c r="A20" s="4">
        <f t="shared" si="30"/>
        <v>43480</v>
      </c>
      <c r="B20" s="1">
        <v>15</v>
      </c>
      <c r="C20" s="1">
        <v>12</v>
      </c>
      <c r="D20" s="5">
        <v>12.96</v>
      </c>
      <c r="E20" s="5">
        <v>-1.0329999999999999</v>
      </c>
      <c r="F20" s="5">
        <v>-6.907</v>
      </c>
      <c r="G20" s="5">
        <v>-4.6740000000000004</v>
      </c>
      <c r="H20" s="5">
        <v>73.260000000000005</v>
      </c>
      <c r="I20" s="5">
        <v>-7.0999999999999994E-2</v>
      </c>
      <c r="J20" s="5">
        <v>-0.90700000000000003</v>
      </c>
      <c r="K20" s="5">
        <v>-3.1E-2</v>
      </c>
      <c r="L20" s="5">
        <v>0.38500000000000001</v>
      </c>
      <c r="M20" s="5">
        <v>1.1160000000000001</v>
      </c>
      <c r="N20" s="5">
        <v>-0.89200000000000002</v>
      </c>
      <c r="O20" s="5">
        <v>84.9</v>
      </c>
      <c r="P20" s="5">
        <v>2.1999999999999999E-2</v>
      </c>
      <c r="Q20" s="5">
        <v>-0.80200000000000005</v>
      </c>
      <c r="R20" s="5">
        <v>0.05</v>
      </c>
      <c r="S20" s="5">
        <v>0.46600000000000003</v>
      </c>
      <c r="T20" s="5">
        <v>1.206</v>
      </c>
      <c r="U20" s="5">
        <v>-7.3710000000000004</v>
      </c>
      <c r="V20" s="5">
        <v>49.94</v>
      </c>
      <c r="W20" s="5">
        <v>-0.16</v>
      </c>
      <c r="X20" s="5">
        <v>-1.044</v>
      </c>
      <c r="Y20" s="5">
        <v>-0.11600000000000001</v>
      </c>
      <c r="Z20" s="5">
        <v>0.30199999999999999</v>
      </c>
      <c r="AA20" s="5">
        <v>1.034</v>
      </c>
      <c r="AB20" s="5">
        <v>1.597</v>
      </c>
      <c r="AC20" s="5">
        <v>-6.6239999999999997</v>
      </c>
      <c r="AD20" s="5">
        <v>-2.7589999999999999</v>
      </c>
      <c r="AE20" s="5">
        <v>-8.73</v>
      </c>
      <c r="AF20" s="5">
        <v>-0.61599999999999999</v>
      </c>
      <c r="AG20" s="5">
        <v>-7.5259999999999998</v>
      </c>
      <c r="AH20" s="5">
        <v>1.6140000000000001</v>
      </c>
      <c r="AI20" s="5" t="s">
        <v>99</v>
      </c>
      <c r="AK20" s="5">
        <f t="shared" si="0"/>
        <v>0.67799999999999994</v>
      </c>
      <c r="AL20" s="8">
        <f t="shared" si="1"/>
        <v>-0.5</v>
      </c>
      <c r="AN20" s="1">
        <f t="shared" si="13"/>
        <v>84.9</v>
      </c>
      <c r="AO20" s="1">
        <f t="shared" si="14"/>
        <v>73.3</v>
      </c>
      <c r="AP20" s="1">
        <f t="shared" si="15"/>
        <v>49.9</v>
      </c>
      <c r="AQ20" s="17">
        <f t="shared" si="2"/>
        <v>0.28499999999999998</v>
      </c>
      <c r="AR20" s="22">
        <f t="shared" si="16"/>
        <v>0.28599999999999998</v>
      </c>
      <c r="AT20" s="19">
        <f t="shared" si="3"/>
        <v>43480</v>
      </c>
      <c r="AU20" s="20">
        <f t="shared" si="4"/>
        <v>15</v>
      </c>
      <c r="AV20" s="1">
        <f t="shared" si="17"/>
        <v>-4.7</v>
      </c>
      <c r="AW20" s="1">
        <f t="shared" si="18"/>
        <v>-0.9</v>
      </c>
      <c r="AX20" s="1">
        <f t="shared" si="19"/>
        <v>-7.4</v>
      </c>
      <c r="AY20" s="1">
        <f t="shared" si="8"/>
        <v>73.3</v>
      </c>
      <c r="AZ20" s="1">
        <f t="shared" si="9"/>
        <v>49.9</v>
      </c>
      <c r="BA20" s="1">
        <f t="shared" si="20"/>
        <v>0.67799999999999994</v>
      </c>
      <c r="BB20" s="5">
        <f t="shared" si="21"/>
        <v>-0.5</v>
      </c>
      <c r="BC20" s="1">
        <f t="shared" si="10"/>
        <v>-6.6</v>
      </c>
      <c r="BD20" s="1">
        <f t="shared" si="11"/>
        <v>-2.8</v>
      </c>
      <c r="BE20" s="1">
        <f t="shared" si="12"/>
        <v>-8.6999999999999993</v>
      </c>
      <c r="BF20" s="5">
        <f t="shared" si="22"/>
        <v>0</v>
      </c>
      <c r="BG20" s="5">
        <f t="shared" si="23"/>
        <v>0.4</v>
      </c>
      <c r="BH20" s="5">
        <f t="shared" si="24"/>
        <v>1.1000000000000001</v>
      </c>
      <c r="BI20" s="5" t="str">
        <f t="shared" si="25"/>
        <v>NAN</v>
      </c>
      <c r="BJ20" s="10">
        <f t="shared" si="26"/>
        <v>0.28499999999999998</v>
      </c>
      <c r="BK20" s="10">
        <f t="shared" si="27"/>
        <v>0.28599999999999998</v>
      </c>
      <c r="BM20" s="1">
        <f t="shared" si="28"/>
        <v>-1.867</v>
      </c>
      <c r="BN20" s="1">
        <f t="shared" si="29"/>
        <v>-1.359</v>
      </c>
    </row>
    <row r="21" spans="1:66" x14ac:dyDescent="0.2">
      <c r="A21" s="4">
        <f t="shared" si="30"/>
        <v>43481</v>
      </c>
      <c r="B21" s="1">
        <v>16</v>
      </c>
      <c r="C21" s="1">
        <v>12</v>
      </c>
      <c r="D21" s="5">
        <v>12.84</v>
      </c>
      <c r="E21" s="5">
        <v>-4.0960000000000001</v>
      </c>
      <c r="F21" s="5">
        <v>-7.0830000000000002</v>
      </c>
      <c r="G21" s="5">
        <v>-5.827</v>
      </c>
      <c r="H21" s="5">
        <v>89</v>
      </c>
      <c r="I21" s="5">
        <v>-9.4E-2</v>
      </c>
      <c r="J21" s="5">
        <v>-1.0680000000000001</v>
      </c>
      <c r="K21" s="5">
        <v>-0.04</v>
      </c>
      <c r="L21" s="5">
        <v>0.376</v>
      </c>
      <c r="M21" s="5">
        <v>1.1020000000000001</v>
      </c>
      <c r="N21" s="5">
        <v>-3.2829999999999999</v>
      </c>
      <c r="O21" s="5">
        <v>93.3</v>
      </c>
      <c r="P21" s="5">
        <v>-7.0000000000000001E-3</v>
      </c>
      <c r="Q21" s="5">
        <v>-0.91900000000000004</v>
      </c>
      <c r="R21" s="5">
        <v>4.3999999999999997E-2</v>
      </c>
      <c r="S21" s="5">
        <v>0.45100000000000001</v>
      </c>
      <c r="T21" s="5">
        <v>1.179</v>
      </c>
      <c r="U21" s="5">
        <v>-7.7430000000000003</v>
      </c>
      <c r="V21" s="5">
        <v>80.400000000000006</v>
      </c>
      <c r="W21" s="5">
        <v>-0.17399999999999999</v>
      </c>
      <c r="X21" s="5">
        <v>-1.218</v>
      </c>
      <c r="Y21" s="5">
        <v>-0.115</v>
      </c>
      <c r="Z21" s="5">
        <v>0.29699999999999999</v>
      </c>
      <c r="AA21" s="5">
        <v>1.0289999999999999</v>
      </c>
      <c r="AB21" s="5">
        <v>1.603</v>
      </c>
      <c r="AC21" s="5">
        <v>-6.21</v>
      </c>
      <c r="AD21" s="5">
        <v>-4.0220000000000002</v>
      </c>
      <c r="AE21" s="5">
        <v>-8.15</v>
      </c>
      <c r="AF21" s="5">
        <v>-3.2850000000000001</v>
      </c>
      <c r="AG21" s="5">
        <v>-7.718</v>
      </c>
      <c r="AH21" s="5">
        <v>1.6180000000000001</v>
      </c>
      <c r="AI21" s="5" t="s">
        <v>99</v>
      </c>
      <c r="AK21" s="5">
        <f t="shared" si="0"/>
        <v>0.67199999999999993</v>
      </c>
      <c r="AL21" s="8">
        <f t="shared" si="1"/>
        <v>-0.6</v>
      </c>
      <c r="AN21" s="1">
        <f t="shared" si="13"/>
        <v>93.3</v>
      </c>
      <c r="AO21" s="1">
        <f t="shared" si="14"/>
        <v>89</v>
      </c>
      <c r="AP21" s="1">
        <f t="shared" si="15"/>
        <v>80.400000000000006</v>
      </c>
      <c r="AQ21" s="17">
        <f t="shared" si="2"/>
        <v>0.38500000000000001</v>
      </c>
      <c r="AR21" s="22">
        <f t="shared" si="16"/>
        <v>9.4E-2</v>
      </c>
      <c r="AT21" s="19">
        <f t="shared" si="3"/>
        <v>43481</v>
      </c>
      <c r="AU21" s="20">
        <f t="shared" si="4"/>
        <v>16</v>
      </c>
      <c r="AV21" s="1">
        <f t="shared" si="17"/>
        <v>-5.8</v>
      </c>
      <c r="AW21" s="1">
        <f t="shared" si="18"/>
        <v>-3.3</v>
      </c>
      <c r="AX21" s="1">
        <f t="shared" si="19"/>
        <v>-7.7</v>
      </c>
      <c r="AY21" s="1">
        <f t="shared" si="8"/>
        <v>89</v>
      </c>
      <c r="AZ21" s="1">
        <f t="shared" si="9"/>
        <v>80.400000000000006</v>
      </c>
      <c r="BA21" s="1">
        <f t="shared" si="20"/>
        <v>0.67199999999999993</v>
      </c>
      <c r="BB21" s="5">
        <f t="shared" si="21"/>
        <v>-0.6</v>
      </c>
      <c r="BC21" s="1">
        <f t="shared" si="10"/>
        <v>-6.2</v>
      </c>
      <c r="BD21" s="1">
        <f t="shared" si="11"/>
        <v>-4</v>
      </c>
      <c r="BE21" s="1">
        <f t="shared" si="12"/>
        <v>-8.1999999999999993</v>
      </c>
      <c r="BF21" s="5">
        <f t="shared" si="22"/>
        <v>0</v>
      </c>
      <c r="BG21" s="5">
        <f t="shared" si="23"/>
        <v>0.4</v>
      </c>
      <c r="BH21" s="5">
        <f t="shared" si="24"/>
        <v>1.1000000000000001</v>
      </c>
      <c r="BI21" s="5" t="str">
        <f t="shared" si="25"/>
        <v>NAN</v>
      </c>
      <c r="BJ21" s="10">
        <f t="shared" si="26"/>
        <v>0.38500000000000001</v>
      </c>
      <c r="BK21" s="10">
        <f t="shared" si="27"/>
        <v>9.4E-2</v>
      </c>
      <c r="BM21" s="1">
        <f t="shared" si="28"/>
        <v>-0.73900000000000032</v>
      </c>
      <c r="BN21" s="1">
        <f t="shared" si="29"/>
        <v>-0.40700000000000003</v>
      </c>
    </row>
    <row r="22" spans="1:66" x14ac:dyDescent="0.2">
      <c r="A22" s="4">
        <f t="shared" si="30"/>
        <v>43482</v>
      </c>
      <c r="B22" s="1">
        <v>17</v>
      </c>
      <c r="C22" s="1">
        <v>12</v>
      </c>
      <c r="D22" s="5">
        <v>12.75</v>
      </c>
      <c r="E22" s="5">
        <v>-3.4929999999999999</v>
      </c>
      <c r="F22" s="5">
        <v>-5.2640000000000002</v>
      </c>
      <c r="G22" s="5">
        <v>-4.5789999999999997</v>
      </c>
      <c r="H22" s="5">
        <v>93.3</v>
      </c>
      <c r="I22" s="5">
        <v>-0.10299999999999999</v>
      </c>
      <c r="J22" s="5">
        <v>-1.1739999999999999</v>
      </c>
      <c r="K22" s="5">
        <v>-4.1000000000000002E-2</v>
      </c>
      <c r="L22" s="5">
        <v>0.378</v>
      </c>
      <c r="M22" s="5">
        <v>1.1020000000000001</v>
      </c>
      <c r="N22" s="5">
        <v>-3.556</v>
      </c>
      <c r="O22" s="5">
        <v>94.3</v>
      </c>
      <c r="P22" s="5">
        <v>-2.4E-2</v>
      </c>
      <c r="Q22" s="5">
        <v>-1.0980000000000001</v>
      </c>
      <c r="R22" s="5">
        <v>3.2000000000000001E-2</v>
      </c>
      <c r="S22" s="5">
        <v>0.46500000000000002</v>
      </c>
      <c r="T22" s="5">
        <v>1.18</v>
      </c>
      <c r="U22" s="5">
        <v>-5.5789999999999997</v>
      </c>
      <c r="V22" s="5">
        <v>92.2</v>
      </c>
      <c r="W22" s="5">
        <v>-0.189</v>
      </c>
      <c r="X22" s="5">
        <v>-1.2529999999999999</v>
      </c>
      <c r="Y22" s="5">
        <v>-0.108</v>
      </c>
      <c r="Z22" s="5">
        <v>0.314</v>
      </c>
      <c r="AA22" s="5">
        <v>1.0249999999999999</v>
      </c>
      <c r="AB22" s="5">
        <v>1.61</v>
      </c>
      <c r="AC22" s="5">
        <v>-4.952</v>
      </c>
      <c r="AD22" s="5">
        <v>-3.956</v>
      </c>
      <c r="AE22" s="5">
        <v>-6.4729999999999999</v>
      </c>
      <c r="AF22" s="5">
        <v>-3.7559999999999998</v>
      </c>
      <c r="AG22" s="5">
        <v>-5.5629999999999997</v>
      </c>
      <c r="AH22" s="5">
        <v>1.625</v>
      </c>
      <c r="AI22" s="5" t="s">
        <v>99</v>
      </c>
      <c r="AK22" s="5">
        <f t="shared" si="0"/>
        <v>0.66499999999999981</v>
      </c>
      <c r="AL22" s="8">
        <f t="shared" si="1"/>
        <v>-0.6</v>
      </c>
      <c r="AN22" s="1">
        <f t="shared" si="13"/>
        <v>94.3</v>
      </c>
      <c r="AO22" s="1">
        <f t="shared" si="14"/>
        <v>93.3</v>
      </c>
      <c r="AP22" s="1">
        <f t="shared" si="15"/>
        <v>92.2</v>
      </c>
      <c r="AQ22" s="17">
        <f t="shared" si="2"/>
        <v>0.433</v>
      </c>
      <c r="AR22" s="22">
        <f t="shared" si="16"/>
        <v>3.6999999999999998E-2</v>
      </c>
      <c r="AT22" s="19">
        <f t="shared" si="3"/>
        <v>43482</v>
      </c>
      <c r="AU22" s="20">
        <f t="shared" si="4"/>
        <v>17</v>
      </c>
      <c r="AV22" s="1">
        <f t="shared" si="17"/>
        <v>-4.5999999999999996</v>
      </c>
      <c r="AW22" s="1">
        <f t="shared" si="18"/>
        <v>-3.6</v>
      </c>
      <c r="AX22" s="1">
        <f t="shared" si="19"/>
        <v>-5.6</v>
      </c>
      <c r="AY22" s="1">
        <f t="shared" si="8"/>
        <v>93.3</v>
      </c>
      <c r="AZ22" s="1">
        <f t="shared" si="9"/>
        <v>92.2</v>
      </c>
      <c r="BA22" s="1">
        <f t="shared" si="20"/>
        <v>0.66499999999999981</v>
      </c>
      <c r="BB22" s="5">
        <f t="shared" si="21"/>
        <v>-0.6</v>
      </c>
      <c r="BC22" s="1">
        <f t="shared" si="10"/>
        <v>-5</v>
      </c>
      <c r="BD22" s="1">
        <f t="shared" si="11"/>
        <v>-4</v>
      </c>
      <c r="BE22" s="1">
        <f t="shared" si="12"/>
        <v>-6.5</v>
      </c>
      <c r="BF22" s="5">
        <f t="shared" si="22"/>
        <v>0</v>
      </c>
      <c r="BG22" s="5">
        <f t="shared" si="23"/>
        <v>0.4</v>
      </c>
      <c r="BH22" s="5">
        <f t="shared" si="24"/>
        <v>1.1000000000000001</v>
      </c>
      <c r="BI22" s="5" t="str">
        <f t="shared" si="25"/>
        <v>NAN</v>
      </c>
      <c r="BJ22" s="10">
        <f t="shared" si="26"/>
        <v>0.433</v>
      </c>
      <c r="BK22" s="10">
        <f t="shared" si="27"/>
        <v>3.6999999999999998E-2</v>
      </c>
      <c r="BM22" s="1">
        <f t="shared" si="28"/>
        <v>-0.39999999999999991</v>
      </c>
      <c r="BN22" s="1">
        <f t="shared" si="29"/>
        <v>-0.89400000000000013</v>
      </c>
    </row>
    <row r="23" spans="1:66" x14ac:dyDescent="0.2">
      <c r="A23" s="4">
        <f t="shared" si="30"/>
        <v>43483</v>
      </c>
      <c r="B23" s="1">
        <v>18</v>
      </c>
      <c r="C23" s="1">
        <v>12</v>
      </c>
      <c r="D23" s="5">
        <v>12.74</v>
      </c>
      <c r="E23" s="5">
        <v>-3.0840000000000001</v>
      </c>
      <c r="F23" s="5">
        <v>-5.6779999999999999</v>
      </c>
      <c r="G23" s="5">
        <v>-4.7830000000000004</v>
      </c>
      <c r="H23" s="5">
        <v>92.5</v>
      </c>
      <c r="I23" s="5">
        <v>-9.5000000000000001E-2</v>
      </c>
      <c r="J23" s="5">
        <v>-1.101</v>
      </c>
      <c r="K23" s="5">
        <v>-4.1000000000000002E-2</v>
      </c>
      <c r="L23" s="5">
        <v>0.375</v>
      </c>
      <c r="M23" s="5">
        <v>1.0960000000000001</v>
      </c>
      <c r="N23" s="5">
        <v>-3.4220000000000002</v>
      </c>
      <c r="O23" s="5">
        <v>94.2</v>
      </c>
      <c r="P23" s="5">
        <v>-7.0000000000000001E-3</v>
      </c>
      <c r="Q23" s="5">
        <v>-1.0029999999999999</v>
      </c>
      <c r="R23" s="5">
        <v>3.7999999999999999E-2</v>
      </c>
      <c r="S23" s="5">
        <v>0.46100000000000002</v>
      </c>
      <c r="T23" s="5">
        <v>1.173</v>
      </c>
      <c r="U23" s="5">
        <v>-5.9850000000000003</v>
      </c>
      <c r="V23" s="5">
        <v>90.2</v>
      </c>
      <c r="W23" s="5">
        <v>-0.17799999999999999</v>
      </c>
      <c r="X23" s="5">
        <v>-1.2030000000000001</v>
      </c>
      <c r="Y23" s="5">
        <v>-0.113</v>
      </c>
      <c r="Z23" s="5">
        <v>0.30399999999999999</v>
      </c>
      <c r="AA23" s="5">
        <v>1.0209999999999999</v>
      </c>
      <c r="AB23" s="5">
        <v>1.5589999999999999</v>
      </c>
      <c r="AC23" s="5">
        <v>-5.5609999999999999</v>
      </c>
      <c r="AD23" s="5">
        <v>-4.4530000000000003</v>
      </c>
      <c r="AE23" s="5">
        <v>-6.9390000000000001</v>
      </c>
      <c r="AF23" s="5">
        <v>-3.3330000000000002</v>
      </c>
      <c r="AG23" s="5">
        <v>-6.0949999999999998</v>
      </c>
      <c r="AH23" s="5">
        <v>1.5760000000000001</v>
      </c>
      <c r="AI23" s="5" t="s">
        <v>99</v>
      </c>
      <c r="AK23" s="5">
        <f t="shared" si="0"/>
        <v>0.71599999999999997</v>
      </c>
      <c r="AL23" s="8">
        <f t="shared" si="1"/>
        <v>-0.6</v>
      </c>
      <c r="AN23" s="1">
        <f t="shared" si="13"/>
        <v>94.2</v>
      </c>
      <c r="AO23" s="1">
        <f t="shared" si="14"/>
        <v>92.5</v>
      </c>
      <c r="AP23" s="1">
        <f t="shared" si="15"/>
        <v>90.2</v>
      </c>
      <c r="AQ23" s="17">
        <f t="shared" si="2"/>
        <v>0.42799999999999999</v>
      </c>
      <c r="AR23" s="22">
        <f t="shared" si="16"/>
        <v>4.7E-2</v>
      </c>
      <c r="AT23" s="19">
        <f t="shared" si="3"/>
        <v>43483</v>
      </c>
      <c r="AU23" s="20">
        <f t="shared" si="4"/>
        <v>18</v>
      </c>
      <c r="AV23" s="1">
        <f t="shared" si="17"/>
        <v>-4.8</v>
      </c>
      <c r="AW23" s="1">
        <f t="shared" si="18"/>
        <v>-3.4</v>
      </c>
      <c r="AX23" s="1">
        <f t="shared" si="19"/>
        <v>-6</v>
      </c>
      <c r="AY23" s="1">
        <f t="shared" si="8"/>
        <v>92.5</v>
      </c>
      <c r="AZ23" s="1">
        <f t="shared" si="9"/>
        <v>90.2</v>
      </c>
      <c r="BA23" s="1">
        <f t="shared" si="20"/>
        <v>0.71599999999999997</v>
      </c>
      <c r="BB23" s="5">
        <f t="shared" si="21"/>
        <v>-0.6</v>
      </c>
      <c r="BC23" s="1">
        <f t="shared" si="10"/>
        <v>-5.6</v>
      </c>
      <c r="BD23" s="1">
        <f t="shared" si="11"/>
        <v>-4.5</v>
      </c>
      <c r="BE23" s="1">
        <f t="shared" si="12"/>
        <v>-6.9</v>
      </c>
      <c r="BF23" s="5">
        <f t="shared" si="22"/>
        <v>0</v>
      </c>
      <c r="BG23" s="5">
        <f t="shared" si="23"/>
        <v>0.4</v>
      </c>
      <c r="BH23" s="5">
        <f t="shared" si="24"/>
        <v>1.1000000000000001</v>
      </c>
      <c r="BI23" s="5" t="str">
        <f t="shared" si="25"/>
        <v>NAN</v>
      </c>
      <c r="BJ23" s="10">
        <f t="shared" si="26"/>
        <v>0.42799999999999999</v>
      </c>
      <c r="BK23" s="10">
        <f t="shared" si="27"/>
        <v>4.7E-2</v>
      </c>
      <c r="BM23" s="1">
        <f t="shared" si="28"/>
        <v>-1.0310000000000001</v>
      </c>
      <c r="BN23" s="1">
        <f t="shared" si="29"/>
        <v>-0.95399999999999974</v>
      </c>
    </row>
    <row r="24" spans="1:66" x14ac:dyDescent="0.2">
      <c r="A24" s="4">
        <f t="shared" si="30"/>
        <v>43484</v>
      </c>
      <c r="B24" s="1">
        <v>19</v>
      </c>
      <c r="C24" s="1">
        <v>12</v>
      </c>
      <c r="D24" s="5">
        <v>12.89</v>
      </c>
      <c r="E24" s="5">
        <v>-3.0640000000000001</v>
      </c>
      <c r="F24" s="5">
        <v>-6.8410000000000002</v>
      </c>
      <c r="G24" s="5">
        <v>-5.242</v>
      </c>
      <c r="H24" s="5">
        <v>91.4</v>
      </c>
      <c r="I24" s="5">
        <v>-8.6999999999999994E-2</v>
      </c>
      <c r="J24" s="5">
        <v>-1.0489999999999999</v>
      </c>
      <c r="K24" s="5">
        <v>-3.5999999999999997E-2</v>
      </c>
      <c r="L24" s="5">
        <v>0.376</v>
      </c>
      <c r="M24" s="5">
        <v>1.0920000000000001</v>
      </c>
      <c r="N24" s="5">
        <v>-3.391</v>
      </c>
      <c r="O24" s="5">
        <v>94.2</v>
      </c>
      <c r="P24" s="5">
        <v>-8.0000000000000002E-3</v>
      </c>
      <c r="Q24" s="5">
        <v>-0.96799999999999997</v>
      </c>
      <c r="R24" s="5">
        <v>4.2999999999999997E-2</v>
      </c>
      <c r="S24" s="5">
        <v>0.45400000000000001</v>
      </c>
      <c r="T24" s="5">
        <v>1.18</v>
      </c>
      <c r="U24" s="5">
        <v>-7.6079999999999997</v>
      </c>
      <c r="V24" s="5">
        <v>85.2</v>
      </c>
      <c r="W24" s="5">
        <v>-0.16900000000000001</v>
      </c>
      <c r="X24" s="5">
        <v>-1.133</v>
      </c>
      <c r="Y24" s="5">
        <v>-0.11</v>
      </c>
      <c r="Z24" s="5">
        <v>0.30499999999999999</v>
      </c>
      <c r="AA24" s="5">
        <v>1.006</v>
      </c>
      <c r="AB24" s="5">
        <v>1.5429999999999999</v>
      </c>
      <c r="AC24" s="5">
        <v>-6.077</v>
      </c>
      <c r="AD24" s="5">
        <v>-3.956</v>
      </c>
      <c r="AE24" s="5">
        <v>-9.09</v>
      </c>
      <c r="AF24" s="5">
        <v>-3.4969999999999999</v>
      </c>
      <c r="AG24" s="5">
        <v>-7.65</v>
      </c>
      <c r="AH24" s="5">
        <v>1.5640000000000001</v>
      </c>
      <c r="AI24" s="5" t="s">
        <v>99</v>
      </c>
      <c r="AK24" s="5">
        <f t="shared" si="0"/>
        <v>0.73199999999999998</v>
      </c>
      <c r="AL24" s="8">
        <f t="shared" si="1"/>
        <v>-0.5</v>
      </c>
      <c r="AN24" s="1">
        <f t="shared" si="13"/>
        <v>94.2</v>
      </c>
      <c r="AO24" s="1">
        <f t="shared" si="14"/>
        <v>91.4</v>
      </c>
      <c r="AP24" s="1">
        <f t="shared" si="15"/>
        <v>85.2</v>
      </c>
      <c r="AQ24" s="17">
        <f t="shared" si="2"/>
        <v>0.40500000000000003</v>
      </c>
      <c r="AR24" s="22">
        <f t="shared" si="16"/>
        <v>7.0000000000000007E-2</v>
      </c>
      <c r="AT24" s="19">
        <f t="shared" si="3"/>
        <v>43484</v>
      </c>
      <c r="AU24" s="20">
        <f t="shared" si="4"/>
        <v>19</v>
      </c>
      <c r="AV24" s="1">
        <f t="shared" si="17"/>
        <v>-5.2</v>
      </c>
      <c r="AW24" s="1">
        <f t="shared" si="18"/>
        <v>-3.4</v>
      </c>
      <c r="AX24" s="1">
        <f t="shared" si="19"/>
        <v>-7.6</v>
      </c>
      <c r="AY24" s="1">
        <f t="shared" si="8"/>
        <v>91.4</v>
      </c>
      <c r="AZ24" s="1">
        <f t="shared" si="9"/>
        <v>85.2</v>
      </c>
      <c r="BA24" s="1">
        <f t="shared" si="20"/>
        <v>0.73199999999999998</v>
      </c>
      <c r="BB24" s="5">
        <f t="shared" si="21"/>
        <v>-0.5</v>
      </c>
      <c r="BC24" s="1">
        <f t="shared" si="10"/>
        <v>-6.1</v>
      </c>
      <c r="BD24" s="1">
        <f t="shared" si="11"/>
        <v>-4</v>
      </c>
      <c r="BE24" s="1">
        <f t="shared" si="12"/>
        <v>-9.1</v>
      </c>
      <c r="BF24" s="5">
        <f t="shared" si="22"/>
        <v>0</v>
      </c>
      <c r="BG24" s="5">
        <f t="shared" si="23"/>
        <v>0.4</v>
      </c>
      <c r="BH24" s="5">
        <f t="shared" si="24"/>
        <v>1.1000000000000001</v>
      </c>
      <c r="BI24" s="5" t="str">
        <f t="shared" si="25"/>
        <v>NAN</v>
      </c>
      <c r="BJ24" s="10">
        <f t="shared" si="26"/>
        <v>0.40500000000000003</v>
      </c>
      <c r="BK24" s="10">
        <f t="shared" si="27"/>
        <v>7.0000000000000007E-2</v>
      </c>
      <c r="BM24" s="1">
        <f t="shared" si="28"/>
        <v>-0.56499999999999995</v>
      </c>
      <c r="BN24" s="1">
        <f t="shared" si="29"/>
        <v>-1.4820000000000002</v>
      </c>
    </row>
    <row r="25" spans="1:66" x14ac:dyDescent="0.2">
      <c r="A25" s="4">
        <f t="shared" si="30"/>
        <v>43485</v>
      </c>
      <c r="B25" s="1">
        <v>20</v>
      </c>
      <c r="C25" s="1">
        <v>12</v>
      </c>
      <c r="D25" s="5">
        <v>12.78</v>
      </c>
      <c r="E25" s="5">
        <v>-5.5259999999999998</v>
      </c>
      <c r="F25" s="5">
        <v>-9.2799999999999994</v>
      </c>
      <c r="G25" s="5">
        <v>-7.952</v>
      </c>
      <c r="H25" s="5">
        <v>89.1</v>
      </c>
      <c r="I25" s="5">
        <v>-0.10100000000000001</v>
      </c>
      <c r="J25" s="5">
        <v>-1.0409999999999999</v>
      </c>
      <c r="K25" s="5">
        <v>-5.2999999999999999E-2</v>
      </c>
      <c r="L25" s="5">
        <v>0.35399999999999998</v>
      </c>
      <c r="M25" s="5">
        <v>1.069</v>
      </c>
      <c r="N25" s="5">
        <v>-5.6470000000000002</v>
      </c>
      <c r="O25" s="5">
        <v>92.8</v>
      </c>
      <c r="P25" s="5">
        <v>-1.0999999999999999E-2</v>
      </c>
      <c r="Q25" s="5">
        <v>-0.93</v>
      </c>
      <c r="R25" s="5">
        <v>4.7E-2</v>
      </c>
      <c r="S25" s="5">
        <v>0.441</v>
      </c>
      <c r="T25" s="5">
        <v>1.159</v>
      </c>
      <c r="U25" s="5">
        <v>-9.86</v>
      </c>
      <c r="V25" s="5">
        <v>81.599999999999994</v>
      </c>
      <c r="W25" s="5">
        <v>-0.184</v>
      </c>
      <c r="X25" s="5">
        <v>-1.139</v>
      </c>
      <c r="Y25" s="5">
        <v>-0.13400000000000001</v>
      </c>
      <c r="Z25" s="5">
        <v>0.27400000000000002</v>
      </c>
      <c r="AA25" s="5">
        <v>0.98499999999999999</v>
      </c>
      <c r="AB25" s="5">
        <v>1.552</v>
      </c>
      <c r="AC25" s="5">
        <v>-9.0500000000000007</v>
      </c>
      <c r="AD25" s="5">
        <v>-6.7460000000000004</v>
      </c>
      <c r="AE25" s="5">
        <v>-11.7</v>
      </c>
      <c r="AF25" s="5">
        <v>-5.2210000000000001</v>
      </c>
      <c r="AG25" s="5">
        <v>-10.17</v>
      </c>
      <c r="AH25" s="5">
        <v>1.581</v>
      </c>
      <c r="AI25" s="5" t="s">
        <v>99</v>
      </c>
      <c r="AK25" s="5">
        <f t="shared" si="0"/>
        <v>0.72299999999999986</v>
      </c>
      <c r="AL25" s="8">
        <f t="shared" si="1"/>
        <v>-0.5</v>
      </c>
      <c r="AN25" s="1">
        <f t="shared" si="13"/>
        <v>92.8</v>
      </c>
      <c r="AO25" s="1">
        <f t="shared" si="14"/>
        <v>89.1</v>
      </c>
      <c r="AP25" s="1">
        <f t="shared" si="15"/>
        <v>81.599999999999994</v>
      </c>
      <c r="AQ25" s="17">
        <f t="shared" si="2"/>
        <v>0.32700000000000001</v>
      </c>
      <c r="AR25" s="22">
        <f t="shared" si="16"/>
        <v>7.3999999999999996E-2</v>
      </c>
      <c r="AT25" s="19">
        <f t="shared" si="3"/>
        <v>43485</v>
      </c>
      <c r="AU25" s="20">
        <f t="shared" si="4"/>
        <v>20</v>
      </c>
      <c r="AV25" s="1">
        <f t="shared" si="17"/>
        <v>-8</v>
      </c>
      <c r="AW25" s="1">
        <f t="shared" si="18"/>
        <v>-5.6</v>
      </c>
      <c r="AX25" s="1">
        <f t="shared" si="19"/>
        <v>-9.9</v>
      </c>
      <c r="AY25" s="1">
        <f t="shared" si="8"/>
        <v>89.1</v>
      </c>
      <c r="AZ25" s="1">
        <f t="shared" si="9"/>
        <v>81.599999999999994</v>
      </c>
      <c r="BA25" s="1">
        <f t="shared" si="20"/>
        <v>0.72299999999999986</v>
      </c>
      <c r="BB25" s="5">
        <f t="shared" si="21"/>
        <v>-0.5</v>
      </c>
      <c r="BC25" s="1">
        <f t="shared" si="10"/>
        <v>-9.1</v>
      </c>
      <c r="BD25" s="1">
        <f t="shared" si="11"/>
        <v>-6.7</v>
      </c>
      <c r="BE25" s="1">
        <f t="shared" si="12"/>
        <v>-11.7</v>
      </c>
      <c r="BF25" s="5">
        <f t="shared" si="22"/>
        <v>-0.1</v>
      </c>
      <c r="BG25" s="5">
        <f t="shared" si="23"/>
        <v>0.4</v>
      </c>
      <c r="BH25" s="5">
        <f t="shared" si="24"/>
        <v>1.1000000000000001</v>
      </c>
      <c r="BI25" s="5" t="str">
        <f t="shared" si="25"/>
        <v>NAN</v>
      </c>
      <c r="BJ25" s="10">
        <f t="shared" si="26"/>
        <v>0.32700000000000001</v>
      </c>
      <c r="BK25" s="10">
        <f t="shared" si="27"/>
        <v>7.3999999999999996E-2</v>
      </c>
      <c r="BM25" s="1">
        <f t="shared" si="28"/>
        <v>-1.0990000000000002</v>
      </c>
      <c r="BN25" s="1">
        <f t="shared" si="29"/>
        <v>-1.8399999999999999</v>
      </c>
    </row>
    <row r="26" spans="1:66" x14ac:dyDescent="0.2">
      <c r="A26" s="4">
        <f t="shared" si="30"/>
        <v>43486</v>
      </c>
      <c r="B26" s="1">
        <v>21</v>
      </c>
      <c r="C26" s="1">
        <v>12</v>
      </c>
      <c r="D26" s="5">
        <v>12.89</v>
      </c>
      <c r="E26" s="5">
        <v>-6.7530000000000001</v>
      </c>
      <c r="F26" s="5">
        <v>-10.35</v>
      </c>
      <c r="G26" s="5">
        <v>-9.32</v>
      </c>
      <c r="H26" s="5">
        <v>88.9</v>
      </c>
      <c r="I26" s="5">
        <v>-0.11600000000000001</v>
      </c>
      <c r="J26" s="5">
        <v>-1.1559999999999999</v>
      </c>
      <c r="K26" s="5">
        <v>-6.2E-2</v>
      </c>
      <c r="L26" s="5">
        <v>0.34399999999999997</v>
      </c>
      <c r="M26" s="5">
        <v>1.0549999999999999</v>
      </c>
      <c r="N26" s="5">
        <v>-7.6749999999999998</v>
      </c>
      <c r="O26" s="5">
        <v>90.9</v>
      </c>
      <c r="P26" s="5">
        <v>-4.1000000000000002E-2</v>
      </c>
      <c r="Q26" s="5">
        <v>-1.0149999999999999</v>
      </c>
      <c r="R26" s="5">
        <v>2.8000000000000001E-2</v>
      </c>
      <c r="S26" s="5">
        <v>0.432</v>
      </c>
      <c r="T26" s="5">
        <v>1.1439999999999999</v>
      </c>
      <c r="U26" s="5">
        <v>-10.61</v>
      </c>
      <c r="V26" s="5">
        <v>79.89</v>
      </c>
      <c r="W26" s="5">
        <v>-0.20200000000000001</v>
      </c>
      <c r="X26" s="5">
        <v>-1.3180000000000001</v>
      </c>
      <c r="Y26" s="5">
        <v>-0.14099999999999999</v>
      </c>
      <c r="Z26" s="5">
        <v>0.26800000000000002</v>
      </c>
      <c r="AA26" s="5">
        <v>0.97399999999999998</v>
      </c>
      <c r="AB26" s="5">
        <v>1.5609999999999999</v>
      </c>
      <c r="AC26" s="5">
        <v>-10.18</v>
      </c>
      <c r="AD26" s="5">
        <v>-7.2679999999999998</v>
      </c>
      <c r="AE26" s="5">
        <v>-12.24</v>
      </c>
      <c r="AF26" s="5">
        <v>-7.3460000000000001</v>
      </c>
      <c r="AG26" s="5">
        <v>-10.85</v>
      </c>
      <c r="AH26" s="5">
        <v>1.589</v>
      </c>
      <c r="AI26" s="5" t="s">
        <v>99</v>
      </c>
      <c r="AK26" s="5">
        <f t="shared" si="0"/>
        <v>0.71399999999999997</v>
      </c>
      <c r="AL26" s="8">
        <f t="shared" si="1"/>
        <v>-0.6</v>
      </c>
      <c r="AN26" s="1">
        <f t="shared" si="13"/>
        <v>90.9</v>
      </c>
      <c r="AO26" s="1">
        <f t="shared" si="14"/>
        <v>88.9</v>
      </c>
      <c r="AP26" s="1">
        <f t="shared" si="15"/>
        <v>79.900000000000006</v>
      </c>
      <c r="AQ26" s="17">
        <f t="shared" si="2"/>
        <v>0.27400000000000002</v>
      </c>
      <c r="AR26" s="22">
        <f t="shared" si="16"/>
        <v>6.9000000000000006E-2</v>
      </c>
      <c r="AT26" s="19">
        <f t="shared" si="3"/>
        <v>43486</v>
      </c>
      <c r="AU26" s="20">
        <f t="shared" si="4"/>
        <v>21</v>
      </c>
      <c r="AV26" s="1">
        <f t="shared" si="17"/>
        <v>-9.3000000000000007</v>
      </c>
      <c r="AW26" s="1">
        <f t="shared" si="18"/>
        <v>-7.7</v>
      </c>
      <c r="AX26" s="1">
        <f t="shared" si="19"/>
        <v>-10.6</v>
      </c>
      <c r="AY26" s="1">
        <f t="shared" si="8"/>
        <v>88.9</v>
      </c>
      <c r="AZ26" s="1">
        <f t="shared" si="9"/>
        <v>79.900000000000006</v>
      </c>
      <c r="BA26" s="1">
        <f t="shared" si="20"/>
        <v>0.71399999999999997</v>
      </c>
      <c r="BB26" s="5">
        <f t="shared" si="21"/>
        <v>-0.6</v>
      </c>
      <c r="BC26" s="1">
        <f t="shared" si="10"/>
        <v>-10.199999999999999</v>
      </c>
      <c r="BD26" s="1">
        <f t="shared" si="11"/>
        <v>-7.3</v>
      </c>
      <c r="BE26" s="1">
        <f t="shared" si="12"/>
        <v>-12.2</v>
      </c>
      <c r="BF26" s="5">
        <f t="shared" si="22"/>
        <v>-0.1</v>
      </c>
      <c r="BG26" s="5">
        <f t="shared" si="23"/>
        <v>0.3</v>
      </c>
      <c r="BH26" s="5">
        <f t="shared" si="24"/>
        <v>1.1000000000000001</v>
      </c>
      <c r="BI26" s="5" t="str">
        <f t="shared" si="25"/>
        <v>NAN</v>
      </c>
      <c r="BJ26" s="10">
        <f t="shared" si="26"/>
        <v>0.27400000000000002</v>
      </c>
      <c r="BK26" s="10">
        <f t="shared" si="27"/>
        <v>6.9000000000000006E-2</v>
      </c>
      <c r="BM26" s="1">
        <f t="shared" si="28"/>
        <v>0.40700000000000003</v>
      </c>
      <c r="BN26" s="1">
        <f t="shared" si="29"/>
        <v>-1.6300000000000008</v>
      </c>
    </row>
    <row r="27" spans="1:66" x14ac:dyDescent="0.2">
      <c r="A27" s="4">
        <f t="shared" si="30"/>
        <v>43487</v>
      </c>
      <c r="B27" s="1">
        <v>22</v>
      </c>
      <c r="C27" s="1">
        <v>12</v>
      </c>
      <c r="D27" s="5">
        <v>12.74</v>
      </c>
      <c r="E27" s="5">
        <v>-5.6349999999999998</v>
      </c>
      <c r="F27" s="5">
        <v>-9.7799999999999994</v>
      </c>
      <c r="G27" s="5">
        <v>-7.6130000000000004</v>
      </c>
      <c r="H27" s="5">
        <v>90.3</v>
      </c>
      <c r="I27" s="5">
        <v>-0.125</v>
      </c>
      <c r="J27" s="5">
        <v>-1.3220000000000001</v>
      </c>
      <c r="K27" s="5">
        <v>-5.8000000000000003E-2</v>
      </c>
      <c r="L27" s="5">
        <v>0.35299999999999998</v>
      </c>
      <c r="M27" s="5">
        <v>1.0580000000000001</v>
      </c>
      <c r="N27" s="5">
        <v>-5.2409999999999997</v>
      </c>
      <c r="O27" s="5">
        <v>92.6</v>
      </c>
      <c r="P27" s="5">
        <v>-4.8000000000000001E-2</v>
      </c>
      <c r="Q27" s="5">
        <v>-1.1830000000000001</v>
      </c>
      <c r="R27" s="5">
        <v>0.02</v>
      </c>
      <c r="S27" s="5">
        <v>0.437</v>
      </c>
      <c r="T27" s="5">
        <v>1.133</v>
      </c>
      <c r="U27" s="5">
        <v>-9.6300000000000008</v>
      </c>
      <c r="V27" s="5">
        <v>85.3</v>
      </c>
      <c r="W27" s="5">
        <v>-0.20799999999999999</v>
      </c>
      <c r="X27" s="5">
        <v>-1.4490000000000001</v>
      </c>
      <c r="Y27" s="5">
        <v>-0.13</v>
      </c>
      <c r="Z27" s="5">
        <v>0.27900000000000003</v>
      </c>
      <c r="AA27" s="5">
        <v>0.96899999999999997</v>
      </c>
      <c r="AB27" s="5">
        <v>1.498</v>
      </c>
      <c r="AC27" s="5">
        <v>-7.9470000000000001</v>
      </c>
      <c r="AD27" s="5">
        <v>-5.7729999999999997</v>
      </c>
      <c r="AE27" s="5">
        <v>-10.36</v>
      </c>
      <c r="AF27" s="5">
        <v>-5.6959999999999997</v>
      </c>
      <c r="AG27" s="5">
        <v>-9.83</v>
      </c>
      <c r="AH27" s="5">
        <v>1.522</v>
      </c>
      <c r="AI27" s="5" t="s">
        <v>99</v>
      </c>
      <c r="AK27" s="5">
        <f t="shared" si="0"/>
        <v>0.77699999999999991</v>
      </c>
      <c r="AL27" s="8">
        <f t="shared" si="1"/>
        <v>-0.7</v>
      </c>
      <c r="AN27" s="1">
        <f t="shared" si="13"/>
        <v>92.6</v>
      </c>
      <c r="AO27" s="1">
        <f t="shared" si="14"/>
        <v>90.3</v>
      </c>
      <c r="AP27" s="1">
        <f t="shared" si="15"/>
        <v>85.3</v>
      </c>
      <c r="AQ27" s="17">
        <f t="shared" si="2"/>
        <v>0.35299999999999998</v>
      </c>
      <c r="AR27" s="22">
        <f t="shared" si="16"/>
        <v>6.0999999999999999E-2</v>
      </c>
      <c r="AT27" s="19">
        <f t="shared" si="3"/>
        <v>43487</v>
      </c>
      <c r="AU27" s="20">
        <f t="shared" si="4"/>
        <v>22</v>
      </c>
      <c r="AV27" s="1">
        <f t="shared" si="17"/>
        <v>-7.6</v>
      </c>
      <c r="AW27" s="1">
        <f t="shared" si="18"/>
        <v>-5.2</v>
      </c>
      <c r="AX27" s="1">
        <f t="shared" si="19"/>
        <v>-9.6</v>
      </c>
      <c r="AY27" s="1">
        <f t="shared" si="8"/>
        <v>90.3</v>
      </c>
      <c r="AZ27" s="1">
        <f t="shared" si="9"/>
        <v>85.3</v>
      </c>
      <c r="BA27" s="1">
        <f t="shared" si="20"/>
        <v>0.77699999999999991</v>
      </c>
      <c r="BB27" s="5">
        <f t="shared" si="21"/>
        <v>-0.7</v>
      </c>
      <c r="BC27" s="1">
        <f t="shared" si="10"/>
        <v>-7.9</v>
      </c>
      <c r="BD27" s="1">
        <f t="shared" si="11"/>
        <v>-5.8</v>
      </c>
      <c r="BE27" s="1">
        <f t="shared" si="12"/>
        <v>-10.4</v>
      </c>
      <c r="BF27" s="5">
        <f t="shared" si="22"/>
        <v>-0.1</v>
      </c>
      <c r="BG27" s="5">
        <f t="shared" si="23"/>
        <v>0.4</v>
      </c>
      <c r="BH27" s="5">
        <f t="shared" si="24"/>
        <v>1.1000000000000001</v>
      </c>
      <c r="BI27" s="5" t="str">
        <f t="shared" si="25"/>
        <v>NAN</v>
      </c>
      <c r="BJ27" s="10">
        <f t="shared" si="26"/>
        <v>0.35299999999999998</v>
      </c>
      <c r="BK27" s="10">
        <f t="shared" si="27"/>
        <v>6.0999999999999999E-2</v>
      </c>
      <c r="BM27" s="1">
        <f t="shared" si="28"/>
        <v>-0.53200000000000003</v>
      </c>
      <c r="BN27" s="1">
        <f t="shared" si="29"/>
        <v>-0.72999999999999865</v>
      </c>
    </row>
    <row r="28" spans="1:66" x14ac:dyDescent="0.2">
      <c r="A28" s="4">
        <f t="shared" si="30"/>
        <v>43488</v>
      </c>
      <c r="B28" s="1">
        <v>23</v>
      </c>
      <c r="C28" s="1">
        <v>12</v>
      </c>
      <c r="D28" s="5">
        <v>12.73</v>
      </c>
      <c r="E28" s="5">
        <v>-5.5919999999999996</v>
      </c>
      <c r="F28" s="5">
        <v>-8.19</v>
      </c>
      <c r="G28" s="5">
        <v>-7.0590000000000002</v>
      </c>
      <c r="H28" s="5">
        <v>91.3</v>
      </c>
      <c r="I28" s="5">
        <v>-0.13100000000000001</v>
      </c>
      <c r="J28" s="5">
        <v>-1.3939999999999999</v>
      </c>
      <c r="K28" s="5">
        <v>-6.2E-2</v>
      </c>
      <c r="L28" s="5">
        <v>0.35099999999999998</v>
      </c>
      <c r="M28" s="5">
        <v>1.054</v>
      </c>
      <c r="N28" s="5">
        <v>-5.6470000000000002</v>
      </c>
      <c r="O28" s="5">
        <v>92.7</v>
      </c>
      <c r="P28" s="5">
        <v>-4.9000000000000002E-2</v>
      </c>
      <c r="Q28" s="5">
        <v>-1.298</v>
      </c>
      <c r="R28" s="5">
        <v>3.3000000000000002E-2</v>
      </c>
      <c r="S28" s="5">
        <v>0.438</v>
      </c>
      <c r="T28" s="5">
        <v>1.1319999999999999</v>
      </c>
      <c r="U28" s="5">
        <v>-8.59</v>
      </c>
      <c r="V28" s="5">
        <v>89.4</v>
      </c>
      <c r="W28" s="5">
        <v>-0.222</v>
      </c>
      <c r="X28" s="5">
        <v>-1.502</v>
      </c>
      <c r="Y28" s="5">
        <v>-0.13300000000000001</v>
      </c>
      <c r="Z28" s="5">
        <v>0.27200000000000002</v>
      </c>
      <c r="AA28" s="5">
        <v>0.97699999999999998</v>
      </c>
      <c r="AB28" s="5">
        <v>1.4590000000000001</v>
      </c>
      <c r="AC28" s="5">
        <v>-7.633</v>
      </c>
      <c r="AD28" s="5">
        <v>-5.8789999999999996</v>
      </c>
      <c r="AE28" s="5">
        <v>-9.82</v>
      </c>
      <c r="AF28" s="5">
        <v>-5.806</v>
      </c>
      <c r="AG28" s="5">
        <v>-8.7200000000000006</v>
      </c>
      <c r="AH28" s="5">
        <v>1.478</v>
      </c>
      <c r="AI28" s="5" t="s">
        <v>99</v>
      </c>
      <c r="AK28" s="5">
        <f t="shared" si="0"/>
        <v>0.81599999999999984</v>
      </c>
      <c r="AL28" s="8">
        <f t="shared" si="1"/>
        <v>-0.7</v>
      </c>
      <c r="AN28" s="1">
        <f t="shared" si="13"/>
        <v>92.7</v>
      </c>
      <c r="AO28" s="1">
        <f t="shared" si="14"/>
        <v>91.3</v>
      </c>
      <c r="AP28" s="1">
        <f t="shared" si="15"/>
        <v>89.4</v>
      </c>
      <c r="AQ28" s="17">
        <f t="shared" si="2"/>
        <v>0.35799999999999998</v>
      </c>
      <c r="AR28" s="22">
        <f t="shared" si="16"/>
        <v>4.2000000000000003E-2</v>
      </c>
      <c r="AT28" s="19">
        <f t="shared" si="3"/>
        <v>43488</v>
      </c>
      <c r="AU28" s="20">
        <f t="shared" si="4"/>
        <v>23</v>
      </c>
      <c r="AV28" s="1">
        <f t="shared" si="17"/>
        <v>-7.1</v>
      </c>
      <c r="AW28" s="1">
        <f t="shared" si="18"/>
        <v>-5.6</v>
      </c>
      <c r="AX28" s="1">
        <f t="shared" si="19"/>
        <v>-8.6</v>
      </c>
      <c r="AY28" s="1">
        <f t="shared" si="8"/>
        <v>91.3</v>
      </c>
      <c r="AZ28" s="1">
        <f t="shared" si="9"/>
        <v>89.4</v>
      </c>
      <c r="BA28" s="1">
        <f t="shared" si="20"/>
        <v>0.81599999999999984</v>
      </c>
      <c r="BB28" s="5">
        <f t="shared" si="21"/>
        <v>-0.7</v>
      </c>
      <c r="BC28" s="1">
        <f t="shared" si="10"/>
        <v>-7.6</v>
      </c>
      <c r="BD28" s="1">
        <f t="shared" si="11"/>
        <v>-5.9</v>
      </c>
      <c r="BE28" s="1">
        <f t="shared" si="12"/>
        <v>-9.8000000000000007</v>
      </c>
      <c r="BF28" s="5">
        <f t="shared" si="22"/>
        <v>-0.1</v>
      </c>
      <c r="BG28" s="5">
        <f t="shared" si="23"/>
        <v>0.4</v>
      </c>
      <c r="BH28" s="5">
        <f t="shared" si="24"/>
        <v>1.1000000000000001</v>
      </c>
      <c r="BI28" s="5" t="str">
        <f t="shared" si="25"/>
        <v>NAN</v>
      </c>
      <c r="BJ28" s="10">
        <f t="shared" si="26"/>
        <v>0.35799999999999998</v>
      </c>
      <c r="BK28" s="10">
        <f t="shared" si="27"/>
        <v>4.2000000000000003E-2</v>
      </c>
      <c r="BM28" s="1">
        <f t="shared" si="28"/>
        <v>-0.23199999999999932</v>
      </c>
      <c r="BN28" s="1">
        <f t="shared" si="29"/>
        <v>-1.2300000000000004</v>
      </c>
    </row>
    <row r="29" spans="1:66" x14ac:dyDescent="0.2">
      <c r="A29" s="4">
        <f t="shared" si="30"/>
        <v>43489</v>
      </c>
      <c r="B29" s="1">
        <v>24</v>
      </c>
      <c r="C29" s="1">
        <v>12</v>
      </c>
      <c r="D29" s="5">
        <v>12.82</v>
      </c>
      <c r="E29" s="5">
        <v>-2.827</v>
      </c>
      <c r="F29" s="5">
        <v>-7.0830000000000002</v>
      </c>
      <c r="G29" s="5">
        <v>-4.7069999999999999</v>
      </c>
      <c r="H29" s="5">
        <v>85.3</v>
      </c>
      <c r="I29" s="5">
        <v>-0.111</v>
      </c>
      <c r="J29" s="5">
        <v>-1.3</v>
      </c>
      <c r="K29" s="5">
        <v>-5.0999999999999997E-2</v>
      </c>
      <c r="L29" s="5">
        <v>0.36199999999999999</v>
      </c>
      <c r="M29" s="5">
        <v>1.0609999999999999</v>
      </c>
      <c r="N29" s="5">
        <v>-1.665</v>
      </c>
      <c r="O29" s="5">
        <v>92.2</v>
      </c>
      <c r="P29" s="5">
        <v>-0.02</v>
      </c>
      <c r="Q29" s="5">
        <v>-1.1859999999999999</v>
      </c>
      <c r="R29" s="5">
        <v>3.5000000000000003E-2</v>
      </c>
      <c r="S29" s="5">
        <v>0.44</v>
      </c>
      <c r="T29" s="5">
        <v>1.1459999999999999</v>
      </c>
      <c r="U29" s="5">
        <v>-7.0670000000000002</v>
      </c>
      <c r="V29" s="5">
        <v>68.489999999999995</v>
      </c>
      <c r="W29" s="5">
        <v>-0.2</v>
      </c>
      <c r="X29" s="5">
        <v>-1.4159999999999999</v>
      </c>
      <c r="Y29" s="5">
        <v>-0.13100000000000001</v>
      </c>
      <c r="Z29" s="5">
        <v>0.28399999999999997</v>
      </c>
      <c r="AA29" s="5">
        <v>0.97799999999999998</v>
      </c>
      <c r="AB29" s="5">
        <v>1.4750000000000001</v>
      </c>
      <c r="AC29" s="5">
        <v>-6.093</v>
      </c>
      <c r="AD29" s="5">
        <v>-3.4910000000000001</v>
      </c>
      <c r="AE29" s="5">
        <v>-8.1</v>
      </c>
      <c r="AF29" s="5">
        <v>-2.8650000000000002</v>
      </c>
      <c r="AG29" s="5">
        <v>-7.2560000000000002</v>
      </c>
      <c r="AH29" s="5">
        <v>1.4810000000000001</v>
      </c>
      <c r="AI29" s="5" t="s">
        <v>99</v>
      </c>
      <c r="AK29" s="5">
        <f t="shared" si="0"/>
        <v>0.79999999999999982</v>
      </c>
      <c r="AL29" s="8">
        <f t="shared" si="1"/>
        <v>-0.7</v>
      </c>
      <c r="AN29" s="1">
        <f t="shared" si="13"/>
        <v>92.2</v>
      </c>
      <c r="AO29" s="1">
        <f t="shared" si="14"/>
        <v>85.3</v>
      </c>
      <c r="AP29" s="1">
        <f t="shared" si="15"/>
        <v>68.5</v>
      </c>
      <c r="AQ29" s="17">
        <f t="shared" si="2"/>
        <v>0.37</v>
      </c>
      <c r="AR29" s="22">
        <f t="shared" si="16"/>
        <v>0.17</v>
      </c>
      <c r="AT29" s="19">
        <f t="shared" si="3"/>
        <v>43489</v>
      </c>
      <c r="AU29" s="20">
        <f t="shared" si="4"/>
        <v>24</v>
      </c>
      <c r="AV29" s="1">
        <f t="shared" si="17"/>
        <v>-4.7</v>
      </c>
      <c r="AW29" s="1">
        <f t="shared" si="18"/>
        <v>-1.7</v>
      </c>
      <c r="AX29" s="1">
        <f t="shared" si="19"/>
        <v>-7.1</v>
      </c>
      <c r="AY29" s="1">
        <f t="shared" si="8"/>
        <v>85.3</v>
      </c>
      <c r="AZ29" s="1">
        <f t="shared" si="9"/>
        <v>68.5</v>
      </c>
      <c r="BA29" s="1">
        <f t="shared" si="20"/>
        <v>0.79999999999999982</v>
      </c>
      <c r="BB29" s="5">
        <f t="shared" si="21"/>
        <v>-0.7</v>
      </c>
      <c r="BC29" s="1">
        <f t="shared" si="10"/>
        <v>-6.1</v>
      </c>
      <c r="BD29" s="1">
        <f t="shared" si="11"/>
        <v>-3.5</v>
      </c>
      <c r="BE29" s="1">
        <f t="shared" si="12"/>
        <v>-8.1</v>
      </c>
      <c r="BF29" s="5">
        <f t="shared" si="22"/>
        <v>-0.1</v>
      </c>
      <c r="BG29" s="5">
        <f t="shared" si="23"/>
        <v>0.4</v>
      </c>
      <c r="BH29" s="5">
        <f t="shared" si="24"/>
        <v>1.1000000000000001</v>
      </c>
      <c r="BI29" s="5" t="str">
        <f t="shared" si="25"/>
        <v>NAN</v>
      </c>
      <c r="BJ29" s="10">
        <f t="shared" si="26"/>
        <v>0.37</v>
      </c>
      <c r="BK29" s="10">
        <f t="shared" si="27"/>
        <v>0.17</v>
      </c>
      <c r="BM29" s="1">
        <f t="shared" si="28"/>
        <v>-1.8260000000000001</v>
      </c>
      <c r="BN29" s="1">
        <f t="shared" si="29"/>
        <v>-1.0329999999999995</v>
      </c>
    </row>
    <row r="30" spans="1:66" x14ac:dyDescent="0.2">
      <c r="A30" s="4">
        <f t="shared" si="30"/>
        <v>43490</v>
      </c>
      <c r="B30" s="1">
        <v>25</v>
      </c>
      <c r="C30" s="1">
        <v>12</v>
      </c>
      <c r="D30" s="5">
        <v>12.9</v>
      </c>
      <c r="E30" s="5">
        <v>-1.417</v>
      </c>
      <c r="F30" s="5">
        <v>-5.4180000000000001</v>
      </c>
      <c r="G30" s="5">
        <v>-3.1930000000000001</v>
      </c>
      <c r="H30" s="5">
        <v>83.3</v>
      </c>
      <c r="I30" s="5">
        <v>-0.09</v>
      </c>
      <c r="J30" s="5">
        <v>-1.17</v>
      </c>
      <c r="K30" s="5">
        <v>-3.9E-2</v>
      </c>
      <c r="L30" s="5">
        <v>0.36799999999999999</v>
      </c>
      <c r="M30" s="5">
        <v>1.0660000000000001</v>
      </c>
      <c r="N30" s="5">
        <v>-0.14899999999999999</v>
      </c>
      <c r="O30" s="5">
        <v>91.2</v>
      </c>
      <c r="P30" s="5">
        <v>-1E-3</v>
      </c>
      <c r="Q30" s="5">
        <v>-1.038</v>
      </c>
      <c r="R30" s="5">
        <v>5.3999999999999999E-2</v>
      </c>
      <c r="S30" s="5">
        <v>0.45200000000000001</v>
      </c>
      <c r="T30" s="5">
        <v>1.1539999999999999</v>
      </c>
      <c r="U30" s="5">
        <v>-5.7140000000000004</v>
      </c>
      <c r="V30" s="5">
        <v>67.16</v>
      </c>
      <c r="W30" s="5">
        <v>-0.16800000000000001</v>
      </c>
      <c r="X30" s="5">
        <v>-1.296</v>
      </c>
      <c r="Y30" s="5">
        <v>-0.11899999999999999</v>
      </c>
      <c r="Z30" s="5">
        <v>0.27700000000000002</v>
      </c>
      <c r="AA30" s="5">
        <v>0.98299999999999998</v>
      </c>
      <c r="AB30" s="5">
        <v>1.4890000000000001</v>
      </c>
      <c r="AC30" s="5">
        <v>-4.6050000000000004</v>
      </c>
      <c r="AD30" s="5">
        <v>-2.105</v>
      </c>
      <c r="AE30" s="5">
        <v>-7.0069999999999997</v>
      </c>
      <c r="AF30" s="5">
        <v>-0.876</v>
      </c>
      <c r="AG30" s="5">
        <v>-5.891</v>
      </c>
      <c r="AH30" s="5">
        <v>1.49</v>
      </c>
      <c r="AI30" s="5" t="s">
        <v>99</v>
      </c>
      <c r="AK30" s="5">
        <f t="shared" si="0"/>
        <v>0.78599999999999981</v>
      </c>
      <c r="AL30" s="8">
        <f t="shared" si="1"/>
        <v>-0.6</v>
      </c>
      <c r="AN30" s="1">
        <f t="shared" si="13"/>
        <v>91.2</v>
      </c>
      <c r="AO30" s="1">
        <f t="shared" si="14"/>
        <v>83.3</v>
      </c>
      <c r="AP30" s="1">
        <f t="shared" si="15"/>
        <v>67.2</v>
      </c>
      <c r="AQ30" s="17">
        <f t="shared" si="2"/>
        <v>0.40600000000000003</v>
      </c>
      <c r="AR30" s="22">
        <f t="shared" si="16"/>
        <v>0.19800000000000001</v>
      </c>
      <c r="AT30" s="19">
        <f t="shared" si="3"/>
        <v>43490</v>
      </c>
      <c r="AU30" s="20">
        <f t="shared" si="4"/>
        <v>25</v>
      </c>
      <c r="AV30" s="1">
        <f t="shared" si="17"/>
        <v>-3.2</v>
      </c>
      <c r="AW30" s="1">
        <f t="shared" si="18"/>
        <v>-0.1</v>
      </c>
      <c r="AX30" s="1">
        <f t="shared" si="19"/>
        <v>-5.7</v>
      </c>
      <c r="AY30" s="1">
        <f t="shared" si="8"/>
        <v>83.3</v>
      </c>
      <c r="AZ30" s="1">
        <f t="shared" si="9"/>
        <v>67.2</v>
      </c>
      <c r="BA30" s="1">
        <f t="shared" si="20"/>
        <v>0.78599999999999981</v>
      </c>
      <c r="BB30" s="5">
        <f t="shared" si="21"/>
        <v>-0.6</v>
      </c>
      <c r="BC30" s="1">
        <f t="shared" si="10"/>
        <v>-4.5999999999999996</v>
      </c>
      <c r="BD30" s="1">
        <f t="shared" si="11"/>
        <v>-2.1</v>
      </c>
      <c r="BE30" s="1">
        <f t="shared" si="12"/>
        <v>-7</v>
      </c>
      <c r="BF30" s="5">
        <f t="shared" si="22"/>
        <v>0</v>
      </c>
      <c r="BG30" s="5">
        <f t="shared" si="23"/>
        <v>0.4</v>
      </c>
      <c r="BH30" s="5">
        <f t="shared" si="24"/>
        <v>1.1000000000000001</v>
      </c>
      <c r="BI30" s="5" t="str">
        <f t="shared" si="25"/>
        <v>NAN</v>
      </c>
      <c r="BJ30" s="10">
        <f t="shared" si="26"/>
        <v>0.40600000000000003</v>
      </c>
      <c r="BK30" s="10">
        <f t="shared" si="27"/>
        <v>0.19800000000000001</v>
      </c>
      <c r="BM30" s="1">
        <f t="shared" si="28"/>
        <v>-1.956</v>
      </c>
      <c r="BN30" s="1">
        <f t="shared" si="29"/>
        <v>-1.2929999999999993</v>
      </c>
    </row>
    <row r="31" spans="1:66" x14ac:dyDescent="0.2">
      <c r="A31" s="4">
        <f t="shared" si="30"/>
        <v>43491</v>
      </c>
      <c r="B31" s="1">
        <v>26</v>
      </c>
      <c r="C31" s="1">
        <v>12</v>
      </c>
      <c r="D31" s="5">
        <v>12.95</v>
      </c>
      <c r="E31" s="5">
        <v>2.8010000000000002</v>
      </c>
      <c r="F31" s="5">
        <v>-2.7410000000000001</v>
      </c>
      <c r="G31" s="5">
        <v>0.67</v>
      </c>
      <c r="H31" s="5">
        <v>76.98</v>
      </c>
      <c r="I31" s="5">
        <v>-4.7E-2</v>
      </c>
      <c r="J31" s="5">
        <v>-0.998</v>
      </c>
      <c r="K31" s="5">
        <v>-5.0000000000000001E-3</v>
      </c>
      <c r="L31" s="5">
        <v>0.39600000000000002</v>
      </c>
      <c r="M31" s="5">
        <v>1.089</v>
      </c>
      <c r="N31" s="5">
        <v>3.8740000000000001</v>
      </c>
      <c r="O31" s="5">
        <v>91.5</v>
      </c>
      <c r="P31" s="5">
        <v>6.3E-2</v>
      </c>
      <c r="Q31" s="5">
        <v>-0.82699999999999996</v>
      </c>
      <c r="R31" s="5">
        <v>9.1999999999999998E-2</v>
      </c>
      <c r="S31" s="5">
        <v>0.48699999999999999</v>
      </c>
      <c r="T31" s="5">
        <v>1.1910000000000001</v>
      </c>
      <c r="U31" s="5">
        <v>-2.887</v>
      </c>
      <c r="V31" s="5">
        <v>56.78</v>
      </c>
      <c r="W31" s="5">
        <v>-0.156</v>
      </c>
      <c r="X31" s="5">
        <v>-1.1379999999999999</v>
      </c>
      <c r="Y31" s="5">
        <v>-0.10299999999999999</v>
      </c>
      <c r="Z31" s="5">
        <v>0.29699999999999999</v>
      </c>
      <c r="AA31" s="5">
        <v>0.98599999999999999</v>
      </c>
      <c r="AB31" s="5">
        <v>1.5</v>
      </c>
      <c r="AC31" s="5">
        <v>-1.9590000000000001</v>
      </c>
      <c r="AD31" s="5">
        <v>1.2999999999999999E-2</v>
      </c>
      <c r="AE31" s="5">
        <v>-4.9119999999999999</v>
      </c>
      <c r="AF31" s="5">
        <v>3.359</v>
      </c>
      <c r="AG31" s="5">
        <v>-3.2269999999999999</v>
      </c>
      <c r="AH31" s="5">
        <v>1.4910000000000001</v>
      </c>
      <c r="AI31" s="5" t="s">
        <v>99</v>
      </c>
      <c r="AK31" s="5">
        <f t="shared" si="0"/>
        <v>0.77499999999999991</v>
      </c>
      <c r="AL31" s="8">
        <f t="shared" si="1"/>
        <v>-0.5</v>
      </c>
      <c r="AN31" s="1">
        <f t="shared" si="13"/>
        <v>91.5</v>
      </c>
      <c r="AO31" s="1">
        <f t="shared" si="14"/>
        <v>77</v>
      </c>
      <c r="AP31" s="1">
        <f t="shared" si="15"/>
        <v>56.8</v>
      </c>
      <c r="AQ31" s="17">
        <f t="shared" si="2"/>
        <v>0.45800000000000002</v>
      </c>
      <c r="AR31" s="22">
        <f t="shared" si="16"/>
        <v>0.34799999999999998</v>
      </c>
      <c r="AT31" s="19">
        <f t="shared" si="3"/>
        <v>43491</v>
      </c>
      <c r="AU31" s="20">
        <f t="shared" si="4"/>
        <v>26</v>
      </c>
      <c r="AV31" s="1">
        <f t="shared" si="17"/>
        <v>0.7</v>
      </c>
      <c r="AW31" s="1">
        <f t="shared" si="18"/>
        <v>3.9</v>
      </c>
      <c r="AX31" s="1">
        <f t="shared" si="19"/>
        <v>-2.9</v>
      </c>
      <c r="AY31" s="1">
        <f t="shared" si="8"/>
        <v>77</v>
      </c>
      <c r="AZ31" s="1">
        <f t="shared" si="9"/>
        <v>56.8</v>
      </c>
      <c r="BA31" s="1">
        <f t="shared" si="20"/>
        <v>0.77499999999999991</v>
      </c>
      <c r="BB31" s="5">
        <f t="shared" si="21"/>
        <v>-0.5</v>
      </c>
      <c r="BC31" s="1">
        <f t="shared" si="10"/>
        <v>-2</v>
      </c>
      <c r="BD31" s="1">
        <f t="shared" si="11"/>
        <v>0</v>
      </c>
      <c r="BE31" s="1">
        <f t="shared" si="12"/>
        <v>-4.9000000000000004</v>
      </c>
      <c r="BF31" s="5">
        <f t="shared" si="22"/>
        <v>0</v>
      </c>
      <c r="BG31" s="5">
        <f t="shared" si="23"/>
        <v>0.4</v>
      </c>
      <c r="BH31" s="5">
        <f t="shared" si="24"/>
        <v>1.1000000000000001</v>
      </c>
      <c r="BI31" s="5" t="str">
        <f t="shared" si="25"/>
        <v>NAN</v>
      </c>
      <c r="BJ31" s="10">
        <f t="shared" si="26"/>
        <v>0.45800000000000002</v>
      </c>
      <c r="BK31" s="10">
        <f t="shared" si="27"/>
        <v>0.34799999999999998</v>
      </c>
      <c r="BM31" s="1">
        <f t="shared" si="28"/>
        <v>-3.8610000000000002</v>
      </c>
      <c r="BN31" s="1">
        <f t="shared" si="29"/>
        <v>-2.0249999999999999</v>
      </c>
    </row>
    <row r="32" spans="1:66" x14ac:dyDescent="0.2">
      <c r="A32" s="4">
        <f t="shared" si="30"/>
        <v>43492</v>
      </c>
      <c r="B32" s="1">
        <v>27</v>
      </c>
      <c r="C32" s="1">
        <v>12</v>
      </c>
      <c r="D32" s="5">
        <v>13</v>
      </c>
      <c r="E32" s="5">
        <v>2.0529999999999999</v>
      </c>
      <c r="F32" s="5">
        <v>-8.8000000000000007</v>
      </c>
      <c r="G32" s="5">
        <v>-3.165</v>
      </c>
      <c r="H32" s="5">
        <v>71.239999999999995</v>
      </c>
      <c r="I32" s="5">
        <v>-4.2000000000000003E-2</v>
      </c>
      <c r="J32" s="5">
        <v>-0.69199999999999995</v>
      </c>
      <c r="K32" s="5">
        <v>-1.7000000000000001E-2</v>
      </c>
      <c r="L32" s="5">
        <v>0.373</v>
      </c>
      <c r="M32" s="5">
        <v>1.069</v>
      </c>
      <c r="N32" s="5">
        <v>3.5960000000000001</v>
      </c>
      <c r="O32" s="5">
        <v>87.8</v>
      </c>
      <c r="P32" s="5">
        <v>5.8000000000000003E-2</v>
      </c>
      <c r="Q32" s="5">
        <v>-0.54300000000000004</v>
      </c>
      <c r="R32" s="5">
        <v>9.6000000000000002E-2</v>
      </c>
      <c r="S32" s="5">
        <v>0.49099999999999999</v>
      </c>
      <c r="T32" s="5">
        <v>1.1759999999999999</v>
      </c>
      <c r="U32" s="5">
        <v>-9.2200000000000006</v>
      </c>
      <c r="V32" s="5">
        <v>59.66</v>
      </c>
      <c r="W32" s="5">
        <v>-0.16300000000000001</v>
      </c>
      <c r="X32" s="5">
        <v>-0.93300000000000005</v>
      </c>
      <c r="Y32" s="5">
        <v>-0.122</v>
      </c>
      <c r="Z32" s="5">
        <v>0.25</v>
      </c>
      <c r="AA32" s="5">
        <v>0.95299999999999996</v>
      </c>
      <c r="AB32" s="5">
        <v>1.5089999999999999</v>
      </c>
      <c r="AC32" s="5">
        <v>-5.2130000000000001</v>
      </c>
      <c r="AD32" s="5">
        <v>3.0000000000000001E-3</v>
      </c>
      <c r="AE32" s="5">
        <v>-11.08</v>
      </c>
      <c r="AF32" s="5">
        <v>3.0059999999999998</v>
      </c>
      <c r="AG32" s="5">
        <v>-9.5399999999999991</v>
      </c>
      <c r="AH32" s="5">
        <v>1.5349999999999999</v>
      </c>
      <c r="AI32" s="5" t="s">
        <v>99</v>
      </c>
      <c r="AK32" s="5">
        <f t="shared" si="0"/>
        <v>0.76600000000000001</v>
      </c>
      <c r="AL32" s="8">
        <f t="shared" si="1"/>
        <v>-0.4</v>
      </c>
      <c r="AN32" s="1">
        <f t="shared" si="13"/>
        <v>87.8</v>
      </c>
      <c r="AO32" s="1">
        <f t="shared" si="14"/>
        <v>71.2</v>
      </c>
      <c r="AP32" s="1">
        <f t="shared" si="15"/>
        <v>59.7</v>
      </c>
      <c r="AQ32" s="17">
        <f t="shared" si="2"/>
        <v>0.47199999999999998</v>
      </c>
      <c r="AR32" s="22">
        <f t="shared" si="16"/>
        <v>0.31900000000000001</v>
      </c>
      <c r="AT32" s="19">
        <f t="shared" si="3"/>
        <v>43492</v>
      </c>
      <c r="AU32" s="20">
        <f t="shared" si="4"/>
        <v>27</v>
      </c>
      <c r="AV32" s="1">
        <f t="shared" si="17"/>
        <v>-3.2</v>
      </c>
      <c r="AW32" s="1">
        <f t="shared" si="18"/>
        <v>3.6</v>
      </c>
      <c r="AX32" s="1">
        <f t="shared" si="19"/>
        <v>-9.1999999999999993</v>
      </c>
      <c r="AY32" s="1">
        <f t="shared" si="8"/>
        <v>71.2</v>
      </c>
      <c r="AZ32" s="1">
        <f t="shared" si="9"/>
        <v>59.7</v>
      </c>
      <c r="BA32" s="1">
        <f t="shared" si="20"/>
        <v>0.76600000000000001</v>
      </c>
      <c r="BB32" s="5">
        <f t="shared" si="21"/>
        <v>-0.4</v>
      </c>
      <c r="BC32" s="1">
        <f t="shared" si="10"/>
        <v>-5.2</v>
      </c>
      <c r="BD32" s="1">
        <f t="shared" si="11"/>
        <v>0</v>
      </c>
      <c r="BE32" s="1">
        <f t="shared" si="12"/>
        <v>-11.1</v>
      </c>
      <c r="BF32" s="5">
        <f t="shared" si="22"/>
        <v>0</v>
      </c>
      <c r="BG32" s="5">
        <f t="shared" si="23"/>
        <v>0.4</v>
      </c>
      <c r="BH32" s="5">
        <f t="shared" si="24"/>
        <v>1.1000000000000001</v>
      </c>
      <c r="BI32" s="5" t="str">
        <f t="shared" si="25"/>
        <v>NAN</v>
      </c>
      <c r="BJ32" s="10">
        <f t="shared" si="26"/>
        <v>0.47199999999999998</v>
      </c>
      <c r="BK32" s="10">
        <f t="shared" si="27"/>
        <v>0.31900000000000001</v>
      </c>
      <c r="BM32" s="1">
        <f t="shared" si="28"/>
        <v>-3.593</v>
      </c>
      <c r="BN32" s="1">
        <f t="shared" si="29"/>
        <v>-1.8599999999999994</v>
      </c>
    </row>
    <row r="33" spans="1:66" x14ac:dyDescent="0.2">
      <c r="A33" s="4">
        <f t="shared" si="30"/>
        <v>43493</v>
      </c>
      <c r="B33" s="1">
        <v>28</v>
      </c>
      <c r="C33" s="1">
        <v>12</v>
      </c>
      <c r="D33" s="5">
        <v>12.99</v>
      </c>
      <c r="E33" s="5">
        <v>-4.117</v>
      </c>
      <c r="F33" s="5">
        <v>-10.44</v>
      </c>
      <c r="G33" s="5">
        <v>-7.9089999999999998</v>
      </c>
      <c r="H33" s="5">
        <v>63.53</v>
      </c>
      <c r="I33" s="5">
        <v>-6.7000000000000004E-2</v>
      </c>
      <c r="J33" s="5">
        <v>-0.67900000000000005</v>
      </c>
      <c r="K33" s="5">
        <v>-5.0999999999999997E-2</v>
      </c>
      <c r="L33" s="5">
        <v>0.33400000000000002</v>
      </c>
      <c r="M33" s="5">
        <v>1.0209999999999999</v>
      </c>
      <c r="N33" s="5">
        <v>-4.0970000000000004</v>
      </c>
      <c r="O33" s="5">
        <v>86.5</v>
      </c>
      <c r="P33" s="5">
        <v>0.03</v>
      </c>
      <c r="Q33" s="5">
        <v>-0.54</v>
      </c>
      <c r="R33" s="5">
        <v>0.05</v>
      </c>
      <c r="S33" s="5">
        <v>0.434</v>
      </c>
      <c r="T33" s="5">
        <v>1.1140000000000001</v>
      </c>
      <c r="U33" s="5">
        <v>-10.74</v>
      </c>
      <c r="V33" s="5">
        <v>38.51</v>
      </c>
      <c r="W33" s="5">
        <v>-0.16400000000000001</v>
      </c>
      <c r="X33" s="5">
        <v>-0.90100000000000002</v>
      </c>
      <c r="Y33" s="5">
        <v>-0.13800000000000001</v>
      </c>
      <c r="Z33" s="5">
        <v>0.253</v>
      </c>
      <c r="AA33" s="5">
        <v>0.94</v>
      </c>
      <c r="AB33" s="5">
        <v>1.5169999999999999</v>
      </c>
      <c r="AC33" s="5">
        <v>-10.02</v>
      </c>
      <c r="AD33" s="5">
        <v>-6.0830000000000002</v>
      </c>
      <c r="AE33" s="5">
        <v>-12.25</v>
      </c>
      <c r="AF33" s="5">
        <v>-3.645</v>
      </c>
      <c r="AG33" s="5">
        <v>-10.87</v>
      </c>
      <c r="AH33" s="5">
        <v>1.542</v>
      </c>
      <c r="AI33" s="5" t="s">
        <v>99</v>
      </c>
      <c r="AK33" s="5">
        <f t="shared" si="0"/>
        <v>0.75800000000000001</v>
      </c>
      <c r="AL33" s="8">
        <f t="shared" si="1"/>
        <v>-0.4</v>
      </c>
      <c r="AN33" s="1">
        <f t="shared" si="13"/>
        <v>86.5</v>
      </c>
      <c r="AO33" s="1">
        <f t="shared" si="14"/>
        <v>63.5</v>
      </c>
      <c r="AP33" s="1">
        <f t="shared" si="15"/>
        <v>38.5</v>
      </c>
      <c r="AQ33" s="17">
        <f t="shared" si="2"/>
        <v>0.17399999999999999</v>
      </c>
      <c r="AR33" s="22">
        <f t="shared" si="16"/>
        <v>0.27800000000000002</v>
      </c>
      <c r="AT33" s="19">
        <f t="shared" si="3"/>
        <v>43493</v>
      </c>
      <c r="AU33" s="20">
        <f t="shared" si="4"/>
        <v>28</v>
      </c>
      <c r="AV33" s="1">
        <f t="shared" si="17"/>
        <v>-7.9</v>
      </c>
      <c r="AW33" s="1">
        <f t="shared" si="18"/>
        <v>-4.0999999999999996</v>
      </c>
      <c r="AX33" s="1">
        <f t="shared" si="19"/>
        <v>-10.7</v>
      </c>
      <c r="AY33" s="1">
        <f t="shared" si="8"/>
        <v>63.5</v>
      </c>
      <c r="AZ33" s="1">
        <f t="shared" si="9"/>
        <v>38.5</v>
      </c>
      <c r="BA33" s="1">
        <f t="shared" si="20"/>
        <v>0.75800000000000001</v>
      </c>
      <c r="BB33" s="5">
        <f t="shared" si="21"/>
        <v>-0.4</v>
      </c>
      <c r="BC33" s="1">
        <f t="shared" si="10"/>
        <v>-10</v>
      </c>
      <c r="BD33" s="1">
        <f t="shared" si="11"/>
        <v>-6.1</v>
      </c>
      <c r="BE33" s="1">
        <f t="shared" si="12"/>
        <v>-12.3</v>
      </c>
      <c r="BF33" s="5">
        <f t="shared" si="22"/>
        <v>-0.1</v>
      </c>
      <c r="BG33" s="5">
        <f t="shared" si="23"/>
        <v>0.3</v>
      </c>
      <c r="BH33" s="5">
        <f t="shared" si="24"/>
        <v>1</v>
      </c>
      <c r="BI33" s="5" t="str">
        <f t="shared" si="25"/>
        <v>NAN</v>
      </c>
      <c r="BJ33" s="10">
        <f t="shared" si="26"/>
        <v>0.17399999999999999</v>
      </c>
      <c r="BK33" s="10">
        <f t="shared" si="27"/>
        <v>0.27800000000000002</v>
      </c>
      <c r="BM33" s="1">
        <f t="shared" si="28"/>
        <v>-1.9859999999999998</v>
      </c>
      <c r="BN33" s="1">
        <f t="shared" si="29"/>
        <v>-1.5099999999999998</v>
      </c>
    </row>
    <row r="34" spans="1:66" x14ac:dyDescent="0.2">
      <c r="A34" s="4">
        <f t="shared" si="30"/>
        <v>43494</v>
      </c>
      <c r="B34" s="1">
        <v>29</v>
      </c>
      <c r="C34" s="1">
        <v>12</v>
      </c>
      <c r="D34" s="5">
        <v>13.03</v>
      </c>
      <c r="E34" s="5">
        <v>0.92600000000000005</v>
      </c>
      <c r="F34" s="5">
        <v>-9.43</v>
      </c>
      <c r="G34" s="5">
        <v>-4.6719999999999997</v>
      </c>
      <c r="H34" s="5">
        <v>31.82</v>
      </c>
      <c r="I34" s="5">
        <v>-6.3E-2</v>
      </c>
      <c r="J34" s="5">
        <v>-1.028</v>
      </c>
      <c r="K34" s="5">
        <v>-2.7E-2</v>
      </c>
      <c r="L34" s="5">
        <v>0.35799999999999998</v>
      </c>
      <c r="M34" s="5">
        <v>1.04</v>
      </c>
      <c r="N34" s="5">
        <v>0.83899999999999997</v>
      </c>
      <c r="O34" s="5">
        <v>61.66</v>
      </c>
      <c r="P34" s="5">
        <v>7.9000000000000001E-2</v>
      </c>
      <c r="Q34" s="5">
        <v>-0.78600000000000003</v>
      </c>
      <c r="R34" s="5">
        <v>0.1</v>
      </c>
      <c r="S34" s="5">
        <v>0.48099999999999998</v>
      </c>
      <c r="T34" s="5">
        <v>1.155</v>
      </c>
      <c r="U34" s="5">
        <v>-9.09</v>
      </c>
      <c r="V34" s="5">
        <v>8.08</v>
      </c>
      <c r="W34" s="5">
        <v>-0.17899999999999999</v>
      </c>
      <c r="X34" s="5">
        <v>-1.27</v>
      </c>
      <c r="Y34" s="5">
        <v>-0.122</v>
      </c>
      <c r="Z34" s="5">
        <v>0.26</v>
      </c>
      <c r="AA34" s="5">
        <v>0.93300000000000005</v>
      </c>
      <c r="AB34" s="5">
        <v>1.528</v>
      </c>
      <c r="AC34" s="5">
        <v>-8.44</v>
      </c>
      <c r="AD34" s="5">
        <v>-3.09</v>
      </c>
      <c r="AE34" s="5">
        <v>-11.72</v>
      </c>
      <c r="AF34" s="5">
        <v>1.304</v>
      </c>
      <c r="AG34" s="5">
        <v>-9.27</v>
      </c>
      <c r="AH34" s="5">
        <v>1.5409999999999999</v>
      </c>
      <c r="AI34" s="5" t="s">
        <v>99</v>
      </c>
      <c r="AK34" s="5">
        <f t="shared" si="0"/>
        <v>0.74699999999999989</v>
      </c>
      <c r="AL34" s="8">
        <f t="shared" si="1"/>
        <v>-0.5</v>
      </c>
      <c r="AN34" s="1">
        <f t="shared" si="13"/>
        <v>61.7</v>
      </c>
      <c r="AO34" s="1">
        <f t="shared" si="14"/>
        <v>31.8</v>
      </c>
      <c r="AP34" s="1">
        <f t="shared" si="15"/>
        <v>8.1</v>
      </c>
      <c r="AQ34" s="17">
        <f t="shared" si="2"/>
        <v>5.2999999999999999E-2</v>
      </c>
      <c r="AR34" s="22">
        <f t="shared" si="16"/>
        <v>0.60099999999999998</v>
      </c>
      <c r="AT34" s="19">
        <f t="shared" si="3"/>
        <v>43494</v>
      </c>
      <c r="AU34" s="20">
        <f t="shared" si="4"/>
        <v>29</v>
      </c>
      <c r="AV34" s="1">
        <f t="shared" si="17"/>
        <v>-4.7</v>
      </c>
      <c r="AW34" s="1">
        <f t="shared" si="18"/>
        <v>0.8</v>
      </c>
      <c r="AX34" s="1">
        <f t="shared" si="19"/>
        <v>-9.1</v>
      </c>
      <c r="AY34" s="1">
        <f t="shared" si="8"/>
        <v>31.8</v>
      </c>
      <c r="AZ34" s="1">
        <f t="shared" si="9"/>
        <v>8.1</v>
      </c>
      <c r="BA34" s="1">
        <f t="shared" si="20"/>
        <v>0.74699999999999989</v>
      </c>
      <c r="BB34" s="5">
        <f t="shared" si="21"/>
        <v>-0.5</v>
      </c>
      <c r="BC34" s="1">
        <f t="shared" si="10"/>
        <v>-8.4</v>
      </c>
      <c r="BD34" s="1">
        <f t="shared" si="11"/>
        <v>-3.1</v>
      </c>
      <c r="BE34" s="1">
        <f t="shared" si="12"/>
        <v>-11.7</v>
      </c>
      <c r="BF34" s="5">
        <f t="shared" si="22"/>
        <v>0</v>
      </c>
      <c r="BG34" s="5">
        <f t="shared" si="23"/>
        <v>0.4</v>
      </c>
      <c r="BH34" s="5">
        <f t="shared" si="24"/>
        <v>1</v>
      </c>
      <c r="BI34" s="5" t="str">
        <f t="shared" si="25"/>
        <v>NAN</v>
      </c>
      <c r="BJ34" s="10">
        <f t="shared" si="26"/>
        <v>5.2999999999999999E-2</v>
      </c>
      <c r="BK34" s="10">
        <f t="shared" si="27"/>
        <v>0.60099999999999998</v>
      </c>
      <c r="BM34" s="1">
        <f t="shared" si="28"/>
        <v>-3.9289999999999998</v>
      </c>
      <c r="BN34" s="1">
        <f t="shared" si="29"/>
        <v>-2.6300000000000008</v>
      </c>
    </row>
    <row r="35" spans="1:66" x14ac:dyDescent="0.2">
      <c r="A35" s="4">
        <f t="shared" si="30"/>
        <v>43495</v>
      </c>
      <c r="B35" s="1">
        <v>30</v>
      </c>
      <c r="C35" s="1">
        <v>12</v>
      </c>
      <c r="D35" s="5">
        <v>13.01</v>
      </c>
      <c r="E35" s="5">
        <v>1.012</v>
      </c>
      <c r="F35" s="5">
        <v>-6.27</v>
      </c>
      <c r="G35" s="5">
        <v>-0.98199999999999998</v>
      </c>
      <c r="H35" s="5">
        <v>41.8</v>
      </c>
      <c r="I35" s="5">
        <v>-5.8000000000000003E-2</v>
      </c>
      <c r="J35" s="5">
        <v>-1.24</v>
      </c>
      <c r="K35" s="5">
        <v>-7.0000000000000001E-3</v>
      </c>
      <c r="L35" s="5">
        <v>0.38500000000000001</v>
      </c>
      <c r="M35" s="5">
        <v>1.0580000000000001</v>
      </c>
      <c r="N35" s="5">
        <v>1.8120000000000001</v>
      </c>
      <c r="O35" s="5">
        <v>83.3</v>
      </c>
      <c r="P35" s="5">
        <v>5.0999999999999997E-2</v>
      </c>
      <c r="Q35" s="5">
        <v>-1.1519999999999999</v>
      </c>
      <c r="R35" s="5">
        <v>0.1</v>
      </c>
      <c r="S35" s="5">
        <v>0.498</v>
      </c>
      <c r="T35" s="5">
        <v>1.175</v>
      </c>
      <c r="U35" s="5">
        <v>-5.6130000000000004</v>
      </c>
      <c r="V35" s="5">
        <v>15.25</v>
      </c>
      <c r="W35" s="5">
        <v>-0.16400000000000001</v>
      </c>
      <c r="X35" s="5">
        <v>-1.327</v>
      </c>
      <c r="Y35" s="5">
        <v>-9.6000000000000002E-2</v>
      </c>
      <c r="Z35" s="5">
        <v>0.28199999999999997</v>
      </c>
      <c r="AA35" s="5">
        <v>0.96499999999999997</v>
      </c>
      <c r="AB35" s="5">
        <v>1.538</v>
      </c>
      <c r="AC35" s="5">
        <v>-4.093</v>
      </c>
      <c r="AD35" s="5">
        <v>-1.466</v>
      </c>
      <c r="AE35" s="5">
        <v>-8.56</v>
      </c>
      <c r="AF35" s="5">
        <v>1.8120000000000001</v>
      </c>
      <c r="AG35" s="5">
        <v>-5.9619999999999997</v>
      </c>
      <c r="AH35" s="5">
        <v>1.5389999999999999</v>
      </c>
      <c r="AI35" s="5" t="s">
        <v>99</v>
      </c>
      <c r="AK35" s="5">
        <f t="shared" si="0"/>
        <v>0.73699999999999988</v>
      </c>
      <c r="AL35" s="8">
        <f t="shared" si="1"/>
        <v>-0.6</v>
      </c>
      <c r="AN35" s="1">
        <f t="shared" si="13"/>
        <v>83.3</v>
      </c>
      <c r="AO35" s="1">
        <f t="shared" si="14"/>
        <v>41.8</v>
      </c>
      <c r="AP35" s="1">
        <f t="shared" si="15"/>
        <v>15.3</v>
      </c>
      <c r="AQ35" s="17">
        <f t="shared" si="2"/>
        <v>0.106</v>
      </c>
      <c r="AR35" s="22">
        <f t="shared" si="16"/>
        <v>0.58699999999999997</v>
      </c>
      <c r="AT35" s="19">
        <f t="shared" si="3"/>
        <v>43495</v>
      </c>
      <c r="AU35" s="20">
        <f t="shared" si="4"/>
        <v>30</v>
      </c>
      <c r="AV35" s="1">
        <f t="shared" si="17"/>
        <v>-1</v>
      </c>
      <c r="AW35" s="1">
        <f t="shared" si="18"/>
        <v>1.8</v>
      </c>
      <c r="AX35" s="1">
        <f t="shared" si="19"/>
        <v>-5.6</v>
      </c>
      <c r="AY35" s="1">
        <f t="shared" si="8"/>
        <v>41.8</v>
      </c>
      <c r="AZ35" s="1">
        <f t="shared" si="9"/>
        <v>15.3</v>
      </c>
      <c r="BA35" s="1">
        <f t="shared" si="20"/>
        <v>0.73699999999999988</v>
      </c>
      <c r="BB35" s="5">
        <f t="shared" si="21"/>
        <v>-0.6</v>
      </c>
      <c r="BC35" s="1">
        <f t="shared" si="10"/>
        <v>-4.0999999999999996</v>
      </c>
      <c r="BD35" s="1">
        <f t="shared" si="11"/>
        <v>-1.5</v>
      </c>
      <c r="BE35" s="1">
        <f t="shared" si="12"/>
        <v>-8.6</v>
      </c>
      <c r="BF35" s="5">
        <f t="shared" si="22"/>
        <v>0</v>
      </c>
      <c r="BG35" s="5">
        <f t="shared" si="23"/>
        <v>0.4</v>
      </c>
      <c r="BH35" s="5">
        <f t="shared" si="24"/>
        <v>1.1000000000000001</v>
      </c>
      <c r="BI35" s="5" t="str">
        <f t="shared" si="25"/>
        <v>NAN</v>
      </c>
      <c r="BJ35" s="10">
        <f t="shared" si="26"/>
        <v>0.106</v>
      </c>
      <c r="BK35" s="10">
        <f t="shared" si="27"/>
        <v>0.58699999999999997</v>
      </c>
      <c r="BM35" s="1">
        <f t="shared" si="28"/>
        <v>-3.278</v>
      </c>
      <c r="BN35" s="1">
        <f t="shared" si="29"/>
        <v>-2.9470000000000001</v>
      </c>
    </row>
    <row r="36" spans="1:66" x14ac:dyDescent="0.2">
      <c r="A36" s="4">
        <f t="shared" si="30"/>
        <v>43496</v>
      </c>
      <c r="B36" s="1">
        <v>31</v>
      </c>
      <c r="C36" s="1">
        <v>12</v>
      </c>
      <c r="D36" s="5">
        <v>12.91</v>
      </c>
      <c r="E36" s="5">
        <v>0.82</v>
      </c>
      <c r="F36" s="5">
        <v>-1.758</v>
      </c>
      <c r="G36" s="5">
        <v>-0.33300000000000002</v>
      </c>
      <c r="H36" s="5">
        <v>70.64</v>
      </c>
      <c r="I36" s="5">
        <v>-4.5999999999999999E-2</v>
      </c>
      <c r="J36" s="5">
        <v>-1.111</v>
      </c>
      <c r="K36" s="5">
        <v>-3.0000000000000001E-3</v>
      </c>
      <c r="L36" s="5">
        <v>0.38800000000000001</v>
      </c>
      <c r="M36" s="5">
        <v>1.06</v>
      </c>
      <c r="N36" s="5">
        <v>1.744</v>
      </c>
      <c r="O36" s="5">
        <v>84.6</v>
      </c>
      <c r="P36" s="5">
        <v>3.6999999999999998E-2</v>
      </c>
      <c r="Q36" s="5">
        <v>-0.91800000000000004</v>
      </c>
      <c r="R36" s="5">
        <v>7.3999999999999996E-2</v>
      </c>
      <c r="S36" s="5">
        <v>0.47599999999999998</v>
      </c>
      <c r="T36" s="5">
        <v>1.1519999999999999</v>
      </c>
      <c r="U36" s="5">
        <v>-1.873</v>
      </c>
      <c r="V36" s="5">
        <v>56.04</v>
      </c>
      <c r="W36" s="5">
        <v>-0.13700000000000001</v>
      </c>
      <c r="X36" s="5">
        <v>-1.292</v>
      </c>
      <c r="Y36" s="5">
        <v>-9.1999999999999998E-2</v>
      </c>
      <c r="Z36" s="5">
        <v>0.308</v>
      </c>
      <c r="AA36" s="5">
        <v>0.97199999999999998</v>
      </c>
      <c r="AB36" s="5">
        <v>1.542</v>
      </c>
      <c r="AC36" s="5">
        <v>-2.1379999999999999</v>
      </c>
      <c r="AD36" s="5">
        <v>-0.54</v>
      </c>
      <c r="AE36" s="5">
        <v>-3.7240000000000002</v>
      </c>
      <c r="AF36" s="5">
        <v>1.423</v>
      </c>
      <c r="AG36" s="5">
        <v>-1.9079999999999999</v>
      </c>
      <c r="AH36" s="5">
        <v>1.5469999999999999</v>
      </c>
      <c r="AI36" s="5" t="s">
        <v>99</v>
      </c>
      <c r="AK36" s="5">
        <f t="shared" si="0"/>
        <v>0.73299999999999987</v>
      </c>
      <c r="AL36" s="8">
        <f t="shared" si="1"/>
        <v>-0.6</v>
      </c>
      <c r="AN36" s="1">
        <f t="shared" si="13"/>
        <v>84.6</v>
      </c>
      <c r="AO36" s="1">
        <f t="shared" si="14"/>
        <v>70.599999999999994</v>
      </c>
      <c r="AP36" s="1">
        <f t="shared" si="15"/>
        <v>56</v>
      </c>
      <c r="AQ36" s="17">
        <f t="shared" si="2"/>
        <v>0.38800000000000001</v>
      </c>
      <c r="AR36" s="22">
        <f t="shared" si="16"/>
        <v>0.30499999999999999</v>
      </c>
      <c r="AT36" s="19">
        <f t="shared" si="3"/>
        <v>43496</v>
      </c>
      <c r="AU36" s="20">
        <f t="shared" si="4"/>
        <v>31</v>
      </c>
      <c r="AV36" s="1">
        <f t="shared" si="17"/>
        <v>-0.3</v>
      </c>
      <c r="AW36" s="1">
        <f t="shared" si="18"/>
        <v>1.7</v>
      </c>
      <c r="AX36" s="1">
        <f t="shared" si="19"/>
        <v>-1.9</v>
      </c>
      <c r="AY36" s="1">
        <f t="shared" si="8"/>
        <v>70.599999999999994</v>
      </c>
      <c r="AZ36" s="1">
        <f t="shared" si="9"/>
        <v>56</v>
      </c>
      <c r="BA36" s="1">
        <f t="shared" si="20"/>
        <v>0.73299999999999987</v>
      </c>
      <c r="BB36" s="5">
        <f t="shared" si="21"/>
        <v>-0.6</v>
      </c>
      <c r="BC36" s="1">
        <f t="shared" si="10"/>
        <v>-2.1</v>
      </c>
      <c r="BD36" s="1">
        <f t="shared" si="11"/>
        <v>-0.5</v>
      </c>
      <c r="BE36" s="1">
        <f t="shared" si="12"/>
        <v>-3.7</v>
      </c>
      <c r="BF36" s="5">
        <f t="shared" si="22"/>
        <v>0</v>
      </c>
      <c r="BG36" s="5">
        <f t="shared" si="23"/>
        <v>0.4</v>
      </c>
      <c r="BH36" s="5">
        <f t="shared" si="24"/>
        <v>1.1000000000000001</v>
      </c>
      <c r="BI36" s="5" t="str">
        <f t="shared" si="25"/>
        <v>NAN</v>
      </c>
      <c r="BJ36" s="10">
        <f t="shared" si="26"/>
        <v>0.38800000000000001</v>
      </c>
      <c r="BK36" s="10">
        <f t="shared" si="27"/>
        <v>0.30499999999999999</v>
      </c>
      <c r="BM36" s="1">
        <f t="shared" si="28"/>
        <v>-2.2839999999999998</v>
      </c>
      <c r="BN36" s="1">
        <f t="shared" si="29"/>
        <v>-1.8510000000000002</v>
      </c>
    </row>
    <row r="37" spans="1:66" x14ac:dyDescent="0.2">
      <c r="A37" s="4">
        <f t="shared" si="30"/>
        <v>43497</v>
      </c>
      <c r="B37" s="1">
        <v>32</v>
      </c>
      <c r="C37" s="1">
        <v>12</v>
      </c>
      <c r="D37" s="5">
        <v>12.89</v>
      </c>
      <c r="E37" s="5">
        <v>-1.3109999999999999</v>
      </c>
      <c r="F37" s="5">
        <v>-3.5129999999999999</v>
      </c>
      <c r="G37" s="5">
        <v>-2.4860000000000002</v>
      </c>
      <c r="H37" s="5">
        <v>86.6</v>
      </c>
      <c r="I37" s="5">
        <v>-4.7E-2</v>
      </c>
      <c r="J37" s="5">
        <v>-0.85599999999999998</v>
      </c>
      <c r="K37" s="5">
        <v>-2.3E-2</v>
      </c>
      <c r="L37" s="5">
        <v>0.36299999999999999</v>
      </c>
      <c r="M37" s="5">
        <v>1.034</v>
      </c>
      <c r="N37" s="5">
        <v>-0.55400000000000005</v>
      </c>
      <c r="O37" s="5">
        <v>96.1</v>
      </c>
      <c r="P37" s="5">
        <v>4.1000000000000002E-2</v>
      </c>
      <c r="Q37" s="5">
        <v>-0.72199999999999998</v>
      </c>
      <c r="R37" s="5">
        <v>5.6000000000000001E-2</v>
      </c>
      <c r="S37" s="5">
        <v>0.44800000000000001</v>
      </c>
      <c r="T37" s="5">
        <v>1.1220000000000001</v>
      </c>
      <c r="U37" s="5">
        <v>-4.9130000000000003</v>
      </c>
      <c r="V37" s="5">
        <v>71.86</v>
      </c>
      <c r="W37" s="5">
        <v>-0.13300000000000001</v>
      </c>
      <c r="X37" s="5">
        <v>-1.024</v>
      </c>
      <c r="Y37" s="5">
        <v>-0.115</v>
      </c>
      <c r="Z37" s="5">
        <v>0.28799999999999998</v>
      </c>
      <c r="AA37" s="5">
        <v>0.95199999999999996</v>
      </c>
      <c r="AB37" s="5">
        <v>1.5580000000000001</v>
      </c>
      <c r="AC37" s="5">
        <v>-3.2349999999999999</v>
      </c>
      <c r="AD37" s="5">
        <v>-2.0990000000000002</v>
      </c>
      <c r="AE37" s="5">
        <v>-5.1559999999999997</v>
      </c>
      <c r="AF37" s="5">
        <v>-1.07</v>
      </c>
      <c r="AG37" s="5">
        <v>-4.5140000000000002</v>
      </c>
      <c r="AH37" s="5">
        <v>1.5669999999999999</v>
      </c>
      <c r="AI37" s="5" t="s">
        <v>99</v>
      </c>
      <c r="AK37" s="5">
        <f t="shared" si="0"/>
        <v>0.71699999999999986</v>
      </c>
      <c r="AL37" s="8">
        <f t="shared" si="1"/>
        <v>-0.4</v>
      </c>
      <c r="AN37" s="1">
        <f t="shared" si="13"/>
        <v>96.1</v>
      </c>
      <c r="AO37" s="1">
        <f t="shared" si="14"/>
        <v>86.6</v>
      </c>
      <c r="AP37" s="1">
        <f t="shared" si="15"/>
        <v>71.900000000000006</v>
      </c>
      <c r="AQ37" s="17">
        <f t="shared" si="2"/>
        <v>0.42199999999999999</v>
      </c>
      <c r="AR37" s="22">
        <f t="shared" si="16"/>
        <v>0.16500000000000001</v>
      </c>
      <c r="AT37" s="19">
        <f t="shared" si="3"/>
        <v>43497</v>
      </c>
      <c r="AU37" s="20">
        <f t="shared" si="4"/>
        <v>32</v>
      </c>
      <c r="AV37" s="1">
        <f t="shared" si="17"/>
        <v>-2.5</v>
      </c>
      <c r="AW37" s="1">
        <f t="shared" si="18"/>
        <v>-0.6</v>
      </c>
      <c r="AX37" s="1">
        <f t="shared" si="19"/>
        <v>-4.9000000000000004</v>
      </c>
      <c r="AY37" s="1">
        <f t="shared" si="8"/>
        <v>86.6</v>
      </c>
      <c r="AZ37" s="1">
        <f t="shared" si="9"/>
        <v>71.900000000000006</v>
      </c>
      <c r="BA37" s="1">
        <f t="shared" si="20"/>
        <v>0.71699999999999986</v>
      </c>
      <c r="BB37" s="5">
        <f t="shared" si="21"/>
        <v>-0.4</v>
      </c>
      <c r="BC37" s="1">
        <f t="shared" si="10"/>
        <v>-3.2</v>
      </c>
      <c r="BD37" s="1">
        <f t="shared" si="11"/>
        <v>-2.1</v>
      </c>
      <c r="BE37" s="1">
        <f t="shared" si="12"/>
        <v>-5.2</v>
      </c>
      <c r="BF37" s="5">
        <f t="shared" si="22"/>
        <v>0</v>
      </c>
      <c r="BG37" s="5">
        <f t="shared" si="23"/>
        <v>0.4</v>
      </c>
      <c r="BH37" s="5">
        <f t="shared" si="24"/>
        <v>1</v>
      </c>
      <c r="BI37" s="5" t="str">
        <f t="shared" si="25"/>
        <v>NAN</v>
      </c>
      <c r="BJ37" s="10">
        <f t="shared" si="26"/>
        <v>0.42199999999999999</v>
      </c>
      <c r="BK37" s="10">
        <f t="shared" si="27"/>
        <v>0.16500000000000001</v>
      </c>
      <c r="BM37" s="1">
        <f t="shared" si="28"/>
        <v>-1.5450000000000002</v>
      </c>
      <c r="BN37" s="1">
        <f t="shared" si="29"/>
        <v>-0.24299999999999944</v>
      </c>
    </row>
    <row r="38" spans="1:66" x14ac:dyDescent="0.2">
      <c r="A38" s="4">
        <f t="shared" si="30"/>
        <v>43498</v>
      </c>
      <c r="B38" s="1">
        <v>33</v>
      </c>
      <c r="C38" s="1">
        <v>12</v>
      </c>
      <c r="D38" s="5">
        <v>12.93</v>
      </c>
      <c r="E38" s="5">
        <v>-2.056</v>
      </c>
      <c r="F38" s="5">
        <v>-7.3949999999999996</v>
      </c>
      <c r="G38" s="5">
        <v>-5.0730000000000004</v>
      </c>
      <c r="H38" s="5">
        <v>83.4</v>
      </c>
      <c r="I38" s="5">
        <v>-4.3999999999999997E-2</v>
      </c>
      <c r="J38" s="5">
        <v>-0.72599999999999998</v>
      </c>
      <c r="K38" s="5">
        <v>-2.8000000000000001E-2</v>
      </c>
      <c r="L38" s="5">
        <v>0.35</v>
      </c>
      <c r="M38" s="5">
        <v>1.0209999999999999</v>
      </c>
      <c r="N38" s="5">
        <v>-2.0070000000000001</v>
      </c>
      <c r="O38" s="5">
        <v>95.1</v>
      </c>
      <c r="P38" s="5">
        <v>4.8000000000000001E-2</v>
      </c>
      <c r="Q38" s="5">
        <v>-0.625</v>
      </c>
      <c r="R38" s="5">
        <v>5.1999999999999998E-2</v>
      </c>
      <c r="S38" s="5">
        <v>0.43099999999999999</v>
      </c>
      <c r="T38" s="5">
        <v>1.1379999999999999</v>
      </c>
      <c r="U38" s="5">
        <v>-7.98</v>
      </c>
      <c r="V38" s="5">
        <v>63.04</v>
      </c>
      <c r="W38" s="5">
        <v>-0.13100000000000001</v>
      </c>
      <c r="X38" s="5">
        <v>-0.81599999999999995</v>
      </c>
      <c r="Y38" s="5">
        <v>-0.114</v>
      </c>
      <c r="Z38" s="5">
        <v>0.27300000000000002</v>
      </c>
      <c r="AA38" s="5">
        <v>0.93899999999999995</v>
      </c>
      <c r="AB38" s="5">
        <v>1.538</v>
      </c>
      <c r="AC38" s="5">
        <v>-6.319</v>
      </c>
      <c r="AD38" s="5">
        <v>-3.2610000000000001</v>
      </c>
      <c r="AE38" s="5">
        <v>-9.26</v>
      </c>
      <c r="AF38" s="5">
        <v>-1.732</v>
      </c>
      <c r="AG38" s="5">
        <v>-7.944</v>
      </c>
      <c r="AH38" s="5">
        <v>1.5609999999999999</v>
      </c>
      <c r="AI38" s="5" t="s">
        <v>99</v>
      </c>
      <c r="AK38" s="5">
        <f t="shared" si="0"/>
        <v>0.73699999999999988</v>
      </c>
      <c r="AL38" s="8">
        <f t="shared" si="1"/>
        <v>-0.4</v>
      </c>
      <c r="AN38" s="1">
        <f t="shared" si="13"/>
        <v>95.1</v>
      </c>
      <c r="AO38" s="1">
        <f t="shared" si="14"/>
        <v>83.4</v>
      </c>
      <c r="AP38" s="1">
        <f t="shared" si="15"/>
        <v>63</v>
      </c>
      <c r="AQ38" s="17">
        <f t="shared" si="2"/>
        <v>0.33200000000000002</v>
      </c>
      <c r="AR38" s="22">
        <f t="shared" si="16"/>
        <v>0.19500000000000001</v>
      </c>
      <c r="AT38" s="19">
        <f t="shared" si="3"/>
        <v>43498</v>
      </c>
      <c r="AU38" s="20">
        <f t="shared" si="4"/>
        <v>33</v>
      </c>
      <c r="AV38" s="1">
        <f t="shared" si="17"/>
        <v>-5.0999999999999996</v>
      </c>
      <c r="AW38" s="1">
        <f t="shared" si="18"/>
        <v>-2</v>
      </c>
      <c r="AX38" s="1">
        <f t="shared" si="19"/>
        <v>-8</v>
      </c>
      <c r="AY38" s="1">
        <f t="shared" si="8"/>
        <v>83.4</v>
      </c>
      <c r="AZ38" s="1">
        <f t="shared" si="9"/>
        <v>63</v>
      </c>
      <c r="BA38" s="1">
        <f t="shared" si="20"/>
        <v>0.73699999999999988</v>
      </c>
      <c r="BB38" s="5">
        <f t="shared" si="21"/>
        <v>-0.4</v>
      </c>
      <c r="BC38" s="1">
        <f t="shared" si="10"/>
        <v>-6.3</v>
      </c>
      <c r="BD38" s="1">
        <f t="shared" si="11"/>
        <v>-3.3</v>
      </c>
      <c r="BE38" s="1">
        <f t="shared" si="12"/>
        <v>-9.3000000000000007</v>
      </c>
      <c r="BF38" s="5">
        <f t="shared" si="22"/>
        <v>0</v>
      </c>
      <c r="BG38" s="5">
        <f t="shared" si="23"/>
        <v>0.4</v>
      </c>
      <c r="BH38" s="5">
        <f t="shared" si="24"/>
        <v>1</v>
      </c>
      <c r="BI38" s="5" t="str">
        <f t="shared" si="25"/>
        <v>NAN</v>
      </c>
      <c r="BJ38" s="10">
        <f t="shared" si="26"/>
        <v>0.33200000000000002</v>
      </c>
      <c r="BK38" s="10">
        <f t="shared" si="27"/>
        <v>0.19500000000000001</v>
      </c>
      <c r="BM38" s="1">
        <f t="shared" si="28"/>
        <v>-1.254</v>
      </c>
      <c r="BN38" s="1">
        <f t="shared" si="29"/>
        <v>-1.2799999999999994</v>
      </c>
    </row>
    <row r="39" spans="1:66" x14ac:dyDescent="0.2">
      <c r="A39" s="4">
        <f t="shared" si="30"/>
        <v>43499</v>
      </c>
      <c r="B39" s="1">
        <v>34</v>
      </c>
      <c r="C39" s="1">
        <v>12</v>
      </c>
      <c r="D39" s="5">
        <v>12.91</v>
      </c>
      <c r="E39" s="5">
        <v>-7.3949999999999996</v>
      </c>
      <c r="F39" s="5">
        <v>-18.829999999999998</v>
      </c>
      <c r="G39" s="5">
        <v>-12.3</v>
      </c>
      <c r="H39" s="5">
        <v>83.4</v>
      </c>
      <c r="I39" s="5">
        <v>-7.5999999999999998E-2</v>
      </c>
      <c r="J39" s="5">
        <v>-0.82099999999999995</v>
      </c>
      <c r="K39" s="5">
        <v>-6.0999999999999999E-2</v>
      </c>
      <c r="L39" s="5">
        <v>0.31</v>
      </c>
      <c r="M39" s="5">
        <v>0.98299999999999998</v>
      </c>
      <c r="N39" s="5">
        <v>-7.9119999999999999</v>
      </c>
      <c r="O39" s="5">
        <v>93.3</v>
      </c>
      <c r="P39" s="5">
        <v>2.1000000000000001E-2</v>
      </c>
      <c r="Q39" s="5">
        <v>-0.68100000000000005</v>
      </c>
      <c r="R39" s="5">
        <v>3.1E-2</v>
      </c>
      <c r="S39" s="5">
        <v>0.41</v>
      </c>
      <c r="T39" s="5">
        <v>1.081</v>
      </c>
      <c r="U39" s="5">
        <v>-21.79</v>
      </c>
      <c r="V39" s="5">
        <v>64.27</v>
      </c>
      <c r="W39" s="5">
        <v>-0.192</v>
      </c>
      <c r="X39" s="5">
        <v>-1.03</v>
      </c>
      <c r="Y39" s="5">
        <v>-0.157</v>
      </c>
      <c r="Z39" s="5">
        <v>0.193</v>
      </c>
      <c r="AA39" s="5">
        <v>0.877</v>
      </c>
      <c r="AB39" s="5">
        <v>1.544</v>
      </c>
      <c r="AC39" s="5">
        <v>-11.61</v>
      </c>
      <c r="AD39" s="5">
        <v>-7.86</v>
      </c>
      <c r="AE39" s="5">
        <v>-20.2</v>
      </c>
      <c r="AF39" s="5">
        <v>-7.7590000000000003</v>
      </c>
      <c r="AG39" s="5">
        <v>-21.54</v>
      </c>
      <c r="AH39" s="5">
        <v>1.6080000000000001</v>
      </c>
      <c r="AI39" s="5" t="s">
        <v>99</v>
      </c>
      <c r="AK39" s="5">
        <f t="shared" si="0"/>
        <v>0.73099999999999987</v>
      </c>
      <c r="AL39" s="8">
        <f t="shared" si="1"/>
        <v>-0.4</v>
      </c>
      <c r="AN39" s="1">
        <f t="shared" si="13"/>
        <v>93.3</v>
      </c>
      <c r="AO39" s="1">
        <f t="shared" si="14"/>
        <v>83.4</v>
      </c>
      <c r="AP39" s="1">
        <f t="shared" si="15"/>
        <v>64.3</v>
      </c>
      <c r="AQ39" s="17">
        <f t="shared" si="2"/>
        <v>0.216</v>
      </c>
      <c r="AR39" s="22">
        <f t="shared" si="16"/>
        <v>0.12</v>
      </c>
      <c r="AT39" s="19">
        <f t="shared" si="3"/>
        <v>43499</v>
      </c>
      <c r="AU39" s="20">
        <f t="shared" si="4"/>
        <v>34</v>
      </c>
      <c r="AV39" s="1">
        <f t="shared" si="17"/>
        <v>-12.3</v>
      </c>
      <c r="AW39" s="1">
        <f t="shared" si="18"/>
        <v>-7.9</v>
      </c>
      <c r="AX39" s="1">
        <f t="shared" si="19"/>
        <v>-21.8</v>
      </c>
      <c r="AY39" s="1">
        <f t="shared" si="8"/>
        <v>83.4</v>
      </c>
      <c r="AZ39" s="1">
        <f t="shared" si="9"/>
        <v>64.3</v>
      </c>
      <c r="BA39" s="1">
        <f t="shared" si="20"/>
        <v>0.73099999999999987</v>
      </c>
      <c r="BB39" s="5">
        <f t="shared" si="21"/>
        <v>-0.4</v>
      </c>
      <c r="BC39" s="1">
        <f t="shared" si="10"/>
        <v>-11.6</v>
      </c>
      <c r="BD39" s="1">
        <f t="shared" si="11"/>
        <v>-7.9</v>
      </c>
      <c r="BE39" s="1">
        <f t="shared" si="12"/>
        <v>-20.2</v>
      </c>
      <c r="BF39" s="5">
        <f t="shared" si="22"/>
        <v>-0.1</v>
      </c>
      <c r="BG39" s="5">
        <f t="shared" si="23"/>
        <v>0.3</v>
      </c>
      <c r="BH39" s="5">
        <f t="shared" si="24"/>
        <v>1</v>
      </c>
      <c r="BI39" s="5" t="str">
        <f t="shared" si="25"/>
        <v>NAN</v>
      </c>
      <c r="BJ39" s="10">
        <f t="shared" si="26"/>
        <v>0.216</v>
      </c>
      <c r="BK39" s="10">
        <f t="shared" si="27"/>
        <v>0.12</v>
      </c>
      <c r="BM39" s="1">
        <f t="shared" si="28"/>
        <v>5.1999999999999602E-2</v>
      </c>
      <c r="BN39" s="1">
        <f t="shared" si="29"/>
        <v>1.5899999999999999</v>
      </c>
    </row>
    <row r="40" spans="1:66" x14ac:dyDescent="0.2">
      <c r="A40" s="4">
        <f t="shared" si="30"/>
        <v>43500</v>
      </c>
      <c r="B40" s="1">
        <v>35</v>
      </c>
      <c r="C40" s="1">
        <v>12</v>
      </c>
      <c r="D40" s="5">
        <v>13.02</v>
      </c>
      <c r="E40" s="5">
        <v>-18.86</v>
      </c>
      <c r="F40" s="5">
        <v>-25.06</v>
      </c>
      <c r="G40" s="5">
        <v>-22.5</v>
      </c>
      <c r="H40" s="5">
        <v>76.069999999999993</v>
      </c>
      <c r="I40" s="5">
        <v>-0.16600000000000001</v>
      </c>
      <c r="J40" s="5">
        <v>-1.2869999999999999</v>
      </c>
      <c r="K40" s="5">
        <v>-0.13400000000000001</v>
      </c>
      <c r="L40" s="5">
        <v>0.23699999999999999</v>
      </c>
      <c r="M40" s="5">
        <v>0.90400000000000003</v>
      </c>
      <c r="N40" s="5">
        <v>-19.760000000000002</v>
      </c>
      <c r="O40" s="5">
        <v>79.86</v>
      </c>
      <c r="P40" s="5">
        <v>-6.5000000000000002E-2</v>
      </c>
      <c r="Q40" s="5">
        <v>-0.93300000000000005</v>
      </c>
      <c r="R40" s="5">
        <v>-4.3999999999999997E-2</v>
      </c>
      <c r="S40" s="5">
        <v>0.32700000000000001</v>
      </c>
      <c r="T40" s="5">
        <v>1.0049999999999999</v>
      </c>
      <c r="U40" s="5">
        <v>-26.35</v>
      </c>
      <c r="V40" s="5">
        <v>73.69</v>
      </c>
      <c r="W40" s="5">
        <v>-0.28699999999999998</v>
      </c>
      <c r="X40" s="5">
        <v>-1.732</v>
      </c>
      <c r="Y40" s="5">
        <v>-0.217</v>
      </c>
      <c r="Z40" s="5">
        <v>0.153</v>
      </c>
      <c r="AA40" s="5">
        <v>0.81200000000000006</v>
      </c>
      <c r="AB40" s="5">
        <v>1.5409999999999999</v>
      </c>
      <c r="AC40" s="5">
        <v>-22.14</v>
      </c>
      <c r="AD40" s="5">
        <v>-19.03</v>
      </c>
      <c r="AE40" s="5">
        <v>-25.45</v>
      </c>
      <c r="AF40" s="5">
        <v>-19.7</v>
      </c>
      <c r="AG40" s="5">
        <v>-26.1</v>
      </c>
      <c r="AH40" s="5">
        <v>1.6</v>
      </c>
      <c r="AI40" s="5" t="s">
        <v>99</v>
      </c>
      <c r="AK40" s="5">
        <f t="shared" si="0"/>
        <v>0.73399999999999999</v>
      </c>
      <c r="AL40" s="8">
        <f t="shared" si="1"/>
        <v>-0.7</v>
      </c>
      <c r="AN40" s="1">
        <f t="shared" si="13"/>
        <v>79.900000000000006</v>
      </c>
      <c r="AO40" s="1">
        <f t="shared" si="14"/>
        <v>76.099999999999994</v>
      </c>
      <c r="AP40" s="1">
        <f t="shared" si="15"/>
        <v>73.7</v>
      </c>
      <c r="AQ40" s="17">
        <f t="shared" si="2"/>
        <v>9.4E-2</v>
      </c>
      <c r="AR40" s="22">
        <f t="shared" si="16"/>
        <v>3.4000000000000002E-2</v>
      </c>
      <c r="AT40" s="19">
        <f t="shared" ref="AT40" si="31">A40</f>
        <v>43500</v>
      </c>
      <c r="AU40" s="20">
        <f t="shared" ref="AU40" si="32">B40</f>
        <v>35</v>
      </c>
      <c r="AV40" s="1">
        <f t="shared" ref="AV40" si="33">ROUND(G40,1)</f>
        <v>-22.5</v>
      </c>
      <c r="AW40" s="1">
        <f t="shared" ref="AW40" si="34">ROUND(N40,1)</f>
        <v>-19.8</v>
      </c>
      <c r="AX40" s="1">
        <f t="shared" ref="AX40" si="35">ROUND(U40,1)</f>
        <v>-26.4</v>
      </c>
      <c r="AY40" s="1">
        <f t="shared" si="8"/>
        <v>76.099999999999994</v>
      </c>
      <c r="AZ40" s="1">
        <f t="shared" si="9"/>
        <v>73.7</v>
      </c>
      <c r="BA40" s="1">
        <f t="shared" si="20"/>
        <v>0.73399999999999999</v>
      </c>
      <c r="BB40" s="5">
        <f t="shared" si="21"/>
        <v>-0.7</v>
      </c>
      <c r="BC40" s="1">
        <f t="shared" si="10"/>
        <v>-22.1</v>
      </c>
      <c r="BD40" s="1">
        <f t="shared" si="11"/>
        <v>-19</v>
      </c>
      <c r="BE40" s="1">
        <f t="shared" si="12"/>
        <v>-25.5</v>
      </c>
      <c r="BF40" s="5">
        <f t="shared" ref="BF40" si="36">ROUND(K40,1)</f>
        <v>-0.1</v>
      </c>
      <c r="BG40" s="5">
        <f t="shared" ref="BG40" si="37">ROUND(L40,1)</f>
        <v>0.2</v>
      </c>
      <c r="BH40" s="5">
        <f t="shared" ref="BH40" si="38">ROUND(M40,1)</f>
        <v>0.9</v>
      </c>
      <c r="BI40" s="5" t="str">
        <f t="shared" si="25"/>
        <v>NAN</v>
      </c>
      <c r="BJ40" s="10">
        <f t="shared" si="26"/>
        <v>9.4E-2</v>
      </c>
      <c r="BK40" s="10">
        <f t="shared" si="27"/>
        <v>3.4000000000000002E-2</v>
      </c>
      <c r="BM40" s="1">
        <f t="shared" ref="BM40" si="39">AD40-N40</f>
        <v>0.73000000000000043</v>
      </c>
      <c r="BN40" s="1">
        <f t="shared" ref="BN40" si="40">AE40-U40</f>
        <v>0.90000000000000213</v>
      </c>
    </row>
    <row r="41" spans="1:66" x14ac:dyDescent="0.2">
      <c r="A41" s="4">
        <f t="shared" si="30"/>
        <v>43501</v>
      </c>
      <c r="B41" s="1">
        <v>36</v>
      </c>
      <c r="C41" s="1">
        <v>12</v>
      </c>
      <c r="D41" s="5">
        <v>12.99</v>
      </c>
      <c r="E41" s="5">
        <v>-15.17</v>
      </c>
      <c r="F41" s="5">
        <v>-22.31</v>
      </c>
      <c r="G41" s="5">
        <v>-19.899999999999999</v>
      </c>
      <c r="H41" s="5">
        <v>67.53</v>
      </c>
      <c r="I41" s="5">
        <v>-0.216</v>
      </c>
      <c r="J41" s="5">
        <v>-2.1019999999999999</v>
      </c>
      <c r="K41" s="5">
        <v>-0.13100000000000001</v>
      </c>
      <c r="L41" s="5">
        <v>0.253</v>
      </c>
      <c r="M41" s="5">
        <v>0.91600000000000004</v>
      </c>
      <c r="N41" s="5">
        <v>-15.53</v>
      </c>
      <c r="O41" s="5">
        <v>79.02</v>
      </c>
      <c r="P41" s="5">
        <v>-0.121</v>
      </c>
      <c r="Q41" s="5">
        <v>-1.6419999999999999</v>
      </c>
      <c r="R41" s="5">
        <v>-4.2000000000000003E-2</v>
      </c>
      <c r="S41" s="5">
        <v>0.36</v>
      </c>
      <c r="T41" s="5">
        <v>1.02</v>
      </c>
      <c r="U41" s="5">
        <v>-22.8</v>
      </c>
      <c r="V41" s="5">
        <v>42.64</v>
      </c>
      <c r="W41" s="5">
        <v>-0.32700000000000001</v>
      </c>
      <c r="X41" s="5">
        <v>-2.5499999999999998</v>
      </c>
      <c r="Y41" s="5">
        <v>-0.22700000000000001</v>
      </c>
      <c r="Z41" s="5">
        <v>0.16</v>
      </c>
      <c r="AA41" s="5">
        <v>0.81899999999999995</v>
      </c>
      <c r="AB41" s="5">
        <v>1.542</v>
      </c>
      <c r="AC41" s="5">
        <v>-20.84</v>
      </c>
      <c r="AD41" s="5">
        <v>-15.05</v>
      </c>
      <c r="AE41" s="5">
        <v>-23.44</v>
      </c>
      <c r="AF41" s="5">
        <v>-14.32</v>
      </c>
      <c r="AG41" s="5">
        <v>-22.98</v>
      </c>
      <c r="AH41" s="5">
        <v>1.61</v>
      </c>
      <c r="AI41" s="5" t="s">
        <v>99</v>
      </c>
      <c r="AK41" s="5">
        <f t="shared" si="0"/>
        <v>0.73299999999999987</v>
      </c>
      <c r="AL41" s="8">
        <f t="shared" si="1"/>
        <v>-1.1000000000000001</v>
      </c>
      <c r="AN41" s="1">
        <f t="shared" si="13"/>
        <v>79</v>
      </c>
      <c r="AO41" s="1">
        <f t="shared" si="14"/>
        <v>67.5</v>
      </c>
      <c r="AP41" s="1">
        <f t="shared" si="15"/>
        <v>42.6</v>
      </c>
      <c r="AQ41" s="17">
        <f t="shared" si="2"/>
        <v>7.8E-2</v>
      </c>
      <c r="AR41" s="22">
        <f t="shared" si="16"/>
        <v>0.105</v>
      </c>
      <c r="AT41" s="19">
        <f t="shared" si="3"/>
        <v>43501</v>
      </c>
      <c r="AU41" s="20">
        <f t="shared" si="4"/>
        <v>36</v>
      </c>
      <c r="AV41" s="1">
        <f t="shared" si="17"/>
        <v>-19.899999999999999</v>
      </c>
      <c r="AW41" s="1">
        <f t="shared" si="18"/>
        <v>-15.5</v>
      </c>
      <c r="AX41" s="1">
        <f t="shared" si="19"/>
        <v>-22.8</v>
      </c>
      <c r="AY41" s="1">
        <f t="shared" si="8"/>
        <v>67.5</v>
      </c>
      <c r="AZ41" s="1">
        <f t="shared" si="9"/>
        <v>42.6</v>
      </c>
      <c r="BA41" s="1">
        <f t="shared" si="20"/>
        <v>0.73299999999999987</v>
      </c>
      <c r="BB41" s="5">
        <f t="shared" si="21"/>
        <v>-1.1000000000000001</v>
      </c>
      <c r="BC41" s="1">
        <f t="shared" si="10"/>
        <v>-20.8</v>
      </c>
      <c r="BD41" s="1">
        <f t="shared" si="11"/>
        <v>-15.1</v>
      </c>
      <c r="BE41" s="1">
        <f t="shared" si="12"/>
        <v>-23.4</v>
      </c>
      <c r="BF41" s="5">
        <f t="shared" si="22"/>
        <v>-0.1</v>
      </c>
      <c r="BG41" s="5">
        <f t="shared" si="23"/>
        <v>0.3</v>
      </c>
      <c r="BH41" s="5">
        <f t="shared" si="24"/>
        <v>0.9</v>
      </c>
      <c r="BI41" s="5" t="str">
        <f t="shared" si="25"/>
        <v>NAN</v>
      </c>
      <c r="BJ41" s="10">
        <f t="shared" si="26"/>
        <v>7.8E-2</v>
      </c>
      <c r="BK41" s="10">
        <f t="shared" si="27"/>
        <v>0.105</v>
      </c>
      <c r="BM41" s="1">
        <f t="shared" si="28"/>
        <v>0.47999999999999865</v>
      </c>
      <c r="BN41" s="1">
        <f t="shared" si="29"/>
        <v>-0.64000000000000057</v>
      </c>
    </row>
    <row r="42" spans="1:66" x14ac:dyDescent="0.2">
      <c r="A42" s="4">
        <f t="shared" si="30"/>
        <v>43502</v>
      </c>
      <c r="B42" s="1">
        <v>37</v>
      </c>
      <c r="C42" s="1">
        <v>12</v>
      </c>
      <c r="D42" s="5">
        <v>13.07</v>
      </c>
      <c r="E42" s="5">
        <v>-14.57</v>
      </c>
      <c r="F42" s="5">
        <v>-23.13</v>
      </c>
      <c r="G42" s="5">
        <v>-19.41</v>
      </c>
      <c r="H42" s="5">
        <v>72.010000000000005</v>
      </c>
      <c r="I42" s="5">
        <v>-0.27500000000000002</v>
      </c>
      <c r="J42" s="5">
        <v>-2.778</v>
      </c>
      <c r="K42" s="5">
        <v>-0.155</v>
      </c>
      <c r="L42" s="5">
        <v>0.252</v>
      </c>
      <c r="M42" s="5">
        <v>0.91500000000000004</v>
      </c>
      <c r="N42" s="5">
        <v>-14.96</v>
      </c>
      <c r="O42" s="5">
        <v>80.2</v>
      </c>
      <c r="P42" s="5">
        <v>-0.186</v>
      </c>
      <c r="Q42" s="5">
        <v>-2.4359999999999999</v>
      </c>
      <c r="R42" s="5">
        <v>-7.0000000000000007E-2</v>
      </c>
      <c r="S42" s="5">
        <v>0.36799999999999999</v>
      </c>
      <c r="T42" s="5">
        <v>1.008</v>
      </c>
      <c r="U42" s="5">
        <v>-23.41</v>
      </c>
      <c r="V42" s="5">
        <v>55.03</v>
      </c>
      <c r="W42" s="5">
        <v>-0.39</v>
      </c>
      <c r="X42" s="5">
        <v>-3.081</v>
      </c>
      <c r="Y42" s="5">
        <v>-0.24399999999999999</v>
      </c>
      <c r="Z42" s="5">
        <v>0.14599999999999999</v>
      </c>
      <c r="AA42" s="5">
        <v>0.80100000000000005</v>
      </c>
      <c r="AB42" s="5">
        <v>1.5449999999999999</v>
      </c>
      <c r="AC42" s="5">
        <v>-20.87</v>
      </c>
      <c r="AD42" s="5">
        <v>-15.98</v>
      </c>
      <c r="AE42" s="5">
        <v>-24.29</v>
      </c>
      <c r="AF42" s="5">
        <v>-15.64</v>
      </c>
      <c r="AG42" s="5">
        <v>-23.7</v>
      </c>
      <c r="AH42" s="5">
        <v>1.589</v>
      </c>
      <c r="AI42" s="5" t="s">
        <v>99</v>
      </c>
      <c r="AK42" s="5">
        <f t="shared" si="0"/>
        <v>0.73</v>
      </c>
      <c r="AL42" s="8">
        <f t="shared" si="1"/>
        <v>-1.5</v>
      </c>
      <c r="AN42" s="1">
        <f t="shared" si="13"/>
        <v>80.2</v>
      </c>
      <c r="AO42" s="1">
        <f t="shared" si="14"/>
        <v>72</v>
      </c>
      <c r="AP42" s="1">
        <f t="shared" si="15"/>
        <v>55</v>
      </c>
      <c r="AQ42" s="17">
        <f t="shared" si="2"/>
        <v>0.105</v>
      </c>
      <c r="AR42" s="22">
        <f t="shared" si="16"/>
        <v>8.5999999999999993E-2</v>
      </c>
      <c r="AT42" s="19">
        <f t="shared" si="3"/>
        <v>43502</v>
      </c>
      <c r="AU42" s="20">
        <f t="shared" si="4"/>
        <v>37</v>
      </c>
      <c r="AV42" s="1">
        <f t="shared" si="17"/>
        <v>-19.399999999999999</v>
      </c>
      <c r="AW42" s="1">
        <f t="shared" si="18"/>
        <v>-15</v>
      </c>
      <c r="AX42" s="1">
        <f t="shared" si="19"/>
        <v>-23.4</v>
      </c>
      <c r="AY42" s="1">
        <f t="shared" si="8"/>
        <v>72</v>
      </c>
      <c r="AZ42" s="1">
        <f t="shared" si="9"/>
        <v>55</v>
      </c>
      <c r="BA42" s="1">
        <f t="shared" si="20"/>
        <v>0.73</v>
      </c>
      <c r="BB42" s="5">
        <f t="shared" si="21"/>
        <v>-1.5</v>
      </c>
      <c r="BC42" s="1">
        <f t="shared" si="10"/>
        <v>-20.9</v>
      </c>
      <c r="BD42" s="1">
        <f t="shared" si="11"/>
        <v>-16</v>
      </c>
      <c r="BE42" s="1">
        <f t="shared" si="12"/>
        <v>-24.3</v>
      </c>
      <c r="BF42" s="5">
        <f t="shared" si="22"/>
        <v>-0.2</v>
      </c>
      <c r="BG42" s="5">
        <f t="shared" si="23"/>
        <v>0.3</v>
      </c>
      <c r="BH42" s="5">
        <f t="shared" si="24"/>
        <v>0.9</v>
      </c>
      <c r="BI42" s="5" t="str">
        <f t="shared" si="25"/>
        <v>NAN</v>
      </c>
      <c r="BJ42" s="10">
        <f t="shared" si="26"/>
        <v>0.105</v>
      </c>
      <c r="BK42" s="10">
        <f t="shared" si="27"/>
        <v>8.5999999999999993E-2</v>
      </c>
      <c r="BM42" s="1">
        <f t="shared" si="28"/>
        <v>-1.0199999999999996</v>
      </c>
      <c r="BN42" s="1">
        <f t="shared" si="29"/>
        <v>-0.87999999999999901</v>
      </c>
    </row>
    <row r="43" spans="1:66" x14ac:dyDescent="0.2">
      <c r="A43" s="4">
        <f t="shared" si="30"/>
        <v>43503</v>
      </c>
      <c r="B43" s="1">
        <v>38</v>
      </c>
      <c r="C43" s="1">
        <v>12</v>
      </c>
      <c r="D43" s="5">
        <v>12.98</v>
      </c>
      <c r="E43" s="5">
        <v>-10.44</v>
      </c>
      <c r="F43" s="5">
        <v>-17.170000000000002</v>
      </c>
      <c r="G43" s="5">
        <v>-12.31</v>
      </c>
      <c r="H43" s="5">
        <v>63.38</v>
      </c>
      <c r="I43" s="5">
        <v>-0.28899999999999998</v>
      </c>
      <c r="J43" s="5">
        <v>-3.173</v>
      </c>
      <c r="K43" s="5">
        <v>-0.153</v>
      </c>
      <c r="L43" s="5">
        <v>0.27900000000000003</v>
      </c>
      <c r="M43" s="5">
        <v>0.94299999999999995</v>
      </c>
      <c r="N43" s="5">
        <v>-10.71</v>
      </c>
      <c r="O43" s="5">
        <v>88.8</v>
      </c>
      <c r="P43" s="5">
        <v>-0.21299999999999999</v>
      </c>
      <c r="Q43" s="5">
        <v>-2.9929999999999999</v>
      </c>
      <c r="R43" s="5">
        <v>-6.2E-2</v>
      </c>
      <c r="S43" s="5">
        <v>0.36199999999999999</v>
      </c>
      <c r="T43" s="5">
        <v>1.038</v>
      </c>
      <c r="U43" s="5">
        <v>-16.14</v>
      </c>
      <c r="V43" s="5">
        <v>37.18</v>
      </c>
      <c r="W43" s="5">
        <v>-0.36499999999999999</v>
      </c>
      <c r="X43" s="5">
        <v>-3.3</v>
      </c>
      <c r="Y43" s="5">
        <v>-0.23799999999999999</v>
      </c>
      <c r="Z43" s="5">
        <v>0.20799999999999999</v>
      </c>
      <c r="AA43" s="5">
        <v>0.85299999999999998</v>
      </c>
      <c r="AB43" s="5">
        <v>1.542</v>
      </c>
      <c r="AC43" s="5">
        <v>-13.32</v>
      </c>
      <c r="AD43" s="5">
        <v>-11.06</v>
      </c>
      <c r="AE43" s="5">
        <v>-18.399999999999999</v>
      </c>
      <c r="AF43" s="5">
        <v>-10.68</v>
      </c>
      <c r="AG43" s="5">
        <v>-16.649999999999999</v>
      </c>
      <c r="AH43" s="5">
        <v>1.5760000000000001</v>
      </c>
      <c r="AI43" s="5" t="s">
        <v>99</v>
      </c>
      <c r="AK43" s="5">
        <f t="shared" si="0"/>
        <v>0.73299999999999987</v>
      </c>
      <c r="AL43" s="8">
        <f t="shared" si="1"/>
        <v>-1.7</v>
      </c>
      <c r="AN43" s="1">
        <f t="shared" si="13"/>
        <v>88.8</v>
      </c>
      <c r="AO43" s="1">
        <f t="shared" si="14"/>
        <v>63.4</v>
      </c>
      <c r="AP43" s="1">
        <f t="shared" si="15"/>
        <v>37.200000000000003</v>
      </c>
      <c r="AQ43" s="17">
        <f t="shared" si="2"/>
        <v>0.1</v>
      </c>
      <c r="AR43" s="22">
        <f t="shared" si="16"/>
        <v>0.16900000000000001</v>
      </c>
      <c r="AT43" s="19">
        <f t="shared" si="3"/>
        <v>43503</v>
      </c>
      <c r="AU43" s="20">
        <f t="shared" si="4"/>
        <v>38</v>
      </c>
      <c r="AV43" s="1">
        <f t="shared" si="17"/>
        <v>-12.3</v>
      </c>
      <c r="AW43" s="1">
        <f t="shared" si="18"/>
        <v>-10.7</v>
      </c>
      <c r="AX43" s="1">
        <f t="shared" si="19"/>
        <v>-16.100000000000001</v>
      </c>
      <c r="AY43" s="1">
        <f t="shared" si="8"/>
        <v>63.4</v>
      </c>
      <c r="AZ43" s="1">
        <f t="shared" si="9"/>
        <v>37.200000000000003</v>
      </c>
      <c r="BA43" s="1">
        <f t="shared" si="20"/>
        <v>0.73299999999999987</v>
      </c>
      <c r="BB43" s="5">
        <f t="shared" si="21"/>
        <v>-1.7</v>
      </c>
      <c r="BC43" s="1">
        <f t="shared" si="10"/>
        <v>-13.3</v>
      </c>
      <c r="BD43" s="1">
        <f t="shared" si="11"/>
        <v>-11.1</v>
      </c>
      <c r="BE43" s="1">
        <f t="shared" si="12"/>
        <v>-18.399999999999999</v>
      </c>
      <c r="BF43" s="5">
        <f t="shared" si="22"/>
        <v>-0.2</v>
      </c>
      <c r="BG43" s="5">
        <f t="shared" si="23"/>
        <v>0.3</v>
      </c>
      <c r="BH43" s="5">
        <f t="shared" si="24"/>
        <v>0.9</v>
      </c>
      <c r="BI43" s="5" t="str">
        <f t="shared" si="25"/>
        <v>NAN</v>
      </c>
      <c r="BJ43" s="10">
        <f t="shared" si="26"/>
        <v>0.1</v>
      </c>
      <c r="BK43" s="10">
        <f t="shared" si="27"/>
        <v>0.16900000000000001</v>
      </c>
      <c r="BM43" s="1">
        <f t="shared" si="28"/>
        <v>-0.34999999999999964</v>
      </c>
      <c r="BN43" s="1">
        <f t="shared" si="29"/>
        <v>-2.259999999999998</v>
      </c>
    </row>
    <row r="44" spans="1:66" x14ac:dyDescent="0.2">
      <c r="A44" s="4">
        <f t="shared" si="30"/>
        <v>43504</v>
      </c>
      <c r="B44" s="1">
        <v>39</v>
      </c>
      <c r="C44" s="1">
        <v>12</v>
      </c>
      <c r="D44" s="5">
        <v>12.97</v>
      </c>
      <c r="E44" s="5">
        <v>-11.51</v>
      </c>
      <c r="F44" s="5">
        <v>-18.670000000000002</v>
      </c>
      <c r="G44" s="5">
        <v>-15.58</v>
      </c>
      <c r="H44" s="5">
        <v>82.4</v>
      </c>
      <c r="I44" s="5">
        <v>-0.311</v>
      </c>
      <c r="J44" s="5">
        <v>-3.117</v>
      </c>
      <c r="K44" s="5">
        <v>-0.193</v>
      </c>
      <c r="L44" s="5">
        <v>0.249</v>
      </c>
      <c r="M44" s="5">
        <v>0.92300000000000004</v>
      </c>
      <c r="N44" s="5">
        <v>-11.11</v>
      </c>
      <c r="O44" s="5">
        <v>88</v>
      </c>
      <c r="P44" s="5">
        <v>-0.22800000000000001</v>
      </c>
      <c r="Q44" s="5">
        <v>-2.9430000000000001</v>
      </c>
      <c r="R44" s="5">
        <v>-0.10100000000000001</v>
      </c>
      <c r="S44" s="5">
        <v>0.34300000000000003</v>
      </c>
      <c r="T44" s="5">
        <v>1.014</v>
      </c>
      <c r="U44" s="5">
        <v>-19.05</v>
      </c>
      <c r="V44" s="5">
        <v>79.05</v>
      </c>
      <c r="W44" s="5">
        <v>-0.39500000000000002</v>
      </c>
      <c r="X44" s="5">
        <v>-3.3010000000000002</v>
      </c>
      <c r="Y44" s="5">
        <v>-0.29299999999999998</v>
      </c>
      <c r="Z44" s="5">
        <v>0.153</v>
      </c>
      <c r="AA44" s="5">
        <v>0.82299999999999995</v>
      </c>
      <c r="AB44" s="5">
        <v>1.4790000000000001</v>
      </c>
      <c r="AC44" s="5">
        <v>-15.68</v>
      </c>
      <c r="AD44" s="5">
        <v>-11.52</v>
      </c>
      <c r="AE44" s="5">
        <v>-19.329999999999998</v>
      </c>
      <c r="AF44" s="5">
        <v>-11.61</v>
      </c>
      <c r="AG44" s="5">
        <v>-19.21</v>
      </c>
      <c r="AH44" s="5">
        <v>1.5329999999999999</v>
      </c>
      <c r="AI44" s="5" t="s">
        <v>99</v>
      </c>
      <c r="AK44" s="5">
        <f t="shared" si="0"/>
        <v>0.79599999999999982</v>
      </c>
      <c r="AL44" s="8">
        <f t="shared" si="1"/>
        <v>-1.7</v>
      </c>
      <c r="AN44" s="1">
        <f t="shared" si="13"/>
        <v>88</v>
      </c>
      <c r="AO44" s="1">
        <f t="shared" si="14"/>
        <v>82.4</v>
      </c>
      <c r="AP44" s="1">
        <f t="shared" si="15"/>
        <v>79.099999999999994</v>
      </c>
      <c r="AQ44" s="17">
        <f t="shared" si="2"/>
        <v>0.20699999999999999</v>
      </c>
      <c r="AR44" s="22">
        <f t="shared" si="16"/>
        <v>5.5E-2</v>
      </c>
      <c r="AT44" s="19">
        <f t="shared" si="3"/>
        <v>43504</v>
      </c>
      <c r="AU44" s="20">
        <f t="shared" si="4"/>
        <v>39</v>
      </c>
      <c r="AV44" s="1">
        <f t="shared" si="17"/>
        <v>-15.6</v>
      </c>
      <c r="AW44" s="1">
        <f t="shared" si="18"/>
        <v>-11.1</v>
      </c>
      <c r="AX44" s="1">
        <f t="shared" si="19"/>
        <v>-19.100000000000001</v>
      </c>
      <c r="AY44" s="1">
        <f t="shared" si="8"/>
        <v>82.4</v>
      </c>
      <c r="AZ44" s="1">
        <f t="shared" si="9"/>
        <v>79.099999999999994</v>
      </c>
      <c r="BA44" s="1">
        <f t="shared" si="20"/>
        <v>0.79599999999999982</v>
      </c>
      <c r="BB44" s="5">
        <f t="shared" si="21"/>
        <v>-1.7</v>
      </c>
      <c r="BC44" s="1">
        <f t="shared" si="10"/>
        <v>-15.7</v>
      </c>
      <c r="BD44" s="1">
        <f t="shared" si="11"/>
        <v>-11.5</v>
      </c>
      <c r="BE44" s="1">
        <f t="shared" si="12"/>
        <v>-19.3</v>
      </c>
      <c r="BF44" s="5">
        <f t="shared" si="22"/>
        <v>-0.2</v>
      </c>
      <c r="BG44" s="5">
        <f t="shared" si="23"/>
        <v>0.2</v>
      </c>
      <c r="BH44" s="5">
        <f t="shared" si="24"/>
        <v>0.9</v>
      </c>
      <c r="BI44" s="5" t="str">
        <f t="shared" si="25"/>
        <v>NAN</v>
      </c>
      <c r="BJ44" s="10">
        <f t="shared" si="26"/>
        <v>0.20699999999999999</v>
      </c>
      <c r="BK44" s="10">
        <f t="shared" si="27"/>
        <v>5.5E-2</v>
      </c>
      <c r="BM44" s="1">
        <f t="shared" si="28"/>
        <v>-0.41000000000000014</v>
      </c>
      <c r="BN44" s="1">
        <f t="shared" si="29"/>
        <v>-0.27999999999999758</v>
      </c>
    </row>
    <row r="45" spans="1:66" x14ac:dyDescent="0.2">
      <c r="A45" s="4">
        <f t="shared" si="30"/>
        <v>43505</v>
      </c>
      <c r="B45" s="1">
        <v>40</v>
      </c>
      <c r="C45" s="1">
        <v>12</v>
      </c>
      <c r="D45" s="5">
        <v>13.03</v>
      </c>
      <c r="E45" s="5">
        <v>-16.13</v>
      </c>
      <c r="F45" s="5">
        <v>-20.95</v>
      </c>
      <c r="G45" s="5">
        <v>-19.57</v>
      </c>
      <c r="H45" s="5">
        <v>78.260000000000005</v>
      </c>
      <c r="I45" s="5">
        <v>-0.32500000000000001</v>
      </c>
      <c r="J45" s="5">
        <v>-2.8889999999999998</v>
      </c>
      <c r="K45" s="5">
        <v>-0.23100000000000001</v>
      </c>
      <c r="L45" s="5">
        <v>0.20399999999999999</v>
      </c>
      <c r="M45" s="5">
        <v>0.88400000000000001</v>
      </c>
      <c r="N45" s="5">
        <v>-16.89</v>
      </c>
      <c r="O45" s="5">
        <v>79.94</v>
      </c>
      <c r="P45" s="5">
        <v>-0.23100000000000001</v>
      </c>
      <c r="Q45" s="5">
        <v>-2.7650000000000001</v>
      </c>
      <c r="R45" s="5">
        <v>-0.14699999999999999</v>
      </c>
      <c r="S45" s="5">
        <v>0.29599999999999999</v>
      </c>
      <c r="T45" s="5">
        <v>0.97</v>
      </c>
      <c r="U45" s="5">
        <v>-21.62</v>
      </c>
      <c r="V45" s="5">
        <v>76.38</v>
      </c>
      <c r="W45" s="5">
        <v>-0.41099999999999998</v>
      </c>
      <c r="X45" s="5">
        <v>-3.0430000000000001</v>
      </c>
      <c r="Y45" s="5">
        <v>-0.311</v>
      </c>
      <c r="Z45" s="5">
        <v>0.125</v>
      </c>
      <c r="AA45" s="5">
        <v>0.80300000000000005</v>
      </c>
      <c r="AB45" s="5">
        <v>1.49</v>
      </c>
      <c r="AC45" s="5">
        <v>-19.84</v>
      </c>
      <c r="AD45" s="5">
        <v>-17.059999999999999</v>
      </c>
      <c r="AE45" s="5">
        <v>-22.34</v>
      </c>
      <c r="AF45" s="5">
        <v>-16.190000000000001</v>
      </c>
      <c r="AG45" s="5">
        <v>-21.73</v>
      </c>
      <c r="AH45" s="5">
        <v>1.5489999999999999</v>
      </c>
      <c r="AI45" s="5" t="s">
        <v>99</v>
      </c>
      <c r="AK45" s="5">
        <f t="shared" si="0"/>
        <v>0.78499999999999992</v>
      </c>
      <c r="AL45" s="8">
        <f t="shared" si="1"/>
        <v>-1.6</v>
      </c>
      <c r="AN45" s="1">
        <f t="shared" si="13"/>
        <v>79.900000000000006</v>
      </c>
      <c r="AO45" s="1">
        <f t="shared" si="14"/>
        <v>78.3</v>
      </c>
      <c r="AP45" s="1">
        <f t="shared" si="15"/>
        <v>76.400000000000006</v>
      </c>
      <c r="AQ45" s="17">
        <f t="shared" si="2"/>
        <v>0.124</v>
      </c>
      <c r="AR45" s="22">
        <f t="shared" si="16"/>
        <v>3.7999999999999999E-2</v>
      </c>
      <c r="AT45" s="19">
        <f t="shared" si="3"/>
        <v>43505</v>
      </c>
      <c r="AU45" s="20">
        <f t="shared" si="4"/>
        <v>40</v>
      </c>
      <c r="AV45" s="1">
        <f t="shared" si="17"/>
        <v>-19.600000000000001</v>
      </c>
      <c r="AW45" s="1">
        <f t="shared" si="18"/>
        <v>-16.899999999999999</v>
      </c>
      <c r="AX45" s="1">
        <f t="shared" si="19"/>
        <v>-21.6</v>
      </c>
      <c r="AY45" s="1">
        <f t="shared" si="8"/>
        <v>78.3</v>
      </c>
      <c r="AZ45" s="1">
        <f t="shared" si="9"/>
        <v>76.400000000000006</v>
      </c>
      <c r="BA45" s="1">
        <f t="shared" si="20"/>
        <v>0.78499999999999992</v>
      </c>
      <c r="BB45" s="5">
        <f t="shared" si="21"/>
        <v>-1.6</v>
      </c>
      <c r="BC45" s="1">
        <f t="shared" si="10"/>
        <v>-19.8</v>
      </c>
      <c r="BD45" s="1">
        <f t="shared" si="11"/>
        <v>-17.100000000000001</v>
      </c>
      <c r="BE45" s="1">
        <f t="shared" si="12"/>
        <v>-22.3</v>
      </c>
      <c r="BF45" s="5">
        <f t="shared" si="22"/>
        <v>-0.2</v>
      </c>
      <c r="BG45" s="5">
        <f t="shared" si="23"/>
        <v>0.2</v>
      </c>
      <c r="BH45" s="5">
        <f t="shared" si="24"/>
        <v>0.9</v>
      </c>
      <c r="BI45" s="5" t="str">
        <f t="shared" si="25"/>
        <v>NAN</v>
      </c>
      <c r="BJ45" s="10">
        <f t="shared" si="26"/>
        <v>0.124</v>
      </c>
      <c r="BK45" s="10">
        <f t="shared" si="27"/>
        <v>3.7999999999999999E-2</v>
      </c>
      <c r="BM45" s="1">
        <f t="shared" si="28"/>
        <v>-0.16999999999999815</v>
      </c>
      <c r="BN45" s="1">
        <f t="shared" si="29"/>
        <v>-0.71999999999999886</v>
      </c>
    </row>
    <row r="46" spans="1:66" x14ac:dyDescent="0.2">
      <c r="A46" s="4">
        <f t="shared" si="30"/>
        <v>43506</v>
      </c>
      <c r="B46" s="1">
        <v>41</v>
      </c>
      <c r="C46" s="1">
        <v>12</v>
      </c>
      <c r="D46" s="5">
        <v>13.01</v>
      </c>
      <c r="E46" s="5">
        <v>-11.46</v>
      </c>
      <c r="F46" s="5">
        <v>-20.92</v>
      </c>
      <c r="G46" s="5">
        <v>-17.559999999999999</v>
      </c>
      <c r="H46" s="5">
        <v>79.739999999999995</v>
      </c>
      <c r="I46" s="5">
        <v>-0.32</v>
      </c>
      <c r="J46" s="5">
        <v>-2.8279999999999998</v>
      </c>
      <c r="K46" s="5">
        <v>-0.22900000000000001</v>
      </c>
      <c r="L46" s="5">
        <v>0.20499999999999999</v>
      </c>
      <c r="M46" s="5">
        <v>0.88</v>
      </c>
      <c r="N46" s="5">
        <v>-13.27</v>
      </c>
      <c r="O46" s="5">
        <v>84.8</v>
      </c>
      <c r="P46" s="5">
        <v>-0.23</v>
      </c>
      <c r="Q46" s="5">
        <v>-2.7290000000000001</v>
      </c>
      <c r="R46" s="5">
        <v>-0.13400000000000001</v>
      </c>
      <c r="S46" s="5">
        <v>0.30299999999999999</v>
      </c>
      <c r="T46" s="5">
        <v>0.96899999999999997</v>
      </c>
      <c r="U46" s="5">
        <v>-20.67</v>
      </c>
      <c r="V46" s="5">
        <v>74.36</v>
      </c>
      <c r="W46" s="5">
        <v>-0.41299999999999998</v>
      </c>
      <c r="X46" s="5">
        <v>-2.911</v>
      </c>
      <c r="Y46" s="5">
        <v>-0.31</v>
      </c>
      <c r="Z46" s="5">
        <v>0.125</v>
      </c>
      <c r="AA46" s="5">
        <v>0.79300000000000004</v>
      </c>
      <c r="AB46" s="5">
        <v>1.482</v>
      </c>
      <c r="AC46" s="5">
        <v>-18.260000000000002</v>
      </c>
      <c r="AD46" s="5">
        <v>-13.26</v>
      </c>
      <c r="AE46" s="5">
        <v>-21.54</v>
      </c>
      <c r="AF46" s="5">
        <v>-12.67</v>
      </c>
      <c r="AG46" s="5">
        <v>-21.01</v>
      </c>
      <c r="AH46" s="5">
        <v>1.536</v>
      </c>
      <c r="AI46" s="5" t="s">
        <v>99</v>
      </c>
      <c r="AK46" s="5">
        <f t="shared" si="0"/>
        <v>0.79299999999999993</v>
      </c>
      <c r="AL46" s="8">
        <f t="shared" si="1"/>
        <v>-1.5</v>
      </c>
      <c r="AN46" s="1">
        <f t="shared" si="13"/>
        <v>84.8</v>
      </c>
      <c r="AO46" s="1">
        <f t="shared" si="14"/>
        <v>79.7</v>
      </c>
      <c r="AP46" s="1">
        <f t="shared" si="15"/>
        <v>74.400000000000006</v>
      </c>
      <c r="AQ46" s="17">
        <f t="shared" si="2"/>
        <v>0.16300000000000001</v>
      </c>
      <c r="AR46" s="22">
        <f t="shared" si="16"/>
        <v>5.6000000000000001E-2</v>
      </c>
      <c r="AT46" s="19">
        <f t="shared" si="3"/>
        <v>43506</v>
      </c>
      <c r="AU46" s="20">
        <f t="shared" si="4"/>
        <v>41</v>
      </c>
      <c r="AV46" s="1">
        <f t="shared" si="17"/>
        <v>-17.600000000000001</v>
      </c>
      <c r="AW46" s="1">
        <f t="shared" si="18"/>
        <v>-13.3</v>
      </c>
      <c r="AX46" s="1">
        <f t="shared" si="19"/>
        <v>-20.7</v>
      </c>
      <c r="AY46" s="1">
        <f t="shared" si="8"/>
        <v>79.7</v>
      </c>
      <c r="AZ46" s="1">
        <f t="shared" si="9"/>
        <v>74.400000000000006</v>
      </c>
      <c r="BA46" s="1">
        <f t="shared" si="20"/>
        <v>0.79299999999999993</v>
      </c>
      <c r="BB46" s="5">
        <f t="shared" si="21"/>
        <v>-1.5</v>
      </c>
      <c r="BC46" s="1">
        <f t="shared" si="10"/>
        <v>-18.3</v>
      </c>
      <c r="BD46" s="1">
        <f t="shared" si="11"/>
        <v>-13.3</v>
      </c>
      <c r="BE46" s="1">
        <f t="shared" si="12"/>
        <v>-21.5</v>
      </c>
      <c r="BF46" s="5">
        <f t="shared" si="22"/>
        <v>-0.2</v>
      </c>
      <c r="BG46" s="5">
        <f t="shared" si="23"/>
        <v>0.2</v>
      </c>
      <c r="BH46" s="5">
        <f t="shared" si="24"/>
        <v>0.9</v>
      </c>
      <c r="BI46" s="5" t="str">
        <f t="shared" si="25"/>
        <v>NAN</v>
      </c>
      <c r="BJ46" s="10">
        <f t="shared" si="26"/>
        <v>0.16300000000000001</v>
      </c>
      <c r="BK46" s="10">
        <f t="shared" si="27"/>
        <v>5.6000000000000001E-2</v>
      </c>
      <c r="BM46" s="1">
        <f t="shared" si="28"/>
        <v>9.9999999999997868E-3</v>
      </c>
      <c r="BN46" s="1">
        <f t="shared" si="29"/>
        <v>-0.86999999999999744</v>
      </c>
    </row>
    <row r="47" spans="1:66" x14ac:dyDescent="0.2">
      <c r="A47" s="4">
        <f t="shared" si="30"/>
        <v>43507</v>
      </c>
      <c r="B47" s="1">
        <v>42</v>
      </c>
      <c r="C47" s="1">
        <v>12</v>
      </c>
      <c r="D47" s="5">
        <v>13.02</v>
      </c>
      <c r="E47" s="5">
        <v>-12.74</v>
      </c>
      <c r="F47" s="5">
        <v>-20.95</v>
      </c>
      <c r="G47" s="5">
        <v>-17.25</v>
      </c>
      <c r="H47" s="5">
        <v>80.400000000000006</v>
      </c>
      <c r="I47" s="5">
        <v>-0.32800000000000001</v>
      </c>
      <c r="J47" s="5">
        <v>-2.8820000000000001</v>
      </c>
      <c r="K47" s="5">
        <v>-0.23499999999999999</v>
      </c>
      <c r="L47" s="5">
        <v>0.19700000000000001</v>
      </c>
      <c r="M47" s="5">
        <v>0.86899999999999999</v>
      </c>
      <c r="N47" s="5">
        <v>-13.17</v>
      </c>
      <c r="O47" s="5">
        <v>84.2</v>
      </c>
      <c r="P47" s="5">
        <v>-0.23599999999999999</v>
      </c>
      <c r="Q47" s="5">
        <v>-2.7839999999999998</v>
      </c>
      <c r="R47" s="5">
        <v>-0.14499999999999999</v>
      </c>
      <c r="S47" s="5">
        <v>0.28999999999999998</v>
      </c>
      <c r="T47" s="5">
        <v>0.96899999999999997</v>
      </c>
      <c r="U47" s="5">
        <v>-21.38</v>
      </c>
      <c r="V47" s="5">
        <v>76.22</v>
      </c>
      <c r="W47" s="5">
        <v>-0.42299999999999999</v>
      </c>
      <c r="X47" s="5">
        <v>-2.9940000000000002</v>
      </c>
      <c r="Y47" s="5">
        <v>-0.316</v>
      </c>
      <c r="Z47" s="5">
        <v>0.109</v>
      </c>
      <c r="AA47" s="5">
        <v>0.76300000000000001</v>
      </c>
      <c r="AB47" s="24">
        <v>1.4710000000000001</v>
      </c>
      <c r="AC47" s="5">
        <v>-17.920000000000002</v>
      </c>
      <c r="AD47" s="5">
        <v>-13.44</v>
      </c>
      <c r="AE47" s="5">
        <v>-22.43</v>
      </c>
      <c r="AF47" s="5">
        <v>-11.88</v>
      </c>
      <c r="AG47" s="5">
        <v>-21.59</v>
      </c>
      <c r="AH47" s="5">
        <v>1.514</v>
      </c>
      <c r="AI47" s="5" t="s">
        <v>99</v>
      </c>
      <c r="AK47" s="5">
        <f t="shared" si="0"/>
        <v>0.80399999999999983</v>
      </c>
      <c r="AL47" s="8">
        <f t="shared" si="1"/>
        <v>-1.6</v>
      </c>
      <c r="AN47" s="1">
        <f t="shared" si="13"/>
        <v>84.2</v>
      </c>
      <c r="AO47" s="1">
        <f t="shared" si="14"/>
        <v>80.400000000000006</v>
      </c>
      <c r="AP47" s="1">
        <f t="shared" si="15"/>
        <v>76.2</v>
      </c>
      <c r="AQ47" s="17">
        <f t="shared" si="2"/>
        <v>0.16900000000000001</v>
      </c>
      <c r="AR47" s="22">
        <f t="shared" si="16"/>
        <v>5.2999999999999999E-2</v>
      </c>
      <c r="AT47" s="19">
        <f t="shared" si="3"/>
        <v>43507</v>
      </c>
      <c r="AU47" s="20">
        <f t="shared" si="4"/>
        <v>42</v>
      </c>
      <c r="AV47" s="1">
        <f t="shared" si="17"/>
        <v>-17.3</v>
      </c>
      <c r="AW47" s="1">
        <f t="shared" si="18"/>
        <v>-13.2</v>
      </c>
      <c r="AX47" s="1">
        <f t="shared" si="19"/>
        <v>-21.4</v>
      </c>
      <c r="AY47" s="1">
        <f t="shared" si="8"/>
        <v>80.400000000000006</v>
      </c>
      <c r="AZ47" s="1">
        <f t="shared" si="9"/>
        <v>76.2</v>
      </c>
      <c r="BA47" s="1">
        <f t="shared" si="20"/>
        <v>0.80399999999999983</v>
      </c>
      <c r="BB47" s="5">
        <f t="shared" si="21"/>
        <v>-1.6</v>
      </c>
      <c r="BC47" s="1">
        <f t="shared" si="10"/>
        <v>-17.899999999999999</v>
      </c>
      <c r="BD47" s="1">
        <f t="shared" si="11"/>
        <v>-13.4</v>
      </c>
      <c r="BE47" s="1">
        <f t="shared" si="12"/>
        <v>-22.4</v>
      </c>
      <c r="BF47" s="5">
        <f t="shared" si="22"/>
        <v>-0.2</v>
      </c>
      <c r="BG47" s="5">
        <f t="shared" si="23"/>
        <v>0.2</v>
      </c>
      <c r="BH47" s="5">
        <f t="shared" si="24"/>
        <v>0.9</v>
      </c>
      <c r="BI47" s="5" t="str">
        <f t="shared" si="25"/>
        <v>NAN</v>
      </c>
      <c r="BJ47" s="10">
        <f t="shared" si="26"/>
        <v>0.16900000000000001</v>
      </c>
      <c r="BK47" s="10">
        <f t="shared" si="27"/>
        <v>5.2999999999999999E-2</v>
      </c>
      <c r="BM47" s="1">
        <f t="shared" si="28"/>
        <v>-0.26999999999999957</v>
      </c>
      <c r="BN47" s="1">
        <f t="shared" si="29"/>
        <v>-1.0500000000000007</v>
      </c>
    </row>
    <row r="48" spans="1:66" x14ac:dyDescent="0.2">
      <c r="A48" s="4">
        <f t="shared" si="30"/>
        <v>43508</v>
      </c>
      <c r="B48" s="1">
        <v>43</v>
      </c>
      <c r="C48" s="1">
        <v>12</v>
      </c>
      <c r="D48" s="5">
        <v>12.94</v>
      </c>
      <c r="E48" s="5">
        <v>-10.79</v>
      </c>
      <c r="F48" s="5">
        <v>-15.42</v>
      </c>
      <c r="G48" s="5">
        <v>-12.47</v>
      </c>
      <c r="H48" s="5">
        <v>85.8</v>
      </c>
      <c r="I48" s="5">
        <v>-0.311</v>
      </c>
      <c r="J48" s="5">
        <v>-2.911</v>
      </c>
      <c r="K48" s="5">
        <v>-0.214</v>
      </c>
      <c r="L48" s="5">
        <v>0.219</v>
      </c>
      <c r="M48" s="5">
        <v>0.88700000000000001</v>
      </c>
      <c r="N48" s="5">
        <v>-10.4</v>
      </c>
      <c r="O48" s="5">
        <v>88.8</v>
      </c>
      <c r="P48" s="5">
        <v>-0.23799999999999999</v>
      </c>
      <c r="Q48" s="5">
        <v>-2.827</v>
      </c>
      <c r="R48" s="5">
        <v>-0.14000000000000001</v>
      </c>
      <c r="S48" s="5">
        <v>0.311</v>
      </c>
      <c r="T48" s="5">
        <v>0.97599999999999998</v>
      </c>
      <c r="U48" s="5">
        <v>-15.23</v>
      </c>
      <c r="V48" s="5">
        <v>83.4</v>
      </c>
      <c r="W48" s="5">
        <v>-0.40799999999999997</v>
      </c>
      <c r="X48" s="5">
        <v>-3.0019999999999998</v>
      </c>
      <c r="Y48" s="5">
        <v>-0.29599999999999999</v>
      </c>
      <c r="Z48" s="5">
        <v>0.14000000000000001</v>
      </c>
      <c r="AA48" s="5">
        <v>0.80600000000000005</v>
      </c>
      <c r="AB48" s="5">
        <v>1.421</v>
      </c>
      <c r="AC48" s="5">
        <v>-13.05</v>
      </c>
      <c r="AD48" s="5">
        <v>-11.23</v>
      </c>
      <c r="AE48" s="5">
        <v>-15.32</v>
      </c>
      <c r="AF48" s="5">
        <v>-10.89</v>
      </c>
      <c r="AG48" s="5">
        <v>-15.4</v>
      </c>
      <c r="AH48" s="5">
        <v>1.4490000000000001</v>
      </c>
      <c r="AI48" s="5" t="s">
        <v>99</v>
      </c>
      <c r="AK48" s="5">
        <f t="shared" si="0"/>
        <v>0.85399999999999987</v>
      </c>
      <c r="AL48" s="8">
        <f t="shared" si="1"/>
        <v>-1.6</v>
      </c>
      <c r="AN48" s="1">
        <f t="shared" si="13"/>
        <v>88.8</v>
      </c>
      <c r="AO48" s="1">
        <f t="shared" si="14"/>
        <v>85.8</v>
      </c>
      <c r="AP48" s="1">
        <f t="shared" si="15"/>
        <v>83.4</v>
      </c>
      <c r="AQ48" s="17">
        <f t="shared" si="2"/>
        <v>0.23100000000000001</v>
      </c>
      <c r="AR48" s="22">
        <f t="shared" si="16"/>
        <v>4.5999999999999999E-2</v>
      </c>
      <c r="AT48" s="19">
        <f t="shared" si="3"/>
        <v>43508</v>
      </c>
      <c r="AU48" s="20">
        <f t="shared" si="4"/>
        <v>43</v>
      </c>
      <c r="AV48" s="1">
        <f t="shared" si="17"/>
        <v>-12.5</v>
      </c>
      <c r="AW48" s="1">
        <f t="shared" si="18"/>
        <v>-10.4</v>
      </c>
      <c r="AX48" s="1">
        <f t="shared" si="19"/>
        <v>-15.2</v>
      </c>
      <c r="AY48" s="1">
        <f t="shared" si="8"/>
        <v>85.8</v>
      </c>
      <c r="AZ48" s="1">
        <f t="shared" si="9"/>
        <v>83.4</v>
      </c>
      <c r="BA48" s="1">
        <f t="shared" si="20"/>
        <v>0.85399999999999987</v>
      </c>
      <c r="BB48" s="5">
        <f t="shared" si="21"/>
        <v>-1.6</v>
      </c>
      <c r="BC48" s="1">
        <f t="shared" si="10"/>
        <v>-13.1</v>
      </c>
      <c r="BD48" s="1">
        <f t="shared" si="11"/>
        <v>-11.2</v>
      </c>
      <c r="BE48" s="1">
        <f t="shared" si="12"/>
        <v>-15.3</v>
      </c>
      <c r="BF48" s="5">
        <f t="shared" si="22"/>
        <v>-0.2</v>
      </c>
      <c r="BG48" s="5">
        <f t="shared" si="23"/>
        <v>0.2</v>
      </c>
      <c r="BH48" s="5">
        <f t="shared" si="24"/>
        <v>0.9</v>
      </c>
      <c r="BI48" s="5" t="str">
        <f t="shared" si="25"/>
        <v>NAN</v>
      </c>
      <c r="BJ48" s="10">
        <f t="shared" si="26"/>
        <v>0.23100000000000001</v>
      </c>
      <c r="BK48" s="10">
        <f t="shared" si="27"/>
        <v>4.5999999999999999E-2</v>
      </c>
      <c r="BM48" s="1">
        <f t="shared" si="28"/>
        <v>-0.83000000000000007</v>
      </c>
      <c r="BN48" s="1">
        <f t="shared" si="29"/>
        <v>-8.9999999999999858E-2</v>
      </c>
    </row>
    <row r="49" spans="1:66" x14ac:dyDescent="0.2">
      <c r="A49" s="4">
        <f t="shared" si="30"/>
        <v>43509</v>
      </c>
      <c r="B49" s="1">
        <v>44</v>
      </c>
      <c r="C49" s="1">
        <v>12</v>
      </c>
      <c r="D49" s="5">
        <v>13.01</v>
      </c>
      <c r="E49" s="5">
        <v>-8.02</v>
      </c>
      <c r="F49" s="5">
        <v>-13.22</v>
      </c>
      <c r="G49" s="5">
        <v>-11.28</v>
      </c>
      <c r="H49" s="5">
        <v>86.5</v>
      </c>
      <c r="I49" s="5">
        <v>-0.29499999999999998</v>
      </c>
      <c r="J49" s="5">
        <v>-2.7519999999999998</v>
      </c>
      <c r="K49" s="5">
        <v>-0.21</v>
      </c>
      <c r="L49" s="5">
        <v>0.219</v>
      </c>
      <c r="M49" s="5">
        <v>0.88800000000000001</v>
      </c>
      <c r="N49" s="5">
        <v>-7.98</v>
      </c>
      <c r="O49" s="5">
        <v>89.9</v>
      </c>
      <c r="P49" s="5">
        <v>-0.21299999999999999</v>
      </c>
      <c r="Q49" s="5">
        <v>-2.5920000000000001</v>
      </c>
      <c r="R49" s="5">
        <v>-0.129</v>
      </c>
      <c r="S49" s="5">
        <v>0.29899999999999999</v>
      </c>
      <c r="T49" s="5">
        <v>0.96799999999999997</v>
      </c>
      <c r="U49" s="5">
        <v>-13.99</v>
      </c>
      <c r="V49" s="5">
        <v>81.8</v>
      </c>
      <c r="W49" s="5">
        <v>-0.38800000000000001</v>
      </c>
      <c r="X49" s="5">
        <v>-2.9319999999999999</v>
      </c>
      <c r="Y49" s="5">
        <v>-0.28999999999999998</v>
      </c>
      <c r="Z49" s="5">
        <v>0.14199999999999999</v>
      </c>
      <c r="AA49" s="5">
        <v>0.80600000000000005</v>
      </c>
      <c r="AB49" s="5">
        <v>1.448</v>
      </c>
      <c r="AC49" s="5">
        <v>-12.86</v>
      </c>
      <c r="AD49" s="5">
        <v>-9.4499999999999993</v>
      </c>
      <c r="AE49" s="5">
        <v>-15.45</v>
      </c>
      <c r="AF49" s="5">
        <v>-8.14</v>
      </c>
      <c r="AG49" s="5">
        <v>-14.29</v>
      </c>
      <c r="AH49" s="5">
        <v>1.4830000000000001</v>
      </c>
      <c r="AI49" s="5" t="s">
        <v>99</v>
      </c>
      <c r="AK49" s="5">
        <f t="shared" si="0"/>
        <v>0.82699999999999996</v>
      </c>
      <c r="AL49" s="8">
        <f t="shared" si="1"/>
        <v>-1.5</v>
      </c>
      <c r="AN49" s="1">
        <f t="shared" si="13"/>
        <v>89.9</v>
      </c>
      <c r="AO49" s="1">
        <f t="shared" si="14"/>
        <v>86.5</v>
      </c>
      <c r="AP49" s="1">
        <f t="shared" si="15"/>
        <v>81.8</v>
      </c>
      <c r="AQ49" s="17">
        <f t="shared" si="2"/>
        <v>0.27400000000000002</v>
      </c>
      <c r="AR49" s="22">
        <f t="shared" si="16"/>
        <v>6.0999999999999999E-2</v>
      </c>
      <c r="AT49" s="19">
        <f t="shared" si="3"/>
        <v>43509</v>
      </c>
      <c r="AU49" s="20">
        <f t="shared" si="4"/>
        <v>44</v>
      </c>
      <c r="AV49" s="1">
        <f t="shared" si="17"/>
        <v>-11.3</v>
      </c>
      <c r="AW49" s="1">
        <f t="shared" si="18"/>
        <v>-8</v>
      </c>
      <c r="AX49" s="1">
        <f t="shared" si="19"/>
        <v>-14</v>
      </c>
      <c r="AY49" s="1">
        <f t="shared" si="8"/>
        <v>86.5</v>
      </c>
      <c r="AZ49" s="1">
        <f t="shared" si="9"/>
        <v>81.8</v>
      </c>
      <c r="BA49" s="1">
        <f t="shared" si="20"/>
        <v>0.82699999999999996</v>
      </c>
      <c r="BB49" s="5">
        <f t="shared" si="21"/>
        <v>-1.5</v>
      </c>
      <c r="BC49" s="1">
        <f t="shared" si="10"/>
        <v>-12.9</v>
      </c>
      <c r="BD49" s="1">
        <f t="shared" si="11"/>
        <v>-9.5</v>
      </c>
      <c r="BE49" s="1">
        <f t="shared" si="12"/>
        <v>-15.5</v>
      </c>
      <c r="BF49" s="5">
        <f t="shared" si="22"/>
        <v>-0.2</v>
      </c>
      <c r="BG49" s="5">
        <f t="shared" si="23"/>
        <v>0.2</v>
      </c>
      <c r="BH49" s="5">
        <f t="shared" si="24"/>
        <v>0.9</v>
      </c>
      <c r="BI49" s="5" t="str">
        <f t="shared" si="25"/>
        <v>NAN</v>
      </c>
      <c r="BJ49" s="10">
        <f t="shared" si="26"/>
        <v>0.27400000000000002</v>
      </c>
      <c r="BK49" s="10">
        <f t="shared" si="27"/>
        <v>6.0999999999999999E-2</v>
      </c>
      <c r="BM49" s="1">
        <f t="shared" si="28"/>
        <v>-1.4699999999999989</v>
      </c>
      <c r="BN49" s="1">
        <f t="shared" si="29"/>
        <v>-1.4599999999999991</v>
      </c>
    </row>
    <row r="50" spans="1:66" x14ac:dyDescent="0.2">
      <c r="A50" s="4">
        <f t="shared" si="30"/>
        <v>43510</v>
      </c>
      <c r="B50" s="1">
        <v>45</v>
      </c>
      <c r="C50" s="1">
        <v>12</v>
      </c>
      <c r="D50" s="5">
        <v>12.94</v>
      </c>
      <c r="E50" s="5">
        <v>-6.8840000000000003</v>
      </c>
      <c r="F50" s="5">
        <v>-13.05</v>
      </c>
      <c r="G50" s="5">
        <v>-10.130000000000001</v>
      </c>
      <c r="H50" s="5">
        <v>87.5</v>
      </c>
      <c r="I50" s="5">
        <v>-0.28000000000000003</v>
      </c>
      <c r="J50" s="5">
        <v>-2.5190000000000001</v>
      </c>
      <c r="K50" s="5">
        <v>-0.2</v>
      </c>
      <c r="L50" s="5">
        <v>0.215</v>
      </c>
      <c r="M50" s="5">
        <v>0.88100000000000001</v>
      </c>
      <c r="N50" s="5">
        <v>-6.56</v>
      </c>
      <c r="O50" s="5">
        <v>91.4</v>
      </c>
      <c r="P50" s="5">
        <v>-0.189</v>
      </c>
      <c r="Q50" s="5">
        <v>-2.3559999999999999</v>
      </c>
      <c r="R50" s="5">
        <v>-0.114</v>
      </c>
      <c r="S50" s="5">
        <v>0.30599999999999999</v>
      </c>
      <c r="T50" s="5">
        <v>0.95699999999999996</v>
      </c>
      <c r="U50" s="5">
        <v>-12.87</v>
      </c>
      <c r="V50" s="5">
        <v>83</v>
      </c>
      <c r="W50" s="5">
        <v>-0.375</v>
      </c>
      <c r="X50" s="5">
        <v>-2.6920000000000002</v>
      </c>
      <c r="Y50" s="5">
        <v>-0.27700000000000002</v>
      </c>
      <c r="Z50" s="5">
        <v>0.13</v>
      </c>
      <c r="AA50" s="5">
        <v>0.80300000000000005</v>
      </c>
      <c r="AB50" s="5">
        <v>1.4019999999999999</v>
      </c>
      <c r="AC50" s="5">
        <v>-11.03</v>
      </c>
      <c r="AD50" s="5">
        <v>-7.1</v>
      </c>
      <c r="AE50" s="5">
        <v>-14.57</v>
      </c>
      <c r="AF50" s="5">
        <v>-6.8970000000000002</v>
      </c>
      <c r="AG50" s="5">
        <v>-13.15</v>
      </c>
      <c r="AH50" s="5">
        <v>1.42</v>
      </c>
      <c r="AI50" s="5" t="s">
        <v>99</v>
      </c>
      <c r="AK50" s="5">
        <f t="shared" si="0"/>
        <v>0.873</v>
      </c>
      <c r="AL50" s="8">
        <f t="shared" si="1"/>
        <v>-1.4</v>
      </c>
      <c r="AN50" s="1">
        <f t="shared" si="13"/>
        <v>91.4</v>
      </c>
      <c r="AO50" s="1">
        <f t="shared" si="14"/>
        <v>87.5</v>
      </c>
      <c r="AP50" s="1">
        <f t="shared" si="15"/>
        <v>83</v>
      </c>
      <c r="AQ50" s="17">
        <f t="shared" si="2"/>
        <v>0.31</v>
      </c>
      <c r="AR50" s="22">
        <f t="shared" si="16"/>
        <v>6.3E-2</v>
      </c>
      <c r="AT50" s="19">
        <f t="shared" si="3"/>
        <v>43510</v>
      </c>
      <c r="AU50" s="20">
        <f t="shared" si="4"/>
        <v>45</v>
      </c>
      <c r="AV50" s="1">
        <f t="shared" si="17"/>
        <v>-10.1</v>
      </c>
      <c r="AW50" s="1">
        <f t="shared" si="18"/>
        <v>-6.6</v>
      </c>
      <c r="AX50" s="1">
        <f t="shared" si="19"/>
        <v>-12.9</v>
      </c>
      <c r="AY50" s="1">
        <f t="shared" si="8"/>
        <v>87.5</v>
      </c>
      <c r="AZ50" s="1">
        <f t="shared" si="9"/>
        <v>83</v>
      </c>
      <c r="BA50" s="1">
        <f t="shared" si="20"/>
        <v>0.873</v>
      </c>
      <c r="BB50" s="5">
        <f t="shared" si="21"/>
        <v>-1.4</v>
      </c>
      <c r="BC50" s="1">
        <f t="shared" si="10"/>
        <v>-11</v>
      </c>
      <c r="BD50" s="1">
        <f t="shared" si="11"/>
        <v>-7.1</v>
      </c>
      <c r="BE50" s="1">
        <f t="shared" si="12"/>
        <v>-14.6</v>
      </c>
      <c r="BF50" s="5">
        <f t="shared" si="22"/>
        <v>-0.2</v>
      </c>
      <c r="BG50" s="5">
        <f t="shared" si="23"/>
        <v>0.2</v>
      </c>
      <c r="BH50" s="5">
        <f t="shared" si="24"/>
        <v>0.9</v>
      </c>
      <c r="BI50" s="5" t="str">
        <f t="shared" si="25"/>
        <v>NAN</v>
      </c>
      <c r="BJ50" s="10">
        <f t="shared" si="26"/>
        <v>0.31</v>
      </c>
      <c r="BK50" s="10">
        <f t="shared" si="27"/>
        <v>6.3E-2</v>
      </c>
      <c r="BM50" s="1">
        <f t="shared" si="28"/>
        <v>-0.54</v>
      </c>
      <c r="BN50" s="1">
        <f t="shared" si="29"/>
        <v>-1.7000000000000011</v>
      </c>
    </row>
    <row r="51" spans="1:66" x14ac:dyDescent="0.2">
      <c r="A51" s="4">
        <f t="shared" si="30"/>
        <v>43511</v>
      </c>
      <c r="B51" s="1">
        <v>46</v>
      </c>
      <c r="C51" s="1">
        <v>12</v>
      </c>
      <c r="D51" s="5">
        <v>12.96</v>
      </c>
      <c r="E51" s="5">
        <v>-3.9020000000000001</v>
      </c>
      <c r="F51" s="5">
        <v>-7.86</v>
      </c>
      <c r="G51" s="5">
        <v>-6.5449999999999999</v>
      </c>
      <c r="H51" s="5">
        <v>90.6</v>
      </c>
      <c r="I51" s="5">
        <v>-0.24</v>
      </c>
      <c r="J51" s="5">
        <v>-2.298</v>
      </c>
      <c r="K51" s="5">
        <v>-0.17</v>
      </c>
      <c r="L51" s="5">
        <v>0.23300000000000001</v>
      </c>
      <c r="M51" s="5">
        <v>0.89600000000000002</v>
      </c>
      <c r="N51" s="5">
        <v>-4.367</v>
      </c>
      <c r="O51" s="5">
        <v>92</v>
      </c>
      <c r="P51" s="5">
        <v>-0.159</v>
      </c>
      <c r="Q51" s="5">
        <v>-2.121</v>
      </c>
      <c r="R51" s="5">
        <v>-8.7999999999999995E-2</v>
      </c>
      <c r="S51" s="5">
        <v>0.317</v>
      </c>
      <c r="T51" s="5">
        <v>0.99099999999999999</v>
      </c>
      <c r="U51" s="5">
        <v>-8.2799999999999994</v>
      </c>
      <c r="V51" s="5">
        <v>89.1</v>
      </c>
      <c r="W51" s="5">
        <v>-0.33300000000000002</v>
      </c>
      <c r="X51" s="5">
        <v>-2.46</v>
      </c>
      <c r="Y51" s="5">
        <v>-0.25</v>
      </c>
      <c r="Z51" s="5">
        <v>0.152</v>
      </c>
      <c r="AA51" s="5">
        <v>0.82</v>
      </c>
      <c r="AB51" s="5">
        <v>1.3939999999999999</v>
      </c>
      <c r="AC51" s="5">
        <v>-7.34</v>
      </c>
      <c r="AD51" s="5">
        <v>-4.7329999999999997</v>
      </c>
      <c r="AE51" s="5">
        <v>-9.8800000000000008</v>
      </c>
      <c r="AF51" s="5">
        <v>-3.919</v>
      </c>
      <c r="AG51" s="5">
        <v>-8.65</v>
      </c>
      <c r="AH51" s="5">
        <v>1.413</v>
      </c>
      <c r="AI51" s="5" t="s">
        <v>99</v>
      </c>
      <c r="AK51" s="5">
        <f t="shared" si="0"/>
        <v>0.88100000000000001</v>
      </c>
      <c r="AL51" s="8">
        <f t="shared" si="1"/>
        <v>-1.2</v>
      </c>
      <c r="AN51" s="1">
        <f t="shared" si="13"/>
        <v>92</v>
      </c>
      <c r="AO51" s="1">
        <f t="shared" si="14"/>
        <v>90.6</v>
      </c>
      <c r="AP51" s="1">
        <f t="shared" si="15"/>
        <v>89.1</v>
      </c>
      <c r="AQ51" s="17">
        <f t="shared" si="2"/>
        <v>0.39300000000000002</v>
      </c>
      <c r="AR51" s="22">
        <f t="shared" si="16"/>
        <v>4.8000000000000001E-2</v>
      </c>
      <c r="AT51" s="19">
        <f t="shared" si="3"/>
        <v>43511</v>
      </c>
      <c r="AU51" s="20">
        <f t="shared" si="4"/>
        <v>46</v>
      </c>
      <c r="AV51" s="1">
        <f t="shared" si="17"/>
        <v>-6.5</v>
      </c>
      <c r="AW51" s="1">
        <f t="shared" si="18"/>
        <v>-4.4000000000000004</v>
      </c>
      <c r="AX51" s="1">
        <f t="shared" si="19"/>
        <v>-8.3000000000000007</v>
      </c>
      <c r="AY51" s="1">
        <f t="shared" si="8"/>
        <v>90.6</v>
      </c>
      <c r="AZ51" s="1">
        <f t="shared" si="9"/>
        <v>89.1</v>
      </c>
      <c r="BA51" s="1">
        <f t="shared" si="20"/>
        <v>0.88100000000000001</v>
      </c>
      <c r="BB51" s="5">
        <f t="shared" si="21"/>
        <v>-1.2</v>
      </c>
      <c r="BC51" s="1">
        <f t="shared" si="10"/>
        <v>-7.3</v>
      </c>
      <c r="BD51" s="1">
        <f t="shared" si="11"/>
        <v>-4.7</v>
      </c>
      <c r="BE51" s="1">
        <f t="shared" si="12"/>
        <v>-9.9</v>
      </c>
      <c r="BF51" s="5">
        <f t="shared" si="22"/>
        <v>-0.2</v>
      </c>
      <c r="BG51" s="5">
        <f t="shared" si="23"/>
        <v>0.2</v>
      </c>
      <c r="BH51" s="5">
        <f t="shared" si="24"/>
        <v>0.9</v>
      </c>
      <c r="BI51" s="5" t="str">
        <f t="shared" si="25"/>
        <v>NAN</v>
      </c>
      <c r="BJ51" s="10">
        <f t="shared" si="26"/>
        <v>0.39300000000000002</v>
      </c>
      <c r="BK51" s="10">
        <f t="shared" si="27"/>
        <v>4.8000000000000001E-2</v>
      </c>
      <c r="BM51" s="1">
        <f t="shared" si="28"/>
        <v>-0.36599999999999966</v>
      </c>
      <c r="BN51" s="1">
        <f t="shared" si="29"/>
        <v>-1.6000000000000014</v>
      </c>
    </row>
    <row r="52" spans="1:66" x14ac:dyDescent="0.2">
      <c r="A52" s="4">
        <f t="shared" si="30"/>
        <v>43512</v>
      </c>
      <c r="B52" s="1">
        <v>47</v>
      </c>
      <c r="C52" s="1">
        <v>12</v>
      </c>
      <c r="D52" s="5">
        <v>12.92</v>
      </c>
      <c r="E52" s="5">
        <v>-5.8090000000000002</v>
      </c>
      <c r="F52" s="5">
        <v>-8.5299999999999994</v>
      </c>
      <c r="G52" s="5">
        <v>-7.8419999999999996</v>
      </c>
      <c r="H52" s="5">
        <v>89.3</v>
      </c>
      <c r="I52" s="5">
        <v>-0.223</v>
      </c>
      <c r="J52" s="5">
        <v>-2.0230000000000001</v>
      </c>
      <c r="K52" s="5">
        <v>-0.16500000000000001</v>
      </c>
      <c r="L52" s="5">
        <v>0.22</v>
      </c>
      <c r="M52" s="5">
        <v>0.88100000000000001</v>
      </c>
      <c r="N52" s="5">
        <v>-6.7960000000000003</v>
      </c>
      <c r="O52" s="5">
        <v>91.5</v>
      </c>
      <c r="P52" s="5">
        <v>-0.14000000000000001</v>
      </c>
      <c r="Q52" s="5">
        <v>-1.831</v>
      </c>
      <c r="R52" s="5">
        <v>-7.1999999999999995E-2</v>
      </c>
      <c r="S52" s="5">
        <v>0.307</v>
      </c>
      <c r="T52" s="5">
        <v>0.98499999999999999</v>
      </c>
      <c r="U52" s="5">
        <v>-9.06</v>
      </c>
      <c r="V52" s="5">
        <v>86.6</v>
      </c>
      <c r="W52" s="5">
        <v>-0.307</v>
      </c>
      <c r="X52" s="5">
        <v>-2.2280000000000002</v>
      </c>
      <c r="Y52" s="5">
        <v>-0.24299999999999999</v>
      </c>
      <c r="Z52" s="5">
        <v>0.13800000000000001</v>
      </c>
      <c r="AA52" s="5">
        <v>0.79600000000000004</v>
      </c>
      <c r="AB52" s="5">
        <v>1.4019999999999999</v>
      </c>
      <c r="AC52" s="5">
        <v>-8.3800000000000008</v>
      </c>
      <c r="AD52" s="5">
        <v>-6.8529999999999998</v>
      </c>
      <c r="AE52" s="5">
        <v>-10.37</v>
      </c>
      <c r="AF52" s="5">
        <v>-6.4509999999999996</v>
      </c>
      <c r="AG52" s="5">
        <v>-9.23</v>
      </c>
      <c r="AH52" s="5">
        <v>1.4259999999999999</v>
      </c>
      <c r="AI52" s="5" t="s">
        <v>99</v>
      </c>
      <c r="AK52" s="5">
        <f t="shared" si="0"/>
        <v>0.873</v>
      </c>
      <c r="AL52" s="8">
        <f t="shared" si="1"/>
        <v>-1.1000000000000001</v>
      </c>
      <c r="AN52" s="1">
        <f t="shared" si="13"/>
        <v>91.5</v>
      </c>
      <c r="AO52" s="1">
        <f t="shared" si="14"/>
        <v>89.3</v>
      </c>
      <c r="AP52" s="1">
        <f t="shared" si="15"/>
        <v>86.6</v>
      </c>
      <c r="AQ52" s="17">
        <f t="shared" si="2"/>
        <v>0.318</v>
      </c>
      <c r="AR52" s="22">
        <f t="shared" si="16"/>
        <v>4.9000000000000002E-2</v>
      </c>
      <c r="AT52" s="19">
        <f t="shared" si="3"/>
        <v>43512</v>
      </c>
      <c r="AU52" s="20">
        <f t="shared" si="4"/>
        <v>47</v>
      </c>
      <c r="AV52" s="1">
        <f t="shared" si="17"/>
        <v>-7.8</v>
      </c>
      <c r="AW52" s="1">
        <f t="shared" si="18"/>
        <v>-6.8</v>
      </c>
      <c r="AX52" s="1">
        <f t="shared" si="19"/>
        <v>-9.1</v>
      </c>
      <c r="AY52" s="1">
        <f t="shared" si="8"/>
        <v>89.3</v>
      </c>
      <c r="AZ52" s="1">
        <f t="shared" si="9"/>
        <v>86.6</v>
      </c>
      <c r="BA52" s="1">
        <f t="shared" si="20"/>
        <v>0.873</v>
      </c>
      <c r="BB52" s="5">
        <f t="shared" si="21"/>
        <v>-1.1000000000000001</v>
      </c>
      <c r="BC52" s="1">
        <f t="shared" si="10"/>
        <v>-8.4</v>
      </c>
      <c r="BD52" s="1">
        <f t="shared" si="11"/>
        <v>-6.9</v>
      </c>
      <c r="BE52" s="1">
        <f t="shared" si="12"/>
        <v>-10.4</v>
      </c>
      <c r="BF52" s="5">
        <f t="shared" si="22"/>
        <v>-0.2</v>
      </c>
      <c r="BG52" s="5">
        <f t="shared" si="23"/>
        <v>0.2</v>
      </c>
      <c r="BH52" s="5">
        <f t="shared" si="24"/>
        <v>0.9</v>
      </c>
      <c r="BI52" s="5" t="str">
        <f t="shared" si="25"/>
        <v>NAN</v>
      </c>
      <c r="BJ52" s="10">
        <f t="shared" si="26"/>
        <v>0.318</v>
      </c>
      <c r="BK52" s="10">
        <f t="shared" si="27"/>
        <v>4.9000000000000002E-2</v>
      </c>
      <c r="BM52" s="1">
        <f t="shared" si="28"/>
        <v>-5.6999999999999496E-2</v>
      </c>
      <c r="BN52" s="1">
        <f t="shared" si="29"/>
        <v>-1.3099999999999987</v>
      </c>
    </row>
    <row r="53" spans="1:66" x14ac:dyDescent="0.2">
      <c r="A53" s="4">
        <f t="shared" si="30"/>
        <v>43513</v>
      </c>
      <c r="B53" s="1">
        <v>48</v>
      </c>
      <c r="C53" s="1">
        <v>12</v>
      </c>
      <c r="D53" s="5">
        <v>12.92</v>
      </c>
      <c r="E53" s="5">
        <v>-8.5299999999999994</v>
      </c>
      <c r="F53" s="5">
        <v>-15.49</v>
      </c>
      <c r="G53" s="5">
        <v>-12.27</v>
      </c>
      <c r="H53" s="5">
        <v>86.4</v>
      </c>
      <c r="I53" s="5">
        <v>-0.219</v>
      </c>
      <c r="J53" s="5">
        <v>-1.776</v>
      </c>
      <c r="K53" s="5">
        <v>-0.17499999999999999</v>
      </c>
      <c r="L53" s="5">
        <v>0.192</v>
      </c>
      <c r="M53" s="5">
        <v>0.85399999999999998</v>
      </c>
      <c r="N53" s="5">
        <v>-8.9600000000000009</v>
      </c>
      <c r="O53" s="5">
        <v>91.1</v>
      </c>
      <c r="P53" s="5">
        <v>-0.14499999999999999</v>
      </c>
      <c r="Q53" s="5">
        <v>-1.645</v>
      </c>
      <c r="R53" s="5">
        <v>-9.8000000000000004E-2</v>
      </c>
      <c r="S53" s="5">
        <v>0.27100000000000002</v>
      </c>
      <c r="T53" s="5">
        <v>0.94</v>
      </c>
      <c r="U53" s="5">
        <v>-16.079999999999998</v>
      </c>
      <c r="V53" s="5">
        <v>82.2</v>
      </c>
      <c r="W53" s="5">
        <v>-0.307</v>
      </c>
      <c r="X53" s="5">
        <v>-1.9419999999999999</v>
      </c>
      <c r="Y53" s="5">
        <v>-0.27400000000000002</v>
      </c>
      <c r="Z53" s="5">
        <v>0.10199999999999999</v>
      </c>
      <c r="AA53" s="5">
        <v>0.75800000000000001</v>
      </c>
      <c r="AB53" s="5">
        <v>1.3779999999999999</v>
      </c>
      <c r="AC53" s="5">
        <v>-12.55</v>
      </c>
      <c r="AD53" s="5">
        <v>-9.16</v>
      </c>
      <c r="AE53" s="5">
        <v>-17.239999999999998</v>
      </c>
      <c r="AF53" s="5">
        <v>-9.23</v>
      </c>
      <c r="AG53" s="5">
        <v>-16.48</v>
      </c>
      <c r="AH53" s="5">
        <v>1.42</v>
      </c>
      <c r="AI53" s="5" t="s">
        <v>99</v>
      </c>
      <c r="AK53" s="5">
        <f t="shared" si="0"/>
        <v>0.89700000000000002</v>
      </c>
      <c r="AL53" s="8">
        <f t="shared" si="1"/>
        <v>-1</v>
      </c>
      <c r="AN53" s="1">
        <f t="shared" si="13"/>
        <v>91.1</v>
      </c>
      <c r="AO53" s="1">
        <f t="shared" si="14"/>
        <v>86.4</v>
      </c>
      <c r="AP53" s="1">
        <f t="shared" si="15"/>
        <v>82.2</v>
      </c>
      <c r="AQ53" s="17">
        <f t="shared" si="2"/>
        <v>0.255</v>
      </c>
      <c r="AR53" s="22">
        <f t="shared" si="16"/>
        <v>5.5E-2</v>
      </c>
      <c r="AT53" s="19">
        <f t="shared" si="3"/>
        <v>43513</v>
      </c>
      <c r="AU53" s="20">
        <f t="shared" si="4"/>
        <v>48</v>
      </c>
      <c r="AV53" s="1">
        <f t="shared" si="17"/>
        <v>-12.3</v>
      </c>
      <c r="AW53" s="1">
        <f t="shared" si="18"/>
        <v>-9</v>
      </c>
      <c r="AX53" s="1">
        <f t="shared" si="19"/>
        <v>-16.100000000000001</v>
      </c>
      <c r="AY53" s="1">
        <f t="shared" si="8"/>
        <v>86.4</v>
      </c>
      <c r="AZ53" s="1">
        <f t="shared" si="9"/>
        <v>82.2</v>
      </c>
      <c r="BA53" s="1">
        <f t="shared" si="20"/>
        <v>0.89700000000000002</v>
      </c>
      <c r="BB53" s="5">
        <f t="shared" si="21"/>
        <v>-1</v>
      </c>
      <c r="BC53" s="1">
        <f t="shared" si="10"/>
        <v>-12.6</v>
      </c>
      <c r="BD53" s="1">
        <f t="shared" si="11"/>
        <v>-9.1999999999999993</v>
      </c>
      <c r="BE53" s="1">
        <f t="shared" si="12"/>
        <v>-17.2</v>
      </c>
      <c r="BF53" s="5">
        <f t="shared" si="22"/>
        <v>-0.2</v>
      </c>
      <c r="BG53" s="5">
        <f t="shared" si="23"/>
        <v>0.2</v>
      </c>
      <c r="BH53" s="5">
        <f t="shared" si="24"/>
        <v>0.9</v>
      </c>
      <c r="BI53" s="5" t="str">
        <f t="shared" si="25"/>
        <v>NAN</v>
      </c>
      <c r="BJ53" s="10">
        <f t="shared" si="26"/>
        <v>0.255</v>
      </c>
      <c r="BK53" s="10">
        <f t="shared" si="27"/>
        <v>5.5E-2</v>
      </c>
      <c r="BM53" s="1">
        <f t="shared" si="28"/>
        <v>-0.19999999999999929</v>
      </c>
      <c r="BN53" s="1">
        <f t="shared" si="29"/>
        <v>-1.1600000000000001</v>
      </c>
    </row>
    <row r="54" spans="1:66" x14ac:dyDescent="0.2">
      <c r="A54" s="4">
        <f t="shared" si="30"/>
        <v>43514</v>
      </c>
      <c r="B54" s="1">
        <v>49</v>
      </c>
      <c r="C54" s="1">
        <v>12</v>
      </c>
      <c r="D54" s="5">
        <v>13.03</v>
      </c>
      <c r="E54" s="5">
        <v>-10.51</v>
      </c>
      <c r="F54" s="5">
        <v>-17.3</v>
      </c>
      <c r="G54" s="5">
        <v>-13.93</v>
      </c>
      <c r="H54" s="5">
        <v>84.3</v>
      </c>
      <c r="I54" s="5">
        <v>-0.219</v>
      </c>
      <c r="J54" s="5">
        <v>-1.64</v>
      </c>
      <c r="K54" s="5">
        <v>-0.17799999999999999</v>
      </c>
      <c r="L54" s="5">
        <v>0.17399999999999999</v>
      </c>
      <c r="M54" s="5">
        <v>0.83099999999999996</v>
      </c>
      <c r="N54" s="5">
        <v>-10.54</v>
      </c>
      <c r="O54" s="5">
        <v>87.9</v>
      </c>
      <c r="P54" s="5">
        <v>-0.125</v>
      </c>
      <c r="Q54" s="5">
        <v>-1.526</v>
      </c>
      <c r="R54" s="5">
        <v>-8.8999999999999996E-2</v>
      </c>
      <c r="S54" s="5">
        <v>0.25600000000000001</v>
      </c>
      <c r="T54" s="5">
        <v>0.92</v>
      </c>
      <c r="U54" s="5">
        <v>-17.7</v>
      </c>
      <c r="V54" s="5">
        <v>80.599999999999994</v>
      </c>
      <c r="W54" s="5">
        <v>-0.31900000000000001</v>
      </c>
      <c r="X54" s="5">
        <v>-1.7789999999999999</v>
      </c>
      <c r="Y54" s="5">
        <v>-0.27400000000000002</v>
      </c>
      <c r="Z54" s="5">
        <v>8.5000000000000006E-2</v>
      </c>
      <c r="AA54" s="5">
        <v>0.73799999999999999</v>
      </c>
      <c r="AB54" s="5">
        <v>1.38</v>
      </c>
      <c r="AC54" s="5">
        <v>-14.84</v>
      </c>
      <c r="AD54" s="5">
        <v>-11.11</v>
      </c>
      <c r="AE54" s="5">
        <v>-19</v>
      </c>
      <c r="AF54" s="5">
        <v>-10.9</v>
      </c>
      <c r="AG54" s="5">
        <v>-18.11</v>
      </c>
      <c r="AH54" s="5">
        <v>1.409</v>
      </c>
      <c r="AI54" s="5" t="s">
        <v>99</v>
      </c>
      <c r="AK54" s="5">
        <f t="shared" si="0"/>
        <v>0.89500000000000002</v>
      </c>
      <c r="AL54" s="8">
        <f t="shared" si="1"/>
        <v>-0.9</v>
      </c>
      <c r="AN54" s="1">
        <f t="shared" si="13"/>
        <v>87.9</v>
      </c>
      <c r="AO54" s="1">
        <f t="shared" si="14"/>
        <v>84.3</v>
      </c>
      <c r="AP54" s="1">
        <f t="shared" si="15"/>
        <v>80.599999999999994</v>
      </c>
      <c r="AQ54" s="17">
        <f t="shared" si="2"/>
        <v>0.22</v>
      </c>
      <c r="AR54" s="22">
        <f t="shared" si="16"/>
        <v>5.2999999999999999E-2</v>
      </c>
      <c r="AT54" s="19">
        <f t="shared" si="3"/>
        <v>43514</v>
      </c>
      <c r="AU54" s="20">
        <f t="shared" si="4"/>
        <v>49</v>
      </c>
      <c r="AV54" s="1">
        <f t="shared" si="17"/>
        <v>-13.9</v>
      </c>
      <c r="AW54" s="1">
        <f t="shared" si="18"/>
        <v>-10.5</v>
      </c>
      <c r="AX54" s="1">
        <f t="shared" si="19"/>
        <v>-17.7</v>
      </c>
      <c r="AY54" s="1">
        <f t="shared" si="8"/>
        <v>84.3</v>
      </c>
      <c r="AZ54" s="1">
        <f t="shared" si="9"/>
        <v>80.599999999999994</v>
      </c>
      <c r="BA54" s="1">
        <f t="shared" si="20"/>
        <v>0.89500000000000002</v>
      </c>
      <c r="BB54" s="5">
        <f t="shared" si="21"/>
        <v>-0.9</v>
      </c>
      <c r="BC54" s="1">
        <f t="shared" si="10"/>
        <v>-14.8</v>
      </c>
      <c r="BD54" s="1">
        <f t="shared" si="11"/>
        <v>-11.1</v>
      </c>
      <c r="BE54" s="1">
        <f t="shared" si="12"/>
        <v>-19</v>
      </c>
      <c r="BF54" s="5">
        <f t="shared" si="22"/>
        <v>-0.2</v>
      </c>
      <c r="BG54" s="5">
        <f t="shared" si="23"/>
        <v>0.2</v>
      </c>
      <c r="BH54" s="5">
        <f t="shared" si="24"/>
        <v>0.8</v>
      </c>
      <c r="BI54" s="5" t="str">
        <f t="shared" si="25"/>
        <v>NAN</v>
      </c>
      <c r="BJ54" s="10">
        <f t="shared" si="26"/>
        <v>0.22</v>
      </c>
      <c r="BK54" s="10">
        <f t="shared" si="27"/>
        <v>5.2999999999999999E-2</v>
      </c>
      <c r="BM54" s="1">
        <f t="shared" si="28"/>
        <v>-0.57000000000000028</v>
      </c>
      <c r="BN54" s="1">
        <f t="shared" si="29"/>
        <v>-1.3000000000000007</v>
      </c>
    </row>
    <row r="55" spans="1:66" x14ac:dyDescent="0.2">
      <c r="A55" s="4">
        <f t="shared" si="30"/>
        <v>43515</v>
      </c>
      <c r="B55" s="1">
        <v>50</v>
      </c>
      <c r="C55" s="1">
        <v>12</v>
      </c>
      <c r="D55" s="5">
        <v>12.95</v>
      </c>
      <c r="E55" s="5">
        <v>-7.5940000000000003</v>
      </c>
      <c r="F55" s="5">
        <v>-11.32</v>
      </c>
      <c r="G55" s="5">
        <v>-9.6999999999999993</v>
      </c>
      <c r="H55" s="5">
        <v>88.5</v>
      </c>
      <c r="I55" s="5">
        <v>-0.187</v>
      </c>
      <c r="J55" s="5">
        <v>-1.579</v>
      </c>
      <c r="K55" s="5">
        <v>-0.14499999999999999</v>
      </c>
      <c r="L55" s="5">
        <v>0.19800000000000001</v>
      </c>
      <c r="M55" s="5">
        <v>0.85299999999999998</v>
      </c>
      <c r="N55" s="5">
        <v>-7.8440000000000003</v>
      </c>
      <c r="O55" s="5">
        <v>89.8</v>
      </c>
      <c r="P55" s="5">
        <v>-0.112</v>
      </c>
      <c r="Q55" s="5">
        <v>-1.498</v>
      </c>
      <c r="R55" s="5">
        <v>-6.2E-2</v>
      </c>
      <c r="S55" s="5">
        <v>0.27400000000000002</v>
      </c>
      <c r="T55" s="5">
        <v>0.93300000000000005</v>
      </c>
      <c r="U55" s="5">
        <v>-11.62</v>
      </c>
      <c r="V55" s="5">
        <v>87.2</v>
      </c>
      <c r="W55" s="5">
        <v>-0.26700000000000002</v>
      </c>
      <c r="X55" s="5">
        <v>-1.661</v>
      </c>
      <c r="Y55" s="5">
        <v>-0.218</v>
      </c>
      <c r="Z55" s="5">
        <v>0.127</v>
      </c>
      <c r="AA55" s="5">
        <v>0.77700000000000002</v>
      </c>
      <c r="AB55" s="5">
        <v>1.379</v>
      </c>
      <c r="AC55" s="5">
        <v>-10.029999999999999</v>
      </c>
      <c r="AD55" s="5">
        <v>-8.1199999999999992</v>
      </c>
      <c r="AE55" s="5">
        <v>-12.31</v>
      </c>
      <c r="AF55" s="5">
        <v>-7.9379999999999997</v>
      </c>
      <c r="AG55" s="5">
        <v>-11.85</v>
      </c>
      <c r="AH55" s="5">
        <v>1.4039999999999999</v>
      </c>
      <c r="AI55" s="5" t="s">
        <v>99</v>
      </c>
      <c r="AK55" s="5">
        <f t="shared" si="0"/>
        <v>0.89599999999999991</v>
      </c>
      <c r="AL55" s="8">
        <f t="shared" si="1"/>
        <v>-0.9</v>
      </c>
      <c r="AN55" s="1">
        <f t="shared" si="13"/>
        <v>89.8</v>
      </c>
      <c r="AO55" s="1">
        <f t="shared" si="14"/>
        <v>88.5</v>
      </c>
      <c r="AP55" s="1">
        <f t="shared" si="15"/>
        <v>87.2</v>
      </c>
      <c r="AQ55" s="17">
        <f t="shared" si="2"/>
        <v>0.29499999999999998</v>
      </c>
      <c r="AR55" s="22">
        <f t="shared" si="16"/>
        <v>4.2999999999999997E-2</v>
      </c>
      <c r="AT55" s="19">
        <f t="shared" si="3"/>
        <v>43515</v>
      </c>
      <c r="AU55" s="20">
        <f t="shared" si="4"/>
        <v>50</v>
      </c>
      <c r="AV55" s="1">
        <f t="shared" si="17"/>
        <v>-9.6999999999999993</v>
      </c>
      <c r="AW55" s="1">
        <f t="shared" si="18"/>
        <v>-7.8</v>
      </c>
      <c r="AX55" s="1">
        <f t="shared" si="19"/>
        <v>-11.6</v>
      </c>
      <c r="AY55" s="1">
        <f t="shared" si="8"/>
        <v>88.5</v>
      </c>
      <c r="AZ55" s="1">
        <f t="shared" si="9"/>
        <v>87.2</v>
      </c>
      <c r="BA55" s="1">
        <f t="shared" si="20"/>
        <v>0.89599999999999991</v>
      </c>
      <c r="BB55" s="5">
        <f t="shared" si="21"/>
        <v>-0.9</v>
      </c>
      <c r="BC55" s="1">
        <f t="shared" si="10"/>
        <v>-10</v>
      </c>
      <c r="BD55" s="1">
        <f t="shared" si="11"/>
        <v>-8.1</v>
      </c>
      <c r="BE55" s="1">
        <f t="shared" si="12"/>
        <v>-12.3</v>
      </c>
      <c r="BF55" s="5">
        <f t="shared" si="22"/>
        <v>-0.1</v>
      </c>
      <c r="BG55" s="5">
        <f t="shared" si="23"/>
        <v>0.2</v>
      </c>
      <c r="BH55" s="5">
        <f t="shared" si="24"/>
        <v>0.9</v>
      </c>
      <c r="BI55" s="5" t="str">
        <f t="shared" si="25"/>
        <v>NAN</v>
      </c>
      <c r="BJ55" s="10">
        <f t="shared" si="26"/>
        <v>0.29499999999999998</v>
      </c>
      <c r="BK55" s="10">
        <f t="shared" si="27"/>
        <v>4.2999999999999997E-2</v>
      </c>
      <c r="BM55" s="1">
        <f t="shared" si="28"/>
        <v>-0.27599999999999891</v>
      </c>
      <c r="BN55" s="1">
        <f t="shared" si="29"/>
        <v>-0.69000000000000128</v>
      </c>
    </row>
    <row r="56" spans="1:66" x14ac:dyDescent="0.2">
      <c r="A56" s="4">
        <f t="shared" si="30"/>
        <v>43516</v>
      </c>
      <c r="B56" s="1">
        <v>51</v>
      </c>
      <c r="C56" s="1">
        <v>12</v>
      </c>
      <c r="D56" s="5">
        <v>13</v>
      </c>
      <c r="E56" s="5">
        <v>-8.8699999999999992</v>
      </c>
      <c r="F56" s="5">
        <v>-11</v>
      </c>
      <c r="G56" s="5">
        <v>-10.48</v>
      </c>
      <c r="H56" s="5">
        <v>87.4</v>
      </c>
      <c r="I56" s="5">
        <v>-0.189</v>
      </c>
      <c r="J56" s="5">
        <v>-1.5549999999999999</v>
      </c>
      <c r="K56" s="5">
        <v>-0.15</v>
      </c>
      <c r="L56" s="5">
        <v>0.191</v>
      </c>
      <c r="M56" s="5">
        <v>0.84399999999999997</v>
      </c>
      <c r="N56" s="5">
        <v>-9.39</v>
      </c>
      <c r="O56" s="5">
        <v>88.3</v>
      </c>
      <c r="P56" s="5">
        <v>-0.10100000000000001</v>
      </c>
      <c r="Q56" s="5">
        <v>-1.4730000000000001</v>
      </c>
      <c r="R56" s="5">
        <v>-7.5999999999999998E-2</v>
      </c>
      <c r="S56" s="5">
        <v>0.26700000000000002</v>
      </c>
      <c r="T56" s="5">
        <v>0.94099999999999995</v>
      </c>
      <c r="U56" s="5">
        <v>-11.42</v>
      </c>
      <c r="V56" s="5">
        <v>85.9</v>
      </c>
      <c r="W56" s="5">
        <v>-0.26800000000000002</v>
      </c>
      <c r="X56" s="5">
        <v>-1.65</v>
      </c>
      <c r="Y56" s="5">
        <v>-0.22600000000000001</v>
      </c>
      <c r="Z56" s="5">
        <v>0.12</v>
      </c>
      <c r="AA56" s="5">
        <v>0.76700000000000002</v>
      </c>
      <c r="AB56" s="5">
        <v>1.3420000000000001</v>
      </c>
      <c r="AC56" s="5">
        <v>-10.85</v>
      </c>
      <c r="AD56" s="5">
        <v>-9.2799999999999994</v>
      </c>
      <c r="AE56" s="5">
        <v>-11.83</v>
      </c>
      <c r="AF56" s="5">
        <v>-9.32</v>
      </c>
      <c r="AG56" s="5">
        <v>-11.68</v>
      </c>
      <c r="AH56" s="5">
        <v>1.369</v>
      </c>
      <c r="AI56" s="5" t="s">
        <v>99</v>
      </c>
      <c r="AK56" s="5">
        <f t="shared" si="0"/>
        <v>0.93299999999999983</v>
      </c>
      <c r="AL56" s="8">
        <f t="shared" si="1"/>
        <v>-0.9</v>
      </c>
      <c r="AN56" s="1">
        <f t="shared" si="13"/>
        <v>88.3</v>
      </c>
      <c r="AO56" s="1">
        <f t="shared" si="14"/>
        <v>87.4</v>
      </c>
      <c r="AP56" s="1">
        <f t="shared" si="15"/>
        <v>85.9</v>
      </c>
      <c r="AQ56" s="17">
        <f t="shared" si="2"/>
        <v>0.25700000000000001</v>
      </c>
      <c r="AR56" s="22">
        <f t="shared" si="16"/>
        <v>4.2000000000000003E-2</v>
      </c>
      <c r="AT56" s="19">
        <f t="shared" si="3"/>
        <v>43516</v>
      </c>
      <c r="AU56" s="20">
        <f t="shared" si="4"/>
        <v>51</v>
      </c>
      <c r="AV56" s="1">
        <f t="shared" si="17"/>
        <v>-10.5</v>
      </c>
      <c r="AW56" s="1">
        <f t="shared" si="18"/>
        <v>-9.4</v>
      </c>
      <c r="AX56" s="1">
        <f t="shared" si="19"/>
        <v>-11.4</v>
      </c>
      <c r="AY56" s="1">
        <f t="shared" si="8"/>
        <v>87.4</v>
      </c>
      <c r="AZ56" s="1">
        <f t="shared" si="9"/>
        <v>85.9</v>
      </c>
      <c r="BA56" s="1">
        <f t="shared" si="20"/>
        <v>0.93299999999999983</v>
      </c>
      <c r="BB56" s="5">
        <f t="shared" si="21"/>
        <v>-0.9</v>
      </c>
      <c r="BC56" s="1">
        <f t="shared" si="10"/>
        <v>-10.9</v>
      </c>
      <c r="BD56" s="1">
        <f t="shared" si="11"/>
        <v>-9.3000000000000007</v>
      </c>
      <c r="BE56" s="1">
        <f t="shared" si="12"/>
        <v>-11.8</v>
      </c>
      <c r="BF56" s="5">
        <f t="shared" si="22"/>
        <v>-0.2</v>
      </c>
      <c r="BG56" s="5">
        <f t="shared" si="23"/>
        <v>0.2</v>
      </c>
      <c r="BH56" s="5">
        <f t="shared" si="24"/>
        <v>0.8</v>
      </c>
      <c r="BI56" s="5" t="str">
        <f t="shared" si="25"/>
        <v>NAN</v>
      </c>
      <c r="BJ56" s="10">
        <f t="shared" si="26"/>
        <v>0.25700000000000001</v>
      </c>
      <c r="BK56" s="10">
        <f t="shared" si="27"/>
        <v>4.2000000000000003E-2</v>
      </c>
      <c r="BM56" s="1">
        <f t="shared" si="28"/>
        <v>0.11000000000000121</v>
      </c>
      <c r="BN56" s="1">
        <f t="shared" si="29"/>
        <v>-0.41000000000000014</v>
      </c>
    </row>
    <row r="57" spans="1:66" x14ac:dyDescent="0.2">
      <c r="A57" s="4">
        <f t="shared" si="30"/>
        <v>43517</v>
      </c>
      <c r="B57" s="1">
        <v>52</v>
      </c>
      <c r="C57" s="1">
        <v>12</v>
      </c>
      <c r="D57" s="5">
        <v>13.01</v>
      </c>
      <c r="E57" s="5">
        <v>-9.39</v>
      </c>
      <c r="F57" s="5">
        <v>-12.58</v>
      </c>
      <c r="G57" s="5">
        <v>-11.71</v>
      </c>
      <c r="H57" s="5">
        <v>86.1</v>
      </c>
      <c r="I57" s="5">
        <v>-0.193</v>
      </c>
      <c r="J57" s="5">
        <v>-1.492</v>
      </c>
      <c r="K57" s="5">
        <v>-0.158</v>
      </c>
      <c r="L57" s="5">
        <v>0.17899999999999999</v>
      </c>
      <c r="M57" s="5">
        <v>0.82799999999999996</v>
      </c>
      <c r="N57" s="5">
        <v>-9.83</v>
      </c>
      <c r="O57" s="5">
        <v>88.4</v>
      </c>
      <c r="P57" s="5">
        <v>-0.11600000000000001</v>
      </c>
      <c r="Q57" s="5">
        <v>-1.3979999999999999</v>
      </c>
      <c r="R57" s="5">
        <v>-7.8E-2</v>
      </c>
      <c r="S57" s="5">
        <v>0.26800000000000002</v>
      </c>
      <c r="T57" s="5">
        <v>0.91200000000000003</v>
      </c>
      <c r="U57" s="5">
        <v>-13.14</v>
      </c>
      <c r="V57" s="5">
        <v>84.5</v>
      </c>
      <c r="W57" s="5">
        <v>-0.28399999999999997</v>
      </c>
      <c r="X57" s="5">
        <v>-1.589</v>
      </c>
      <c r="Y57" s="5">
        <v>-0.23</v>
      </c>
      <c r="Z57" s="5">
        <v>0.10100000000000001</v>
      </c>
      <c r="AA57" s="5">
        <v>0.74299999999999999</v>
      </c>
      <c r="AB57" s="5">
        <v>1.383</v>
      </c>
      <c r="AC57" s="5">
        <v>-12.45</v>
      </c>
      <c r="AD57" s="5">
        <v>-9.44</v>
      </c>
      <c r="AE57" s="5">
        <v>-14.98</v>
      </c>
      <c r="AF57" s="5">
        <v>-9.57</v>
      </c>
      <c r="AG57" s="5">
        <v>-13.74</v>
      </c>
      <c r="AH57" s="5">
        <v>1.415</v>
      </c>
      <c r="AI57" s="5" t="s">
        <v>99</v>
      </c>
      <c r="AK57" s="5">
        <f t="shared" si="0"/>
        <v>0.8919999999999999</v>
      </c>
      <c r="AL57" s="8">
        <f t="shared" si="1"/>
        <v>-0.8</v>
      </c>
      <c r="AN57" s="1">
        <f t="shared" si="13"/>
        <v>88.4</v>
      </c>
      <c r="AO57" s="1">
        <f t="shared" si="14"/>
        <v>86.1</v>
      </c>
      <c r="AP57" s="1">
        <f t="shared" si="15"/>
        <v>84.5</v>
      </c>
      <c r="AQ57" s="17">
        <f t="shared" si="2"/>
        <v>0.245</v>
      </c>
      <c r="AR57" s="22">
        <f t="shared" si="16"/>
        <v>4.4999999999999998E-2</v>
      </c>
      <c r="AT57" s="19">
        <f t="shared" si="3"/>
        <v>43517</v>
      </c>
      <c r="AU57" s="20">
        <f t="shared" si="4"/>
        <v>52</v>
      </c>
      <c r="AV57" s="1">
        <f t="shared" si="17"/>
        <v>-11.7</v>
      </c>
      <c r="AW57" s="1">
        <f t="shared" si="18"/>
        <v>-9.8000000000000007</v>
      </c>
      <c r="AX57" s="1">
        <f t="shared" si="19"/>
        <v>-13.1</v>
      </c>
      <c r="AY57" s="1">
        <f t="shared" si="8"/>
        <v>86.1</v>
      </c>
      <c r="AZ57" s="1">
        <f t="shared" si="9"/>
        <v>84.5</v>
      </c>
      <c r="BA57" s="1">
        <f t="shared" si="20"/>
        <v>0.8919999999999999</v>
      </c>
      <c r="BB57" s="5">
        <f t="shared" si="21"/>
        <v>-0.8</v>
      </c>
      <c r="BC57" s="1">
        <f t="shared" si="10"/>
        <v>-12.5</v>
      </c>
      <c r="BD57" s="1">
        <f t="shared" si="11"/>
        <v>-9.4</v>
      </c>
      <c r="BE57" s="1">
        <f t="shared" si="12"/>
        <v>-15</v>
      </c>
      <c r="BF57" s="5">
        <f t="shared" si="22"/>
        <v>-0.2</v>
      </c>
      <c r="BG57" s="5">
        <f t="shared" si="23"/>
        <v>0.2</v>
      </c>
      <c r="BH57" s="5">
        <f t="shared" si="24"/>
        <v>0.8</v>
      </c>
      <c r="BI57" s="5" t="str">
        <f t="shared" si="25"/>
        <v>NAN</v>
      </c>
      <c r="BJ57" s="10">
        <f t="shared" si="26"/>
        <v>0.245</v>
      </c>
      <c r="BK57" s="10">
        <f t="shared" si="27"/>
        <v>4.4999999999999998E-2</v>
      </c>
      <c r="BM57" s="1">
        <f t="shared" si="28"/>
        <v>0.39000000000000057</v>
      </c>
      <c r="BN57" s="1">
        <f t="shared" si="29"/>
        <v>-1.8399999999999999</v>
      </c>
    </row>
    <row r="58" spans="1:66" x14ac:dyDescent="0.2">
      <c r="A58" s="4">
        <f t="shared" si="30"/>
        <v>43518</v>
      </c>
      <c r="B58" s="1">
        <v>53</v>
      </c>
      <c r="C58" s="1">
        <v>12</v>
      </c>
      <c r="D58" s="5">
        <v>12.95</v>
      </c>
      <c r="E58" s="5">
        <v>-9.6</v>
      </c>
      <c r="F58" s="5">
        <v>-12.53</v>
      </c>
      <c r="G58" s="5">
        <v>-11.16</v>
      </c>
      <c r="H58" s="5">
        <v>86.8</v>
      </c>
      <c r="I58" s="5">
        <v>-0.183</v>
      </c>
      <c r="J58" s="5">
        <v>-1.4370000000000001</v>
      </c>
      <c r="K58" s="5">
        <v>-0.15</v>
      </c>
      <c r="L58" s="5">
        <v>0.17899999999999999</v>
      </c>
      <c r="M58" s="5">
        <v>0.82699999999999996</v>
      </c>
      <c r="N58" s="5">
        <v>-9.83</v>
      </c>
      <c r="O58" s="5">
        <v>88.1</v>
      </c>
      <c r="P58" s="5">
        <v>-8.7999999999999995E-2</v>
      </c>
      <c r="Q58" s="5">
        <v>-1.353</v>
      </c>
      <c r="R58" s="5">
        <v>-6.5000000000000002E-2</v>
      </c>
      <c r="S58" s="5">
        <v>0.26800000000000002</v>
      </c>
      <c r="T58" s="5">
        <v>0.91100000000000003</v>
      </c>
      <c r="U58" s="5">
        <v>-12.37</v>
      </c>
      <c r="V58" s="5">
        <v>85.6</v>
      </c>
      <c r="W58" s="5">
        <v>-0.27200000000000002</v>
      </c>
      <c r="X58" s="5">
        <v>-1.53</v>
      </c>
      <c r="Y58" s="5">
        <v>-0.22900000000000001</v>
      </c>
      <c r="Z58" s="5">
        <v>9.5000000000000001E-2</v>
      </c>
      <c r="AA58" s="5">
        <v>0.73799999999999999</v>
      </c>
      <c r="AB58" s="5">
        <v>1.2789999999999999</v>
      </c>
      <c r="AC58" s="5">
        <v>-11.53</v>
      </c>
      <c r="AD58" s="5">
        <v>-10.32</v>
      </c>
      <c r="AE58" s="5">
        <v>-12.95</v>
      </c>
      <c r="AF58" s="5">
        <v>-9.67</v>
      </c>
      <c r="AG58" s="5">
        <v>-12.76</v>
      </c>
      <c r="AH58" s="5">
        <v>1.3049999999999999</v>
      </c>
      <c r="AI58" s="5" t="s">
        <v>99</v>
      </c>
      <c r="AK58" s="5">
        <f t="shared" si="0"/>
        <v>0.996</v>
      </c>
      <c r="AL58" s="8">
        <f t="shared" si="1"/>
        <v>-0.8</v>
      </c>
      <c r="AN58" s="1">
        <f t="shared" si="13"/>
        <v>88.1</v>
      </c>
      <c r="AO58" s="1">
        <f t="shared" si="14"/>
        <v>86.8</v>
      </c>
      <c r="AP58" s="1">
        <f t="shared" si="15"/>
        <v>85.6</v>
      </c>
      <c r="AQ58" s="17">
        <f t="shared" si="2"/>
        <v>0.248</v>
      </c>
      <c r="AR58" s="22">
        <f t="shared" si="16"/>
        <v>4.2000000000000003E-2</v>
      </c>
      <c r="AT58" s="19">
        <f t="shared" si="3"/>
        <v>43518</v>
      </c>
      <c r="AU58" s="20">
        <f t="shared" si="4"/>
        <v>53</v>
      </c>
      <c r="AV58" s="1">
        <f t="shared" si="17"/>
        <v>-11.2</v>
      </c>
      <c r="AW58" s="1">
        <f t="shared" si="18"/>
        <v>-9.8000000000000007</v>
      </c>
      <c r="AX58" s="1">
        <f t="shared" si="19"/>
        <v>-12.4</v>
      </c>
      <c r="AY58" s="1">
        <f t="shared" si="8"/>
        <v>86.8</v>
      </c>
      <c r="AZ58" s="1">
        <f t="shared" si="9"/>
        <v>85.6</v>
      </c>
      <c r="BA58" s="1">
        <f t="shared" si="20"/>
        <v>0.996</v>
      </c>
      <c r="BB58" s="5">
        <f t="shared" si="21"/>
        <v>-0.8</v>
      </c>
      <c r="BC58" s="1">
        <f t="shared" si="10"/>
        <v>-11.5</v>
      </c>
      <c r="BD58" s="1">
        <f t="shared" si="11"/>
        <v>-10.3</v>
      </c>
      <c r="BE58" s="1">
        <f t="shared" si="12"/>
        <v>-13</v>
      </c>
      <c r="BF58" s="5">
        <f t="shared" si="22"/>
        <v>-0.2</v>
      </c>
      <c r="BG58" s="5">
        <f t="shared" si="23"/>
        <v>0.2</v>
      </c>
      <c r="BH58" s="5">
        <f t="shared" si="24"/>
        <v>0.8</v>
      </c>
      <c r="BI58" s="5" t="str">
        <f t="shared" si="25"/>
        <v>NAN</v>
      </c>
      <c r="BJ58" s="10">
        <f t="shared" si="26"/>
        <v>0.248</v>
      </c>
      <c r="BK58" s="10">
        <f t="shared" si="27"/>
        <v>4.2000000000000003E-2</v>
      </c>
      <c r="BM58" s="1">
        <f t="shared" si="28"/>
        <v>-0.49000000000000021</v>
      </c>
      <c r="BN58" s="1">
        <f t="shared" si="29"/>
        <v>-0.58000000000000007</v>
      </c>
    </row>
    <row r="59" spans="1:66" x14ac:dyDescent="0.2">
      <c r="A59" s="4">
        <f t="shared" si="30"/>
        <v>43519</v>
      </c>
      <c r="B59" s="1">
        <v>54</v>
      </c>
      <c r="C59" s="1">
        <v>12</v>
      </c>
      <c r="D59" s="5">
        <v>12.93</v>
      </c>
      <c r="E59" s="5">
        <v>-8.08</v>
      </c>
      <c r="F59" s="5">
        <v>-10.93</v>
      </c>
      <c r="G59" s="5">
        <v>-10.07</v>
      </c>
      <c r="H59" s="5">
        <v>87.5</v>
      </c>
      <c r="I59" s="5">
        <v>-0.17399999999999999</v>
      </c>
      <c r="J59" s="5">
        <v>-1.411</v>
      </c>
      <c r="K59" s="5">
        <v>-0.14199999999999999</v>
      </c>
      <c r="L59" s="5">
        <v>0.183</v>
      </c>
      <c r="M59" s="5">
        <v>0.82799999999999996</v>
      </c>
      <c r="N59" s="5">
        <v>-8.4499999999999993</v>
      </c>
      <c r="O59" s="5">
        <v>88.8</v>
      </c>
      <c r="P59" s="5">
        <v>-9.6000000000000002E-2</v>
      </c>
      <c r="Q59" s="5">
        <v>-1.3320000000000001</v>
      </c>
      <c r="R59" s="5">
        <v>-5.7000000000000002E-2</v>
      </c>
      <c r="S59" s="5">
        <v>0.26200000000000001</v>
      </c>
      <c r="T59" s="5">
        <v>0.9</v>
      </c>
      <c r="U59" s="5">
        <v>-11.32</v>
      </c>
      <c r="V59" s="5">
        <v>86.3</v>
      </c>
      <c r="W59" s="5">
        <v>-0.252</v>
      </c>
      <c r="X59" s="5">
        <v>-1.494</v>
      </c>
      <c r="Y59" s="5">
        <v>-0.218</v>
      </c>
      <c r="Z59" s="5">
        <v>0.10199999999999999</v>
      </c>
      <c r="AA59" s="5">
        <v>0.75800000000000001</v>
      </c>
      <c r="AB59" s="5">
        <v>1.3049999999999999</v>
      </c>
      <c r="AC59" s="5">
        <v>-10.77</v>
      </c>
      <c r="AD59" s="5">
        <v>-9.02</v>
      </c>
      <c r="AE59" s="5">
        <v>-12.3</v>
      </c>
      <c r="AF59" s="5">
        <v>-8.39</v>
      </c>
      <c r="AG59" s="5">
        <v>-11.73</v>
      </c>
      <c r="AH59" s="5">
        <v>1.3320000000000001</v>
      </c>
      <c r="AI59" s="5" t="s">
        <v>99</v>
      </c>
      <c r="AK59" s="5">
        <f t="shared" si="0"/>
        <v>0.97</v>
      </c>
      <c r="AL59" s="8">
        <f t="shared" si="1"/>
        <v>-0.8</v>
      </c>
      <c r="AN59" s="1">
        <f t="shared" si="13"/>
        <v>88.8</v>
      </c>
      <c r="AO59" s="1">
        <f t="shared" si="14"/>
        <v>87.5</v>
      </c>
      <c r="AP59" s="1">
        <f t="shared" si="15"/>
        <v>86.3</v>
      </c>
      <c r="AQ59" s="17">
        <f t="shared" si="2"/>
        <v>0.27800000000000002</v>
      </c>
      <c r="AR59" s="22">
        <f t="shared" si="16"/>
        <v>4.3999999999999997E-2</v>
      </c>
      <c r="AT59" s="19">
        <f t="shared" si="3"/>
        <v>43519</v>
      </c>
      <c r="AU59" s="20">
        <f t="shared" si="4"/>
        <v>54</v>
      </c>
      <c r="AV59" s="1">
        <f t="shared" si="17"/>
        <v>-10.1</v>
      </c>
      <c r="AW59" s="1">
        <f t="shared" si="18"/>
        <v>-8.5</v>
      </c>
      <c r="AX59" s="1">
        <f t="shared" si="19"/>
        <v>-11.3</v>
      </c>
      <c r="AY59" s="1">
        <f t="shared" si="8"/>
        <v>87.5</v>
      </c>
      <c r="AZ59" s="1">
        <f t="shared" si="9"/>
        <v>86.3</v>
      </c>
      <c r="BA59" s="1">
        <f t="shared" si="20"/>
        <v>0.97</v>
      </c>
      <c r="BB59" s="5">
        <f t="shared" si="21"/>
        <v>-0.8</v>
      </c>
      <c r="BC59" s="1">
        <f t="shared" si="10"/>
        <v>-10.8</v>
      </c>
      <c r="BD59" s="1">
        <f t="shared" si="11"/>
        <v>-9</v>
      </c>
      <c r="BE59" s="1">
        <f t="shared" si="12"/>
        <v>-12.3</v>
      </c>
      <c r="BF59" s="5">
        <f t="shared" si="22"/>
        <v>-0.1</v>
      </c>
      <c r="BG59" s="5">
        <f t="shared" si="23"/>
        <v>0.2</v>
      </c>
      <c r="BH59" s="5">
        <f t="shared" si="24"/>
        <v>0.8</v>
      </c>
      <c r="BI59" s="5" t="str">
        <f t="shared" si="25"/>
        <v>NAN</v>
      </c>
      <c r="BJ59" s="10">
        <f t="shared" si="26"/>
        <v>0.27800000000000002</v>
      </c>
      <c r="BK59" s="10">
        <f t="shared" si="27"/>
        <v>4.3999999999999997E-2</v>
      </c>
      <c r="BM59" s="1">
        <f t="shared" si="28"/>
        <v>-0.57000000000000028</v>
      </c>
      <c r="BN59" s="1">
        <f t="shared" si="29"/>
        <v>-0.98000000000000043</v>
      </c>
    </row>
    <row r="60" spans="1:66" x14ac:dyDescent="0.2">
      <c r="A60" s="4">
        <f t="shared" si="30"/>
        <v>43520</v>
      </c>
      <c r="B60" s="1">
        <v>55</v>
      </c>
      <c r="C60" s="1">
        <v>12</v>
      </c>
      <c r="D60" s="5">
        <v>13.08</v>
      </c>
      <c r="E60" s="5">
        <v>-7.6589999999999998</v>
      </c>
      <c r="F60" s="5">
        <v>-13.15</v>
      </c>
      <c r="G60" s="5">
        <v>-11.51</v>
      </c>
      <c r="H60" s="5">
        <v>85.8</v>
      </c>
      <c r="I60" s="5">
        <v>-0.18</v>
      </c>
      <c r="J60" s="5">
        <v>-1.3879999999999999</v>
      </c>
      <c r="K60" s="5">
        <v>-0.14699999999999999</v>
      </c>
      <c r="L60" s="5">
        <v>0.17399999999999999</v>
      </c>
      <c r="M60" s="5">
        <v>0.81699999999999995</v>
      </c>
      <c r="N60" s="5">
        <v>-9.69</v>
      </c>
      <c r="O60" s="5">
        <v>87.4</v>
      </c>
      <c r="P60" s="5">
        <v>-8.8999999999999996E-2</v>
      </c>
      <c r="Q60" s="5">
        <v>-1.296</v>
      </c>
      <c r="R60" s="5">
        <v>-4.2999999999999997E-2</v>
      </c>
      <c r="S60" s="5">
        <v>0.25600000000000001</v>
      </c>
      <c r="T60" s="5">
        <v>0.89100000000000001</v>
      </c>
      <c r="U60" s="5">
        <v>-13.62</v>
      </c>
      <c r="V60" s="5">
        <v>83.8</v>
      </c>
      <c r="W60" s="5">
        <v>-0.27500000000000002</v>
      </c>
      <c r="X60" s="5">
        <v>-1.4930000000000001</v>
      </c>
      <c r="Y60" s="5">
        <v>-0.22700000000000001</v>
      </c>
      <c r="Z60" s="5">
        <v>9.1999999999999998E-2</v>
      </c>
      <c r="AA60" s="5">
        <v>0.73199999999999998</v>
      </c>
      <c r="AB60" s="5">
        <v>1.2769999999999999</v>
      </c>
      <c r="AC60" s="5">
        <v>-11.97</v>
      </c>
      <c r="AD60" s="5">
        <v>-8.32</v>
      </c>
      <c r="AE60" s="5">
        <v>-14.45</v>
      </c>
      <c r="AF60" s="5">
        <v>-8.18</v>
      </c>
      <c r="AG60" s="5">
        <v>-13.84</v>
      </c>
      <c r="AH60" s="5">
        <v>1.31</v>
      </c>
      <c r="AI60" s="5" t="s">
        <v>99</v>
      </c>
      <c r="AK60" s="5">
        <f t="shared" si="0"/>
        <v>0.998</v>
      </c>
      <c r="AL60" s="8">
        <f t="shared" si="1"/>
        <v>-0.8</v>
      </c>
      <c r="AN60" s="1">
        <f t="shared" si="13"/>
        <v>87.4</v>
      </c>
      <c r="AO60" s="1">
        <f t="shared" si="14"/>
        <v>85.8</v>
      </c>
      <c r="AP60" s="1">
        <f t="shared" si="15"/>
        <v>83.8</v>
      </c>
      <c r="AQ60" s="17">
        <f t="shared" si="2"/>
        <v>0.245</v>
      </c>
      <c r="AR60" s="22">
        <f t="shared" si="16"/>
        <v>4.7E-2</v>
      </c>
      <c r="AT60" s="19">
        <f t="shared" si="3"/>
        <v>43520</v>
      </c>
      <c r="AU60" s="20">
        <f t="shared" si="4"/>
        <v>55</v>
      </c>
      <c r="AV60" s="1">
        <f t="shared" si="17"/>
        <v>-11.5</v>
      </c>
      <c r="AW60" s="1">
        <f t="shared" si="18"/>
        <v>-9.6999999999999993</v>
      </c>
      <c r="AX60" s="1">
        <f t="shared" si="19"/>
        <v>-13.6</v>
      </c>
      <c r="AY60" s="1">
        <f t="shared" si="8"/>
        <v>85.8</v>
      </c>
      <c r="AZ60" s="1">
        <f t="shared" si="9"/>
        <v>83.8</v>
      </c>
      <c r="BA60" s="1">
        <f t="shared" si="20"/>
        <v>0.998</v>
      </c>
      <c r="BB60" s="5">
        <f t="shared" si="21"/>
        <v>-0.8</v>
      </c>
      <c r="BC60" s="1">
        <f t="shared" si="10"/>
        <v>-12</v>
      </c>
      <c r="BD60" s="1">
        <f t="shared" si="11"/>
        <v>-8.3000000000000007</v>
      </c>
      <c r="BE60" s="1">
        <f t="shared" si="12"/>
        <v>-14.5</v>
      </c>
      <c r="BF60" s="5">
        <f t="shared" si="22"/>
        <v>-0.1</v>
      </c>
      <c r="BG60" s="5">
        <f t="shared" si="23"/>
        <v>0.2</v>
      </c>
      <c r="BH60" s="5">
        <f t="shared" si="24"/>
        <v>0.8</v>
      </c>
      <c r="BI60" s="5" t="str">
        <f t="shared" si="25"/>
        <v>NAN</v>
      </c>
      <c r="BJ60" s="10">
        <f t="shared" si="26"/>
        <v>0.245</v>
      </c>
      <c r="BK60" s="10">
        <f t="shared" si="27"/>
        <v>4.7E-2</v>
      </c>
      <c r="BM60" s="1">
        <f t="shared" si="28"/>
        <v>1.3699999999999992</v>
      </c>
      <c r="BN60" s="1">
        <f t="shared" si="29"/>
        <v>-0.83000000000000007</v>
      </c>
    </row>
    <row r="61" spans="1:66" x14ac:dyDescent="0.2">
      <c r="A61" s="4">
        <f t="shared" si="30"/>
        <v>43521</v>
      </c>
      <c r="B61" s="1">
        <v>56</v>
      </c>
      <c r="C61" s="1">
        <v>12</v>
      </c>
      <c r="D61" s="5">
        <v>13.11</v>
      </c>
      <c r="E61" s="5">
        <v>-11.11</v>
      </c>
      <c r="F61" s="5">
        <v>-17.670000000000002</v>
      </c>
      <c r="G61" s="5">
        <v>-15</v>
      </c>
      <c r="H61" s="5">
        <v>82.5</v>
      </c>
      <c r="I61" s="5">
        <v>-0.20200000000000001</v>
      </c>
      <c r="J61" s="5">
        <v>-1.371</v>
      </c>
      <c r="K61" s="5">
        <v>-0.17199999999999999</v>
      </c>
      <c r="L61" s="5">
        <v>0.14499999999999999</v>
      </c>
      <c r="M61" s="5">
        <v>0.78900000000000003</v>
      </c>
      <c r="N61" s="5">
        <v>-12.43</v>
      </c>
      <c r="O61" s="5">
        <v>84.9</v>
      </c>
      <c r="P61" s="5">
        <v>-0.108</v>
      </c>
      <c r="Q61" s="5">
        <v>-1.2729999999999999</v>
      </c>
      <c r="R61" s="5">
        <v>-8.5000000000000006E-2</v>
      </c>
      <c r="S61" s="5">
        <v>0.23100000000000001</v>
      </c>
      <c r="T61" s="5">
        <v>0.879</v>
      </c>
      <c r="U61" s="5">
        <v>-18.27</v>
      </c>
      <c r="V61" s="5">
        <v>79.900000000000006</v>
      </c>
      <c r="W61" s="5">
        <v>-0.29599999999999999</v>
      </c>
      <c r="X61" s="5">
        <v>-1.4710000000000001</v>
      </c>
      <c r="Y61" s="5">
        <v>-0.26600000000000001</v>
      </c>
      <c r="Z61" s="5">
        <v>5.5E-2</v>
      </c>
      <c r="AA61" s="5">
        <v>0.67600000000000005</v>
      </c>
      <c r="AB61" s="5">
        <v>1.306</v>
      </c>
      <c r="AC61" s="5">
        <v>-15.56</v>
      </c>
      <c r="AD61" s="5">
        <v>-12.4</v>
      </c>
      <c r="AE61" s="5">
        <v>-19.55</v>
      </c>
      <c r="AF61" s="5">
        <v>-11.6</v>
      </c>
      <c r="AG61" s="5">
        <v>-18.61</v>
      </c>
      <c r="AH61" s="5">
        <v>1.3520000000000001</v>
      </c>
      <c r="AI61" s="5" t="s">
        <v>99</v>
      </c>
      <c r="AK61" s="5">
        <f t="shared" si="0"/>
        <v>0.96899999999999986</v>
      </c>
      <c r="AL61" s="8">
        <f t="shared" si="1"/>
        <v>-0.8</v>
      </c>
      <c r="AN61" s="1">
        <f t="shared" si="13"/>
        <v>84.9</v>
      </c>
      <c r="AO61" s="1">
        <f t="shared" si="14"/>
        <v>82.5</v>
      </c>
      <c r="AP61" s="1">
        <f t="shared" si="15"/>
        <v>79.900000000000006</v>
      </c>
      <c r="AQ61" s="17">
        <f t="shared" si="2"/>
        <v>0.188</v>
      </c>
      <c r="AR61" s="22">
        <f t="shared" si="16"/>
        <v>4.7E-2</v>
      </c>
      <c r="AT61" s="19">
        <f t="shared" si="3"/>
        <v>43521</v>
      </c>
      <c r="AU61" s="20">
        <f t="shared" si="4"/>
        <v>56</v>
      </c>
      <c r="AV61" s="1">
        <f t="shared" si="17"/>
        <v>-15</v>
      </c>
      <c r="AW61" s="1">
        <f t="shared" si="18"/>
        <v>-12.4</v>
      </c>
      <c r="AX61" s="1">
        <f t="shared" si="19"/>
        <v>-18.3</v>
      </c>
      <c r="AY61" s="1">
        <f t="shared" si="8"/>
        <v>82.5</v>
      </c>
      <c r="AZ61" s="1">
        <f t="shared" si="9"/>
        <v>79.900000000000006</v>
      </c>
      <c r="BA61" s="1">
        <f t="shared" si="20"/>
        <v>0.96899999999999986</v>
      </c>
      <c r="BB61" s="5">
        <f t="shared" si="21"/>
        <v>-0.8</v>
      </c>
      <c r="BC61" s="1">
        <f t="shared" si="10"/>
        <v>-15.6</v>
      </c>
      <c r="BD61" s="1">
        <f t="shared" si="11"/>
        <v>-12.4</v>
      </c>
      <c r="BE61" s="1">
        <f t="shared" si="12"/>
        <v>-19.600000000000001</v>
      </c>
      <c r="BF61" s="5">
        <f t="shared" si="22"/>
        <v>-0.2</v>
      </c>
      <c r="BG61" s="5">
        <f t="shared" si="23"/>
        <v>0.1</v>
      </c>
      <c r="BH61" s="5">
        <f t="shared" si="24"/>
        <v>0.8</v>
      </c>
      <c r="BI61" s="5" t="str">
        <f t="shared" si="25"/>
        <v>NAN</v>
      </c>
      <c r="BJ61" s="10">
        <f t="shared" si="26"/>
        <v>0.188</v>
      </c>
      <c r="BK61" s="10">
        <f t="shared" si="27"/>
        <v>4.7E-2</v>
      </c>
      <c r="BM61" s="1">
        <f t="shared" si="28"/>
        <v>2.9999999999999361E-2</v>
      </c>
      <c r="BN61" s="1">
        <f t="shared" si="29"/>
        <v>-1.2800000000000011</v>
      </c>
    </row>
    <row r="62" spans="1:66" x14ac:dyDescent="0.2">
      <c r="A62" s="4">
        <f t="shared" si="30"/>
        <v>43522</v>
      </c>
      <c r="B62" s="1">
        <v>57</v>
      </c>
      <c r="C62" s="1">
        <v>12</v>
      </c>
      <c r="D62" s="5">
        <v>13.09</v>
      </c>
      <c r="E62" s="5">
        <v>-11.72</v>
      </c>
      <c r="F62" s="5">
        <v>-20.11</v>
      </c>
      <c r="G62" s="5">
        <v>-16.86</v>
      </c>
      <c r="H62" s="5">
        <v>80.5</v>
      </c>
      <c r="I62" s="5">
        <v>-0.214</v>
      </c>
      <c r="J62" s="5">
        <v>-1.3740000000000001</v>
      </c>
      <c r="K62" s="5">
        <v>-0.186</v>
      </c>
      <c r="L62" s="5">
        <v>0.129</v>
      </c>
      <c r="M62" s="5">
        <v>0.76800000000000002</v>
      </c>
      <c r="N62" s="5">
        <v>-11.86</v>
      </c>
      <c r="O62" s="5">
        <v>83.6</v>
      </c>
      <c r="P62" s="5">
        <v>-0.121</v>
      </c>
      <c r="Q62" s="5">
        <v>-1.274</v>
      </c>
      <c r="R62" s="5">
        <v>-9.9000000000000005E-2</v>
      </c>
      <c r="S62" s="5">
        <v>0.23400000000000001</v>
      </c>
      <c r="T62" s="5">
        <v>0.86499999999999999</v>
      </c>
      <c r="U62" s="5">
        <v>-20.47</v>
      </c>
      <c r="V62" s="5">
        <v>77.510000000000005</v>
      </c>
      <c r="W62" s="5">
        <v>-0.311</v>
      </c>
      <c r="X62" s="5">
        <v>-1.4710000000000001</v>
      </c>
      <c r="Y62" s="5">
        <v>-0.27500000000000002</v>
      </c>
      <c r="Z62" s="5">
        <v>3.9E-2</v>
      </c>
      <c r="AA62" s="5">
        <v>0.66900000000000004</v>
      </c>
      <c r="AB62" s="5">
        <v>1.3080000000000001</v>
      </c>
      <c r="AC62" s="5">
        <v>-18.22</v>
      </c>
      <c r="AD62" s="5">
        <v>-12.9</v>
      </c>
      <c r="AE62" s="5">
        <v>-21.74</v>
      </c>
      <c r="AF62" s="5">
        <v>-11.88</v>
      </c>
      <c r="AG62" s="5">
        <v>-20.81</v>
      </c>
      <c r="AH62" s="5">
        <v>1.35</v>
      </c>
      <c r="AI62" s="5" t="s">
        <v>99</v>
      </c>
      <c r="AK62" s="5">
        <f t="shared" si="0"/>
        <v>0.96699999999999986</v>
      </c>
      <c r="AL62" s="8">
        <f t="shared" si="1"/>
        <v>-0.8</v>
      </c>
      <c r="AN62" s="1">
        <f t="shared" ref="AN62" si="41">ROUND(O62*AO$1,1)</f>
        <v>83.6</v>
      </c>
      <c r="AO62" s="1">
        <f t="shared" ref="AO62" si="42">ROUND(H62*AO$1,1)</f>
        <v>80.5</v>
      </c>
      <c r="AP62" s="1">
        <f t="shared" ref="AP62" si="43">ROUND(V62*AO$1,1)</f>
        <v>77.5</v>
      </c>
      <c r="AQ62" s="17">
        <f t="shared" ref="AQ62" si="44">ROUND((0.6105*(EXP((17.273*N62)/(N62+237.3))))*AP62/100,3)</f>
        <v>0.191</v>
      </c>
      <c r="AR62" s="22">
        <f t="shared" si="16"/>
        <v>5.5E-2</v>
      </c>
      <c r="AT62" s="19">
        <f t="shared" ref="AT62" si="45">A62</f>
        <v>43522</v>
      </c>
      <c r="AU62" s="20">
        <f t="shared" ref="AU62" si="46">B62</f>
        <v>57</v>
      </c>
      <c r="AV62" s="1">
        <f t="shared" ref="AV62" si="47">ROUND(G62,1)</f>
        <v>-16.899999999999999</v>
      </c>
      <c r="AW62" s="1">
        <f t="shared" ref="AW62" si="48">ROUND(N62,1)</f>
        <v>-11.9</v>
      </c>
      <c r="AX62" s="1">
        <f t="shared" ref="AX62" si="49">ROUND(U62,1)</f>
        <v>-20.5</v>
      </c>
      <c r="AY62" s="1">
        <f t="shared" ref="AY62" si="50">AO62</f>
        <v>80.5</v>
      </c>
      <c r="AZ62" s="1">
        <f t="shared" ref="AZ62" si="51">AP62</f>
        <v>77.5</v>
      </c>
      <c r="BA62" s="1">
        <f t="shared" si="20"/>
        <v>0.96699999999999986</v>
      </c>
      <c r="BB62" s="5">
        <f t="shared" si="21"/>
        <v>-0.8</v>
      </c>
      <c r="BC62" s="1">
        <f t="shared" si="10"/>
        <v>-18.2</v>
      </c>
      <c r="BD62" s="1">
        <f t="shared" si="11"/>
        <v>-12.9</v>
      </c>
      <c r="BE62" s="1">
        <f t="shared" si="12"/>
        <v>-21.7</v>
      </c>
      <c r="BF62" s="5">
        <f t="shared" ref="BF62" si="52">ROUND(K62,1)</f>
        <v>-0.2</v>
      </c>
      <c r="BG62" s="5">
        <f t="shared" ref="BG62" si="53">ROUND(L62,1)</f>
        <v>0.1</v>
      </c>
      <c r="BH62" s="5">
        <f t="shared" ref="BH62" si="54">ROUND(M62,1)</f>
        <v>0.8</v>
      </c>
      <c r="BI62" s="5" t="str">
        <f t="shared" si="25"/>
        <v>NAN</v>
      </c>
      <c r="BJ62" s="10">
        <f t="shared" si="26"/>
        <v>0.191</v>
      </c>
      <c r="BK62" s="10">
        <f t="shared" si="27"/>
        <v>5.5E-2</v>
      </c>
      <c r="BM62" s="1">
        <f t="shared" ref="BM62" si="55">AD62-N62</f>
        <v>-1.0400000000000009</v>
      </c>
      <c r="BN62" s="1">
        <f t="shared" ref="BN62" si="56">AE62-U62</f>
        <v>-1.2699999999999996</v>
      </c>
    </row>
    <row r="63" spans="1:66" x14ac:dyDescent="0.2">
      <c r="A63" s="4">
        <f t="shared" si="30"/>
        <v>43523</v>
      </c>
      <c r="B63" s="1">
        <v>58</v>
      </c>
      <c r="C63" s="1">
        <v>12</v>
      </c>
      <c r="D63" s="5">
        <v>13.03</v>
      </c>
      <c r="E63" s="5">
        <v>-7.9050000000000002</v>
      </c>
      <c r="F63" s="5">
        <v>-16.829999999999998</v>
      </c>
      <c r="G63" s="5">
        <v>-11.47</v>
      </c>
      <c r="H63" s="5">
        <v>85.5</v>
      </c>
      <c r="I63" s="5">
        <v>-0.186</v>
      </c>
      <c r="J63" s="5">
        <v>-1.401</v>
      </c>
      <c r="K63" s="5">
        <v>-0.14899999999999999</v>
      </c>
      <c r="L63" s="5">
        <v>0.161</v>
      </c>
      <c r="M63" s="5">
        <v>0.79700000000000004</v>
      </c>
      <c r="N63" s="5">
        <v>-8.35</v>
      </c>
      <c r="O63" s="5">
        <v>90.1</v>
      </c>
      <c r="P63" s="5">
        <v>-9.2999999999999999E-2</v>
      </c>
      <c r="Q63" s="5">
        <v>-1.3280000000000001</v>
      </c>
      <c r="R63" s="5">
        <v>-6.9000000000000006E-2</v>
      </c>
      <c r="S63" s="5">
        <v>0.24399999999999999</v>
      </c>
      <c r="T63" s="5">
        <v>0.88600000000000001</v>
      </c>
      <c r="U63" s="5">
        <v>-16.75</v>
      </c>
      <c r="V63" s="5">
        <v>79.209999999999994</v>
      </c>
      <c r="W63" s="5">
        <v>-0.27800000000000002</v>
      </c>
      <c r="X63" s="5">
        <v>-1.502</v>
      </c>
      <c r="Y63" s="5">
        <v>-0.24099999999999999</v>
      </c>
      <c r="Z63" s="5">
        <v>6.9000000000000006E-2</v>
      </c>
      <c r="AA63" s="5">
        <v>0.70499999999999996</v>
      </c>
      <c r="AB63" s="5">
        <v>1.3029999999999999</v>
      </c>
      <c r="AC63" s="5">
        <v>-12.1</v>
      </c>
      <c r="AD63" s="5">
        <v>-8.5399999999999991</v>
      </c>
      <c r="AE63" s="5">
        <v>-18.36</v>
      </c>
      <c r="AF63" s="5">
        <v>-7.7160000000000002</v>
      </c>
      <c r="AG63" s="5">
        <v>-17</v>
      </c>
      <c r="AH63" s="5">
        <v>1.325</v>
      </c>
      <c r="AI63" s="5" t="s">
        <v>99</v>
      </c>
      <c r="AK63" s="5">
        <f t="shared" si="0"/>
        <v>0.97199999999999998</v>
      </c>
      <c r="AL63" s="8">
        <f t="shared" si="1"/>
        <v>-0.8</v>
      </c>
      <c r="AN63" s="1">
        <f t="shared" si="13"/>
        <v>90.1</v>
      </c>
      <c r="AO63" s="1">
        <f t="shared" si="14"/>
        <v>85.5</v>
      </c>
      <c r="AP63" s="1">
        <f t="shared" si="15"/>
        <v>79.2</v>
      </c>
      <c r="AQ63" s="17">
        <f t="shared" si="2"/>
        <v>0.25800000000000001</v>
      </c>
      <c r="AR63" s="22">
        <f t="shared" si="16"/>
        <v>6.8000000000000005E-2</v>
      </c>
      <c r="AT63" s="19">
        <f t="shared" si="3"/>
        <v>43523</v>
      </c>
      <c r="AU63" s="20">
        <f t="shared" si="4"/>
        <v>58</v>
      </c>
      <c r="AV63" s="1">
        <f t="shared" si="17"/>
        <v>-11.5</v>
      </c>
      <c r="AW63" s="1">
        <f t="shared" si="18"/>
        <v>-8.4</v>
      </c>
      <c r="AX63" s="1">
        <f t="shared" si="19"/>
        <v>-16.8</v>
      </c>
      <c r="AY63" s="1">
        <f t="shared" si="8"/>
        <v>85.5</v>
      </c>
      <c r="AZ63" s="1">
        <f t="shared" si="9"/>
        <v>79.2</v>
      </c>
      <c r="BA63" s="1">
        <f t="shared" si="20"/>
        <v>0.97199999999999998</v>
      </c>
      <c r="BB63" s="5">
        <f t="shared" si="21"/>
        <v>-0.8</v>
      </c>
      <c r="BC63" s="1">
        <f t="shared" si="10"/>
        <v>-12.1</v>
      </c>
      <c r="BD63" s="1">
        <f t="shared" si="11"/>
        <v>-8.5</v>
      </c>
      <c r="BE63" s="1">
        <f t="shared" si="12"/>
        <v>-18.399999999999999</v>
      </c>
      <c r="BF63" s="5">
        <f t="shared" si="22"/>
        <v>-0.1</v>
      </c>
      <c r="BG63" s="5">
        <f t="shared" si="23"/>
        <v>0.2</v>
      </c>
      <c r="BH63" s="5">
        <f t="shared" si="24"/>
        <v>0.8</v>
      </c>
      <c r="BI63" s="5" t="str">
        <f t="shared" si="25"/>
        <v>NAN</v>
      </c>
      <c r="BJ63" s="10">
        <f t="shared" si="26"/>
        <v>0.25800000000000001</v>
      </c>
      <c r="BK63" s="10">
        <f t="shared" si="27"/>
        <v>6.8000000000000005E-2</v>
      </c>
      <c r="BM63" s="1">
        <f t="shared" si="28"/>
        <v>-0.1899999999999995</v>
      </c>
      <c r="BN63" s="1">
        <f t="shared" si="29"/>
        <v>-1.6099999999999994</v>
      </c>
    </row>
    <row r="64" spans="1:66" x14ac:dyDescent="0.2">
      <c r="A64" s="4">
        <f t="shared" si="30"/>
        <v>43524</v>
      </c>
      <c r="B64" s="1">
        <v>59</v>
      </c>
      <c r="C64" s="1">
        <v>12</v>
      </c>
      <c r="D64" s="5">
        <v>13.03</v>
      </c>
      <c r="E64" s="5">
        <v>-8.9600000000000009</v>
      </c>
      <c r="F64" s="5">
        <v>-10.88</v>
      </c>
      <c r="G64" s="5">
        <v>-10.09</v>
      </c>
      <c r="H64" s="5">
        <v>87.8</v>
      </c>
      <c r="I64" s="5">
        <v>-0.17899999999999999</v>
      </c>
      <c r="J64" s="5">
        <v>-1.468</v>
      </c>
      <c r="K64" s="5">
        <v>-0.13900000000000001</v>
      </c>
      <c r="L64" s="5">
        <v>0.17499999999999999</v>
      </c>
      <c r="M64" s="5">
        <v>0.81</v>
      </c>
      <c r="N64" s="5">
        <v>-8.82</v>
      </c>
      <c r="O64" s="5">
        <v>89.3</v>
      </c>
      <c r="P64" s="5">
        <v>-0.10299999999999999</v>
      </c>
      <c r="Q64" s="5">
        <v>-1.38</v>
      </c>
      <c r="R64" s="5">
        <v>-5.6000000000000001E-2</v>
      </c>
      <c r="S64" s="5">
        <v>0.252</v>
      </c>
      <c r="T64" s="5">
        <v>0.89600000000000002</v>
      </c>
      <c r="U64" s="5">
        <v>-11.15</v>
      </c>
      <c r="V64" s="5">
        <v>86.3</v>
      </c>
      <c r="W64" s="5">
        <v>-0.25600000000000001</v>
      </c>
      <c r="X64" s="5">
        <v>-1.5549999999999999</v>
      </c>
      <c r="Y64" s="5">
        <v>-0.21199999999999999</v>
      </c>
      <c r="Z64" s="5">
        <v>9.9000000000000005E-2</v>
      </c>
      <c r="AA64" s="5">
        <v>0.71599999999999997</v>
      </c>
      <c r="AB64" s="5">
        <v>1.2569999999999999</v>
      </c>
      <c r="AC64" s="5">
        <v>-10.43</v>
      </c>
      <c r="AD64" s="5">
        <v>-9.3000000000000007</v>
      </c>
      <c r="AE64" s="5">
        <v>-11.97</v>
      </c>
      <c r="AF64" s="5">
        <v>-9.1999999999999993</v>
      </c>
      <c r="AG64" s="5">
        <v>-11.35</v>
      </c>
      <c r="AH64" s="5">
        <v>1.2829999999999999</v>
      </c>
      <c r="AI64" s="5" t="s">
        <v>99</v>
      </c>
      <c r="AK64" s="5">
        <f t="shared" si="0"/>
        <v>1.018</v>
      </c>
      <c r="AL64" s="8">
        <f t="shared" si="1"/>
        <v>-0.8</v>
      </c>
      <c r="AN64" s="1">
        <f t="shared" si="13"/>
        <v>89.3</v>
      </c>
      <c r="AO64" s="1">
        <f t="shared" si="14"/>
        <v>87.8</v>
      </c>
      <c r="AP64" s="1">
        <f t="shared" si="15"/>
        <v>86.3</v>
      </c>
      <c r="AQ64" s="17">
        <f t="shared" si="2"/>
        <v>0.27</v>
      </c>
      <c r="AR64" s="22">
        <f t="shared" si="16"/>
        <v>4.2999999999999997E-2</v>
      </c>
      <c r="AT64" s="19">
        <f t="shared" si="3"/>
        <v>43524</v>
      </c>
      <c r="AU64" s="20">
        <f t="shared" si="4"/>
        <v>59</v>
      </c>
      <c r="AV64" s="1">
        <f t="shared" si="17"/>
        <v>-10.1</v>
      </c>
      <c r="AW64" s="1">
        <f t="shared" si="18"/>
        <v>-8.8000000000000007</v>
      </c>
      <c r="AX64" s="1">
        <f t="shared" si="19"/>
        <v>-11.2</v>
      </c>
      <c r="AY64" s="1">
        <f t="shared" si="8"/>
        <v>87.8</v>
      </c>
      <c r="AZ64" s="1">
        <f t="shared" si="9"/>
        <v>86.3</v>
      </c>
      <c r="BA64" s="1">
        <f t="shared" si="20"/>
        <v>1.018</v>
      </c>
      <c r="BB64" s="5">
        <f t="shared" si="21"/>
        <v>-0.8</v>
      </c>
      <c r="BC64" s="1">
        <f t="shared" si="10"/>
        <v>-10.4</v>
      </c>
      <c r="BD64" s="1">
        <f t="shared" si="11"/>
        <v>-9.3000000000000007</v>
      </c>
      <c r="BE64" s="1">
        <f t="shared" si="12"/>
        <v>-12</v>
      </c>
      <c r="BF64" s="5">
        <f t="shared" si="22"/>
        <v>-0.1</v>
      </c>
      <c r="BG64" s="5">
        <f t="shared" si="23"/>
        <v>0.2</v>
      </c>
      <c r="BH64" s="5">
        <f t="shared" si="24"/>
        <v>0.8</v>
      </c>
      <c r="BI64" s="5" t="str">
        <f t="shared" si="25"/>
        <v>NAN</v>
      </c>
      <c r="BJ64" s="10">
        <f t="shared" si="26"/>
        <v>0.27</v>
      </c>
      <c r="BK64" s="10">
        <f t="shared" si="27"/>
        <v>4.2999999999999997E-2</v>
      </c>
      <c r="BM64" s="1">
        <f t="shared" si="28"/>
        <v>-0.48000000000000043</v>
      </c>
      <c r="BN64" s="1">
        <f t="shared" si="29"/>
        <v>-0.82000000000000028</v>
      </c>
    </row>
    <row r="65" spans="1:66" x14ac:dyDescent="0.2">
      <c r="A65" s="4">
        <f t="shared" si="30"/>
        <v>43525</v>
      </c>
      <c r="B65" s="1">
        <v>60</v>
      </c>
      <c r="C65" s="1">
        <v>12</v>
      </c>
      <c r="D65" s="5">
        <v>13.1</v>
      </c>
      <c r="E65" s="5">
        <v>-6.6879999999999997</v>
      </c>
      <c r="F65" s="5">
        <v>-11.58</v>
      </c>
      <c r="G65" s="5">
        <v>-10.64</v>
      </c>
      <c r="H65" s="5">
        <v>86.9</v>
      </c>
      <c r="I65" s="5">
        <v>-0.191</v>
      </c>
      <c r="J65" s="5">
        <v>-1.4770000000000001</v>
      </c>
      <c r="K65" s="5">
        <v>-0.152</v>
      </c>
      <c r="L65" s="5">
        <v>0.16300000000000001</v>
      </c>
      <c r="M65" s="5">
        <v>0.79500000000000004</v>
      </c>
      <c r="N65" s="5">
        <v>-7.9459999999999997</v>
      </c>
      <c r="O65" s="5">
        <v>88.3</v>
      </c>
      <c r="P65" s="5">
        <v>-0.107</v>
      </c>
      <c r="Q65" s="5">
        <v>-1.3759999999999999</v>
      </c>
      <c r="R65" s="5">
        <v>-6.3E-2</v>
      </c>
      <c r="S65" s="5">
        <v>0.247</v>
      </c>
      <c r="T65" s="5">
        <v>0.88600000000000001</v>
      </c>
      <c r="U65" s="5">
        <v>-12.5</v>
      </c>
      <c r="V65" s="5">
        <v>83.2</v>
      </c>
      <c r="W65" s="5">
        <v>-0.29799999999999999</v>
      </c>
      <c r="X65" s="5">
        <v>-1.5720000000000001</v>
      </c>
      <c r="Y65" s="5">
        <v>-0.24199999999999999</v>
      </c>
      <c r="Z65" s="5">
        <v>8.1000000000000003E-2</v>
      </c>
      <c r="AA65" s="5">
        <v>0.69299999999999995</v>
      </c>
      <c r="AB65" s="5">
        <v>1.2749999999999999</v>
      </c>
      <c r="AC65" s="5">
        <v>-11.05</v>
      </c>
      <c r="AD65" s="5">
        <v>-6.1390000000000002</v>
      </c>
      <c r="AE65" s="5">
        <v>-12.86</v>
      </c>
      <c r="AF65" s="5">
        <v>-6.8520000000000003</v>
      </c>
      <c r="AG65" s="5">
        <v>-12.68</v>
      </c>
      <c r="AH65" s="5">
        <v>1.3049999999999999</v>
      </c>
      <c r="AI65" s="5" t="s">
        <v>99</v>
      </c>
      <c r="AK65" s="5">
        <f t="shared" si="0"/>
        <v>1</v>
      </c>
      <c r="AL65" s="8">
        <f t="shared" si="1"/>
        <v>-0.8</v>
      </c>
      <c r="AN65" s="1">
        <f t="shared" si="13"/>
        <v>88.3</v>
      </c>
      <c r="AO65" s="1">
        <f t="shared" si="14"/>
        <v>86.9</v>
      </c>
      <c r="AP65" s="1">
        <f t="shared" si="15"/>
        <v>83.2</v>
      </c>
      <c r="AQ65" s="17">
        <f t="shared" si="2"/>
        <v>0.27900000000000003</v>
      </c>
      <c r="AR65" s="22">
        <f t="shared" si="16"/>
        <v>5.6000000000000001E-2</v>
      </c>
      <c r="AT65" s="19">
        <f t="shared" si="3"/>
        <v>43525</v>
      </c>
      <c r="AU65" s="20">
        <f t="shared" si="4"/>
        <v>60</v>
      </c>
      <c r="AV65" s="1">
        <f t="shared" si="17"/>
        <v>-10.6</v>
      </c>
      <c r="AW65" s="1">
        <f t="shared" si="18"/>
        <v>-7.9</v>
      </c>
      <c r="AX65" s="1">
        <f t="shared" si="19"/>
        <v>-12.5</v>
      </c>
      <c r="AY65" s="1">
        <f t="shared" si="8"/>
        <v>86.9</v>
      </c>
      <c r="AZ65" s="1">
        <f t="shared" si="9"/>
        <v>83.2</v>
      </c>
      <c r="BA65" s="1">
        <f t="shared" si="20"/>
        <v>1</v>
      </c>
      <c r="BB65" s="5">
        <f t="shared" si="21"/>
        <v>-0.8</v>
      </c>
      <c r="BC65" s="1">
        <f t="shared" si="10"/>
        <v>-11.1</v>
      </c>
      <c r="BD65" s="1">
        <f t="shared" si="11"/>
        <v>-6.1</v>
      </c>
      <c r="BE65" s="1">
        <f t="shared" si="12"/>
        <v>-12.9</v>
      </c>
      <c r="BF65" s="5">
        <f t="shared" si="22"/>
        <v>-0.2</v>
      </c>
      <c r="BG65" s="5">
        <f t="shared" si="23"/>
        <v>0.2</v>
      </c>
      <c r="BH65" s="5">
        <f t="shared" si="24"/>
        <v>0.8</v>
      </c>
      <c r="BI65" s="5" t="str">
        <f t="shared" si="25"/>
        <v>NAN</v>
      </c>
      <c r="BJ65" s="10">
        <f t="shared" si="26"/>
        <v>0.27900000000000003</v>
      </c>
      <c r="BK65" s="10">
        <f t="shared" si="27"/>
        <v>5.6000000000000001E-2</v>
      </c>
      <c r="BM65" s="1">
        <f t="shared" si="28"/>
        <v>1.8069999999999995</v>
      </c>
      <c r="BN65" s="1">
        <f t="shared" si="29"/>
        <v>-0.35999999999999943</v>
      </c>
    </row>
    <row r="66" spans="1:66" x14ac:dyDescent="0.2">
      <c r="A66" s="4">
        <f t="shared" si="30"/>
        <v>43526</v>
      </c>
      <c r="B66" s="1">
        <v>61</v>
      </c>
      <c r="C66" s="1">
        <v>12</v>
      </c>
      <c r="D66" s="5">
        <v>13.08</v>
      </c>
      <c r="E66" s="5">
        <v>-11.51</v>
      </c>
      <c r="F66" s="5">
        <v>-17.059999999999999</v>
      </c>
      <c r="G66" s="5">
        <v>-14.57</v>
      </c>
      <c r="H66" s="5">
        <v>82.5</v>
      </c>
      <c r="I66" s="5">
        <v>-0.20899999999999999</v>
      </c>
      <c r="J66" s="5">
        <v>-1.4530000000000001</v>
      </c>
      <c r="K66" s="5">
        <v>-0.17699999999999999</v>
      </c>
      <c r="L66" s="5">
        <v>0.13600000000000001</v>
      </c>
      <c r="M66" s="5">
        <v>0.77</v>
      </c>
      <c r="N66" s="5">
        <v>-11.72</v>
      </c>
      <c r="O66" s="5">
        <v>86.3</v>
      </c>
      <c r="P66" s="5">
        <v>-0.122</v>
      </c>
      <c r="Q66" s="5">
        <v>-1.365</v>
      </c>
      <c r="R66" s="5">
        <v>-0.111</v>
      </c>
      <c r="S66" s="5">
        <v>0.21</v>
      </c>
      <c r="T66" s="5">
        <v>0.84899999999999998</v>
      </c>
      <c r="U66" s="5">
        <v>-17.829999999999998</v>
      </c>
      <c r="V66" s="5">
        <v>79.56</v>
      </c>
      <c r="W66" s="5">
        <v>-0.29199999999999998</v>
      </c>
      <c r="X66" s="5">
        <v>-1.5449999999999999</v>
      </c>
      <c r="Y66" s="5">
        <v>-0.26100000000000001</v>
      </c>
      <c r="Z66" s="5">
        <v>5.7000000000000002E-2</v>
      </c>
      <c r="AA66" s="5">
        <v>0.68</v>
      </c>
      <c r="AB66" s="5">
        <v>1.2989999999999999</v>
      </c>
      <c r="AC66" s="5">
        <v>-15.86</v>
      </c>
      <c r="AD66" s="5">
        <v>-12.22</v>
      </c>
      <c r="AE66" s="5">
        <v>-19.329999999999998</v>
      </c>
      <c r="AF66" s="5">
        <v>-11.51</v>
      </c>
      <c r="AG66" s="5">
        <v>-18.22</v>
      </c>
      <c r="AH66" s="5">
        <v>1.343</v>
      </c>
      <c r="AI66" s="5" t="s">
        <v>99</v>
      </c>
      <c r="AK66" s="5">
        <f t="shared" si="0"/>
        <v>0.97599999999999998</v>
      </c>
      <c r="AL66" s="8">
        <f t="shared" si="1"/>
        <v>-0.8</v>
      </c>
      <c r="AN66" s="1">
        <f t="shared" si="13"/>
        <v>86.3</v>
      </c>
      <c r="AO66" s="1">
        <f t="shared" si="14"/>
        <v>82.5</v>
      </c>
      <c r="AP66" s="1">
        <f t="shared" si="15"/>
        <v>79.599999999999994</v>
      </c>
      <c r="AQ66" s="17">
        <f t="shared" si="2"/>
        <v>0.19800000000000001</v>
      </c>
      <c r="AR66" s="22">
        <f t="shared" si="16"/>
        <v>5.0999999999999997E-2</v>
      </c>
      <c r="AT66" s="19">
        <f t="shared" si="3"/>
        <v>43526</v>
      </c>
      <c r="AU66" s="20">
        <f t="shared" si="4"/>
        <v>61</v>
      </c>
      <c r="AV66" s="1">
        <f t="shared" si="17"/>
        <v>-14.6</v>
      </c>
      <c r="AW66" s="1">
        <f t="shared" si="18"/>
        <v>-11.7</v>
      </c>
      <c r="AX66" s="1">
        <f t="shared" si="19"/>
        <v>-17.8</v>
      </c>
      <c r="AY66" s="1">
        <f t="shared" si="8"/>
        <v>82.5</v>
      </c>
      <c r="AZ66" s="1">
        <f t="shared" si="9"/>
        <v>79.599999999999994</v>
      </c>
      <c r="BA66" s="1">
        <f t="shared" si="20"/>
        <v>0.97599999999999998</v>
      </c>
      <c r="BB66" s="5">
        <f t="shared" si="21"/>
        <v>-0.8</v>
      </c>
      <c r="BC66" s="1">
        <f t="shared" si="10"/>
        <v>-15.9</v>
      </c>
      <c r="BD66" s="1">
        <f t="shared" si="11"/>
        <v>-12.2</v>
      </c>
      <c r="BE66" s="1">
        <f t="shared" si="12"/>
        <v>-19.3</v>
      </c>
      <c r="BF66" s="5">
        <f t="shared" si="22"/>
        <v>-0.2</v>
      </c>
      <c r="BG66" s="5">
        <f t="shared" si="23"/>
        <v>0.1</v>
      </c>
      <c r="BH66" s="5">
        <f t="shared" si="24"/>
        <v>0.8</v>
      </c>
      <c r="BI66" s="5" t="str">
        <f t="shared" si="25"/>
        <v>NAN</v>
      </c>
      <c r="BJ66" s="10">
        <f t="shared" si="26"/>
        <v>0.19800000000000001</v>
      </c>
      <c r="BK66" s="10">
        <f t="shared" si="27"/>
        <v>5.0999999999999997E-2</v>
      </c>
      <c r="BM66" s="1">
        <f t="shared" si="28"/>
        <v>-0.5</v>
      </c>
      <c r="BN66" s="1">
        <f t="shared" si="29"/>
        <v>-1.5</v>
      </c>
    </row>
    <row r="67" spans="1:66" x14ac:dyDescent="0.2">
      <c r="A67" s="4">
        <f t="shared" si="30"/>
        <v>43527</v>
      </c>
      <c r="B67" s="1">
        <v>62</v>
      </c>
      <c r="C67" s="1">
        <v>12</v>
      </c>
      <c r="D67" s="5">
        <v>13.13</v>
      </c>
      <c r="E67" s="5">
        <v>-8.24</v>
      </c>
      <c r="F67" s="5">
        <v>-19.329999999999998</v>
      </c>
      <c r="G67" s="5">
        <v>-16.13</v>
      </c>
      <c r="H67" s="5">
        <v>78.37</v>
      </c>
      <c r="I67" s="5">
        <v>-0.218</v>
      </c>
      <c r="J67" s="5">
        <v>-1.4470000000000001</v>
      </c>
      <c r="K67" s="5">
        <v>-0.19</v>
      </c>
      <c r="L67" s="5">
        <v>0.12</v>
      </c>
      <c r="M67" s="5">
        <v>0.75</v>
      </c>
      <c r="N67" s="5">
        <v>-10.53</v>
      </c>
      <c r="O67" s="5">
        <v>82.7</v>
      </c>
      <c r="P67" s="5">
        <v>-0.1</v>
      </c>
      <c r="Q67" s="5">
        <v>-1.335</v>
      </c>
      <c r="R67" s="5">
        <v>-8.2000000000000003E-2</v>
      </c>
      <c r="S67" s="5">
        <v>0.217</v>
      </c>
      <c r="T67" s="5">
        <v>0.85299999999999998</v>
      </c>
      <c r="U67" s="5">
        <v>-19.489999999999998</v>
      </c>
      <c r="V67" s="5">
        <v>68.58</v>
      </c>
      <c r="W67" s="5">
        <v>-0.35299999999999998</v>
      </c>
      <c r="X67" s="5">
        <v>-1.5640000000000001</v>
      </c>
      <c r="Y67" s="5">
        <v>-0.29499999999999998</v>
      </c>
      <c r="Z67" s="5">
        <v>1.6E-2</v>
      </c>
      <c r="AA67" s="5">
        <v>0.624</v>
      </c>
      <c r="AB67" s="5">
        <v>1.2849999999999999</v>
      </c>
      <c r="AC67" s="5">
        <v>-17.760000000000002</v>
      </c>
      <c r="AD67" s="5">
        <v>-7.0350000000000001</v>
      </c>
      <c r="AE67" s="5">
        <v>-21.04</v>
      </c>
      <c r="AF67" s="5">
        <v>-7.5110000000000001</v>
      </c>
      <c r="AG67" s="5">
        <v>-19.89</v>
      </c>
      <c r="AH67" s="5">
        <v>1.331</v>
      </c>
      <c r="AI67" s="5" t="s">
        <v>99</v>
      </c>
      <c r="AK67" s="5">
        <f t="shared" si="0"/>
        <v>0.99</v>
      </c>
      <c r="AL67" s="8">
        <f t="shared" si="1"/>
        <v>-0.8</v>
      </c>
      <c r="AN67" s="1">
        <f t="shared" si="13"/>
        <v>82.7</v>
      </c>
      <c r="AO67" s="1">
        <f t="shared" si="14"/>
        <v>78.400000000000006</v>
      </c>
      <c r="AP67" s="1">
        <f t="shared" si="15"/>
        <v>68.599999999999994</v>
      </c>
      <c r="AQ67" s="17">
        <f t="shared" si="2"/>
        <v>0.188</v>
      </c>
      <c r="AR67" s="22">
        <f t="shared" si="16"/>
        <v>8.5999999999999993E-2</v>
      </c>
      <c r="AT67" s="19">
        <f t="shared" si="3"/>
        <v>43527</v>
      </c>
      <c r="AU67" s="20">
        <f t="shared" si="4"/>
        <v>62</v>
      </c>
      <c r="AV67" s="1">
        <f t="shared" si="17"/>
        <v>-16.100000000000001</v>
      </c>
      <c r="AW67" s="1">
        <f t="shared" si="18"/>
        <v>-10.5</v>
      </c>
      <c r="AX67" s="1">
        <f t="shared" si="19"/>
        <v>-19.5</v>
      </c>
      <c r="AY67" s="1">
        <f t="shared" si="8"/>
        <v>78.400000000000006</v>
      </c>
      <c r="AZ67" s="1">
        <f t="shared" si="9"/>
        <v>68.599999999999994</v>
      </c>
      <c r="BA67" s="1">
        <f t="shared" si="20"/>
        <v>0.99</v>
      </c>
      <c r="BB67" s="5">
        <f t="shared" si="21"/>
        <v>-0.8</v>
      </c>
      <c r="BC67" s="1">
        <f t="shared" si="10"/>
        <v>-17.8</v>
      </c>
      <c r="BD67" s="1">
        <f t="shared" si="11"/>
        <v>-7</v>
      </c>
      <c r="BE67" s="1">
        <f t="shared" si="12"/>
        <v>-21</v>
      </c>
      <c r="BF67" s="5">
        <f t="shared" si="22"/>
        <v>-0.2</v>
      </c>
      <c r="BG67" s="5">
        <f t="shared" si="23"/>
        <v>0.1</v>
      </c>
      <c r="BH67" s="5">
        <f t="shared" si="24"/>
        <v>0.8</v>
      </c>
      <c r="BI67" s="5" t="str">
        <f t="shared" si="25"/>
        <v>NAN</v>
      </c>
      <c r="BJ67" s="10">
        <f t="shared" si="26"/>
        <v>0.188</v>
      </c>
      <c r="BK67" s="10">
        <f t="shared" si="27"/>
        <v>8.5999999999999993E-2</v>
      </c>
      <c r="BM67" s="1">
        <f t="shared" si="28"/>
        <v>3.4949999999999992</v>
      </c>
      <c r="BN67" s="1">
        <f t="shared" si="29"/>
        <v>-1.5500000000000007</v>
      </c>
    </row>
    <row r="68" spans="1:66" x14ac:dyDescent="0.2">
      <c r="A68" s="4">
        <f t="shared" si="30"/>
        <v>43528</v>
      </c>
      <c r="B68" s="1">
        <v>63</v>
      </c>
      <c r="C68" s="1">
        <v>12</v>
      </c>
      <c r="D68" s="5">
        <v>13.14</v>
      </c>
      <c r="E68" s="5">
        <v>-5.9850000000000003</v>
      </c>
      <c r="F68" s="5">
        <v>-19.690000000000001</v>
      </c>
      <c r="G68" s="5">
        <v>-14.87</v>
      </c>
      <c r="H68" s="5">
        <v>74.66</v>
      </c>
      <c r="I68" s="5">
        <v>-0.222</v>
      </c>
      <c r="J68" s="5">
        <v>-1.5129999999999999</v>
      </c>
      <c r="K68" s="5">
        <v>-0.188</v>
      </c>
      <c r="L68" s="5">
        <v>0.121</v>
      </c>
      <c r="M68" s="5">
        <v>0.749</v>
      </c>
      <c r="N68" s="5">
        <v>-8.89</v>
      </c>
      <c r="O68" s="5">
        <v>81.8</v>
      </c>
      <c r="P68" s="5">
        <v>-9.7000000000000003E-2</v>
      </c>
      <c r="Q68" s="5">
        <v>-1.405</v>
      </c>
      <c r="R68" s="5">
        <v>-7.0999999999999994E-2</v>
      </c>
      <c r="S68" s="5">
        <v>0.23899999999999999</v>
      </c>
      <c r="T68" s="5">
        <v>0.86399999999999999</v>
      </c>
      <c r="U68" s="5">
        <v>-19.690000000000001</v>
      </c>
      <c r="V68" s="5">
        <v>56.15</v>
      </c>
      <c r="W68" s="5">
        <v>-0.36399999999999999</v>
      </c>
      <c r="X68" s="5">
        <v>-1.6519999999999999</v>
      </c>
      <c r="Y68" s="5">
        <v>-0.29499999999999998</v>
      </c>
      <c r="Z68" s="5">
        <v>4.0000000000000001E-3</v>
      </c>
      <c r="AA68" s="5">
        <v>0.60499999999999998</v>
      </c>
      <c r="AB68" s="5">
        <v>1.3029999999999999</v>
      </c>
      <c r="AC68" s="5">
        <v>-16.739999999999998</v>
      </c>
      <c r="AD68" s="5">
        <v>-5.484</v>
      </c>
      <c r="AE68" s="5">
        <v>-21.31</v>
      </c>
      <c r="AF68" s="5">
        <v>-4.4029999999999996</v>
      </c>
      <c r="AG68" s="5">
        <v>-20.04</v>
      </c>
      <c r="AH68" s="5">
        <v>1.339</v>
      </c>
      <c r="AI68" s="5" t="s">
        <v>99</v>
      </c>
      <c r="AK68" s="5">
        <f t="shared" si="0"/>
        <v>0.97199999999999998</v>
      </c>
      <c r="AL68" s="8">
        <f t="shared" si="1"/>
        <v>-0.9</v>
      </c>
      <c r="AN68" s="1">
        <f t="shared" si="13"/>
        <v>81.8</v>
      </c>
      <c r="AO68" s="1">
        <f t="shared" si="14"/>
        <v>74.7</v>
      </c>
      <c r="AP68" s="1">
        <f t="shared" si="15"/>
        <v>56.2</v>
      </c>
      <c r="AQ68" s="17">
        <f t="shared" si="2"/>
        <v>0.17499999999999999</v>
      </c>
      <c r="AR68" s="22">
        <f t="shared" si="16"/>
        <v>0.13600000000000001</v>
      </c>
      <c r="AT68" s="19">
        <f t="shared" si="3"/>
        <v>43528</v>
      </c>
      <c r="AU68" s="20">
        <f t="shared" si="4"/>
        <v>63</v>
      </c>
      <c r="AV68" s="1">
        <f t="shared" si="17"/>
        <v>-14.9</v>
      </c>
      <c r="AW68" s="1">
        <f t="shared" si="18"/>
        <v>-8.9</v>
      </c>
      <c r="AX68" s="1">
        <f t="shared" si="19"/>
        <v>-19.7</v>
      </c>
      <c r="AY68" s="1">
        <f t="shared" si="8"/>
        <v>74.7</v>
      </c>
      <c r="AZ68" s="1">
        <f t="shared" si="9"/>
        <v>56.2</v>
      </c>
      <c r="BA68" s="1">
        <f t="shared" si="20"/>
        <v>0.97199999999999998</v>
      </c>
      <c r="BB68" s="5">
        <f t="shared" si="21"/>
        <v>-0.9</v>
      </c>
      <c r="BC68" s="1">
        <f t="shared" si="10"/>
        <v>-16.7</v>
      </c>
      <c r="BD68" s="1">
        <f t="shared" si="11"/>
        <v>-5.5</v>
      </c>
      <c r="BE68" s="1">
        <f t="shared" si="12"/>
        <v>-21.3</v>
      </c>
      <c r="BF68" s="5">
        <f t="shared" si="22"/>
        <v>-0.2</v>
      </c>
      <c r="BG68" s="5">
        <f t="shared" si="23"/>
        <v>0.1</v>
      </c>
      <c r="BH68" s="5">
        <f t="shared" si="24"/>
        <v>0.7</v>
      </c>
      <c r="BI68" s="5" t="str">
        <f t="shared" si="25"/>
        <v>NAN</v>
      </c>
      <c r="BJ68" s="10">
        <f t="shared" si="26"/>
        <v>0.17499999999999999</v>
      </c>
      <c r="BK68" s="10">
        <f t="shared" si="27"/>
        <v>0.13600000000000001</v>
      </c>
      <c r="BM68" s="1">
        <f t="shared" si="28"/>
        <v>3.4060000000000006</v>
      </c>
      <c r="BN68" s="1">
        <f t="shared" si="29"/>
        <v>-1.6199999999999974</v>
      </c>
    </row>
    <row r="69" spans="1:66" x14ac:dyDescent="0.2">
      <c r="A69" s="4">
        <f t="shared" si="30"/>
        <v>43529</v>
      </c>
      <c r="B69" s="1">
        <v>64</v>
      </c>
      <c r="C69" s="1">
        <v>12</v>
      </c>
      <c r="D69" s="5">
        <v>13.1</v>
      </c>
      <c r="E69" s="5">
        <v>-5.766</v>
      </c>
      <c r="F69" s="5">
        <v>-15.32</v>
      </c>
      <c r="G69" s="5">
        <v>-10.25</v>
      </c>
      <c r="H69" s="5">
        <v>77.02</v>
      </c>
      <c r="I69" s="5">
        <v>-0.20599999999999999</v>
      </c>
      <c r="J69" s="5">
        <v>-1.605</v>
      </c>
      <c r="K69" s="5">
        <v>-0.16</v>
      </c>
      <c r="L69" s="5">
        <v>0.14899999999999999</v>
      </c>
      <c r="M69" s="5">
        <v>0.77400000000000002</v>
      </c>
      <c r="N69" s="5">
        <v>-6.2549999999999999</v>
      </c>
      <c r="O69" s="5">
        <v>90</v>
      </c>
      <c r="P69" s="5">
        <v>-9.8000000000000004E-2</v>
      </c>
      <c r="Q69" s="5">
        <v>-1.5049999999999999</v>
      </c>
      <c r="R69" s="5">
        <v>-5.6000000000000001E-2</v>
      </c>
      <c r="S69" s="5">
        <v>0.249</v>
      </c>
      <c r="T69" s="5">
        <v>0.88</v>
      </c>
      <c r="U69" s="5">
        <v>-15.3</v>
      </c>
      <c r="V69" s="5">
        <v>61.32</v>
      </c>
      <c r="W69" s="5">
        <v>-0.308</v>
      </c>
      <c r="X69" s="5">
        <v>-1.7090000000000001</v>
      </c>
      <c r="Y69" s="5">
        <v>-0.25800000000000001</v>
      </c>
      <c r="Z69" s="5">
        <v>5.8000000000000003E-2</v>
      </c>
      <c r="AA69" s="5">
        <v>0.65300000000000002</v>
      </c>
      <c r="AB69" s="5">
        <v>1.3129999999999999</v>
      </c>
      <c r="AC69" s="5">
        <v>-11.27</v>
      </c>
      <c r="AD69" s="5">
        <v>-6.4189999999999996</v>
      </c>
      <c r="AE69" s="5">
        <v>-17.63</v>
      </c>
      <c r="AF69" s="5">
        <v>-5.3639999999999999</v>
      </c>
      <c r="AG69" s="5">
        <v>-15.74</v>
      </c>
      <c r="AH69" s="5">
        <v>1.3340000000000001</v>
      </c>
      <c r="AI69" s="5" t="s">
        <v>99</v>
      </c>
      <c r="AK69" s="5">
        <f t="shared" si="0"/>
        <v>0.96199999999999997</v>
      </c>
      <c r="AL69" s="8">
        <f t="shared" si="1"/>
        <v>-0.9</v>
      </c>
      <c r="AN69" s="1">
        <f t="shared" si="13"/>
        <v>90</v>
      </c>
      <c r="AO69" s="1">
        <f t="shared" si="14"/>
        <v>77</v>
      </c>
      <c r="AP69" s="1">
        <f t="shared" si="15"/>
        <v>61.3</v>
      </c>
      <c r="AQ69" s="17">
        <f t="shared" ref="AQ69:AQ117" si="57">ROUND((0.6105*(EXP((17.273*N69)/(N69+237.3))))*AP69/100,3)</f>
        <v>0.23400000000000001</v>
      </c>
      <c r="AR69" s="22">
        <f t="shared" si="16"/>
        <v>0.14799999999999999</v>
      </c>
      <c r="AT69" s="19">
        <f t="shared" si="3"/>
        <v>43529</v>
      </c>
      <c r="AU69" s="20">
        <f t="shared" si="4"/>
        <v>64</v>
      </c>
      <c r="AV69" s="1">
        <f t="shared" si="17"/>
        <v>-10.3</v>
      </c>
      <c r="AW69" s="1">
        <f t="shared" si="18"/>
        <v>-6.3</v>
      </c>
      <c r="AX69" s="1">
        <f t="shared" si="19"/>
        <v>-15.3</v>
      </c>
      <c r="AY69" s="1">
        <f t="shared" ref="AY69:AY132" si="58">AO69</f>
        <v>77</v>
      </c>
      <c r="AZ69" s="1">
        <f t="shared" ref="AZ69:AZ132" si="59">AP69</f>
        <v>61.3</v>
      </c>
      <c r="BA69" s="1">
        <f t="shared" si="20"/>
        <v>0.96199999999999997</v>
      </c>
      <c r="BB69" s="5">
        <f t="shared" si="21"/>
        <v>-0.9</v>
      </c>
      <c r="BC69" s="1">
        <f t="shared" si="10"/>
        <v>-11.3</v>
      </c>
      <c r="BD69" s="1">
        <f t="shared" si="11"/>
        <v>-6.4</v>
      </c>
      <c r="BE69" s="1">
        <f t="shared" si="12"/>
        <v>-17.600000000000001</v>
      </c>
      <c r="BF69" s="5">
        <f t="shared" si="22"/>
        <v>-0.2</v>
      </c>
      <c r="BG69" s="5">
        <f t="shared" si="23"/>
        <v>0.1</v>
      </c>
      <c r="BH69" s="5">
        <f t="shared" si="24"/>
        <v>0.8</v>
      </c>
      <c r="BI69" s="5" t="str">
        <f t="shared" si="25"/>
        <v>NAN</v>
      </c>
      <c r="BJ69" s="10">
        <f t="shared" si="26"/>
        <v>0.23400000000000001</v>
      </c>
      <c r="BK69" s="10">
        <f t="shared" si="27"/>
        <v>0.14799999999999999</v>
      </c>
      <c r="BM69" s="1">
        <f t="shared" si="28"/>
        <v>-0.1639999999999997</v>
      </c>
      <c r="BN69" s="1">
        <f t="shared" si="29"/>
        <v>-2.3299999999999983</v>
      </c>
    </row>
    <row r="70" spans="1:66" x14ac:dyDescent="0.2">
      <c r="A70" s="4">
        <f t="shared" si="30"/>
        <v>43530</v>
      </c>
      <c r="B70" s="1">
        <v>65</v>
      </c>
      <c r="C70" s="1">
        <v>12</v>
      </c>
      <c r="D70" s="5">
        <v>13.04</v>
      </c>
      <c r="E70" s="5">
        <v>-5.569</v>
      </c>
      <c r="F70" s="5">
        <v>-8.42</v>
      </c>
      <c r="G70" s="5">
        <v>-7.0860000000000003</v>
      </c>
      <c r="H70" s="5">
        <v>90.8</v>
      </c>
      <c r="I70" s="5">
        <v>-0.191</v>
      </c>
      <c r="J70" s="5">
        <v>-1.66</v>
      </c>
      <c r="K70" s="5">
        <v>-0.14499999999999999</v>
      </c>
      <c r="L70" s="5">
        <v>0.16900000000000001</v>
      </c>
      <c r="M70" s="5">
        <v>0.79300000000000004</v>
      </c>
      <c r="N70" s="5">
        <v>-5.883</v>
      </c>
      <c r="O70" s="5">
        <v>91.8</v>
      </c>
      <c r="P70" s="5">
        <v>-9.5000000000000001E-2</v>
      </c>
      <c r="Q70" s="5">
        <v>-1.5920000000000001</v>
      </c>
      <c r="R70" s="5">
        <v>-6.0999999999999999E-2</v>
      </c>
      <c r="S70" s="5">
        <v>0.26100000000000001</v>
      </c>
      <c r="T70" s="5">
        <v>0.88100000000000001</v>
      </c>
      <c r="U70" s="5">
        <v>-8.6199999999999992</v>
      </c>
      <c r="V70" s="5">
        <v>89.5</v>
      </c>
      <c r="W70" s="5">
        <v>-0.26600000000000001</v>
      </c>
      <c r="X70" s="5">
        <v>-1.744</v>
      </c>
      <c r="Y70" s="5">
        <v>-0.22600000000000001</v>
      </c>
      <c r="Z70" s="5">
        <v>8.3000000000000004E-2</v>
      </c>
      <c r="AA70" s="5">
        <v>0.71599999999999997</v>
      </c>
      <c r="AB70" s="5">
        <v>1.22</v>
      </c>
      <c r="AC70" s="5">
        <v>-7.399</v>
      </c>
      <c r="AD70" s="5">
        <v>-5.8019999999999996</v>
      </c>
      <c r="AE70" s="5">
        <v>-8.89</v>
      </c>
      <c r="AF70" s="5">
        <v>-5.6070000000000002</v>
      </c>
      <c r="AG70" s="5">
        <v>-8.73</v>
      </c>
      <c r="AH70" s="5">
        <v>1.234</v>
      </c>
      <c r="AI70" s="5" t="s">
        <v>99</v>
      </c>
      <c r="AK70" s="5">
        <f t="shared" ref="AK70:AK101" si="60">AK$1-AB70</f>
        <v>1.0549999999999999</v>
      </c>
      <c r="AL70" s="8">
        <f t="shared" ref="AL70:AL133" si="61">ROUND(AVERAGE(J70:K70),1)</f>
        <v>-0.9</v>
      </c>
      <c r="AN70" s="1">
        <f t="shared" si="13"/>
        <v>91.8</v>
      </c>
      <c r="AO70" s="1">
        <f t="shared" si="14"/>
        <v>90.8</v>
      </c>
      <c r="AP70" s="1">
        <f t="shared" si="15"/>
        <v>89.5</v>
      </c>
      <c r="AQ70" s="17">
        <f t="shared" si="57"/>
        <v>0.35199999999999998</v>
      </c>
      <c r="AR70" s="22">
        <f t="shared" si="16"/>
        <v>4.1000000000000002E-2</v>
      </c>
      <c r="AT70" s="19">
        <f t="shared" ref="AT70:AT133" si="62">A70</f>
        <v>43530</v>
      </c>
      <c r="AU70" s="20">
        <f t="shared" ref="AU70:AU133" si="63">B70</f>
        <v>65</v>
      </c>
      <c r="AV70" s="1">
        <f t="shared" si="17"/>
        <v>-7.1</v>
      </c>
      <c r="AW70" s="1">
        <f t="shared" si="18"/>
        <v>-5.9</v>
      </c>
      <c r="AX70" s="1">
        <f t="shared" si="19"/>
        <v>-8.6</v>
      </c>
      <c r="AY70" s="1">
        <f t="shared" si="58"/>
        <v>90.8</v>
      </c>
      <c r="AZ70" s="1">
        <f t="shared" si="59"/>
        <v>89.5</v>
      </c>
      <c r="BA70" s="1">
        <f t="shared" si="20"/>
        <v>1.0549999999999999</v>
      </c>
      <c r="BB70" s="5">
        <f t="shared" si="21"/>
        <v>-0.9</v>
      </c>
      <c r="BC70" s="1">
        <f t="shared" ref="BC70:BC133" si="64">ROUND(AC70,1)</f>
        <v>-7.4</v>
      </c>
      <c r="BD70" s="1">
        <f t="shared" ref="BD70:BD133" si="65">ROUND(AD70,1)</f>
        <v>-5.8</v>
      </c>
      <c r="BE70" s="1">
        <f t="shared" ref="BE70:BE133" si="66">ROUND(AE70,1)</f>
        <v>-8.9</v>
      </c>
      <c r="BF70" s="5">
        <f t="shared" si="22"/>
        <v>-0.1</v>
      </c>
      <c r="BG70" s="5">
        <f t="shared" si="23"/>
        <v>0.2</v>
      </c>
      <c r="BH70" s="5">
        <f t="shared" si="24"/>
        <v>0.8</v>
      </c>
      <c r="BI70" s="5" t="str">
        <f t="shared" si="25"/>
        <v>NAN</v>
      </c>
      <c r="BJ70" s="10">
        <f t="shared" si="26"/>
        <v>0.35199999999999998</v>
      </c>
      <c r="BK70" s="10">
        <f t="shared" si="27"/>
        <v>4.1000000000000002E-2</v>
      </c>
      <c r="BM70" s="1">
        <f t="shared" si="28"/>
        <v>8.1000000000000405E-2</v>
      </c>
      <c r="BN70" s="1">
        <f t="shared" si="29"/>
        <v>-0.27000000000000135</v>
      </c>
    </row>
    <row r="71" spans="1:66" x14ac:dyDescent="0.2">
      <c r="A71" s="4">
        <f t="shared" si="30"/>
        <v>43531</v>
      </c>
      <c r="B71" s="1">
        <v>66</v>
      </c>
      <c r="C71" s="1">
        <v>12</v>
      </c>
      <c r="D71" s="5">
        <v>13.1</v>
      </c>
      <c r="E71" s="5">
        <v>-5.2210000000000001</v>
      </c>
      <c r="F71" s="5">
        <v>-11.07</v>
      </c>
      <c r="G71" s="5">
        <v>-9.15</v>
      </c>
      <c r="H71" s="5">
        <v>86.7</v>
      </c>
      <c r="I71" s="5">
        <v>-0.19800000000000001</v>
      </c>
      <c r="J71" s="5">
        <v>-1.613</v>
      </c>
      <c r="K71" s="5">
        <v>-0.158</v>
      </c>
      <c r="L71" s="5">
        <v>0.156</v>
      </c>
      <c r="M71" s="5">
        <v>0.78100000000000003</v>
      </c>
      <c r="N71" s="5">
        <v>-6.0860000000000003</v>
      </c>
      <c r="O71" s="5">
        <v>93.1</v>
      </c>
      <c r="P71" s="5">
        <v>-0.11799999999999999</v>
      </c>
      <c r="Q71" s="5">
        <v>-1.5009999999999999</v>
      </c>
      <c r="R71" s="5">
        <v>-6.7000000000000004E-2</v>
      </c>
      <c r="S71" s="5">
        <v>0.23899999999999999</v>
      </c>
      <c r="T71" s="5">
        <v>0.87</v>
      </c>
      <c r="U71" s="5">
        <v>-11.96</v>
      </c>
      <c r="V71" s="5">
        <v>74.510000000000005</v>
      </c>
      <c r="W71" s="5">
        <v>-0.33400000000000002</v>
      </c>
      <c r="X71" s="5">
        <v>-1.748</v>
      </c>
      <c r="Y71" s="5">
        <v>-0.26</v>
      </c>
      <c r="Z71" s="5">
        <v>5.3999999999999999E-2</v>
      </c>
      <c r="AA71" s="5">
        <v>0.66700000000000004</v>
      </c>
      <c r="AB71" s="5">
        <v>1.1830000000000001</v>
      </c>
      <c r="AC71" s="5">
        <v>-9.5399999999999991</v>
      </c>
      <c r="AD71" s="5">
        <v>-5.3440000000000003</v>
      </c>
      <c r="AE71" s="5">
        <v>-13.91</v>
      </c>
      <c r="AF71" s="5">
        <v>-5.1660000000000004</v>
      </c>
      <c r="AG71" s="5">
        <v>-12.28</v>
      </c>
      <c r="AH71" s="5">
        <v>1.2090000000000001</v>
      </c>
      <c r="AI71" s="5" t="s">
        <v>99</v>
      </c>
      <c r="AK71" s="5">
        <f t="shared" si="60"/>
        <v>1.0919999999999999</v>
      </c>
      <c r="AL71" s="8">
        <f t="shared" si="61"/>
        <v>-0.9</v>
      </c>
      <c r="AN71" s="1">
        <f t="shared" ref="AN71:AN134" si="67">ROUND(O71*AO$1,1)</f>
        <v>93.1</v>
      </c>
      <c r="AO71" s="1">
        <f t="shared" ref="AO71:AO134" si="68">ROUND(H71*AO$1,1)</f>
        <v>86.7</v>
      </c>
      <c r="AP71" s="1">
        <f t="shared" ref="AP71:AP134" si="69">ROUND(V71*AO$1,1)</f>
        <v>74.5</v>
      </c>
      <c r="AQ71" s="17">
        <f t="shared" si="57"/>
        <v>0.28899999999999998</v>
      </c>
      <c r="AR71" s="22">
        <f t="shared" ref="AR71:AR134" si="70">ROUND(AQ71/AP71*(100-AP71),3)</f>
        <v>9.9000000000000005E-2</v>
      </c>
      <c r="AT71" s="19">
        <f t="shared" si="62"/>
        <v>43531</v>
      </c>
      <c r="AU71" s="20">
        <f t="shared" si="63"/>
        <v>66</v>
      </c>
      <c r="AV71" s="1">
        <f t="shared" ref="AV71:AV134" si="71">ROUND(G71,1)</f>
        <v>-9.1999999999999993</v>
      </c>
      <c r="AW71" s="1">
        <f t="shared" ref="AW71:AW134" si="72">ROUND(N71,1)</f>
        <v>-6.1</v>
      </c>
      <c r="AX71" s="1">
        <f t="shared" ref="AX71:AX134" si="73">ROUND(U71,1)</f>
        <v>-12</v>
      </c>
      <c r="AY71" s="1">
        <f t="shared" si="58"/>
        <v>86.7</v>
      </c>
      <c r="AZ71" s="1">
        <f t="shared" si="59"/>
        <v>74.5</v>
      </c>
      <c r="BA71" s="1">
        <f t="shared" ref="BA71:BA134" si="74">AK71</f>
        <v>1.0919999999999999</v>
      </c>
      <c r="BB71" s="5">
        <f t="shared" ref="BB71:BB134" si="75">IF(AL71="","NAN",AL71)</f>
        <v>-0.9</v>
      </c>
      <c r="BC71" s="1">
        <f t="shared" si="64"/>
        <v>-9.5</v>
      </c>
      <c r="BD71" s="1">
        <f t="shared" si="65"/>
        <v>-5.3</v>
      </c>
      <c r="BE71" s="1">
        <f t="shared" si="66"/>
        <v>-13.9</v>
      </c>
      <c r="BF71" s="5">
        <f t="shared" ref="BF71:BF134" si="76">ROUND(K71,1)</f>
        <v>-0.2</v>
      </c>
      <c r="BG71" s="5">
        <f t="shared" ref="BG71:BG134" si="77">ROUND(L71,1)</f>
        <v>0.2</v>
      </c>
      <c r="BH71" s="5">
        <f t="shared" ref="BH71:BH134" si="78">ROUND(M71,1)</f>
        <v>0.8</v>
      </c>
      <c r="BI71" s="5" t="str">
        <f t="shared" ref="BI71:BI134" si="79">IF(AI71="NAN","NAN",ROUND(AI71,3))</f>
        <v>NAN</v>
      </c>
      <c r="BJ71" s="10">
        <f t="shared" ref="BJ71:BJ134" si="80">AQ71</f>
        <v>0.28899999999999998</v>
      </c>
      <c r="BK71" s="10">
        <f t="shared" ref="BK71:BK134" si="81">AR71</f>
        <v>9.9000000000000005E-2</v>
      </c>
      <c r="BM71" s="1">
        <f t="shared" ref="BM71:BM134" si="82">AD71-N71</f>
        <v>0.74199999999999999</v>
      </c>
      <c r="BN71" s="1">
        <f t="shared" ref="BN71:BN134" si="83">AE71-U71</f>
        <v>-1.9499999999999993</v>
      </c>
    </row>
    <row r="72" spans="1:66" x14ac:dyDescent="0.2">
      <c r="A72" s="4">
        <f t="shared" ref="A72:A135" si="84">A71+1</f>
        <v>43532</v>
      </c>
      <c r="B72" s="1">
        <v>67</v>
      </c>
      <c r="C72" s="1">
        <v>12</v>
      </c>
      <c r="D72" s="5">
        <v>13.11</v>
      </c>
      <c r="E72" s="5">
        <v>-5.3730000000000002</v>
      </c>
      <c r="F72" s="5">
        <v>-14.05</v>
      </c>
      <c r="G72" s="5">
        <v>-11.26</v>
      </c>
      <c r="H72" s="5">
        <v>81.400000000000006</v>
      </c>
      <c r="I72" s="5">
        <v>-0.20599999999999999</v>
      </c>
      <c r="J72" s="5">
        <v>-1.504</v>
      </c>
      <c r="K72" s="5">
        <v>-0.17299999999999999</v>
      </c>
      <c r="L72" s="5">
        <v>0.13400000000000001</v>
      </c>
      <c r="M72" s="5">
        <v>0.75700000000000001</v>
      </c>
      <c r="N72" s="5">
        <v>-7.2350000000000003</v>
      </c>
      <c r="O72" s="5">
        <v>87.4</v>
      </c>
      <c r="P72" s="5">
        <v>-0.108</v>
      </c>
      <c r="Q72" s="5">
        <v>-1.359</v>
      </c>
      <c r="R72" s="5">
        <v>-7.9000000000000001E-2</v>
      </c>
      <c r="S72" s="5">
        <v>0.22800000000000001</v>
      </c>
      <c r="T72" s="5">
        <v>0.85699999999999998</v>
      </c>
      <c r="U72" s="5">
        <v>-14.22</v>
      </c>
      <c r="V72" s="5">
        <v>61.74</v>
      </c>
      <c r="W72" s="5">
        <v>-0.311</v>
      </c>
      <c r="X72" s="5">
        <v>-1.629</v>
      </c>
      <c r="Y72" s="5">
        <v>-0.26600000000000001</v>
      </c>
      <c r="Z72" s="5">
        <v>3.9E-2</v>
      </c>
      <c r="AA72" s="5">
        <v>0.65400000000000003</v>
      </c>
      <c r="AB72" s="5">
        <v>1.206</v>
      </c>
      <c r="AC72" s="5">
        <v>-12.69</v>
      </c>
      <c r="AD72" s="5">
        <v>-3.4950000000000001</v>
      </c>
      <c r="AE72" s="5">
        <v>-15.79</v>
      </c>
      <c r="AF72" s="5">
        <v>-4.5060000000000002</v>
      </c>
      <c r="AG72" s="5">
        <v>-14.51</v>
      </c>
      <c r="AH72" s="5">
        <v>1.232</v>
      </c>
      <c r="AI72" s="5" t="s">
        <v>99</v>
      </c>
      <c r="AK72" s="5">
        <f t="shared" si="60"/>
        <v>1.069</v>
      </c>
      <c r="AL72" s="8">
        <f t="shared" si="61"/>
        <v>-0.8</v>
      </c>
      <c r="AN72" s="1">
        <f t="shared" si="67"/>
        <v>87.4</v>
      </c>
      <c r="AO72" s="1">
        <f t="shared" si="68"/>
        <v>81.400000000000006</v>
      </c>
      <c r="AP72" s="1">
        <f t="shared" si="69"/>
        <v>61.7</v>
      </c>
      <c r="AQ72" s="17">
        <f t="shared" si="57"/>
        <v>0.219</v>
      </c>
      <c r="AR72" s="22">
        <f t="shared" si="70"/>
        <v>0.13600000000000001</v>
      </c>
      <c r="AT72" s="19">
        <f t="shared" si="62"/>
        <v>43532</v>
      </c>
      <c r="AU72" s="20">
        <f t="shared" si="63"/>
        <v>67</v>
      </c>
      <c r="AV72" s="1">
        <f t="shared" si="71"/>
        <v>-11.3</v>
      </c>
      <c r="AW72" s="1">
        <f t="shared" si="72"/>
        <v>-7.2</v>
      </c>
      <c r="AX72" s="1">
        <f t="shared" si="73"/>
        <v>-14.2</v>
      </c>
      <c r="AY72" s="1">
        <f t="shared" si="58"/>
        <v>81.400000000000006</v>
      </c>
      <c r="AZ72" s="1">
        <f t="shared" si="59"/>
        <v>61.7</v>
      </c>
      <c r="BA72" s="1">
        <f t="shared" si="74"/>
        <v>1.069</v>
      </c>
      <c r="BB72" s="5">
        <f t="shared" si="75"/>
        <v>-0.8</v>
      </c>
      <c r="BC72" s="1">
        <f t="shared" si="64"/>
        <v>-12.7</v>
      </c>
      <c r="BD72" s="1">
        <f t="shared" si="65"/>
        <v>-3.5</v>
      </c>
      <c r="BE72" s="1">
        <f t="shared" si="66"/>
        <v>-15.8</v>
      </c>
      <c r="BF72" s="5">
        <f t="shared" si="76"/>
        <v>-0.2</v>
      </c>
      <c r="BG72" s="5">
        <f t="shared" si="77"/>
        <v>0.1</v>
      </c>
      <c r="BH72" s="5">
        <f t="shared" si="78"/>
        <v>0.8</v>
      </c>
      <c r="BI72" s="5" t="str">
        <f t="shared" si="79"/>
        <v>NAN</v>
      </c>
      <c r="BJ72" s="10">
        <f t="shared" si="80"/>
        <v>0.219</v>
      </c>
      <c r="BK72" s="10">
        <f t="shared" si="81"/>
        <v>0.13600000000000001</v>
      </c>
      <c r="BM72" s="1">
        <f t="shared" si="82"/>
        <v>3.74</v>
      </c>
      <c r="BN72" s="1">
        <f t="shared" si="83"/>
        <v>-1.5699999999999985</v>
      </c>
    </row>
    <row r="73" spans="1:66" x14ac:dyDescent="0.2">
      <c r="A73" s="4">
        <f t="shared" si="84"/>
        <v>43533</v>
      </c>
      <c r="B73" s="1">
        <v>68</v>
      </c>
      <c r="C73" s="1">
        <v>12</v>
      </c>
      <c r="D73" s="5">
        <v>13.09</v>
      </c>
      <c r="E73" s="5">
        <v>-6.5540000000000003</v>
      </c>
      <c r="F73" s="5">
        <v>-12.58</v>
      </c>
      <c r="G73" s="5">
        <v>-10.73</v>
      </c>
      <c r="H73" s="5">
        <v>82</v>
      </c>
      <c r="I73" s="5">
        <v>-0.192</v>
      </c>
      <c r="J73" s="5">
        <v>-1.3939999999999999</v>
      </c>
      <c r="K73" s="5">
        <v>-0.16400000000000001</v>
      </c>
      <c r="L73" s="5">
        <v>0.13400000000000001</v>
      </c>
      <c r="M73" s="5">
        <v>0.75600000000000001</v>
      </c>
      <c r="N73" s="5">
        <v>-7.7770000000000001</v>
      </c>
      <c r="O73" s="5">
        <v>87.7</v>
      </c>
      <c r="P73" s="5">
        <v>-8.8999999999999996E-2</v>
      </c>
      <c r="Q73" s="5">
        <v>-1.2749999999999999</v>
      </c>
      <c r="R73" s="5">
        <v>-8.2000000000000003E-2</v>
      </c>
      <c r="S73" s="5">
        <v>0.215</v>
      </c>
      <c r="T73" s="5">
        <v>0.85</v>
      </c>
      <c r="U73" s="5">
        <v>-12.87</v>
      </c>
      <c r="V73" s="5">
        <v>68.03</v>
      </c>
      <c r="W73" s="5">
        <v>-0.28899999999999998</v>
      </c>
      <c r="X73" s="5">
        <v>-1.504</v>
      </c>
      <c r="Y73" s="5">
        <v>-0.23899999999999999</v>
      </c>
      <c r="Z73" s="5">
        <v>0.06</v>
      </c>
      <c r="AA73" s="5">
        <v>0.66800000000000004</v>
      </c>
      <c r="AB73" s="5">
        <v>1.2190000000000001</v>
      </c>
      <c r="AC73" s="5">
        <v>-11.65</v>
      </c>
      <c r="AD73" s="5">
        <v>-6.6269999999999998</v>
      </c>
      <c r="AE73" s="5">
        <v>-14.53</v>
      </c>
      <c r="AF73" s="5">
        <v>-7.1440000000000001</v>
      </c>
      <c r="AG73" s="5">
        <v>-13.1</v>
      </c>
      <c r="AH73" s="5">
        <v>1.2490000000000001</v>
      </c>
      <c r="AI73" s="5" t="s">
        <v>99</v>
      </c>
      <c r="AK73" s="5">
        <f t="shared" si="60"/>
        <v>1.0559999999999998</v>
      </c>
      <c r="AL73" s="8">
        <f t="shared" si="61"/>
        <v>-0.8</v>
      </c>
      <c r="AN73" s="1">
        <f t="shared" si="67"/>
        <v>87.7</v>
      </c>
      <c r="AO73" s="1">
        <f t="shared" si="68"/>
        <v>82</v>
      </c>
      <c r="AP73" s="1">
        <f t="shared" si="69"/>
        <v>68</v>
      </c>
      <c r="AQ73" s="17">
        <f t="shared" si="57"/>
        <v>0.23100000000000001</v>
      </c>
      <c r="AR73" s="22">
        <f t="shared" si="70"/>
        <v>0.109</v>
      </c>
      <c r="AT73" s="19">
        <f t="shared" si="62"/>
        <v>43533</v>
      </c>
      <c r="AU73" s="20">
        <f t="shared" si="63"/>
        <v>68</v>
      </c>
      <c r="AV73" s="1">
        <f t="shared" si="71"/>
        <v>-10.7</v>
      </c>
      <c r="AW73" s="1">
        <f t="shared" si="72"/>
        <v>-7.8</v>
      </c>
      <c r="AX73" s="1">
        <f t="shared" si="73"/>
        <v>-12.9</v>
      </c>
      <c r="AY73" s="1">
        <f t="shared" si="58"/>
        <v>82</v>
      </c>
      <c r="AZ73" s="1">
        <f t="shared" si="59"/>
        <v>68</v>
      </c>
      <c r="BA73" s="1">
        <f t="shared" si="74"/>
        <v>1.0559999999999998</v>
      </c>
      <c r="BB73" s="5">
        <f t="shared" si="75"/>
        <v>-0.8</v>
      </c>
      <c r="BC73" s="1">
        <f t="shared" si="64"/>
        <v>-11.7</v>
      </c>
      <c r="BD73" s="1">
        <f t="shared" si="65"/>
        <v>-6.6</v>
      </c>
      <c r="BE73" s="1">
        <f t="shared" si="66"/>
        <v>-14.5</v>
      </c>
      <c r="BF73" s="5">
        <f t="shared" si="76"/>
        <v>-0.2</v>
      </c>
      <c r="BG73" s="5">
        <f t="shared" si="77"/>
        <v>0.1</v>
      </c>
      <c r="BH73" s="5">
        <f t="shared" si="78"/>
        <v>0.8</v>
      </c>
      <c r="BI73" s="5" t="str">
        <f t="shared" si="79"/>
        <v>NAN</v>
      </c>
      <c r="BJ73" s="10">
        <f t="shared" si="80"/>
        <v>0.23100000000000001</v>
      </c>
      <c r="BK73" s="10">
        <f t="shared" si="81"/>
        <v>0.109</v>
      </c>
      <c r="BM73" s="1">
        <f t="shared" si="82"/>
        <v>1.1500000000000004</v>
      </c>
      <c r="BN73" s="1">
        <f t="shared" si="83"/>
        <v>-1.6600000000000001</v>
      </c>
    </row>
    <row r="74" spans="1:66" x14ac:dyDescent="0.2">
      <c r="A74" s="4">
        <f t="shared" si="84"/>
        <v>43534</v>
      </c>
      <c r="B74" s="1">
        <v>69</v>
      </c>
      <c r="C74" s="1">
        <v>12</v>
      </c>
      <c r="D74" s="5">
        <v>13.12</v>
      </c>
      <c r="E74" s="5">
        <v>-0.436</v>
      </c>
      <c r="F74" s="5">
        <v>-13.63</v>
      </c>
      <c r="G74" s="5">
        <v>-8.7100000000000009</v>
      </c>
      <c r="H74" s="5">
        <v>78.290000000000006</v>
      </c>
      <c r="I74" s="5">
        <v>-0.17599999999999999</v>
      </c>
      <c r="J74" s="5">
        <v>-1.333</v>
      </c>
      <c r="K74" s="5">
        <v>-0.14799999999999999</v>
      </c>
      <c r="L74" s="5">
        <v>0.14299999999999999</v>
      </c>
      <c r="M74" s="5">
        <v>0.75800000000000001</v>
      </c>
      <c r="N74" s="5">
        <v>-2.718</v>
      </c>
      <c r="O74" s="5">
        <v>87.4</v>
      </c>
      <c r="P74" s="5">
        <v>-5.1999999999999998E-2</v>
      </c>
      <c r="Q74" s="5">
        <v>-1.1930000000000001</v>
      </c>
      <c r="R74" s="5">
        <v>-2.5999999999999999E-2</v>
      </c>
      <c r="S74" s="5">
        <v>0.26100000000000001</v>
      </c>
      <c r="T74" s="5">
        <v>0.88</v>
      </c>
      <c r="U74" s="5">
        <v>-13.65</v>
      </c>
      <c r="V74" s="5">
        <v>45.94</v>
      </c>
      <c r="W74" s="5">
        <v>-0.29299999999999998</v>
      </c>
      <c r="X74" s="5">
        <v>-1.456</v>
      </c>
      <c r="Y74" s="5">
        <v>-0.253</v>
      </c>
      <c r="Z74" s="5">
        <v>0.04</v>
      </c>
      <c r="AA74" s="5">
        <v>0.63300000000000001</v>
      </c>
      <c r="AB74" s="5">
        <v>1.234</v>
      </c>
      <c r="AC74" s="5">
        <v>-10.6</v>
      </c>
      <c r="AD74" s="5">
        <v>-1.407</v>
      </c>
      <c r="AE74" s="5">
        <v>-15.44</v>
      </c>
      <c r="AF74" s="5">
        <v>0.215</v>
      </c>
      <c r="AG74" s="5">
        <v>-14.01</v>
      </c>
      <c r="AH74" s="5">
        <v>1.254</v>
      </c>
      <c r="AI74" s="5" t="s">
        <v>99</v>
      </c>
      <c r="AK74" s="5">
        <f t="shared" si="60"/>
        <v>1.0409999999999999</v>
      </c>
      <c r="AL74" s="8">
        <f t="shared" si="61"/>
        <v>-0.7</v>
      </c>
      <c r="AN74" s="1">
        <f t="shared" si="67"/>
        <v>87.4</v>
      </c>
      <c r="AO74" s="1">
        <f t="shared" si="68"/>
        <v>78.3</v>
      </c>
      <c r="AP74" s="1">
        <f t="shared" si="69"/>
        <v>45.9</v>
      </c>
      <c r="AQ74" s="17">
        <f t="shared" si="57"/>
        <v>0.22900000000000001</v>
      </c>
      <c r="AR74" s="22">
        <f t="shared" si="70"/>
        <v>0.27</v>
      </c>
      <c r="AT74" s="19">
        <f t="shared" si="62"/>
        <v>43534</v>
      </c>
      <c r="AU74" s="20">
        <f t="shared" si="63"/>
        <v>69</v>
      </c>
      <c r="AV74" s="1">
        <f t="shared" si="71"/>
        <v>-8.6999999999999993</v>
      </c>
      <c r="AW74" s="1">
        <f t="shared" si="72"/>
        <v>-2.7</v>
      </c>
      <c r="AX74" s="1">
        <f t="shared" si="73"/>
        <v>-13.7</v>
      </c>
      <c r="AY74" s="1">
        <f t="shared" si="58"/>
        <v>78.3</v>
      </c>
      <c r="AZ74" s="1">
        <f t="shared" si="59"/>
        <v>45.9</v>
      </c>
      <c r="BA74" s="1">
        <f t="shared" si="74"/>
        <v>1.0409999999999999</v>
      </c>
      <c r="BB74" s="5">
        <f t="shared" si="75"/>
        <v>-0.7</v>
      </c>
      <c r="BC74" s="1">
        <f t="shared" si="64"/>
        <v>-10.6</v>
      </c>
      <c r="BD74" s="1">
        <f t="shared" si="65"/>
        <v>-1.4</v>
      </c>
      <c r="BE74" s="1">
        <f t="shared" si="66"/>
        <v>-15.4</v>
      </c>
      <c r="BF74" s="5">
        <f t="shared" si="76"/>
        <v>-0.1</v>
      </c>
      <c r="BG74" s="5">
        <f t="shared" si="77"/>
        <v>0.1</v>
      </c>
      <c r="BH74" s="5">
        <f t="shared" si="78"/>
        <v>0.8</v>
      </c>
      <c r="BI74" s="5" t="str">
        <f t="shared" si="79"/>
        <v>NAN</v>
      </c>
      <c r="BJ74" s="10">
        <f t="shared" si="80"/>
        <v>0.22900000000000001</v>
      </c>
      <c r="BK74" s="10">
        <f t="shared" si="81"/>
        <v>0.27</v>
      </c>
      <c r="BM74" s="1">
        <f t="shared" si="82"/>
        <v>1.3109999999999999</v>
      </c>
      <c r="BN74" s="1">
        <f t="shared" si="83"/>
        <v>-1.7899999999999991</v>
      </c>
    </row>
    <row r="75" spans="1:66" x14ac:dyDescent="0.2">
      <c r="A75" s="4">
        <f t="shared" si="84"/>
        <v>43535</v>
      </c>
      <c r="B75" s="1">
        <v>70</v>
      </c>
      <c r="C75" s="1">
        <v>12</v>
      </c>
      <c r="D75" s="5">
        <v>13.08</v>
      </c>
      <c r="E75" s="5">
        <v>-6.423</v>
      </c>
      <c r="F75" s="5">
        <v>-10.26</v>
      </c>
      <c r="G75" s="5">
        <v>-8.66</v>
      </c>
      <c r="H75" s="5">
        <v>81.400000000000006</v>
      </c>
      <c r="I75" s="5">
        <v>-0.17</v>
      </c>
      <c r="J75" s="5">
        <v>-1.319</v>
      </c>
      <c r="K75" s="5">
        <v>-0.14199999999999999</v>
      </c>
      <c r="L75" s="5">
        <v>0.14499999999999999</v>
      </c>
      <c r="M75" s="5">
        <v>0.76</v>
      </c>
      <c r="N75" s="5">
        <v>-6.6950000000000003</v>
      </c>
      <c r="O75" s="5">
        <v>88.7</v>
      </c>
      <c r="P75" s="5">
        <v>-0.09</v>
      </c>
      <c r="Q75" s="5">
        <v>-1.23</v>
      </c>
      <c r="R75" s="5">
        <v>-6.7000000000000004E-2</v>
      </c>
      <c r="S75" s="5">
        <v>0.222</v>
      </c>
      <c r="T75" s="5">
        <v>0.84</v>
      </c>
      <c r="U75" s="5">
        <v>-11.11</v>
      </c>
      <c r="V75" s="5">
        <v>70.400000000000006</v>
      </c>
      <c r="W75" s="5">
        <v>-0.27800000000000002</v>
      </c>
      <c r="X75" s="5">
        <v>-1.4139999999999999</v>
      </c>
      <c r="Y75" s="5">
        <v>-0.222</v>
      </c>
      <c r="Z75" s="5">
        <v>5.8999999999999997E-2</v>
      </c>
      <c r="AA75" s="5">
        <v>0.66700000000000004</v>
      </c>
      <c r="AB75" s="5">
        <v>1.246</v>
      </c>
      <c r="AC75" s="5">
        <v>-9.0399999999999991</v>
      </c>
      <c r="AD75" s="5">
        <v>-7.34</v>
      </c>
      <c r="AE75" s="5">
        <v>-10.98</v>
      </c>
      <c r="AF75" s="5">
        <v>-6.4950000000000001</v>
      </c>
      <c r="AG75" s="5">
        <v>-11.04</v>
      </c>
      <c r="AH75" s="5">
        <v>1.2649999999999999</v>
      </c>
      <c r="AI75" s="5" t="s">
        <v>99</v>
      </c>
      <c r="AK75" s="5">
        <f t="shared" si="60"/>
        <v>1.0289999999999999</v>
      </c>
      <c r="AL75" s="8">
        <f t="shared" si="61"/>
        <v>-0.7</v>
      </c>
      <c r="AN75" s="1">
        <f t="shared" si="67"/>
        <v>88.7</v>
      </c>
      <c r="AO75" s="1">
        <f t="shared" si="68"/>
        <v>81.400000000000006</v>
      </c>
      <c r="AP75" s="1">
        <f t="shared" si="69"/>
        <v>70.400000000000006</v>
      </c>
      <c r="AQ75" s="17">
        <f t="shared" si="57"/>
        <v>0.26</v>
      </c>
      <c r="AR75" s="22">
        <f t="shared" si="70"/>
        <v>0.109</v>
      </c>
      <c r="AT75" s="19">
        <f t="shared" si="62"/>
        <v>43535</v>
      </c>
      <c r="AU75" s="20">
        <f t="shared" si="63"/>
        <v>70</v>
      </c>
      <c r="AV75" s="1">
        <f t="shared" si="71"/>
        <v>-8.6999999999999993</v>
      </c>
      <c r="AW75" s="1">
        <f t="shared" si="72"/>
        <v>-6.7</v>
      </c>
      <c r="AX75" s="1">
        <f t="shared" si="73"/>
        <v>-11.1</v>
      </c>
      <c r="AY75" s="1">
        <f t="shared" si="58"/>
        <v>81.400000000000006</v>
      </c>
      <c r="AZ75" s="1">
        <f t="shared" si="59"/>
        <v>70.400000000000006</v>
      </c>
      <c r="BA75" s="1">
        <f t="shared" si="74"/>
        <v>1.0289999999999999</v>
      </c>
      <c r="BB75" s="5">
        <f t="shared" si="75"/>
        <v>-0.7</v>
      </c>
      <c r="BC75" s="1">
        <f t="shared" si="64"/>
        <v>-9</v>
      </c>
      <c r="BD75" s="1">
        <f t="shared" si="65"/>
        <v>-7.3</v>
      </c>
      <c r="BE75" s="1">
        <f t="shared" si="66"/>
        <v>-11</v>
      </c>
      <c r="BF75" s="5">
        <f t="shared" si="76"/>
        <v>-0.1</v>
      </c>
      <c r="BG75" s="5">
        <f t="shared" si="77"/>
        <v>0.1</v>
      </c>
      <c r="BH75" s="5">
        <f t="shared" si="78"/>
        <v>0.8</v>
      </c>
      <c r="BI75" s="5" t="str">
        <f t="shared" si="79"/>
        <v>NAN</v>
      </c>
      <c r="BJ75" s="10">
        <f t="shared" si="80"/>
        <v>0.26</v>
      </c>
      <c r="BK75" s="10">
        <f t="shared" si="81"/>
        <v>0.109</v>
      </c>
      <c r="BM75" s="1">
        <f t="shared" si="82"/>
        <v>-0.64499999999999957</v>
      </c>
      <c r="BN75" s="1">
        <f t="shared" si="83"/>
        <v>0.12999999999999901</v>
      </c>
    </row>
    <row r="76" spans="1:66" x14ac:dyDescent="0.2">
      <c r="A76" s="4">
        <f t="shared" si="84"/>
        <v>43536</v>
      </c>
      <c r="B76" s="1">
        <v>71</v>
      </c>
      <c r="C76" s="1">
        <v>12</v>
      </c>
      <c r="D76" s="5">
        <v>13.03</v>
      </c>
      <c r="E76" s="5">
        <v>-5.8970000000000002</v>
      </c>
      <c r="F76" s="5">
        <v>-9.85</v>
      </c>
      <c r="G76" s="5">
        <v>-7.5659999999999998</v>
      </c>
      <c r="H76" s="5">
        <v>90.2</v>
      </c>
      <c r="I76" s="5">
        <v>-0.156</v>
      </c>
      <c r="J76" s="5">
        <v>-1.286</v>
      </c>
      <c r="K76" s="5">
        <v>-0.13</v>
      </c>
      <c r="L76" s="5">
        <v>0.154</v>
      </c>
      <c r="M76" s="5">
        <v>0.76800000000000002</v>
      </c>
      <c r="N76" s="5">
        <v>-6.12</v>
      </c>
      <c r="O76" s="5">
        <v>92</v>
      </c>
      <c r="P76" s="5">
        <v>-6.7000000000000004E-2</v>
      </c>
      <c r="Q76" s="5">
        <v>-1.194</v>
      </c>
      <c r="R76" s="5">
        <v>-3.3000000000000002E-2</v>
      </c>
      <c r="S76" s="5">
        <v>0.23200000000000001</v>
      </c>
      <c r="T76" s="5">
        <v>0.85399999999999998</v>
      </c>
      <c r="U76" s="5">
        <v>-10.54</v>
      </c>
      <c r="V76" s="5">
        <v>86.9</v>
      </c>
      <c r="W76" s="5">
        <v>-0.24</v>
      </c>
      <c r="X76" s="5">
        <v>-1.38</v>
      </c>
      <c r="Y76" s="5">
        <v>-0.21099999999999999</v>
      </c>
      <c r="Z76" s="5">
        <v>7.1999999999999995E-2</v>
      </c>
      <c r="AA76" s="5">
        <v>0.68500000000000005</v>
      </c>
      <c r="AB76" s="5">
        <v>1.21</v>
      </c>
      <c r="AC76" s="5">
        <v>-8.18</v>
      </c>
      <c r="AD76" s="5">
        <v>-6.5220000000000002</v>
      </c>
      <c r="AE76" s="5">
        <v>-12.48</v>
      </c>
      <c r="AF76" s="5">
        <v>-6.1280000000000001</v>
      </c>
      <c r="AG76" s="5">
        <v>-10.73</v>
      </c>
      <c r="AH76" s="5">
        <v>1.2330000000000001</v>
      </c>
      <c r="AI76" s="5" t="s">
        <v>99</v>
      </c>
      <c r="AK76" s="5">
        <f t="shared" si="60"/>
        <v>1.0649999999999999</v>
      </c>
      <c r="AL76" s="8">
        <f t="shared" si="61"/>
        <v>-0.7</v>
      </c>
      <c r="AN76" s="1">
        <f t="shared" si="67"/>
        <v>92</v>
      </c>
      <c r="AO76" s="1">
        <f t="shared" si="68"/>
        <v>90.2</v>
      </c>
      <c r="AP76" s="1">
        <f t="shared" si="69"/>
        <v>86.9</v>
      </c>
      <c r="AQ76" s="17">
        <f t="shared" si="57"/>
        <v>0.33600000000000002</v>
      </c>
      <c r="AR76" s="22">
        <f t="shared" si="70"/>
        <v>5.0999999999999997E-2</v>
      </c>
      <c r="AT76" s="19">
        <f t="shared" si="62"/>
        <v>43536</v>
      </c>
      <c r="AU76" s="20">
        <f t="shared" si="63"/>
        <v>71</v>
      </c>
      <c r="AV76" s="1">
        <f t="shared" si="71"/>
        <v>-7.6</v>
      </c>
      <c r="AW76" s="1">
        <f t="shared" si="72"/>
        <v>-6.1</v>
      </c>
      <c r="AX76" s="1">
        <f t="shared" si="73"/>
        <v>-10.5</v>
      </c>
      <c r="AY76" s="1">
        <f t="shared" si="58"/>
        <v>90.2</v>
      </c>
      <c r="AZ76" s="1">
        <f t="shared" si="59"/>
        <v>86.9</v>
      </c>
      <c r="BA76" s="1">
        <f t="shared" si="74"/>
        <v>1.0649999999999999</v>
      </c>
      <c r="BB76" s="5">
        <f t="shared" si="75"/>
        <v>-0.7</v>
      </c>
      <c r="BC76" s="1">
        <f t="shared" si="64"/>
        <v>-8.1999999999999993</v>
      </c>
      <c r="BD76" s="1">
        <f t="shared" si="65"/>
        <v>-6.5</v>
      </c>
      <c r="BE76" s="1">
        <f t="shared" si="66"/>
        <v>-12.5</v>
      </c>
      <c r="BF76" s="5">
        <f t="shared" si="76"/>
        <v>-0.1</v>
      </c>
      <c r="BG76" s="5">
        <f t="shared" si="77"/>
        <v>0.2</v>
      </c>
      <c r="BH76" s="5">
        <f t="shared" si="78"/>
        <v>0.8</v>
      </c>
      <c r="BI76" s="5" t="str">
        <f t="shared" si="79"/>
        <v>NAN</v>
      </c>
      <c r="BJ76" s="10">
        <f t="shared" si="80"/>
        <v>0.33600000000000002</v>
      </c>
      <c r="BK76" s="10">
        <f t="shared" si="81"/>
        <v>5.0999999999999997E-2</v>
      </c>
      <c r="BM76" s="1">
        <f t="shared" si="82"/>
        <v>-0.40200000000000014</v>
      </c>
      <c r="BN76" s="1">
        <f t="shared" si="83"/>
        <v>-1.9400000000000013</v>
      </c>
    </row>
    <row r="77" spans="1:66" x14ac:dyDescent="0.2">
      <c r="A77" s="4">
        <f t="shared" si="84"/>
        <v>43537</v>
      </c>
      <c r="B77" s="1">
        <v>72</v>
      </c>
      <c r="C77" s="1">
        <v>12</v>
      </c>
      <c r="D77" s="5">
        <v>13.1</v>
      </c>
      <c r="E77" s="5">
        <v>-2.806</v>
      </c>
      <c r="F77" s="5">
        <v>-11.16</v>
      </c>
      <c r="G77" s="5">
        <v>-8.66</v>
      </c>
      <c r="H77" s="5">
        <v>78.7</v>
      </c>
      <c r="I77" s="5">
        <v>-0.16900000000000001</v>
      </c>
      <c r="J77" s="5">
        <v>-1.2509999999999999</v>
      </c>
      <c r="K77" s="5">
        <v>-0.14299999999999999</v>
      </c>
      <c r="L77" s="5">
        <v>0.13700000000000001</v>
      </c>
      <c r="M77" s="5">
        <v>0.749</v>
      </c>
      <c r="N77" s="5">
        <v>-4.3730000000000002</v>
      </c>
      <c r="O77" s="5">
        <v>87.7</v>
      </c>
      <c r="P77" s="5">
        <v>-6.6000000000000003E-2</v>
      </c>
      <c r="Q77" s="5">
        <v>-1.1359999999999999</v>
      </c>
      <c r="R77" s="5">
        <v>-6.9000000000000006E-2</v>
      </c>
      <c r="S77" s="5">
        <v>0.23100000000000001</v>
      </c>
      <c r="T77" s="5">
        <v>0.84799999999999998</v>
      </c>
      <c r="U77" s="5">
        <v>-11.35</v>
      </c>
      <c r="V77" s="5">
        <v>58.61</v>
      </c>
      <c r="W77" s="5">
        <v>-0.26900000000000002</v>
      </c>
      <c r="X77" s="5">
        <v>-1.3460000000000001</v>
      </c>
      <c r="Y77" s="5">
        <v>-0.23799999999999999</v>
      </c>
      <c r="Z77" s="5">
        <v>4.9000000000000002E-2</v>
      </c>
      <c r="AA77" s="5">
        <v>0.64800000000000002</v>
      </c>
      <c r="AB77" s="5">
        <v>1.218</v>
      </c>
      <c r="AC77" s="5">
        <v>-10.34</v>
      </c>
      <c r="AD77" s="5">
        <v>-3.048</v>
      </c>
      <c r="AE77" s="5">
        <v>-13.45</v>
      </c>
      <c r="AF77" s="5">
        <v>-3.09</v>
      </c>
      <c r="AG77" s="5">
        <v>-11.63</v>
      </c>
      <c r="AH77" s="5">
        <v>1.24</v>
      </c>
      <c r="AI77" s="5" t="s">
        <v>99</v>
      </c>
      <c r="AK77" s="5">
        <f t="shared" si="60"/>
        <v>1.0569999999999999</v>
      </c>
      <c r="AL77" s="8">
        <f t="shared" si="61"/>
        <v>-0.7</v>
      </c>
      <c r="AN77" s="1">
        <f t="shared" si="67"/>
        <v>87.7</v>
      </c>
      <c r="AO77" s="1">
        <f t="shared" si="68"/>
        <v>78.7</v>
      </c>
      <c r="AP77" s="1">
        <f t="shared" si="69"/>
        <v>58.6</v>
      </c>
      <c r="AQ77" s="17">
        <f t="shared" si="57"/>
        <v>0.25900000000000001</v>
      </c>
      <c r="AR77" s="22">
        <f t="shared" si="70"/>
        <v>0.183</v>
      </c>
      <c r="AT77" s="19">
        <f t="shared" si="62"/>
        <v>43537</v>
      </c>
      <c r="AU77" s="20">
        <f t="shared" si="63"/>
        <v>72</v>
      </c>
      <c r="AV77" s="1">
        <f t="shared" si="71"/>
        <v>-8.6999999999999993</v>
      </c>
      <c r="AW77" s="1">
        <f t="shared" si="72"/>
        <v>-4.4000000000000004</v>
      </c>
      <c r="AX77" s="1">
        <f t="shared" si="73"/>
        <v>-11.4</v>
      </c>
      <c r="AY77" s="1">
        <f t="shared" si="58"/>
        <v>78.7</v>
      </c>
      <c r="AZ77" s="1">
        <f t="shared" si="59"/>
        <v>58.6</v>
      </c>
      <c r="BA77" s="1">
        <f t="shared" si="74"/>
        <v>1.0569999999999999</v>
      </c>
      <c r="BB77" s="5">
        <f t="shared" si="75"/>
        <v>-0.7</v>
      </c>
      <c r="BC77" s="1">
        <f t="shared" si="64"/>
        <v>-10.3</v>
      </c>
      <c r="BD77" s="1">
        <f t="shared" si="65"/>
        <v>-3</v>
      </c>
      <c r="BE77" s="1">
        <f t="shared" si="66"/>
        <v>-13.5</v>
      </c>
      <c r="BF77" s="5">
        <f t="shared" si="76"/>
        <v>-0.1</v>
      </c>
      <c r="BG77" s="5">
        <f t="shared" si="77"/>
        <v>0.1</v>
      </c>
      <c r="BH77" s="5">
        <f t="shared" si="78"/>
        <v>0.7</v>
      </c>
      <c r="BI77" s="5" t="str">
        <f t="shared" si="79"/>
        <v>NAN</v>
      </c>
      <c r="BJ77" s="10">
        <f t="shared" si="80"/>
        <v>0.25900000000000001</v>
      </c>
      <c r="BK77" s="10">
        <f t="shared" si="81"/>
        <v>0.183</v>
      </c>
      <c r="BM77" s="1">
        <f t="shared" si="82"/>
        <v>1.3250000000000002</v>
      </c>
      <c r="BN77" s="1">
        <f t="shared" si="83"/>
        <v>-2.0999999999999996</v>
      </c>
    </row>
    <row r="78" spans="1:66" x14ac:dyDescent="0.2">
      <c r="A78" s="4">
        <f t="shared" si="84"/>
        <v>43538</v>
      </c>
      <c r="B78" s="1">
        <v>73</v>
      </c>
      <c r="C78" s="1">
        <v>12</v>
      </c>
      <c r="D78" s="5">
        <v>13.11</v>
      </c>
      <c r="E78" s="5">
        <v>0.18099999999999999</v>
      </c>
      <c r="F78" s="5">
        <v>-9.89</v>
      </c>
      <c r="G78" s="5">
        <v>-5.4480000000000004</v>
      </c>
      <c r="H78" s="5">
        <v>70.290000000000006</v>
      </c>
      <c r="I78" s="5">
        <v>-0.14499999999999999</v>
      </c>
      <c r="J78" s="5">
        <v>-1.1830000000000001</v>
      </c>
      <c r="K78" s="5">
        <v>-0.11899999999999999</v>
      </c>
      <c r="L78" s="5">
        <v>0.154</v>
      </c>
      <c r="M78" s="5">
        <v>0.76300000000000001</v>
      </c>
      <c r="N78" s="5">
        <v>-0.41899999999999998</v>
      </c>
      <c r="O78" s="5">
        <v>85.5</v>
      </c>
      <c r="P78" s="5">
        <v>-3.7999999999999999E-2</v>
      </c>
      <c r="Q78" s="5">
        <v>-1.0509999999999999</v>
      </c>
      <c r="R78" s="5">
        <v>-2.4E-2</v>
      </c>
      <c r="S78" s="5">
        <v>0.252</v>
      </c>
      <c r="T78" s="5">
        <v>0.85099999999999998</v>
      </c>
      <c r="U78" s="5">
        <v>-9.56</v>
      </c>
      <c r="V78" s="5">
        <v>44.31</v>
      </c>
      <c r="W78" s="5">
        <v>-0.247</v>
      </c>
      <c r="X78" s="5">
        <v>-1.2929999999999999</v>
      </c>
      <c r="Y78" s="5">
        <v>-0.21299999999999999</v>
      </c>
      <c r="Z78" s="5">
        <v>6.3E-2</v>
      </c>
      <c r="AA78" s="5">
        <v>0.68300000000000005</v>
      </c>
      <c r="AB78" s="5">
        <v>1.2290000000000001</v>
      </c>
      <c r="AC78" s="5">
        <v>-6.8920000000000003</v>
      </c>
      <c r="AD78" s="5">
        <v>-1.177</v>
      </c>
      <c r="AE78" s="5">
        <v>-11.49</v>
      </c>
      <c r="AF78" s="5">
        <v>0.30099999999999999</v>
      </c>
      <c r="AG78" s="5">
        <v>-9.8699999999999992</v>
      </c>
      <c r="AH78" s="5">
        <v>1.2430000000000001</v>
      </c>
      <c r="AI78" s="5" t="s">
        <v>99</v>
      </c>
      <c r="AK78" s="5">
        <f t="shared" si="60"/>
        <v>1.0459999999999998</v>
      </c>
      <c r="AL78" s="8">
        <f t="shared" si="61"/>
        <v>-0.7</v>
      </c>
      <c r="AN78" s="1">
        <f t="shared" si="67"/>
        <v>85.5</v>
      </c>
      <c r="AO78" s="1">
        <f t="shared" si="68"/>
        <v>70.3</v>
      </c>
      <c r="AP78" s="1">
        <f t="shared" si="69"/>
        <v>44.3</v>
      </c>
      <c r="AQ78" s="17">
        <f t="shared" si="57"/>
        <v>0.26200000000000001</v>
      </c>
      <c r="AR78" s="22">
        <f t="shared" si="70"/>
        <v>0.32900000000000001</v>
      </c>
      <c r="AT78" s="19">
        <f t="shared" si="62"/>
        <v>43538</v>
      </c>
      <c r="AU78" s="20">
        <f t="shared" si="63"/>
        <v>73</v>
      </c>
      <c r="AV78" s="1">
        <f t="shared" si="71"/>
        <v>-5.4</v>
      </c>
      <c r="AW78" s="1">
        <f t="shared" si="72"/>
        <v>-0.4</v>
      </c>
      <c r="AX78" s="1">
        <f t="shared" si="73"/>
        <v>-9.6</v>
      </c>
      <c r="AY78" s="1">
        <f t="shared" si="58"/>
        <v>70.3</v>
      </c>
      <c r="AZ78" s="1">
        <f t="shared" si="59"/>
        <v>44.3</v>
      </c>
      <c r="BA78" s="1">
        <f t="shared" si="74"/>
        <v>1.0459999999999998</v>
      </c>
      <c r="BB78" s="5">
        <f t="shared" si="75"/>
        <v>-0.7</v>
      </c>
      <c r="BC78" s="1">
        <f t="shared" si="64"/>
        <v>-6.9</v>
      </c>
      <c r="BD78" s="1">
        <f t="shared" si="65"/>
        <v>-1.2</v>
      </c>
      <c r="BE78" s="1">
        <f t="shared" si="66"/>
        <v>-11.5</v>
      </c>
      <c r="BF78" s="5">
        <f t="shared" si="76"/>
        <v>-0.1</v>
      </c>
      <c r="BG78" s="5">
        <f t="shared" si="77"/>
        <v>0.2</v>
      </c>
      <c r="BH78" s="5">
        <f t="shared" si="78"/>
        <v>0.8</v>
      </c>
      <c r="BI78" s="5" t="str">
        <f t="shared" si="79"/>
        <v>NAN</v>
      </c>
      <c r="BJ78" s="10">
        <f t="shared" si="80"/>
        <v>0.26200000000000001</v>
      </c>
      <c r="BK78" s="10">
        <f t="shared" si="81"/>
        <v>0.32900000000000001</v>
      </c>
      <c r="BM78" s="1">
        <f t="shared" si="82"/>
        <v>-0.75800000000000001</v>
      </c>
      <c r="BN78" s="1">
        <f t="shared" si="83"/>
        <v>-1.9299999999999997</v>
      </c>
    </row>
    <row r="79" spans="1:66" x14ac:dyDescent="0.2">
      <c r="A79" s="4">
        <f t="shared" si="84"/>
        <v>43539</v>
      </c>
      <c r="B79" s="1">
        <v>74</v>
      </c>
      <c r="C79" s="1">
        <v>12</v>
      </c>
      <c r="D79" s="5">
        <v>13.11</v>
      </c>
      <c r="E79" s="5">
        <v>2.7149999999999999</v>
      </c>
      <c r="F79" s="5">
        <v>-5.8970000000000002</v>
      </c>
      <c r="G79" s="5">
        <v>-3.1880000000000002</v>
      </c>
      <c r="H79" s="5">
        <v>78.23</v>
      </c>
      <c r="I79" s="5">
        <v>-0.11700000000000001</v>
      </c>
      <c r="J79" s="5">
        <v>-1.111</v>
      </c>
      <c r="K79" s="5">
        <v>-9.4E-2</v>
      </c>
      <c r="L79" s="5">
        <v>0.17399999999999999</v>
      </c>
      <c r="M79" s="5">
        <v>0.78100000000000003</v>
      </c>
      <c r="N79" s="5">
        <v>2.1070000000000002</v>
      </c>
      <c r="O79" s="5">
        <v>88.6</v>
      </c>
      <c r="P79" s="5">
        <v>-1.0999999999999999E-2</v>
      </c>
      <c r="Q79" s="5">
        <v>-0.98299999999999998</v>
      </c>
      <c r="R79" s="5">
        <v>-8.0000000000000002E-3</v>
      </c>
      <c r="S79" s="5">
        <v>0.27600000000000002</v>
      </c>
      <c r="T79" s="5">
        <v>0.88700000000000001</v>
      </c>
      <c r="U79" s="5">
        <v>-6.2220000000000004</v>
      </c>
      <c r="V79" s="5">
        <v>52.92</v>
      </c>
      <c r="W79" s="5">
        <v>-0.20599999999999999</v>
      </c>
      <c r="X79" s="5">
        <v>-1.2210000000000001</v>
      </c>
      <c r="Y79" s="5">
        <v>-0.19400000000000001</v>
      </c>
      <c r="Z79" s="5">
        <v>9.1999999999999998E-2</v>
      </c>
      <c r="AA79" s="5">
        <v>0.66600000000000004</v>
      </c>
      <c r="AB79" s="5">
        <v>1.2410000000000001</v>
      </c>
      <c r="AC79" s="5">
        <v>-4.6989999999999998</v>
      </c>
      <c r="AD79" s="5">
        <v>0.14299999999999999</v>
      </c>
      <c r="AE79" s="5">
        <v>-7.8689999999999998</v>
      </c>
      <c r="AF79" s="5">
        <v>3.641</v>
      </c>
      <c r="AG79" s="5">
        <v>-6.3620000000000001</v>
      </c>
      <c r="AH79" s="5">
        <v>1.252</v>
      </c>
      <c r="AI79" s="5" t="s">
        <v>99</v>
      </c>
      <c r="AK79" s="5">
        <f t="shared" si="60"/>
        <v>1.0339999999999998</v>
      </c>
      <c r="AL79" s="8">
        <f t="shared" si="61"/>
        <v>-0.6</v>
      </c>
      <c r="AN79" s="1">
        <f t="shared" si="67"/>
        <v>88.6</v>
      </c>
      <c r="AO79" s="1">
        <f t="shared" si="68"/>
        <v>78.2</v>
      </c>
      <c r="AP79" s="1">
        <f t="shared" si="69"/>
        <v>52.9</v>
      </c>
      <c r="AQ79" s="17">
        <f t="shared" si="57"/>
        <v>0.376</v>
      </c>
      <c r="AR79" s="22">
        <f t="shared" si="70"/>
        <v>0.33500000000000002</v>
      </c>
      <c r="AT79" s="19">
        <f t="shared" si="62"/>
        <v>43539</v>
      </c>
      <c r="AU79" s="20">
        <f t="shared" si="63"/>
        <v>74</v>
      </c>
      <c r="AV79" s="1">
        <f t="shared" si="71"/>
        <v>-3.2</v>
      </c>
      <c r="AW79" s="1">
        <f t="shared" si="72"/>
        <v>2.1</v>
      </c>
      <c r="AX79" s="1">
        <f t="shared" si="73"/>
        <v>-6.2</v>
      </c>
      <c r="AY79" s="1">
        <f t="shared" si="58"/>
        <v>78.2</v>
      </c>
      <c r="AZ79" s="1">
        <f t="shared" si="59"/>
        <v>52.9</v>
      </c>
      <c r="BA79" s="1">
        <f t="shared" si="74"/>
        <v>1.0339999999999998</v>
      </c>
      <c r="BB79" s="5">
        <f t="shared" si="75"/>
        <v>-0.6</v>
      </c>
      <c r="BC79" s="1">
        <f t="shared" si="64"/>
        <v>-4.7</v>
      </c>
      <c r="BD79" s="1">
        <f t="shared" si="65"/>
        <v>0.1</v>
      </c>
      <c r="BE79" s="1">
        <f t="shared" si="66"/>
        <v>-7.9</v>
      </c>
      <c r="BF79" s="5">
        <f t="shared" si="76"/>
        <v>-0.1</v>
      </c>
      <c r="BG79" s="5">
        <f t="shared" si="77"/>
        <v>0.2</v>
      </c>
      <c r="BH79" s="5">
        <f t="shared" si="78"/>
        <v>0.8</v>
      </c>
      <c r="BI79" s="5" t="str">
        <f t="shared" si="79"/>
        <v>NAN</v>
      </c>
      <c r="BJ79" s="10">
        <f t="shared" si="80"/>
        <v>0.376</v>
      </c>
      <c r="BK79" s="10">
        <f t="shared" si="81"/>
        <v>0.33500000000000002</v>
      </c>
      <c r="BM79" s="1">
        <f t="shared" si="82"/>
        <v>-1.9640000000000002</v>
      </c>
      <c r="BN79" s="1">
        <f t="shared" si="83"/>
        <v>-1.6469999999999994</v>
      </c>
    </row>
    <row r="80" spans="1:66" x14ac:dyDescent="0.2">
      <c r="A80" s="4">
        <f t="shared" si="84"/>
        <v>43540</v>
      </c>
      <c r="B80" s="1">
        <v>75</v>
      </c>
      <c r="C80" s="1">
        <v>12</v>
      </c>
      <c r="D80" s="5">
        <v>13.11</v>
      </c>
      <c r="E80" s="5">
        <v>6.2649999999999997</v>
      </c>
      <c r="F80" s="5">
        <v>-5.6349999999999998</v>
      </c>
      <c r="G80" s="5">
        <v>-1.5409999999999999</v>
      </c>
      <c r="H80" s="5">
        <v>72.5</v>
      </c>
      <c r="I80" s="5">
        <v>-0.10100000000000001</v>
      </c>
      <c r="J80" s="5">
        <v>-1.03</v>
      </c>
      <c r="K80" s="5">
        <v>-8.1000000000000003E-2</v>
      </c>
      <c r="L80" s="5">
        <v>0.183</v>
      </c>
      <c r="M80" s="5">
        <v>0.78700000000000003</v>
      </c>
      <c r="N80" s="5">
        <v>4.43</v>
      </c>
      <c r="O80" s="5">
        <v>88.3</v>
      </c>
      <c r="P80" s="5">
        <v>2.4E-2</v>
      </c>
      <c r="Q80" s="5">
        <v>-0.88500000000000001</v>
      </c>
      <c r="R80" s="5">
        <v>0.02</v>
      </c>
      <c r="S80" s="5">
        <v>0.27500000000000002</v>
      </c>
      <c r="T80" s="5">
        <v>0.89700000000000002</v>
      </c>
      <c r="U80" s="5">
        <v>-6.02</v>
      </c>
      <c r="V80" s="5">
        <v>45.34</v>
      </c>
      <c r="W80" s="5">
        <v>-0.224</v>
      </c>
      <c r="X80" s="5">
        <v>-1.167</v>
      </c>
      <c r="Y80" s="5">
        <v>-0.17799999999999999</v>
      </c>
      <c r="Z80" s="5">
        <v>9.2999999999999999E-2</v>
      </c>
      <c r="AA80" s="5">
        <v>0.67900000000000005</v>
      </c>
      <c r="AB80" s="5">
        <v>1.2629999999999999</v>
      </c>
      <c r="AC80" s="5">
        <v>-3.5870000000000002</v>
      </c>
      <c r="AD80" s="5">
        <v>0.42299999999999999</v>
      </c>
      <c r="AE80" s="5">
        <v>-7.6429999999999998</v>
      </c>
      <c r="AF80" s="5">
        <v>8.07</v>
      </c>
      <c r="AG80" s="5">
        <v>-6.1849999999999996</v>
      </c>
      <c r="AH80" s="5">
        <v>1.2669999999999999</v>
      </c>
      <c r="AI80" s="5" t="s">
        <v>99</v>
      </c>
      <c r="AK80" s="5">
        <f t="shared" si="60"/>
        <v>1.012</v>
      </c>
      <c r="AL80" s="8">
        <f t="shared" si="61"/>
        <v>-0.6</v>
      </c>
      <c r="AN80" s="1">
        <f t="shared" si="67"/>
        <v>88.3</v>
      </c>
      <c r="AO80" s="1">
        <f t="shared" si="68"/>
        <v>72.5</v>
      </c>
      <c r="AP80" s="1">
        <f t="shared" si="69"/>
        <v>45.3</v>
      </c>
      <c r="AQ80" s="17">
        <f t="shared" si="57"/>
        <v>0.38</v>
      </c>
      <c r="AR80" s="22">
        <f t="shared" si="70"/>
        <v>0.45900000000000002</v>
      </c>
      <c r="AT80" s="19">
        <f t="shared" si="62"/>
        <v>43540</v>
      </c>
      <c r="AU80" s="20">
        <f t="shared" si="63"/>
        <v>75</v>
      </c>
      <c r="AV80" s="1">
        <f t="shared" si="71"/>
        <v>-1.5</v>
      </c>
      <c r="AW80" s="1">
        <f t="shared" si="72"/>
        <v>4.4000000000000004</v>
      </c>
      <c r="AX80" s="1">
        <f t="shared" si="73"/>
        <v>-6</v>
      </c>
      <c r="AY80" s="1">
        <f t="shared" si="58"/>
        <v>72.5</v>
      </c>
      <c r="AZ80" s="1">
        <f t="shared" si="59"/>
        <v>45.3</v>
      </c>
      <c r="BA80" s="1">
        <f t="shared" si="74"/>
        <v>1.012</v>
      </c>
      <c r="BB80" s="5">
        <f t="shared" si="75"/>
        <v>-0.6</v>
      </c>
      <c r="BC80" s="1">
        <f t="shared" si="64"/>
        <v>-3.6</v>
      </c>
      <c r="BD80" s="1">
        <f t="shared" si="65"/>
        <v>0.4</v>
      </c>
      <c r="BE80" s="1">
        <f t="shared" si="66"/>
        <v>-7.6</v>
      </c>
      <c r="BF80" s="5">
        <f t="shared" si="76"/>
        <v>-0.1</v>
      </c>
      <c r="BG80" s="5">
        <f t="shared" si="77"/>
        <v>0.2</v>
      </c>
      <c r="BH80" s="5">
        <f t="shared" si="78"/>
        <v>0.8</v>
      </c>
      <c r="BI80" s="5" t="str">
        <f t="shared" si="79"/>
        <v>NAN</v>
      </c>
      <c r="BJ80" s="10">
        <f t="shared" si="80"/>
        <v>0.38</v>
      </c>
      <c r="BK80" s="10">
        <f t="shared" si="81"/>
        <v>0.45900000000000002</v>
      </c>
      <c r="BM80" s="1">
        <f t="shared" si="82"/>
        <v>-4.0069999999999997</v>
      </c>
      <c r="BN80" s="1">
        <f t="shared" si="83"/>
        <v>-1.6230000000000002</v>
      </c>
    </row>
    <row r="81" spans="1:66" x14ac:dyDescent="0.2">
      <c r="A81" s="4">
        <f t="shared" si="84"/>
        <v>43541</v>
      </c>
      <c r="B81" s="1">
        <v>76</v>
      </c>
      <c r="C81" s="1">
        <v>12</v>
      </c>
      <c r="D81" s="5">
        <v>13.12</v>
      </c>
      <c r="E81" s="5">
        <v>7.51</v>
      </c>
      <c r="F81" s="5">
        <v>-3.17</v>
      </c>
      <c r="G81" s="5">
        <v>0.68</v>
      </c>
      <c r="H81" s="5">
        <v>59.37</v>
      </c>
      <c r="I81" s="5">
        <v>-7.9000000000000001E-2</v>
      </c>
      <c r="J81" s="5">
        <v>-0.91300000000000003</v>
      </c>
      <c r="K81" s="5">
        <v>-6.5000000000000002E-2</v>
      </c>
      <c r="L81" s="5">
        <v>0.193</v>
      </c>
      <c r="M81" s="5">
        <v>0.79600000000000004</v>
      </c>
      <c r="N81" s="5">
        <v>5.0679999999999996</v>
      </c>
      <c r="O81" s="5">
        <v>78.89</v>
      </c>
      <c r="P81" s="5">
        <v>4.3999999999999997E-2</v>
      </c>
      <c r="Q81" s="5">
        <v>-0.76700000000000002</v>
      </c>
      <c r="R81" s="5">
        <v>3.5000000000000003E-2</v>
      </c>
      <c r="S81" s="5">
        <v>0.28699999999999998</v>
      </c>
      <c r="T81" s="5">
        <v>0.91900000000000004</v>
      </c>
      <c r="U81" s="5">
        <v>-2.6840000000000002</v>
      </c>
      <c r="V81" s="5">
        <v>38.31</v>
      </c>
      <c r="W81" s="5">
        <v>-0.192</v>
      </c>
      <c r="X81" s="5">
        <v>-1.0589999999999999</v>
      </c>
      <c r="Y81" s="5">
        <v>-0.16200000000000001</v>
      </c>
      <c r="Z81" s="5">
        <v>8.7999999999999995E-2</v>
      </c>
      <c r="AA81" s="5">
        <v>0.68700000000000006</v>
      </c>
      <c r="AB81" s="5">
        <v>1.28</v>
      </c>
      <c r="AC81" s="5">
        <v>-2.4870000000000001</v>
      </c>
      <c r="AD81" s="5">
        <v>0.47199999999999998</v>
      </c>
      <c r="AE81" s="5">
        <v>-5.0380000000000003</v>
      </c>
      <c r="AF81" s="5">
        <v>8.0299999999999994</v>
      </c>
      <c r="AG81" s="5">
        <v>-3.0910000000000002</v>
      </c>
      <c r="AH81" s="5">
        <v>1.2789999999999999</v>
      </c>
      <c r="AI81" s="5" t="s">
        <v>99</v>
      </c>
      <c r="AK81" s="5">
        <f t="shared" si="60"/>
        <v>0.99499999999999988</v>
      </c>
      <c r="AL81" s="8">
        <f t="shared" si="61"/>
        <v>-0.5</v>
      </c>
      <c r="AN81" s="1">
        <f t="shared" si="67"/>
        <v>78.900000000000006</v>
      </c>
      <c r="AO81" s="1">
        <f t="shared" si="68"/>
        <v>59.4</v>
      </c>
      <c r="AP81" s="1">
        <f t="shared" si="69"/>
        <v>38.299999999999997</v>
      </c>
      <c r="AQ81" s="17">
        <f t="shared" si="57"/>
        <v>0.33600000000000002</v>
      </c>
      <c r="AR81" s="22">
        <f t="shared" si="70"/>
        <v>0.54100000000000004</v>
      </c>
      <c r="AT81" s="19">
        <f t="shared" si="62"/>
        <v>43541</v>
      </c>
      <c r="AU81" s="20">
        <f t="shared" si="63"/>
        <v>76</v>
      </c>
      <c r="AV81" s="1">
        <f t="shared" si="71"/>
        <v>0.7</v>
      </c>
      <c r="AW81" s="1">
        <f t="shared" si="72"/>
        <v>5.0999999999999996</v>
      </c>
      <c r="AX81" s="1">
        <f t="shared" si="73"/>
        <v>-2.7</v>
      </c>
      <c r="AY81" s="1">
        <f t="shared" si="58"/>
        <v>59.4</v>
      </c>
      <c r="AZ81" s="1">
        <f t="shared" si="59"/>
        <v>38.299999999999997</v>
      </c>
      <c r="BA81" s="1">
        <f t="shared" si="74"/>
        <v>0.99499999999999988</v>
      </c>
      <c r="BB81" s="5">
        <f t="shared" si="75"/>
        <v>-0.5</v>
      </c>
      <c r="BC81" s="1">
        <f t="shared" si="64"/>
        <v>-2.5</v>
      </c>
      <c r="BD81" s="1">
        <f t="shared" si="65"/>
        <v>0.5</v>
      </c>
      <c r="BE81" s="1">
        <f t="shared" si="66"/>
        <v>-5</v>
      </c>
      <c r="BF81" s="5">
        <f t="shared" si="76"/>
        <v>-0.1</v>
      </c>
      <c r="BG81" s="5">
        <f t="shared" si="77"/>
        <v>0.2</v>
      </c>
      <c r="BH81" s="5">
        <f t="shared" si="78"/>
        <v>0.8</v>
      </c>
      <c r="BI81" s="5" t="str">
        <f t="shared" si="79"/>
        <v>NAN</v>
      </c>
      <c r="BJ81" s="10">
        <f t="shared" si="80"/>
        <v>0.33600000000000002</v>
      </c>
      <c r="BK81" s="10">
        <f t="shared" si="81"/>
        <v>0.54100000000000004</v>
      </c>
      <c r="BM81" s="1">
        <f t="shared" si="82"/>
        <v>-4.5960000000000001</v>
      </c>
      <c r="BN81" s="1">
        <f t="shared" si="83"/>
        <v>-2.3540000000000001</v>
      </c>
    </row>
    <row r="82" spans="1:66" x14ac:dyDescent="0.2">
      <c r="A82" s="4">
        <f t="shared" si="84"/>
        <v>43542</v>
      </c>
      <c r="B82" s="1">
        <v>77</v>
      </c>
      <c r="C82" s="1">
        <v>12</v>
      </c>
      <c r="D82" s="5">
        <v>13.12</v>
      </c>
      <c r="E82" s="5">
        <v>8.86</v>
      </c>
      <c r="F82" s="5">
        <v>-2.2909999999999999</v>
      </c>
      <c r="G82" s="5">
        <v>2.6360000000000001</v>
      </c>
      <c r="H82" s="5">
        <v>46.27</v>
      </c>
      <c r="I82" s="5">
        <v>2E-3</v>
      </c>
      <c r="J82" s="5">
        <v>-0.50800000000000001</v>
      </c>
      <c r="K82" s="5">
        <v>-3.7999999999999999E-2</v>
      </c>
      <c r="L82" s="5">
        <v>0.21</v>
      </c>
      <c r="M82" s="5">
        <v>0.80600000000000005</v>
      </c>
      <c r="N82" s="5">
        <v>7.9359999999999999</v>
      </c>
      <c r="O82" s="5">
        <v>65.540000000000006</v>
      </c>
      <c r="P82" s="5">
        <v>0.215</v>
      </c>
      <c r="Q82" s="5">
        <v>0.14499999999999999</v>
      </c>
      <c r="R82" s="5">
        <v>8.8999999999999996E-2</v>
      </c>
      <c r="S82" s="5">
        <v>0.32700000000000001</v>
      </c>
      <c r="T82" s="5">
        <v>0.93500000000000005</v>
      </c>
      <c r="U82" s="5">
        <v>-1.873</v>
      </c>
      <c r="V82" s="5">
        <v>21.75</v>
      </c>
      <c r="W82" s="5">
        <v>-0.16</v>
      </c>
      <c r="X82" s="5">
        <v>-0.90800000000000003</v>
      </c>
      <c r="Y82" s="5">
        <v>-0.14399999999999999</v>
      </c>
      <c r="Z82" s="5">
        <v>9.7000000000000003E-2</v>
      </c>
      <c r="AA82" s="5">
        <v>0.65300000000000002</v>
      </c>
      <c r="AB82" s="5">
        <v>1.304</v>
      </c>
      <c r="AC82" s="5">
        <v>-1.7130000000000001</v>
      </c>
      <c r="AD82" s="5">
        <v>0.56599999999999995</v>
      </c>
      <c r="AE82" s="5">
        <v>-4.7679999999999998</v>
      </c>
      <c r="AF82" s="5">
        <v>12.82</v>
      </c>
      <c r="AG82" s="5">
        <v>-2.282</v>
      </c>
      <c r="AH82" s="5">
        <v>1.3</v>
      </c>
      <c r="AI82" s="5" t="s">
        <v>99</v>
      </c>
      <c r="AK82" s="5">
        <f t="shared" si="60"/>
        <v>0.97099999999999986</v>
      </c>
      <c r="AL82" s="8">
        <f t="shared" si="61"/>
        <v>-0.3</v>
      </c>
      <c r="AN82" s="1">
        <f t="shared" si="67"/>
        <v>65.5</v>
      </c>
      <c r="AO82" s="1">
        <f t="shared" si="68"/>
        <v>46.3</v>
      </c>
      <c r="AP82" s="1">
        <f t="shared" si="69"/>
        <v>21.8</v>
      </c>
      <c r="AQ82" s="17">
        <f t="shared" si="57"/>
        <v>0.23300000000000001</v>
      </c>
      <c r="AR82" s="22">
        <f t="shared" si="70"/>
        <v>0.83599999999999997</v>
      </c>
      <c r="AT82" s="19">
        <f t="shared" si="62"/>
        <v>43542</v>
      </c>
      <c r="AU82" s="20">
        <f t="shared" si="63"/>
        <v>77</v>
      </c>
      <c r="AV82" s="1">
        <f t="shared" si="71"/>
        <v>2.6</v>
      </c>
      <c r="AW82" s="1">
        <f t="shared" si="72"/>
        <v>7.9</v>
      </c>
      <c r="AX82" s="1">
        <f t="shared" si="73"/>
        <v>-1.9</v>
      </c>
      <c r="AY82" s="1">
        <f t="shared" si="58"/>
        <v>46.3</v>
      </c>
      <c r="AZ82" s="1">
        <f t="shared" si="59"/>
        <v>21.8</v>
      </c>
      <c r="BA82" s="1">
        <f t="shared" si="74"/>
        <v>0.97099999999999986</v>
      </c>
      <c r="BB82" s="5">
        <f t="shared" si="75"/>
        <v>-0.3</v>
      </c>
      <c r="BC82" s="1">
        <f t="shared" si="64"/>
        <v>-1.7</v>
      </c>
      <c r="BD82" s="1">
        <f t="shared" si="65"/>
        <v>0.6</v>
      </c>
      <c r="BE82" s="1">
        <f t="shared" si="66"/>
        <v>-4.8</v>
      </c>
      <c r="BF82" s="5">
        <f t="shared" si="76"/>
        <v>0</v>
      </c>
      <c r="BG82" s="5">
        <f t="shared" si="77"/>
        <v>0.2</v>
      </c>
      <c r="BH82" s="5">
        <f t="shared" si="78"/>
        <v>0.8</v>
      </c>
      <c r="BI82" s="5" t="str">
        <f t="shared" si="79"/>
        <v>NAN</v>
      </c>
      <c r="BJ82" s="10">
        <f t="shared" si="80"/>
        <v>0.23300000000000001</v>
      </c>
      <c r="BK82" s="10">
        <f t="shared" si="81"/>
        <v>0.83599999999999997</v>
      </c>
      <c r="BM82" s="1">
        <f t="shared" si="82"/>
        <v>-7.37</v>
      </c>
      <c r="BN82" s="1">
        <f t="shared" si="83"/>
        <v>-2.8949999999999996</v>
      </c>
    </row>
    <row r="83" spans="1:66" x14ac:dyDescent="0.2">
      <c r="A83" s="4">
        <f t="shared" si="84"/>
        <v>43543</v>
      </c>
      <c r="B83" s="1">
        <v>78</v>
      </c>
      <c r="C83" s="1">
        <v>12</v>
      </c>
      <c r="D83" s="5">
        <v>13.12</v>
      </c>
      <c r="E83" s="5">
        <v>10.72</v>
      </c>
      <c r="F83" s="5">
        <v>9.7000000000000003E-2</v>
      </c>
      <c r="G83" s="5">
        <v>4.9089999999999998</v>
      </c>
      <c r="H83" s="5">
        <v>39.19</v>
      </c>
      <c r="I83" s="5">
        <v>0.08</v>
      </c>
      <c r="J83" s="5">
        <v>4.2999999999999997E-2</v>
      </c>
      <c r="K83" s="5">
        <v>-8.0000000000000002E-3</v>
      </c>
      <c r="L83" s="5">
        <v>0.223</v>
      </c>
      <c r="M83" s="5">
        <v>0.81200000000000006</v>
      </c>
      <c r="N83" s="5">
        <v>9.89</v>
      </c>
      <c r="O83" s="5">
        <v>51.68</v>
      </c>
      <c r="P83" s="5">
        <v>0.21</v>
      </c>
      <c r="Q83" s="5">
        <v>0.187</v>
      </c>
      <c r="R83" s="5">
        <v>8.4000000000000005E-2</v>
      </c>
      <c r="S83" s="5">
        <v>0.314</v>
      </c>
      <c r="T83" s="5">
        <v>0.90700000000000003</v>
      </c>
      <c r="U83" s="5">
        <v>1.339</v>
      </c>
      <c r="V83" s="5">
        <v>23.92</v>
      </c>
      <c r="W83" s="5">
        <v>-8.2000000000000003E-2</v>
      </c>
      <c r="X83" s="5">
        <v>-0.13</v>
      </c>
      <c r="Y83" s="5">
        <v>-0.13900000000000001</v>
      </c>
      <c r="Z83" s="5">
        <v>0.114</v>
      </c>
      <c r="AA83" s="5">
        <v>0.64100000000000001</v>
      </c>
      <c r="AB83" s="5">
        <v>1.3340000000000001</v>
      </c>
      <c r="AC83" s="5">
        <v>-0.80900000000000005</v>
      </c>
      <c r="AD83" s="5">
        <v>0.59499999999999997</v>
      </c>
      <c r="AE83" s="5">
        <v>-2.649</v>
      </c>
      <c r="AF83" s="5">
        <v>14.4</v>
      </c>
      <c r="AG83" s="5">
        <v>0.95399999999999996</v>
      </c>
      <c r="AH83" s="5">
        <v>1.323</v>
      </c>
      <c r="AI83" s="5" t="s">
        <v>99</v>
      </c>
      <c r="AK83" s="5">
        <f t="shared" si="60"/>
        <v>0.94099999999999984</v>
      </c>
      <c r="AL83" s="8">
        <f t="shared" si="61"/>
        <v>0</v>
      </c>
      <c r="AN83" s="1">
        <f t="shared" si="67"/>
        <v>51.7</v>
      </c>
      <c r="AO83" s="1">
        <f t="shared" si="68"/>
        <v>39.200000000000003</v>
      </c>
      <c r="AP83" s="1">
        <f t="shared" si="69"/>
        <v>23.9</v>
      </c>
      <c r="AQ83" s="17">
        <f t="shared" si="57"/>
        <v>0.29099999999999998</v>
      </c>
      <c r="AR83" s="22">
        <f t="shared" si="70"/>
        <v>0.92700000000000005</v>
      </c>
      <c r="AT83" s="19">
        <f t="shared" si="62"/>
        <v>43543</v>
      </c>
      <c r="AU83" s="20">
        <f t="shared" si="63"/>
        <v>78</v>
      </c>
      <c r="AV83" s="1">
        <f t="shared" si="71"/>
        <v>4.9000000000000004</v>
      </c>
      <c r="AW83" s="1">
        <f t="shared" si="72"/>
        <v>9.9</v>
      </c>
      <c r="AX83" s="1">
        <f t="shared" si="73"/>
        <v>1.3</v>
      </c>
      <c r="AY83" s="1">
        <f t="shared" si="58"/>
        <v>39.200000000000003</v>
      </c>
      <c r="AZ83" s="1">
        <f t="shared" si="59"/>
        <v>23.9</v>
      </c>
      <c r="BA83" s="1">
        <f t="shared" si="74"/>
        <v>0.94099999999999984</v>
      </c>
      <c r="BB83" s="5">
        <f t="shared" si="75"/>
        <v>0</v>
      </c>
      <c r="BC83" s="1">
        <f t="shared" si="64"/>
        <v>-0.8</v>
      </c>
      <c r="BD83" s="1">
        <f t="shared" si="65"/>
        <v>0.6</v>
      </c>
      <c r="BE83" s="1">
        <f t="shared" si="66"/>
        <v>-2.6</v>
      </c>
      <c r="BF83" s="5">
        <f t="shared" si="76"/>
        <v>0</v>
      </c>
      <c r="BG83" s="5">
        <f t="shared" si="77"/>
        <v>0.2</v>
      </c>
      <c r="BH83" s="5">
        <f t="shared" si="78"/>
        <v>0.8</v>
      </c>
      <c r="BI83" s="5" t="str">
        <f t="shared" si="79"/>
        <v>NAN</v>
      </c>
      <c r="BJ83" s="10">
        <f t="shared" si="80"/>
        <v>0.29099999999999998</v>
      </c>
      <c r="BK83" s="10">
        <f t="shared" si="81"/>
        <v>0.92700000000000005</v>
      </c>
      <c r="BM83" s="1">
        <f t="shared" si="82"/>
        <v>-9.2949999999999999</v>
      </c>
      <c r="BN83" s="1">
        <f t="shared" si="83"/>
        <v>-3.988</v>
      </c>
    </row>
    <row r="84" spans="1:66" x14ac:dyDescent="0.2">
      <c r="A84" s="4">
        <f t="shared" si="84"/>
        <v>43544</v>
      </c>
      <c r="B84" s="1">
        <v>79</v>
      </c>
      <c r="C84" s="1">
        <v>12</v>
      </c>
      <c r="D84" s="5">
        <v>13.12</v>
      </c>
      <c r="E84" s="5">
        <v>14.42</v>
      </c>
      <c r="F84" s="5">
        <v>2.0529999999999999</v>
      </c>
      <c r="G84" s="5">
        <v>6.3570000000000002</v>
      </c>
      <c r="H84" s="5">
        <v>38.369999999999997</v>
      </c>
      <c r="I84" s="5">
        <v>6.9000000000000006E-2</v>
      </c>
      <c r="J84" s="5">
        <v>6.6000000000000003E-2</v>
      </c>
      <c r="K84" s="5">
        <v>1.9E-2</v>
      </c>
      <c r="L84" s="5">
        <v>0.22700000000000001</v>
      </c>
      <c r="M84" s="5">
        <v>0.81100000000000005</v>
      </c>
      <c r="N84" s="5">
        <v>11.77</v>
      </c>
      <c r="O84" s="5">
        <v>54.54</v>
      </c>
      <c r="P84" s="5">
        <v>0.17199999999999999</v>
      </c>
      <c r="Q84" s="5">
        <v>0.17199999999999999</v>
      </c>
      <c r="R84" s="5">
        <v>0.13500000000000001</v>
      </c>
      <c r="S84" s="5">
        <v>0.33</v>
      </c>
      <c r="T84" s="5">
        <v>0.92200000000000004</v>
      </c>
      <c r="U84" s="5">
        <v>2.7440000000000002</v>
      </c>
      <c r="V84" s="5">
        <v>21.95</v>
      </c>
      <c r="W84" s="5">
        <v>-0.192</v>
      </c>
      <c r="X84" s="5">
        <v>-0.16900000000000001</v>
      </c>
      <c r="Y84" s="5">
        <v>-0.18099999999999999</v>
      </c>
      <c r="Z84" s="5">
        <v>-8.0000000000000002E-3</v>
      </c>
      <c r="AA84" s="5">
        <v>0.51900000000000002</v>
      </c>
      <c r="AB84" s="5">
        <v>1.37</v>
      </c>
      <c r="AC84" s="5">
        <v>-0.23699999999999999</v>
      </c>
      <c r="AD84" s="5">
        <v>0.66900000000000004</v>
      </c>
      <c r="AE84" s="5">
        <v>-1.2010000000000001</v>
      </c>
      <c r="AF84" s="5">
        <v>15.96</v>
      </c>
      <c r="AG84" s="5">
        <v>2.3610000000000002</v>
      </c>
      <c r="AH84" s="5">
        <v>1.3620000000000001</v>
      </c>
      <c r="AI84" s="5" t="s">
        <v>99</v>
      </c>
      <c r="AK84" s="5">
        <f t="shared" si="60"/>
        <v>0.9049999999999998</v>
      </c>
      <c r="AL84" s="8">
        <f t="shared" si="61"/>
        <v>0</v>
      </c>
      <c r="AN84" s="1">
        <f t="shared" si="67"/>
        <v>54.5</v>
      </c>
      <c r="AO84" s="1">
        <f t="shared" si="68"/>
        <v>38.4</v>
      </c>
      <c r="AP84" s="1">
        <f t="shared" si="69"/>
        <v>22</v>
      </c>
      <c r="AQ84" s="17">
        <f t="shared" si="57"/>
        <v>0.30399999999999999</v>
      </c>
      <c r="AR84" s="22">
        <f t="shared" si="70"/>
        <v>1.0780000000000001</v>
      </c>
      <c r="AT84" s="19">
        <f t="shared" si="62"/>
        <v>43544</v>
      </c>
      <c r="AU84" s="20">
        <f t="shared" si="63"/>
        <v>79</v>
      </c>
      <c r="AV84" s="1">
        <f t="shared" si="71"/>
        <v>6.4</v>
      </c>
      <c r="AW84" s="1">
        <f t="shared" si="72"/>
        <v>11.8</v>
      </c>
      <c r="AX84" s="1">
        <f t="shared" si="73"/>
        <v>2.7</v>
      </c>
      <c r="AY84" s="1">
        <f t="shared" si="58"/>
        <v>38.4</v>
      </c>
      <c r="AZ84" s="1">
        <f t="shared" si="59"/>
        <v>22</v>
      </c>
      <c r="BA84" s="1">
        <f t="shared" si="74"/>
        <v>0.9049999999999998</v>
      </c>
      <c r="BB84" s="5">
        <f t="shared" si="75"/>
        <v>0</v>
      </c>
      <c r="BC84" s="1">
        <f t="shared" si="64"/>
        <v>-0.2</v>
      </c>
      <c r="BD84" s="1">
        <f t="shared" si="65"/>
        <v>0.7</v>
      </c>
      <c r="BE84" s="1">
        <f t="shared" si="66"/>
        <v>-1.2</v>
      </c>
      <c r="BF84" s="5">
        <f t="shared" si="76"/>
        <v>0</v>
      </c>
      <c r="BG84" s="5">
        <f t="shared" si="77"/>
        <v>0.2</v>
      </c>
      <c r="BH84" s="5">
        <f t="shared" si="78"/>
        <v>0.8</v>
      </c>
      <c r="BI84" s="5" t="str">
        <f t="shared" si="79"/>
        <v>NAN</v>
      </c>
      <c r="BJ84" s="10">
        <f t="shared" si="80"/>
        <v>0.30399999999999999</v>
      </c>
      <c r="BK84" s="10">
        <f t="shared" si="81"/>
        <v>1.0780000000000001</v>
      </c>
      <c r="BM84" s="1">
        <f t="shared" si="82"/>
        <v>-11.100999999999999</v>
      </c>
      <c r="BN84" s="1">
        <f t="shared" si="83"/>
        <v>-3.9450000000000003</v>
      </c>
    </row>
    <row r="85" spans="1:66" x14ac:dyDescent="0.2">
      <c r="A85" s="4">
        <f t="shared" si="84"/>
        <v>43545</v>
      </c>
      <c r="B85" s="1">
        <v>80</v>
      </c>
      <c r="C85" s="1">
        <v>12</v>
      </c>
      <c r="D85" s="5">
        <v>13.14</v>
      </c>
      <c r="E85" s="5">
        <v>16.04</v>
      </c>
      <c r="F85" s="5">
        <v>1.5229999999999999</v>
      </c>
      <c r="G85" s="5">
        <v>6.1929999999999996</v>
      </c>
      <c r="H85" s="5">
        <v>33.909999999999997</v>
      </c>
      <c r="I85" s="5">
        <v>5.6000000000000001E-2</v>
      </c>
      <c r="J85" s="5">
        <v>5.8000000000000003E-2</v>
      </c>
      <c r="K85" s="5">
        <v>3.9E-2</v>
      </c>
      <c r="L85" s="5">
        <v>0.22600000000000001</v>
      </c>
      <c r="M85" s="5">
        <v>0.79600000000000004</v>
      </c>
      <c r="N85" s="5">
        <v>12.21</v>
      </c>
      <c r="O85" s="5">
        <v>45.29</v>
      </c>
      <c r="P85" s="5">
        <v>0.17599999999999999</v>
      </c>
      <c r="Q85" s="5">
        <v>0.17499999999999999</v>
      </c>
      <c r="R85" s="5">
        <v>0.13200000000000001</v>
      </c>
      <c r="S85" s="5">
        <v>0.33</v>
      </c>
      <c r="T85" s="5">
        <v>0.91</v>
      </c>
      <c r="U85" s="5">
        <v>2.1429999999999998</v>
      </c>
      <c r="V85" s="5">
        <v>23.71</v>
      </c>
      <c r="W85" s="5">
        <v>-0.248</v>
      </c>
      <c r="X85" s="5">
        <v>-0.22800000000000001</v>
      </c>
      <c r="Y85" s="5">
        <v>-0.192</v>
      </c>
      <c r="Z85" s="5">
        <v>-8.0000000000000002E-3</v>
      </c>
      <c r="AA85" s="5">
        <v>0.46400000000000002</v>
      </c>
      <c r="AB85" s="5">
        <v>1.423</v>
      </c>
      <c r="AC85" s="5">
        <v>-0.40400000000000003</v>
      </c>
      <c r="AD85" s="5">
        <v>0.67900000000000005</v>
      </c>
      <c r="AE85" s="5">
        <v>-1.68</v>
      </c>
      <c r="AF85" s="5">
        <v>16.71</v>
      </c>
      <c r="AG85" s="5">
        <v>1.7729999999999999</v>
      </c>
      <c r="AH85" s="5">
        <v>1.41</v>
      </c>
      <c r="AI85" s="5" t="s">
        <v>99</v>
      </c>
      <c r="AK85" s="5">
        <f t="shared" si="60"/>
        <v>0.85199999999999987</v>
      </c>
      <c r="AL85" s="8">
        <f t="shared" si="61"/>
        <v>0</v>
      </c>
      <c r="AN85" s="1">
        <f t="shared" si="67"/>
        <v>45.3</v>
      </c>
      <c r="AO85" s="1">
        <f t="shared" si="68"/>
        <v>33.9</v>
      </c>
      <c r="AP85" s="1">
        <f t="shared" si="69"/>
        <v>23.7</v>
      </c>
      <c r="AQ85" s="17">
        <f t="shared" si="57"/>
        <v>0.33700000000000002</v>
      </c>
      <c r="AR85" s="22">
        <f t="shared" si="70"/>
        <v>1.085</v>
      </c>
      <c r="AT85" s="19">
        <f t="shared" si="62"/>
        <v>43545</v>
      </c>
      <c r="AU85" s="20">
        <f t="shared" si="63"/>
        <v>80</v>
      </c>
      <c r="AV85" s="1">
        <f t="shared" si="71"/>
        <v>6.2</v>
      </c>
      <c r="AW85" s="1">
        <f t="shared" si="72"/>
        <v>12.2</v>
      </c>
      <c r="AX85" s="1">
        <f t="shared" si="73"/>
        <v>2.1</v>
      </c>
      <c r="AY85" s="1">
        <f t="shared" si="58"/>
        <v>33.9</v>
      </c>
      <c r="AZ85" s="1">
        <f t="shared" si="59"/>
        <v>23.7</v>
      </c>
      <c r="BA85" s="1">
        <f t="shared" si="74"/>
        <v>0.85199999999999987</v>
      </c>
      <c r="BB85" s="5">
        <f t="shared" si="75"/>
        <v>0</v>
      </c>
      <c r="BC85" s="1">
        <f t="shared" si="64"/>
        <v>-0.4</v>
      </c>
      <c r="BD85" s="1">
        <f t="shared" si="65"/>
        <v>0.7</v>
      </c>
      <c r="BE85" s="1">
        <f t="shared" si="66"/>
        <v>-1.7</v>
      </c>
      <c r="BF85" s="5">
        <f t="shared" si="76"/>
        <v>0</v>
      </c>
      <c r="BG85" s="5">
        <f t="shared" si="77"/>
        <v>0.2</v>
      </c>
      <c r="BH85" s="5">
        <f t="shared" si="78"/>
        <v>0.8</v>
      </c>
      <c r="BI85" s="5" t="str">
        <f t="shared" si="79"/>
        <v>NAN</v>
      </c>
      <c r="BJ85" s="10">
        <f t="shared" si="80"/>
        <v>0.33700000000000002</v>
      </c>
      <c r="BK85" s="10">
        <f t="shared" si="81"/>
        <v>1.085</v>
      </c>
      <c r="BM85" s="1">
        <f t="shared" si="82"/>
        <v>-11.531000000000001</v>
      </c>
      <c r="BN85" s="1">
        <f t="shared" si="83"/>
        <v>-3.8229999999999995</v>
      </c>
    </row>
    <row r="86" spans="1:66" x14ac:dyDescent="0.2">
      <c r="A86" s="4">
        <f t="shared" si="84"/>
        <v>43546</v>
      </c>
      <c r="B86" s="1">
        <v>81</v>
      </c>
      <c r="C86" s="1">
        <v>12</v>
      </c>
      <c r="D86" s="5">
        <v>13.14</v>
      </c>
      <c r="E86" s="5">
        <v>13.8</v>
      </c>
      <c r="F86" s="5">
        <v>0.82</v>
      </c>
      <c r="G86" s="5">
        <v>4.9139999999999997</v>
      </c>
      <c r="H86" s="5">
        <v>47.7</v>
      </c>
      <c r="I86" s="5">
        <v>5.5E-2</v>
      </c>
      <c r="J86" s="5">
        <v>5.6000000000000001E-2</v>
      </c>
      <c r="K86" s="5">
        <v>4.2000000000000003E-2</v>
      </c>
      <c r="L86" s="5">
        <v>0.22600000000000001</v>
      </c>
      <c r="M86" s="5">
        <v>0.78900000000000003</v>
      </c>
      <c r="N86" s="5">
        <v>10.19</v>
      </c>
      <c r="O86" s="5">
        <v>92.5</v>
      </c>
      <c r="P86" s="5">
        <v>0.154</v>
      </c>
      <c r="Q86" s="5">
        <v>0.14599999999999999</v>
      </c>
      <c r="R86" s="5">
        <v>0.128</v>
      </c>
      <c r="S86" s="5">
        <v>0.30599999999999999</v>
      </c>
      <c r="T86" s="5">
        <v>0.89100000000000001</v>
      </c>
      <c r="U86" s="5">
        <v>0.317</v>
      </c>
      <c r="V86" s="5">
        <v>28.4</v>
      </c>
      <c r="W86" s="5">
        <v>-0.23699999999999999</v>
      </c>
      <c r="X86" s="5">
        <v>-0.22700000000000001</v>
      </c>
      <c r="Y86" s="5">
        <v>-0.20300000000000001</v>
      </c>
      <c r="Z86" s="5">
        <v>1.2999999999999999E-2</v>
      </c>
      <c r="AA86" s="5">
        <v>0.45100000000000001</v>
      </c>
      <c r="AB86" s="5">
        <v>1.448</v>
      </c>
      <c r="AC86" s="5">
        <v>-0.152</v>
      </c>
      <c r="AD86" s="5">
        <v>0.69199999999999995</v>
      </c>
      <c r="AE86" s="5">
        <v>-0.82</v>
      </c>
      <c r="AF86" s="5">
        <v>14.06</v>
      </c>
      <c r="AG86" s="5">
        <v>0.20300000000000001</v>
      </c>
      <c r="AH86" s="5">
        <v>1.446</v>
      </c>
      <c r="AI86" s="5" t="s">
        <v>99</v>
      </c>
      <c r="AK86" s="5">
        <f t="shared" si="60"/>
        <v>0.82699999999999996</v>
      </c>
      <c r="AL86" s="8">
        <f t="shared" si="61"/>
        <v>0</v>
      </c>
      <c r="AN86" s="1">
        <f t="shared" si="67"/>
        <v>92.5</v>
      </c>
      <c r="AO86" s="1">
        <f t="shared" si="68"/>
        <v>47.7</v>
      </c>
      <c r="AP86" s="1">
        <f t="shared" si="69"/>
        <v>28.4</v>
      </c>
      <c r="AQ86" s="17">
        <f t="shared" si="57"/>
        <v>0.35299999999999998</v>
      </c>
      <c r="AR86" s="22">
        <f t="shared" si="70"/>
        <v>0.89</v>
      </c>
      <c r="AT86" s="19">
        <f t="shared" si="62"/>
        <v>43546</v>
      </c>
      <c r="AU86" s="20">
        <f t="shared" si="63"/>
        <v>81</v>
      </c>
      <c r="AV86" s="1">
        <f t="shared" si="71"/>
        <v>4.9000000000000004</v>
      </c>
      <c r="AW86" s="1">
        <f t="shared" si="72"/>
        <v>10.199999999999999</v>
      </c>
      <c r="AX86" s="1">
        <f t="shared" si="73"/>
        <v>0.3</v>
      </c>
      <c r="AY86" s="1">
        <f t="shared" si="58"/>
        <v>47.7</v>
      </c>
      <c r="AZ86" s="1">
        <f t="shared" si="59"/>
        <v>28.4</v>
      </c>
      <c r="BA86" s="1">
        <f t="shared" si="74"/>
        <v>0.82699999999999996</v>
      </c>
      <c r="BB86" s="5">
        <f t="shared" si="75"/>
        <v>0</v>
      </c>
      <c r="BC86" s="1">
        <f t="shared" si="64"/>
        <v>-0.2</v>
      </c>
      <c r="BD86" s="1">
        <f t="shared" si="65"/>
        <v>0.7</v>
      </c>
      <c r="BE86" s="1">
        <f t="shared" si="66"/>
        <v>-0.8</v>
      </c>
      <c r="BF86" s="5">
        <f t="shared" si="76"/>
        <v>0</v>
      </c>
      <c r="BG86" s="5">
        <f t="shared" si="77"/>
        <v>0.2</v>
      </c>
      <c r="BH86" s="5">
        <f t="shared" si="78"/>
        <v>0.8</v>
      </c>
      <c r="BI86" s="5" t="str">
        <f t="shared" si="79"/>
        <v>NAN</v>
      </c>
      <c r="BJ86" s="10">
        <f t="shared" si="80"/>
        <v>0.35299999999999998</v>
      </c>
      <c r="BK86" s="10">
        <f t="shared" si="81"/>
        <v>0.89</v>
      </c>
      <c r="BM86" s="1">
        <f t="shared" si="82"/>
        <v>-9.4979999999999993</v>
      </c>
      <c r="BN86" s="1">
        <f t="shared" si="83"/>
        <v>-1.137</v>
      </c>
    </row>
    <row r="87" spans="1:66" x14ac:dyDescent="0.2">
      <c r="A87" s="4">
        <f t="shared" si="84"/>
        <v>43547</v>
      </c>
      <c r="B87" s="1">
        <v>82</v>
      </c>
      <c r="C87" s="1">
        <v>12</v>
      </c>
      <c r="D87" s="5">
        <v>13.1</v>
      </c>
      <c r="E87" s="5">
        <v>3.2709999999999999</v>
      </c>
      <c r="F87" s="5">
        <v>-0.20100000000000001</v>
      </c>
      <c r="G87" s="5">
        <v>0.94299999999999995</v>
      </c>
      <c r="H87" s="5">
        <v>79.290000000000006</v>
      </c>
      <c r="I87" s="5">
        <v>0.05</v>
      </c>
      <c r="J87" s="5">
        <v>4.8000000000000001E-2</v>
      </c>
      <c r="K87" s="5">
        <v>3.7999999999999999E-2</v>
      </c>
      <c r="L87" s="5">
        <v>0.224</v>
      </c>
      <c r="M87" s="5">
        <v>0.78100000000000003</v>
      </c>
      <c r="N87" s="5">
        <v>3.3519999999999999</v>
      </c>
      <c r="O87" s="5">
        <v>95.6</v>
      </c>
      <c r="P87" s="5">
        <v>0.14099999999999999</v>
      </c>
      <c r="Q87" s="5">
        <v>0.13700000000000001</v>
      </c>
      <c r="R87" s="5">
        <v>0.126</v>
      </c>
      <c r="S87" s="5">
        <v>0.31</v>
      </c>
      <c r="T87" s="5">
        <v>0.86699999999999999</v>
      </c>
      <c r="U87" s="5">
        <v>-0.85899999999999999</v>
      </c>
      <c r="V87" s="5">
        <v>60.99</v>
      </c>
      <c r="W87" s="5">
        <v>-5.8999999999999997E-2</v>
      </c>
      <c r="X87" s="5">
        <v>-5.8999999999999997E-2</v>
      </c>
      <c r="Y87" s="5">
        <v>-5.8999999999999997E-2</v>
      </c>
      <c r="Z87" s="5">
        <v>0.127</v>
      </c>
      <c r="AA87" s="5">
        <v>0.68200000000000005</v>
      </c>
      <c r="AB87" s="5">
        <v>1.456</v>
      </c>
      <c r="AC87" s="5">
        <v>-0.34899999999999998</v>
      </c>
      <c r="AD87" s="5">
        <v>0.218</v>
      </c>
      <c r="AE87" s="5">
        <v>-1.2929999999999999</v>
      </c>
      <c r="AF87" s="5">
        <v>3.081</v>
      </c>
      <c r="AG87" s="5">
        <v>-0.75700000000000001</v>
      </c>
      <c r="AH87" s="5">
        <v>1.4550000000000001</v>
      </c>
      <c r="AI87" s="5" t="s">
        <v>99</v>
      </c>
      <c r="AK87" s="5">
        <f t="shared" si="60"/>
        <v>0.81899999999999995</v>
      </c>
      <c r="AL87" s="8">
        <f t="shared" si="61"/>
        <v>0</v>
      </c>
      <c r="AN87" s="1">
        <f t="shared" si="67"/>
        <v>95.6</v>
      </c>
      <c r="AO87" s="1">
        <f t="shared" si="68"/>
        <v>79.3</v>
      </c>
      <c r="AP87" s="1">
        <f t="shared" si="69"/>
        <v>61</v>
      </c>
      <c r="AQ87" s="17">
        <f t="shared" si="57"/>
        <v>0.47399999999999998</v>
      </c>
      <c r="AR87" s="22">
        <f t="shared" si="70"/>
        <v>0.30299999999999999</v>
      </c>
      <c r="AT87" s="19">
        <f t="shared" si="62"/>
        <v>43547</v>
      </c>
      <c r="AU87" s="20">
        <f t="shared" si="63"/>
        <v>82</v>
      </c>
      <c r="AV87" s="1">
        <f t="shared" si="71"/>
        <v>0.9</v>
      </c>
      <c r="AW87" s="1">
        <f t="shared" si="72"/>
        <v>3.4</v>
      </c>
      <c r="AX87" s="1">
        <f t="shared" si="73"/>
        <v>-0.9</v>
      </c>
      <c r="AY87" s="1">
        <f t="shared" si="58"/>
        <v>79.3</v>
      </c>
      <c r="AZ87" s="1">
        <f t="shared" si="59"/>
        <v>61</v>
      </c>
      <c r="BA87" s="1">
        <f t="shared" si="74"/>
        <v>0.81899999999999995</v>
      </c>
      <c r="BB87" s="5">
        <f t="shared" si="75"/>
        <v>0</v>
      </c>
      <c r="BC87" s="1">
        <f t="shared" si="64"/>
        <v>-0.3</v>
      </c>
      <c r="BD87" s="1">
        <f t="shared" si="65"/>
        <v>0.2</v>
      </c>
      <c r="BE87" s="1">
        <f t="shared" si="66"/>
        <v>-1.3</v>
      </c>
      <c r="BF87" s="5">
        <f t="shared" si="76"/>
        <v>0</v>
      </c>
      <c r="BG87" s="5">
        <f t="shared" si="77"/>
        <v>0.2</v>
      </c>
      <c r="BH87" s="5">
        <f t="shared" si="78"/>
        <v>0.8</v>
      </c>
      <c r="BI87" s="5" t="str">
        <f t="shared" si="79"/>
        <v>NAN</v>
      </c>
      <c r="BJ87" s="10">
        <f t="shared" si="80"/>
        <v>0.47399999999999998</v>
      </c>
      <c r="BK87" s="10">
        <f t="shared" si="81"/>
        <v>0.30299999999999999</v>
      </c>
      <c r="BM87" s="1">
        <f t="shared" si="82"/>
        <v>-3.1339999999999999</v>
      </c>
      <c r="BN87" s="1">
        <f t="shared" si="83"/>
        <v>-0.43399999999999994</v>
      </c>
    </row>
    <row r="88" spans="1:66" x14ac:dyDescent="0.2">
      <c r="A88" s="4">
        <f t="shared" si="84"/>
        <v>43548</v>
      </c>
      <c r="B88" s="1">
        <v>83</v>
      </c>
      <c r="C88" s="1">
        <v>12</v>
      </c>
      <c r="D88" s="5">
        <v>13.04</v>
      </c>
      <c r="E88" s="5">
        <v>5.8310000000000004</v>
      </c>
      <c r="F88" s="5">
        <v>-0.28699999999999998</v>
      </c>
      <c r="G88" s="5">
        <v>1.3009999999999999</v>
      </c>
      <c r="H88" s="5">
        <v>80.900000000000006</v>
      </c>
      <c r="I88" s="5">
        <v>0.05</v>
      </c>
      <c r="J88" s="5">
        <v>4.9000000000000002E-2</v>
      </c>
      <c r="K88" s="5">
        <v>3.7999999999999999E-2</v>
      </c>
      <c r="L88" s="5">
        <v>0.22800000000000001</v>
      </c>
      <c r="M88" s="5">
        <v>0.77900000000000003</v>
      </c>
      <c r="N88" s="5">
        <v>5.0410000000000004</v>
      </c>
      <c r="O88" s="5">
        <v>96.3</v>
      </c>
      <c r="P88" s="5">
        <v>0.14199999999999999</v>
      </c>
      <c r="Q88" s="5">
        <v>0.14299999999999999</v>
      </c>
      <c r="R88" s="5">
        <v>0.12</v>
      </c>
      <c r="S88" s="5">
        <v>0.30399999999999999</v>
      </c>
      <c r="T88" s="5">
        <v>0.86699999999999999</v>
      </c>
      <c r="U88" s="5">
        <v>-0.96</v>
      </c>
      <c r="V88" s="5">
        <v>60.48</v>
      </c>
      <c r="W88" s="5">
        <v>-6.7000000000000004E-2</v>
      </c>
      <c r="X88" s="5">
        <v>-0.06</v>
      </c>
      <c r="Y88" s="5">
        <v>-5.8000000000000003E-2</v>
      </c>
      <c r="Z88" s="5">
        <v>0.127</v>
      </c>
      <c r="AA88" s="5">
        <v>0.66500000000000004</v>
      </c>
      <c r="AB88" s="5">
        <v>1.446</v>
      </c>
      <c r="AC88" s="5">
        <v>-0.45400000000000001</v>
      </c>
      <c r="AD88" s="5">
        <v>0.158</v>
      </c>
      <c r="AE88" s="5">
        <v>-1.38</v>
      </c>
      <c r="AF88" s="5">
        <v>5.6459999999999999</v>
      </c>
      <c r="AG88" s="5">
        <v>-0.99399999999999999</v>
      </c>
      <c r="AH88" s="5">
        <v>1.448</v>
      </c>
      <c r="AI88" s="5" t="s">
        <v>99</v>
      </c>
      <c r="AK88" s="5">
        <f t="shared" si="60"/>
        <v>0.82899999999999996</v>
      </c>
      <c r="AL88" s="8">
        <f t="shared" si="61"/>
        <v>0</v>
      </c>
      <c r="AN88" s="1">
        <f t="shared" si="67"/>
        <v>96.3</v>
      </c>
      <c r="AO88" s="1">
        <f t="shared" si="68"/>
        <v>80.900000000000006</v>
      </c>
      <c r="AP88" s="1">
        <f t="shared" si="69"/>
        <v>60.5</v>
      </c>
      <c r="AQ88" s="17">
        <f t="shared" si="57"/>
        <v>0.52900000000000003</v>
      </c>
      <c r="AR88" s="22">
        <f t="shared" si="70"/>
        <v>0.34499999999999997</v>
      </c>
      <c r="AT88" s="19">
        <f t="shared" si="62"/>
        <v>43548</v>
      </c>
      <c r="AU88" s="20">
        <f t="shared" si="63"/>
        <v>83</v>
      </c>
      <c r="AV88" s="1">
        <f t="shared" si="71"/>
        <v>1.3</v>
      </c>
      <c r="AW88" s="1">
        <f t="shared" si="72"/>
        <v>5</v>
      </c>
      <c r="AX88" s="1">
        <f t="shared" si="73"/>
        <v>-1</v>
      </c>
      <c r="AY88" s="1">
        <f t="shared" si="58"/>
        <v>80.900000000000006</v>
      </c>
      <c r="AZ88" s="1">
        <f t="shared" si="59"/>
        <v>60.5</v>
      </c>
      <c r="BA88" s="1">
        <f t="shared" si="74"/>
        <v>0.82899999999999996</v>
      </c>
      <c r="BB88" s="5">
        <f t="shared" si="75"/>
        <v>0</v>
      </c>
      <c r="BC88" s="1">
        <f t="shared" si="64"/>
        <v>-0.5</v>
      </c>
      <c r="BD88" s="1">
        <f t="shared" si="65"/>
        <v>0.2</v>
      </c>
      <c r="BE88" s="1">
        <f t="shared" si="66"/>
        <v>-1.4</v>
      </c>
      <c r="BF88" s="5">
        <f t="shared" si="76"/>
        <v>0</v>
      </c>
      <c r="BG88" s="5">
        <f t="shared" si="77"/>
        <v>0.2</v>
      </c>
      <c r="BH88" s="5">
        <f t="shared" si="78"/>
        <v>0.8</v>
      </c>
      <c r="BI88" s="5" t="str">
        <f t="shared" si="79"/>
        <v>NAN</v>
      </c>
      <c r="BJ88" s="10">
        <f t="shared" si="80"/>
        <v>0.52900000000000003</v>
      </c>
      <c r="BK88" s="10">
        <f t="shared" si="81"/>
        <v>0.34499999999999997</v>
      </c>
      <c r="BM88" s="1">
        <f t="shared" si="82"/>
        <v>-4.883</v>
      </c>
      <c r="BN88" s="1">
        <f t="shared" si="83"/>
        <v>-0.41999999999999993</v>
      </c>
    </row>
    <row r="89" spans="1:66" x14ac:dyDescent="0.2">
      <c r="A89" s="4">
        <f t="shared" si="84"/>
        <v>43549</v>
      </c>
      <c r="B89" s="1">
        <v>84</v>
      </c>
      <c r="C89" s="1">
        <v>12</v>
      </c>
      <c r="D89" s="5">
        <v>13.05</v>
      </c>
      <c r="E89" s="5">
        <v>1.4370000000000001</v>
      </c>
      <c r="F89" s="5">
        <v>-1.5</v>
      </c>
      <c r="G89" s="5">
        <v>-1.069</v>
      </c>
      <c r="H89" s="5">
        <v>94</v>
      </c>
      <c r="I89" s="5">
        <v>3.5999999999999997E-2</v>
      </c>
      <c r="J89" s="5">
        <v>3.5999999999999997E-2</v>
      </c>
      <c r="K89" s="5">
        <v>2.4E-2</v>
      </c>
      <c r="L89" s="5">
        <v>0.21</v>
      </c>
      <c r="M89" s="5">
        <v>0.76</v>
      </c>
      <c r="N89" s="5">
        <v>0.49299999999999999</v>
      </c>
      <c r="O89" s="5">
        <v>96.3</v>
      </c>
      <c r="P89" s="5">
        <v>0.11700000000000001</v>
      </c>
      <c r="Q89" s="5">
        <v>0.126</v>
      </c>
      <c r="R89" s="5">
        <v>0.111</v>
      </c>
      <c r="S89" s="5">
        <v>0.29199999999999998</v>
      </c>
      <c r="T89" s="5">
        <v>0.84799999999999998</v>
      </c>
      <c r="U89" s="5">
        <v>-2.0419999999999998</v>
      </c>
      <c r="V89" s="5">
        <v>89.8</v>
      </c>
      <c r="W89" s="5">
        <v>-0.05</v>
      </c>
      <c r="X89" s="5">
        <v>-4.9000000000000002E-2</v>
      </c>
      <c r="Y89" s="5">
        <v>-0.05</v>
      </c>
      <c r="Z89" s="5">
        <v>0.13</v>
      </c>
      <c r="AA89" s="5">
        <v>0.65600000000000003</v>
      </c>
      <c r="AB89" s="5">
        <v>1.4470000000000001</v>
      </c>
      <c r="AC89" s="5">
        <v>-1.2410000000000001</v>
      </c>
      <c r="AD89" s="5">
        <v>0.27400000000000002</v>
      </c>
      <c r="AE89" s="5">
        <v>-2.4119999999999999</v>
      </c>
      <c r="AF89" s="5">
        <v>1.1639999999999999</v>
      </c>
      <c r="AG89" s="5">
        <v>-2.0979999999999999</v>
      </c>
      <c r="AH89" s="5">
        <v>1.452</v>
      </c>
      <c r="AI89" s="5" t="s">
        <v>99</v>
      </c>
      <c r="AK89" s="5">
        <f t="shared" si="60"/>
        <v>0.82799999999999985</v>
      </c>
      <c r="AL89" s="8">
        <f t="shared" si="61"/>
        <v>0</v>
      </c>
      <c r="AN89" s="1">
        <f t="shared" si="67"/>
        <v>96.3</v>
      </c>
      <c r="AO89" s="1">
        <f t="shared" si="68"/>
        <v>94</v>
      </c>
      <c r="AP89" s="1">
        <f t="shared" si="69"/>
        <v>89.8</v>
      </c>
      <c r="AQ89" s="17">
        <f t="shared" si="57"/>
        <v>0.56799999999999995</v>
      </c>
      <c r="AR89" s="22">
        <f t="shared" si="70"/>
        <v>6.5000000000000002E-2</v>
      </c>
      <c r="AT89" s="19">
        <f t="shared" si="62"/>
        <v>43549</v>
      </c>
      <c r="AU89" s="20">
        <f t="shared" si="63"/>
        <v>84</v>
      </c>
      <c r="AV89" s="1">
        <f t="shared" si="71"/>
        <v>-1.1000000000000001</v>
      </c>
      <c r="AW89" s="1">
        <f t="shared" si="72"/>
        <v>0.5</v>
      </c>
      <c r="AX89" s="1">
        <f t="shared" si="73"/>
        <v>-2</v>
      </c>
      <c r="AY89" s="1">
        <f t="shared" si="58"/>
        <v>94</v>
      </c>
      <c r="AZ89" s="1">
        <f t="shared" si="59"/>
        <v>89.8</v>
      </c>
      <c r="BA89" s="1">
        <f t="shared" si="74"/>
        <v>0.82799999999999985</v>
      </c>
      <c r="BB89" s="5">
        <f t="shared" si="75"/>
        <v>0</v>
      </c>
      <c r="BC89" s="1">
        <f t="shared" si="64"/>
        <v>-1.2</v>
      </c>
      <c r="BD89" s="1">
        <f t="shared" si="65"/>
        <v>0.3</v>
      </c>
      <c r="BE89" s="1">
        <f t="shared" si="66"/>
        <v>-2.4</v>
      </c>
      <c r="BF89" s="5">
        <f t="shared" si="76"/>
        <v>0</v>
      </c>
      <c r="BG89" s="5">
        <f t="shared" si="77"/>
        <v>0.2</v>
      </c>
      <c r="BH89" s="5">
        <f t="shared" si="78"/>
        <v>0.8</v>
      </c>
      <c r="BI89" s="5" t="str">
        <f t="shared" si="79"/>
        <v>NAN</v>
      </c>
      <c r="BJ89" s="10">
        <f t="shared" si="80"/>
        <v>0.56799999999999995</v>
      </c>
      <c r="BK89" s="10">
        <f t="shared" si="81"/>
        <v>6.5000000000000002E-2</v>
      </c>
      <c r="BM89" s="1">
        <f t="shared" si="82"/>
        <v>-0.21899999999999997</v>
      </c>
      <c r="BN89" s="1">
        <f t="shared" si="83"/>
        <v>-0.37000000000000011</v>
      </c>
    </row>
    <row r="90" spans="1:66" x14ac:dyDescent="0.2">
      <c r="A90" s="4">
        <f t="shared" si="84"/>
        <v>43550</v>
      </c>
      <c r="B90" s="1">
        <v>85</v>
      </c>
      <c r="C90" s="1">
        <v>12</v>
      </c>
      <c r="D90" s="5">
        <v>13.15</v>
      </c>
      <c r="E90" s="5">
        <v>-0.11799999999999999</v>
      </c>
      <c r="F90" s="5">
        <v>-5.09</v>
      </c>
      <c r="G90" s="5">
        <v>-3.0259999999999998</v>
      </c>
      <c r="H90" s="5">
        <v>85.7</v>
      </c>
      <c r="I90" s="5">
        <v>1.4E-2</v>
      </c>
      <c r="J90" s="5">
        <v>1.2E-2</v>
      </c>
      <c r="K90" s="5">
        <v>0</v>
      </c>
      <c r="L90" s="5">
        <v>0.187</v>
      </c>
      <c r="M90" s="5">
        <v>0.73599999999999999</v>
      </c>
      <c r="N90" s="5">
        <v>-0.85899999999999999</v>
      </c>
      <c r="O90" s="5">
        <v>95.8</v>
      </c>
      <c r="P90" s="5">
        <v>9.7000000000000003E-2</v>
      </c>
      <c r="Q90" s="5">
        <v>8.8999999999999996E-2</v>
      </c>
      <c r="R90" s="5">
        <v>8.3000000000000004E-2</v>
      </c>
      <c r="S90" s="5">
        <v>0.27600000000000002</v>
      </c>
      <c r="T90" s="5">
        <v>0.82299999999999995</v>
      </c>
      <c r="U90" s="5">
        <v>-6.2910000000000004</v>
      </c>
      <c r="V90" s="5">
        <v>63.31</v>
      </c>
      <c r="W90" s="5">
        <v>-8.4000000000000005E-2</v>
      </c>
      <c r="X90" s="5">
        <v>-7.2999999999999995E-2</v>
      </c>
      <c r="Y90" s="5">
        <v>-9.5000000000000001E-2</v>
      </c>
      <c r="Z90" s="5">
        <v>9.8000000000000004E-2</v>
      </c>
      <c r="AA90" s="5">
        <v>0.63700000000000001</v>
      </c>
      <c r="AB90" s="5">
        <v>1.38</v>
      </c>
      <c r="AC90" s="5">
        <v>-3.8119999999999998</v>
      </c>
      <c r="AD90" s="5">
        <v>-0.91</v>
      </c>
      <c r="AE90" s="5">
        <v>-7.8540000000000001</v>
      </c>
      <c r="AF90" s="5">
        <v>-0.52</v>
      </c>
      <c r="AG90" s="5">
        <v>-6.0970000000000004</v>
      </c>
      <c r="AH90" s="5">
        <v>1.3959999999999999</v>
      </c>
      <c r="AI90" s="5" t="s">
        <v>99</v>
      </c>
      <c r="AK90" s="5">
        <f t="shared" si="60"/>
        <v>0.89500000000000002</v>
      </c>
      <c r="AL90" s="8">
        <f t="shared" si="61"/>
        <v>0</v>
      </c>
      <c r="AN90" s="1">
        <f t="shared" si="67"/>
        <v>95.8</v>
      </c>
      <c r="AO90" s="1">
        <f t="shared" si="68"/>
        <v>85.7</v>
      </c>
      <c r="AP90" s="1">
        <f t="shared" si="69"/>
        <v>63.3</v>
      </c>
      <c r="AQ90" s="17">
        <f t="shared" si="57"/>
        <v>0.36299999999999999</v>
      </c>
      <c r="AR90" s="22">
        <f t="shared" si="70"/>
        <v>0.21</v>
      </c>
      <c r="AT90" s="19">
        <f t="shared" si="62"/>
        <v>43550</v>
      </c>
      <c r="AU90" s="20">
        <f t="shared" si="63"/>
        <v>85</v>
      </c>
      <c r="AV90" s="1">
        <f t="shared" si="71"/>
        <v>-3</v>
      </c>
      <c r="AW90" s="1">
        <f t="shared" si="72"/>
        <v>-0.9</v>
      </c>
      <c r="AX90" s="1">
        <f t="shared" si="73"/>
        <v>-6.3</v>
      </c>
      <c r="AY90" s="1">
        <f t="shared" si="58"/>
        <v>85.7</v>
      </c>
      <c r="AZ90" s="1">
        <f t="shared" si="59"/>
        <v>63.3</v>
      </c>
      <c r="BA90" s="1">
        <f t="shared" si="74"/>
        <v>0.89500000000000002</v>
      </c>
      <c r="BB90" s="5">
        <f t="shared" si="75"/>
        <v>0</v>
      </c>
      <c r="BC90" s="1">
        <f t="shared" si="64"/>
        <v>-3.8</v>
      </c>
      <c r="BD90" s="1">
        <f t="shared" si="65"/>
        <v>-0.9</v>
      </c>
      <c r="BE90" s="1">
        <f t="shared" si="66"/>
        <v>-7.9</v>
      </c>
      <c r="BF90" s="5">
        <f t="shared" si="76"/>
        <v>0</v>
      </c>
      <c r="BG90" s="5">
        <f t="shared" si="77"/>
        <v>0.2</v>
      </c>
      <c r="BH90" s="5">
        <f t="shared" si="78"/>
        <v>0.7</v>
      </c>
      <c r="BI90" s="5" t="str">
        <f t="shared" si="79"/>
        <v>NAN</v>
      </c>
      <c r="BJ90" s="10">
        <f t="shared" si="80"/>
        <v>0.36299999999999999</v>
      </c>
      <c r="BK90" s="10">
        <f t="shared" si="81"/>
        <v>0.21</v>
      </c>
      <c r="BM90" s="1">
        <f t="shared" si="82"/>
        <v>-5.1000000000000045E-2</v>
      </c>
      <c r="BN90" s="1">
        <f t="shared" si="83"/>
        <v>-1.5629999999999997</v>
      </c>
    </row>
    <row r="91" spans="1:66" x14ac:dyDescent="0.2">
      <c r="A91" s="4">
        <f t="shared" si="84"/>
        <v>43551</v>
      </c>
      <c r="B91" s="1">
        <v>86</v>
      </c>
      <c r="C91" s="1">
        <v>12</v>
      </c>
      <c r="D91" s="5">
        <v>13.15</v>
      </c>
      <c r="E91" s="5">
        <v>3.956</v>
      </c>
      <c r="F91" s="5">
        <v>-7.1509999999999998</v>
      </c>
      <c r="G91" s="5">
        <v>-2.8530000000000002</v>
      </c>
      <c r="H91" s="5">
        <v>79.599999999999994</v>
      </c>
      <c r="I91" s="5">
        <v>0.02</v>
      </c>
      <c r="J91" s="5">
        <v>1.7000000000000001E-2</v>
      </c>
      <c r="K91" s="5">
        <v>6.0000000000000001E-3</v>
      </c>
      <c r="L91" s="5">
        <v>0.193</v>
      </c>
      <c r="M91" s="5">
        <v>0.73499999999999999</v>
      </c>
      <c r="N91" s="5">
        <v>2.4729999999999999</v>
      </c>
      <c r="O91" s="5">
        <v>88.7</v>
      </c>
      <c r="P91" s="5">
        <v>0.14599999999999999</v>
      </c>
      <c r="Q91" s="5">
        <v>0.13900000000000001</v>
      </c>
      <c r="R91" s="5">
        <v>0.105</v>
      </c>
      <c r="S91" s="5">
        <v>0.29699999999999999</v>
      </c>
      <c r="T91" s="5">
        <v>0.85299999999999998</v>
      </c>
      <c r="U91" s="5">
        <v>-7.4050000000000002</v>
      </c>
      <c r="V91" s="5">
        <v>57.24</v>
      </c>
      <c r="W91" s="5">
        <v>-9.0999999999999998E-2</v>
      </c>
      <c r="X91" s="5">
        <v>-8.7999999999999995E-2</v>
      </c>
      <c r="Y91" s="5">
        <v>-8.2000000000000003E-2</v>
      </c>
      <c r="Z91" s="5">
        <v>0.105</v>
      </c>
      <c r="AA91" s="5">
        <v>0.61599999999999999</v>
      </c>
      <c r="AB91" s="5">
        <v>1.4039999999999999</v>
      </c>
      <c r="AC91" s="5">
        <v>-4.3780000000000001</v>
      </c>
      <c r="AD91" s="5">
        <v>0.42399999999999999</v>
      </c>
      <c r="AE91" s="5">
        <v>-8.7100000000000009</v>
      </c>
      <c r="AF91" s="5">
        <v>4.5970000000000004</v>
      </c>
      <c r="AG91" s="5">
        <v>-7.65</v>
      </c>
      <c r="AH91" s="5">
        <v>1.4139999999999999</v>
      </c>
      <c r="AI91" s="5" t="s">
        <v>99</v>
      </c>
      <c r="AK91" s="5">
        <f t="shared" si="60"/>
        <v>0.871</v>
      </c>
      <c r="AL91" s="8">
        <f t="shared" si="61"/>
        <v>0</v>
      </c>
      <c r="AN91" s="1">
        <f t="shared" si="67"/>
        <v>88.7</v>
      </c>
      <c r="AO91" s="1">
        <f t="shared" si="68"/>
        <v>79.599999999999994</v>
      </c>
      <c r="AP91" s="1">
        <f t="shared" si="69"/>
        <v>57.2</v>
      </c>
      <c r="AQ91" s="17">
        <f t="shared" si="57"/>
        <v>0.41699999999999998</v>
      </c>
      <c r="AR91" s="22">
        <f t="shared" si="70"/>
        <v>0.312</v>
      </c>
      <c r="AT91" s="19">
        <f t="shared" si="62"/>
        <v>43551</v>
      </c>
      <c r="AU91" s="20">
        <f t="shared" si="63"/>
        <v>86</v>
      </c>
      <c r="AV91" s="1">
        <f t="shared" si="71"/>
        <v>-2.9</v>
      </c>
      <c r="AW91" s="1">
        <f t="shared" si="72"/>
        <v>2.5</v>
      </c>
      <c r="AX91" s="1">
        <f t="shared" si="73"/>
        <v>-7.4</v>
      </c>
      <c r="AY91" s="1">
        <f t="shared" si="58"/>
        <v>79.599999999999994</v>
      </c>
      <c r="AZ91" s="1">
        <f t="shared" si="59"/>
        <v>57.2</v>
      </c>
      <c r="BA91" s="1">
        <f t="shared" si="74"/>
        <v>0.871</v>
      </c>
      <c r="BB91" s="5">
        <f t="shared" si="75"/>
        <v>0</v>
      </c>
      <c r="BC91" s="1">
        <f t="shared" si="64"/>
        <v>-4.4000000000000004</v>
      </c>
      <c r="BD91" s="1">
        <f t="shared" si="65"/>
        <v>0.4</v>
      </c>
      <c r="BE91" s="1">
        <f t="shared" si="66"/>
        <v>-8.6999999999999993</v>
      </c>
      <c r="BF91" s="5">
        <f t="shared" si="76"/>
        <v>0</v>
      </c>
      <c r="BG91" s="5">
        <f t="shared" si="77"/>
        <v>0.2</v>
      </c>
      <c r="BH91" s="5">
        <f t="shared" si="78"/>
        <v>0.7</v>
      </c>
      <c r="BI91" s="5" t="str">
        <f t="shared" si="79"/>
        <v>NAN</v>
      </c>
      <c r="BJ91" s="10">
        <f t="shared" si="80"/>
        <v>0.41699999999999998</v>
      </c>
      <c r="BK91" s="10">
        <f t="shared" si="81"/>
        <v>0.312</v>
      </c>
      <c r="BM91" s="1">
        <f t="shared" si="82"/>
        <v>-2.0489999999999999</v>
      </c>
      <c r="BN91" s="1">
        <f t="shared" si="83"/>
        <v>-1.3050000000000006</v>
      </c>
    </row>
    <row r="92" spans="1:66" x14ac:dyDescent="0.2">
      <c r="A92" s="4">
        <f t="shared" si="84"/>
        <v>43552</v>
      </c>
      <c r="B92" s="1">
        <v>87</v>
      </c>
      <c r="C92" s="1">
        <v>12</v>
      </c>
      <c r="D92" s="5">
        <v>13.17</v>
      </c>
      <c r="E92" s="5">
        <v>2.6520000000000001</v>
      </c>
      <c r="F92" s="5">
        <v>-5.1130000000000004</v>
      </c>
      <c r="G92" s="5">
        <v>-1.1100000000000001</v>
      </c>
      <c r="H92" s="5">
        <v>64.459999999999994</v>
      </c>
      <c r="I92" s="5">
        <v>2.9000000000000001E-2</v>
      </c>
      <c r="J92" s="5">
        <v>2.5000000000000001E-2</v>
      </c>
      <c r="K92" s="5">
        <v>1.6E-2</v>
      </c>
      <c r="L92" s="5">
        <v>0.20399999999999999</v>
      </c>
      <c r="M92" s="5">
        <v>0.74399999999999999</v>
      </c>
      <c r="N92" s="5">
        <v>3.2890000000000001</v>
      </c>
      <c r="O92" s="5">
        <v>79.569999999999993</v>
      </c>
      <c r="P92" s="5">
        <v>0.13400000000000001</v>
      </c>
      <c r="Q92" s="5">
        <v>0.13200000000000001</v>
      </c>
      <c r="R92" s="5">
        <v>0.11799999999999999</v>
      </c>
      <c r="S92" s="5">
        <v>0.312</v>
      </c>
      <c r="T92" s="5">
        <v>0.84299999999999997</v>
      </c>
      <c r="U92" s="5">
        <v>-4.9420000000000002</v>
      </c>
      <c r="V92" s="5">
        <v>46.29</v>
      </c>
      <c r="W92" s="5">
        <v>-7.0000000000000007E-2</v>
      </c>
      <c r="X92" s="5">
        <v>-8.2000000000000003E-2</v>
      </c>
      <c r="Y92" s="5">
        <v>-7.9000000000000001E-2</v>
      </c>
      <c r="Z92" s="5">
        <v>0.111</v>
      </c>
      <c r="AA92" s="5">
        <v>0.64700000000000002</v>
      </c>
      <c r="AB92" s="5">
        <v>1.417</v>
      </c>
      <c r="AC92" s="5">
        <v>-3.0219999999999998</v>
      </c>
      <c r="AD92" s="5">
        <v>0.45900000000000002</v>
      </c>
      <c r="AE92" s="5">
        <v>-6.7549999999999999</v>
      </c>
      <c r="AF92" s="5">
        <v>4.3369999999999997</v>
      </c>
      <c r="AG92" s="5">
        <v>-5.3789999999999996</v>
      </c>
      <c r="AH92" s="5">
        <v>1.423</v>
      </c>
      <c r="AI92" s="5" t="s">
        <v>99</v>
      </c>
      <c r="AK92" s="5">
        <f t="shared" si="60"/>
        <v>0.85799999999999987</v>
      </c>
      <c r="AL92" s="8">
        <f t="shared" si="61"/>
        <v>0</v>
      </c>
      <c r="AN92" s="1">
        <f t="shared" si="67"/>
        <v>79.599999999999994</v>
      </c>
      <c r="AO92" s="1">
        <f t="shared" si="68"/>
        <v>64.5</v>
      </c>
      <c r="AP92" s="1">
        <f t="shared" si="69"/>
        <v>46.3</v>
      </c>
      <c r="AQ92" s="17">
        <f t="shared" si="57"/>
        <v>0.35799999999999998</v>
      </c>
      <c r="AR92" s="22">
        <f t="shared" si="70"/>
        <v>0.41499999999999998</v>
      </c>
      <c r="AT92" s="19">
        <f t="shared" si="62"/>
        <v>43552</v>
      </c>
      <c r="AU92" s="20">
        <f t="shared" si="63"/>
        <v>87</v>
      </c>
      <c r="AV92" s="1">
        <f t="shared" si="71"/>
        <v>-1.1000000000000001</v>
      </c>
      <c r="AW92" s="1">
        <f t="shared" si="72"/>
        <v>3.3</v>
      </c>
      <c r="AX92" s="1">
        <f t="shared" si="73"/>
        <v>-4.9000000000000004</v>
      </c>
      <c r="AY92" s="1">
        <f t="shared" si="58"/>
        <v>64.5</v>
      </c>
      <c r="AZ92" s="1">
        <f t="shared" si="59"/>
        <v>46.3</v>
      </c>
      <c r="BA92" s="1">
        <f t="shared" si="74"/>
        <v>0.85799999999999987</v>
      </c>
      <c r="BB92" s="5">
        <f t="shared" si="75"/>
        <v>0</v>
      </c>
      <c r="BC92" s="1">
        <f t="shared" si="64"/>
        <v>-3</v>
      </c>
      <c r="BD92" s="1">
        <f t="shared" si="65"/>
        <v>0.5</v>
      </c>
      <c r="BE92" s="1">
        <f t="shared" si="66"/>
        <v>-6.8</v>
      </c>
      <c r="BF92" s="5">
        <f t="shared" si="76"/>
        <v>0</v>
      </c>
      <c r="BG92" s="5">
        <f t="shared" si="77"/>
        <v>0.2</v>
      </c>
      <c r="BH92" s="5">
        <f t="shared" si="78"/>
        <v>0.7</v>
      </c>
      <c r="BI92" s="5" t="str">
        <f t="shared" si="79"/>
        <v>NAN</v>
      </c>
      <c r="BJ92" s="10">
        <f t="shared" si="80"/>
        <v>0.35799999999999998</v>
      </c>
      <c r="BK92" s="10">
        <f t="shared" si="81"/>
        <v>0.41499999999999998</v>
      </c>
      <c r="BM92" s="1">
        <f t="shared" si="82"/>
        <v>-2.83</v>
      </c>
      <c r="BN92" s="1">
        <f t="shared" si="83"/>
        <v>-1.8129999999999997</v>
      </c>
    </row>
    <row r="93" spans="1:66" x14ac:dyDescent="0.2">
      <c r="A93" s="4">
        <f t="shared" si="84"/>
        <v>43553</v>
      </c>
      <c r="B93" s="1">
        <v>88</v>
      </c>
      <c r="C93" s="1">
        <v>12</v>
      </c>
      <c r="D93" s="5">
        <v>13.17</v>
      </c>
      <c r="E93" s="5">
        <v>5.7430000000000003</v>
      </c>
      <c r="F93" s="5">
        <v>-3.4929999999999999</v>
      </c>
      <c r="G93" s="5">
        <v>0.20300000000000001</v>
      </c>
      <c r="H93" s="5">
        <v>52.79</v>
      </c>
      <c r="I93" s="5">
        <v>4.4999999999999998E-2</v>
      </c>
      <c r="J93" s="5">
        <v>4.1000000000000002E-2</v>
      </c>
      <c r="K93" s="5">
        <v>0.03</v>
      </c>
      <c r="L93" s="5">
        <v>0.22</v>
      </c>
      <c r="M93" s="5">
        <v>0.75700000000000001</v>
      </c>
      <c r="N93" s="5">
        <v>4.0599999999999996</v>
      </c>
      <c r="O93" s="5">
        <v>68.680000000000007</v>
      </c>
      <c r="P93" s="5">
        <v>0.16700000000000001</v>
      </c>
      <c r="Q93" s="5">
        <v>0.16400000000000001</v>
      </c>
      <c r="R93" s="5">
        <v>0.14199999999999999</v>
      </c>
      <c r="S93" s="5">
        <v>0.32300000000000001</v>
      </c>
      <c r="T93" s="5">
        <v>0.872</v>
      </c>
      <c r="U93" s="5">
        <v>-2.8860000000000001</v>
      </c>
      <c r="V93" s="5">
        <v>34.26</v>
      </c>
      <c r="W93" s="5">
        <v>-6.5000000000000002E-2</v>
      </c>
      <c r="X93" s="5">
        <v>-7.9000000000000001E-2</v>
      </c>
      <c r="Y93" s="5">
        <v>-6.8000000000000005E-2</v>
      </c>
      <c r="Z93" s="5">
        <v>0.13200000000000001</v>
      </c>
      <c r="AA93" s="5">
        <v>0.66900000000000004</v>
      </c>
      <c r="AB93" s="5">
        <v>1.4339999999999999</v>
      </c>
      <c r="AC93" s="5">
        <v>-2.46</v>
      </c>
      <c r="AD93" s="5">
        <v>0.59399999999999997</v>
      </c>
      <c r="AE93" s="5">
        <v>-5.3019999999999996</v>
      </c>
      <c r="AF93" s="5">
        <v>8.25</v>
      </c>
      <c r="AG93" s="5">
        <v>-3.3029999999999999</v>
      </c>
      <c r="AH93" s="5">
        <v>1.4379999999999999</v>
      </c>
      <c r="AI93" s="5" t="s">
        <v>99</v>
      </c>
      <c r="AK93" s="5">
        <f t="shared" si="60"/>
        <v>0.84099999999999997</v>
      </c>
      <c r="AL93" s="8">
        <f t="shared" si="61"/>
        <v>0</v>
      </c>
      <c r="AN93" s="1">
        <f t="shared" si="67"/>
        <v>68.7</v>
      </c>
      <c r="AO93" s="1">
        <f t="shared" si="68"/>
        <v>52.8</v>
      </c>
      <c r="AP93" s="1">
        <f t="shared" si="69"/>
        <v>34.299999999999997</v>
      </c>
      <c r="AQ93" s="17">
        <f t="shared" si="57"/>
        <v>0.28000000000000003</v>
      </c>
      <c r="AR93" s="22">
        <f t="shared" si="70"/>
        <v>0.53600000000000003</v>
      </c>
      <c r="AT93" s="19">
        <f t="shared" si="62"/>
        <v>43553</v>
      </c>
      <c r="AU93" s="20">
        <f t="shared" si="63"/>
        <v>88</v>
      </c>
      <c r="AV93" s="1">
        <f t="shared" si="71"/>
        <v>0.2</v>
      </c>
      <c r="AW93" s="1">
        <f t="shared" si="72"/>
        <v>4.0999999999999996</v>
      </c>
      <c r="AX93" s="1">
        <f t="shared" si="73"/>
        <v>-2.9</v>
      </c>
      <c r="AY93" s="1">
        <f t="shared" si="58"/>
        <v>52.8</v>
      </c>
      <c r="AZ93" s="1">
        <f t="shared" si="59"/>
        <v>34.299999999999997</v>
      </c>
      <c r="BA93" s="1">
        <f t="shared" si="74"/>
        <v>0.84099999999999997</v>
      </c>
      <c r="BB93" s="5">
        <f t="shared" si="75"/>
        <v>0</v>
      </c>
      <c r="BC93" s="1">
        <f t="shared" si="64"/>
        <v>-2.5</v>
      </c>
      <c r="BD93" s="1">
        <f t="shared" si="65"/>
        <v>0.6</v>
      </c>
      <c r="BE93" s="1">
        <f t="shared" si="66"/>
        <v>-5.3</v>
      </c>
      <c r="BF93" s="5">
        <f t="shared" si="76"/>
        <v>0</v>
      </c>
      <c r="BG93" s="5">
        <f t="shared" si="77"/>
        <v>0.2</v>
      </c>
      <c r="BH93" s="5">
        <f t="shared" si="78"/>
        <v>0.8</v>
      </c>
      <c r="BI93" s="5" t="str">
        <f t="shared" si="79"/>
        <v>NAN</v>
      </c>
      <c r="BJ93" s="10">
        <f t="shared" si="80"/>
        <v>0.28000000000000003</v>
      </c>
      <c r="BK93" s="10">
        <f t="shared" si="81"/>
        <v>0.53600000000000003</v>
      </c>
      <c r="BM93" s="1">
        <f t="shared" si="82"/>
        <v>-3.4659999999999997</v>
      </c>
      <c r="BN93" s="1">
        <f t="shared" si="83"/>
        <v>-2.4159999999999995</v>
      </c>
    </row>
    <row r="94" spans="1:66" x14ac:dyDescent="0.2">
      <c r="A94" s="4">
        <f t="shared" si="84"/>
        <v>43554</v>
      </c>
      <c r="B94" s="1">
        <v>89</v>
      </c>
      <c r="C94" s="1">
        <v>12</v>
      </c>
      <c r="D94" s="5">
        <v>13.19</v>
      </c>
      <c r="E94" s="5">
        <v>6.3079999999999998</v>
      </c>
      <c r="F94" s="5">
        <v>-2.8919999999999999</v>
      </c>
      <c r="G94" s="5">
        <v>1.3939999999999999</v>
      </c>
      <c r="H94" s="5">
        <v>49.64</v>
      </c>
      <c r="I94" s="5">
        <v>4.7E-2</v>
      </c>
      <c r="J94" s="5">
        <v>4.3999999999999997E-2</v>
      </c>
      <c r="K94" s="5">
        <v>3.4000000000000002E-2</v>
      </c>
      <c r="L94" s="5">
        <v>0.224</v>
      </c>
      <c r="M94" s="5">
        <v>0.75700000000000001</v>
      </c>
      <c r="N94" s="5">
        <v>5.58</v>
      </c>
      <c r="O94" s="5">
        <v>65.91</v>
      </c>
      <c r="P94" s="5">
        <v>0.17100000000000001</v>
      </c>
      <c r="Q94" s="5">
        <v>0.17100000000000001</v>
      </c>
      <c r="R94" s="5">
        <v>0.12</v>
      </c>
      <c r="S94" s="5">
        <v>0.318</v>
      </c>
      <c r="T94" s="5">
        <v>0.86899999999999999</v>
      </c>
      <c r="U94" s="5">
        <v>-2.0419999999999998</v>
      </c>
      <c r="V94" s="5">
        <v>33.11</v>
      </c>
      <c r="W94" s="5">
        <v>-6.5000000000000002E-2</v>
      </c>
      <c r="X94" s="5">
        <v>-6.7000000000000004E-2</v>
      </c>
      <c r="Y94" s="5">
        <v>-6.5000000000000002E-2</v>
      </c>
      <c r="Z94" s="5">
        <v>0.123</v>
      </c>
      <c r="AA94" s="5">
        <v>0.64300000000000002</v>
      </c>
      <c r="AB94" s="5">
        <v>1.4590000000000001</v>
      </c>
      <c r="AC94" s="5">
        <v>-1.7430000000000001</v>
      </c>
      <c r="AD94" s="5">
        <v>0.627</v>
      </c>
      <c r="AE94" s="5">
        <v>-4.6349999999999998</v>
      </c>
      <c r="AF94" s="5">
        <v>8.36</v>
      </c>
      <c r="AG94" s="5">
        <v>-2.4340000000000002</v>
      </c>
      <c r="AH94" s="5">
        <v>1.4570000000000001</v>
      </c>
      <c r="AI94" s="5" t="s">
        <v>99</v>
      </c>
      <c r="AK94" s="5">
        <f t="shared" si="60"/>
        <v>0.81599999999999984</v>
      </c>
      <c r="AL94" s="8">
        <f t="shared" si="61"/>
        <v>0</v>
      </c>
      <c r="AN94" s="1">
        <f t="shared" si="67"/>
        <v>65.900000000000006</v>
      </c>
      <c r="AO94" s="1">
        <f t="shared" si="68"/>
        <v>49.6</v>
      </c>
      <c r="AP94" s="1">
        <f t="shared" si="69"/>
        <v>33.1</v>
      </c>
      <c r="AQ94" s="17">
        <f t="shared" si="57"/>
        <v>0.30099999999999999</v>
      </c>
      <c r="AR94" s="22">
        <f t="shared" si="70"/>
        <v>0.60799999999999998</v>
      </c>
      <c r="AT94" s="19">
        <f t="shared" si="62"/>
        <v>43554</v>
      </c>
      <c r="AU94" s="20">
        <f t="shared" si="63"/>
        <v>89</v>
      </c>
      <c r="AV94" s="1">
        <f t="shared" si="71"/>
        <v>1.4</v>
      </c>
      <c r="AW94" s="1">
        <f t="shared" si="72"/>
        <v>5.6</v>
      </c>
      <c r="AX94" s="1">
        <f t="shared" si="73"/>
        <v>-2</v>
      </c>
      <c r="AY94" s="1">
        <f t="shared" si="58"/>
        <v>49.6</v>
      </c>
      <c r="AZ94" s="1">
        <f t="shared" si="59"/>
        <v>33.1</v>
      </c>
      <c r="BA94" s="1">
        <f t="shared" si="74"/>
        <v>0.81599999999999984</v>
      </c>
      <c r="BB94" s="5">
        <f t="shared" si="75"/>
        <v>0</v>
      </c>
      <c r="BC94" s="1">
        <f t="shared" si="64"/>
        <v>-1.7</v>
      </c>
      <c r="BD94" s="1">
        <f t="shared" si="65"/>
        <v>0.6</v>
      </c>
      <c r="BE94" s="1">
        <f t="shared" si="66"/>
        <v>-4.5999999999999996</v>
      </c>
      <c r="BF94" s="5">
        <f t="shared" si="76"/>
        <v>0</v>
      </c>
      <c r="BG94" s="5">
        <f t="shared" si="77"/>
        <v>0.2</v>
      </c>
      <c r="BH94" s="5">
        <f t="shared" si="78"/>
        <v>0.8</v>
      </c>
      <c r="BI94" s="5" t="str">
        <f t="shared" si="79"/>
        <v>NAN</v>
      </c>
      <c r="BJ94" s="10">
        <f t="shared" si="80"/>
        <v>0.30099999999999999</v>
      </c>
      <c r="BK94" s="10">
        <f t="shared" si="81"/>
        <v>0.60799999999999998</v>
      </c>
      <c r="BM94" s="1">
        <f t="shared" si="82"/>
        <v>-4.9530000000000003</v>
      </c>
      <c r="BN94" s="1">
        <f t="shared" si="83"/>
        <v>-2.593</v>
      </c>
    </row>
    <row r="95" spans="1:66" x14ac:dyDescent="0.2">
      <c r="A95" s="4">
        <f t="shared" si="84"/>
        <v>43555</v>
      </c>
      <c r="B95" s="1">
        <v>90</v>
      </c>
      <c r="C95" s="1">
        <v>12</v>
      </c>
      <c r="D95" s="5">
        <v>13.17</v>
      </c>
      <c r="E95" s="5">
        <v>6.33</v>
      </c>
      <c r="F95" s="5">
        <v>-2.2480000000000002</v>
      </c>
      <c r="G95" s="5">
        <v>0.47399999999999998</v>
      </c>
      <c r="H95" s="5">
        <v>67.760000000000005</v>
      </c>
      <c r="I95" s="5">
        <v>4.9000000000000002E-2</v>
      </c>
      <c r="J95" s="5">
        <v>4.8000000000000001E-2</v>
      </c>
      <c r="K95" s="5">
        <v>3.7999999999999999E-2</v>
      </c>
      <c r="L95" s="5">
        <v>0.22700000000000001</v>
      </c>
      <c r="M95" s="5">
        <v>0.75800000000000001</v>
      </c>
      <c r="N95" s="5">
        <v>4.6399999999999997</v>
      </c>
      <c r="O95" s="5">
        <v>93.8</v>
      </c>
      <c r="P95" s="5">
        <v>0.14299999999999999</v>
      </c>
      <c r="Q95" s="5">
        <v>0.13200000000000001</v>
      </c>
      <c r="R95" s="5">
        <v>0.13200000000000001</v>
      </c>
      <c r="S95" s="5">
        <v>0.318</v>
      </c>
      <c r="T95" s="5">
        <v>0.86599999999999999</v>
      </c>
      <c r="U95" s="5">
        <v>-2.109</v>
      </c>
      <c r="V95" s="5">
        <v>39.67</v>
      </c>
      <c r="W95" s="5">
        <v>-0.129</v>
      </c>
      <c r="X95" s="5">
        <v>-0.124</v>
      </c>
      <c r="Y95" s="5">
        <v>-7.8E-2</v>
      </c>
      <c r="Z95" s="5">
        <v>9.8000000000000004E-2</v>
      </c>
      <c r="AA95" s="5">
        <v>0.57199999999999995</v>
      </c>
      <c r="AB95" s="5">
        <v>1.4490000000000001</v>
      </c>
      <c r="AC95" s="5">
        <v>-1.2030000000000001</v>
      </c>
      <c r="AD95" s="5">
        <v>0.66300000000000003</v>
      </c>
      <c r="AE95" s="5">
        <v>-3.4870000000000001</v>
      </c>
      <c r="AF95" s="5">
        <v>7.7690000000000001</v>
      </c>
      <c r="AG95" s="5">
        <v>-2.4340000000000002</v>
      </c>
      <c r="AH95" s="5">
        <v>1.454</v>
      </c>
      <c r="AI95" s="5" t="s">
        <v>99</v>
      </c>
      <c r="AK95" s="5">
        <f t="shared" si="60"/>
        <v>0.82599999999999985</v>
      </c>
      <c r="AL95" s="8">
        <f t="shared" si="61"/>
        <v>0</v>
      </c>
      <c r="AN95" s="1">
        <f t="shared" si="67"/>
        <v>93.8</v>
      </c>
      <c r="AO95" s="1">
        <f t="shared" si="68"/>
        <v>67.8</v>
      </c>
      <c r="AP95" s="1">
        <f t="shared" si="69"/>
        <v>39.700000000000003</v>
      </c>
      <c r="AQ95" s="17">
        <f t="shared" si="57"/>
        <v>0.33800000000000002</v>
      </c>
      <c r="AR95" s="22">
        <f t="shared" si="70"/>
        <v>0.51300000000000001</v>
      </c>
      <c r="AT95" s="19">
        <f t="shared" si="62"/>
        <v>43555</v>
      </c>
      <c r="AU95" s="20">
        <f t="shared" si="63"/>
        <v>90</v>
      </c>
      <c r="AV95" s="1">
        <f t="shared" si="71"/>
        <v>0.5</v>
      </c>
      <c r="AW95" s="1">
        <f t="shared" si="72"/>
        <v>4.5999999999999996</v>
      </c>
      <c r="AX95" s="1">
        <f t="shared" si="73"/>
        <v>-2.1</v>
      </c>
      <c r="AY95" s="1">
        <f t="shared" si="58"/>
        <v>67.8</v>
      </c>
      <c r="AZ95" s="1">
        <f t="shared" si="59"/>
        <v>39.700000000000003</v>
      </c>
      <c r="BA95" s="1">
        <f t="shared" si="74"/>
        <v>0.82599999999999985</v>
      </c>
      <c r="BB95" s="5">
        <f t="shared" si="75"/>
        <v>0</v>
      </c>
      <c r="BC95" s="1">
        <f t="shared" si="64"/>
        <v>-1.2</v>
      </c>
      <c r="BD95" s="1">
        <f t="shared" si="65"/>
        <v>0.7</v>
      </c>
      <c r="BE95" s="1">
        <f t="shared" si="66"/>
        <v>-3.5</v>
      </c>
      <c r="BF95" s="5">
        <f t="shared" si="76"/>
        <v>0</v>
      </c>
      <c r="BG95" s="5">
        <f t="shared" si="77"/>
        <v>0.2</v>
      </c>
      <c r="BH95" s="5">
        <f t="shared" si="78"/>
        <v>0.8</v>
      </c>
      <c r="BI95" s="5" t="str">
        <f t="shared" si="79"/>
        <v>NAN</v>
      </c>
      <c r="BJ95" s="10">
        <f t="shared" si="80"/>
        <v>0.33800000000000002</v>
      </c>
      <c r="BK95" s="10">
        <f t="shared" si="81"/>
        <v>0.51300000000000001</v>
      </c>
      <c r="BM95" s="1">
        <f t="shared" si="82"/>
        <v>-3.9769999999999994</v>
      </c>
      <c r="BN95" s="1">
        <f t="shared" si="83"/>
        <v>-1.3780000000000001</v>
      </c>
    </row>
    <row r="96" spans="1:66" x14ac:dyDescent="0.2">
      <c r="A96" s="4">
        <f t="shared" si="84"/>
        <v>43556</v>
      </c>
      <c r="B96" s="1">
        <v>91</v>
      </c>
      <c r="C96" s="1">
        <v>12</v>
      </c>
      <c r="D96" s="5">
        <v>13.19</v>
      </c>
      <c r="E96" s="5">
        <v>7.7510000000000003</v>
      </c>
      <c r="F96" s="5">
        <v>-3.45</v>
      </c>
      <c r="G96" s="5">
        <v>0.15</v>
      </c>
      <c r="H96" s="5">
        <v>56.12</v>
      </c>
      <c r="I96" s="5">
        <v>0.03</v>
      </c>
      <c r="J96" s="5">
        <v>0.03</v>
      </c>
      <c r="K96" s="5">
        <v>0.02</v>
      </c>
      <c r="L96" s="5">
        <v>0.21</v>
      </c>
      <c r="M96" s="5">
        <v>0.73499999999999999</v>
      </c>
      <c r="N96" s="5">
        <v>4.2300000000000004</v>
      </c>
      <c r="O96" s="5">
        <v>79.84</v>
      </c>
      <c r="P96" s="5">
        <v>0.14000000000000001</v>
      </c>
      <c r="Q96" s="5">
        <v>0.13800000000000001</v>
      </c>
      <c r="R96" s="5">
        <v>0.114</v>
      </c>
      <c r="S96" s="5">
        <v>0.311</v>
      </c>
      <c r="T96" s="5">
        <v>0.85</v>
      </c>
      <c r="U96" s="5">
        <v>-3.5960000000000001</v>
      </c>
      <c r="V96" s="5">
        <v>28.72</v>
      </c>
      <c r="W96" s="5">
        <v>-0.126</v>
      </c>
      <c r="X96" s="5">
        <v>-0.114</v>
      </c>
      <c r="Y96" s="5">
        <v>-0.1</v>
      </c>
      <c r="Z96" s="5">
        <v>8.2000000000000003E-2</v>
      </c>
      <c r="AA96" s="5">
        <v>0.54700000000000004</v>
      </c>
      <c r="AB96" s="5">
        <v>1.4530000000000001</v>
      </c>
      <c r="AC96" s="5">
        <v>-2.2970000000000002</v>
      </c>
      <c r="AD96" s="5">
        <v>0.52300000000000002</v>
      </c>
      <c r="AE96" s="5">
        <v>-4.9580000000000002</v>
      </c>
      <c r="AF96" s="5">
        <v>8.1199999999999992</v>
      </c>
      <c r="AG96" s="5">
        <v>-3.8380000000000001</v>
      </c>
      <c r="AH96" s="5">
        <v>1.456</v>
      </c>
      <c r="AI96" s="5" t="s">
        <v>99</v>
      </c>
      <c r="AK96" s="5">
        <f t="shared" si="60"/>
        <v>0.82199999999999984</v>
      </c>
      <c r="AL96" s="8">
        <f t="shared" si="61"/>
        <v>0</v>
      </c>
      <c r="AN96" s="1">
        <f t="shared" si="67"/>
        <v>79.8</v>
      </c>
      <c r="AO96" s="1">
        <f t="shared" si="68"/>
        <v>56.1</v>
      </c>
      <c r="AP96" s="1">
        <f t="shared" si="69"/>
        <v>28.7</v>
      </c>
      <c r="AQ96" s="17">
        <f t="shared" si="57"/>
        <v>0.23699999999999999</v>
      </c>
      <c r="AR96" s="22">
        <f t="shared" si="70"/>
        <v>0.58899999999999997</v>
      </c>
      <c r="AT96" s="19">
        <f t="shared" si="62"/>
        <v>43556</v>
      </c>
      <c r="AU96" s="20">
        <f t="shared" si="63"/>
        <v>91</v>
      </c>
      <c r="AV96" s="1">
        <f t="shared" si="71"/>
        <v>0.2</v>
      </c>
      <c r="AW96" s="1">
        <f t="shared" si="72"/>
        <v>4.2</v>
      </c>
      <c r="AX96" s="1">
        <f t="shared" si="73"/>
        <v>-3.6</v>
      </c>
      <c r="AY96" s="1">
        <f t="shared" si="58"/>
        <v>56.1</v>
      </c>
      <c r="AZ96" s="1">
        <f t="shared" si="59"/>
        <v>28.7</v>
      </c>
      <c r="BA96" s="1">
        <f t="shared" si="74"/>
        <v>0.82199999999999984</v>
      </c>
      <c r="BB96" s="5">
        <f t="shared" si="75"/>
        <v>0</v>
      </c>
      <c r="BC96" s="1">
        <f t="shared" si="64"/>
        <v>-2.2999999999999998</v>
      </c>
      <c r="BD96" s="1">
        <f t="shared" si="65"/>
        <v>0.5</v>
      </c>
      <c r="BE96" s="1">
        <f t="shared" si="66"/>
        <v>-5</v>
      </c>
      <c r="BF96" s="5">
        <f t="shared" si="76"/>
        <v>0</v>
      </c>
      <c r="BG96" s="5">
        <f t="shared" si="77"/>
        <v>0.2</v>
      </c>
      <c r="BH96" s="5">
        <f t="shared" si="78"/>
        <v>0.7</v>
      </c>
      <c r="BI96" s="5" t="str">
        <f t="shared" si="79"/>
        <v>NAN</v>
      </c>
      <c r="BJ96" s="10">
        <f t="shared" si="80"/>
        <v>0.23699999999999999</v>
      </c>
      <c r="BK96" s="10">
        <f t="shared" si="81"/>
        <v>0.58899999999999997</v>
      </c>
      <c r="BM96" s="1">
        <f t="shared" si="82"/>
        <v>-3.7070000000000003</v>
      </c>
      <c r="BN96" s="1">
        <f t="shared" si="83"/>
        <v>-1.3620000000000001</v>
      </c>
    </row>
    <row r="97" spans="1:66" x14ac:dyDescent="0.2">
      <c r="A97" s="4">
        <f t="shared" si="84"/>
        <v>43557</v>
      </c>
      <c r="B97" s="1">
        <v>92</v>
      </c>
      <c r="C97" s="1">
        <v>12</v>
      </c>
      <c r="D97" s="5">
        <v>13.19</v>
      </c>
      <c r="E97" s="5">
        <v>10.29</v>
      </c>
      <c r="F97" s="5">
        <v>-3.5790000000000002</v>
      </c>
      <c r="G97" s="5">
        <v>1.228</v>
      </c>
      <c r="H97" s="5">
        <v>44.86</v>
      </c>
      <c r="I97" s="5">
        <v>2.8000000000000001E-2</v>
      </c>
      <c r="J97" s="5">
        <v>2.9000000000000001E-2</v>
      </c>
      <c r="K97" s="5">
        <v>2.1000000000000001E-2</v>
      </c>
      <c r="L97" s="5">
        <v>0.21099999999999999</v>
      </c>
      <c r="M97" s="5">
        <v>0.73299999999999998</v>
      </c>
      <c r="N97" s="5">
        <v>5.88</v>
      </c>
      <c r="O97" s="5">
        <v>63.71</v>
      </c>
      <c r="P97" s="5">
        <v>0.154</v>
      </c>
      <c r="Q97" s="5">
        <v>0.14299999999999999</v>
      </c>
      <c r="R97" s="5">
        <v>0.122</v>
      </c>
      <c r="S97" s="5">
        <v>0.32300000000000001</v>
      </c>
      <c r="T97" s="5">
        <v>0.84099999999999997</v>
      </c>
      <c r="U97" s="5">
        <v>-3.0219999999999998</v>
      </c>
      <c r="V97" s="5">
        <v>23.31</v>
      </c>
      <c r="W97" s="5">
        <v>-0.13700000000000001</v>
      </c>
      <c r="X97" s="5">
        <v>-0.125</v>
      </c>
      <c r="Y97" s="5">
        <v>-0.10199999999999999</v>
      </c>
      <c r="Z97" s="5">
        <v>0.10199999999999999</v>
      </c>
      <c r="AA97" s="5">
        <v>0.56499999999999995</v>
      </c>
      <c r="AB97" s="5">
        <v>1.4750000000000001</v>
      </c>
      <c r="AC97" s="5">
        <v>-1.998</v>
      </c>
      <c r="AD97" s="5">
        <v>0.496</v>
      </c>
      <c r="AE97" s="5">
        <v>-5.15</v>
      </c>
      <c r="AF97" s="5">
        <v>10.4</v>
      </c>
      <c r="AG97" s="5">
        <v>-3.613</v>
      </c>
      <c r="AH97" s="5">
        <v>1.4730000000000001</v>
      </c>
      <c r="AI97" s="5" t="s">
        <v>99</v>
      </c>
      <c r="AK97" s="5">
        <f t="shared" si="60"/>
        <v>0.79999999999999982</v>
      </c>
      <c r="AL97" s="8">
        <f t="shared" si="61"/>
        <v>0</v>
      </c>
      <c r="AN97" s="1">
        <f t="shared" si="67"/>
        <v>63.7</v>
      </c>
      <c r="AO97" s="1">
        <f t="shared" si="68"/>
        <v>44.9</v>
      </c>
      <c r="AP97" s="1">
        <f t="shared" si="69"/>
        <v>23.3</v>
      </c>
      <c r="AQ97" s="17">
        <f t="shared" si="57"/>
        <v>0.216</v>
      </c>
      <c r="AR97" s="22">
        <f t="shared" si="70"/>
        <v>0.71099999999999997</v>
      </c>
      <c r="AT97" s="19">
        <f t="shared" si="62"/>
        <v>43557</v>
      </c>
      <c r="AU97" s="20">
        <f t="shared" si="63"/>
        <v>92</v>
      </c>
      <c r="AV97" s="1">
        <f t="shared" si="71"/>
        <v>1.2</v>
      </c>
      <c r="AW97" s="1">
        <f t="shared" si="72"/>
        <v>5.9</v>
      </c>
      <c r="AX97" s="1">
        <f t="shared" si="73"/>
        <v>-3</v>
      </c>
      <c r="AY97" s="1">
        <f t="shared" si="58"/>
        <v>44.9</v>
      </c>
      <c r="AZ97" s="1">
        <f t="shared" si="59"/>
        <v>23.3</v>
      </c>
      <c r="BA97" s="1">
        <f t="shared" si="74"/>
        <v>0.79999999999999982</v>
      </c>
      <c r="BB97" s="5">
        <f t="shared" si="75"/>
        <v>0</v>
      </c>
      <c r="BC97" s="1">
        <f t="shared" si="64"/>
        <v>-2</v>
      </c>
      <c r="BD97" s="1">
        <f t="shared" si="65"/>
        <v>0.5</v>
      </c>
      <c r="BE97" s="1">
        <f t="shared" si="66"/>
        <v>-5.2</v>
      </c>
      <c r="BF97" s="5">
        <f t="shared" si="76"/>
        <v>0</v>
      </c>
      <c r="BG97" s="5">
        <f t="shared" si="77"/>
        <v>0.2</v>
      </c>
      <c r="BH97" s="5">
        <f t="shared" si="78"/>
        <v>0.7</v>
      </c>
      <c r="BI97" s="5" t="str">
        <f t="shared" si="79"/>
        <v>NAN</v>
      </c>
      <c r="BJ97" s="10">
        <f t="shared" si="80"/>
        <v>0.216</v>
      </c>
      <c r="BK97" s="10">
        <f t="shared" si="81"/>
        <v>0.71099999999999997</v>
      </c>
      <c r="BM97" s="1">
        <f t="shared" si="82"/>
        <v>-5.3840000000000003</v>
      </c>
      <c r="BN97" s="1">
        <f t="shared" si="83"/>
        <v>-2.1280000000000006</v>
      </c>
    </row>
    <row r="98" spans="1:66" x14ac:dyDescent="0.2">
      <c r="A98" s="4">
        <f t="shared" si="84"/>
        <v>43558</v>
      </c>
      <c r="B98" s="1">
        <v>93</v>
      </c>
      <c r="C98" s="1">
        <v>12</v>
      </c>
      <c r="D98" s="5">
        <v>13.09</v>
      </c>
      <c r="E98" s="5">
        <v>1.841</v>
      </c>
      <c r="F98" s="5">
        <v>-1.417</v>
      </c>
      <c r="G98" s="5">
        <v>5.3999999999999999E-2</v>
      </c>
      <c r="H98" s="5">
        <v>81.900000000000006</v>
      </c>
      <c r="I98" s="5">
        <v>5.1999999999999998E-2</v>
      </c>
      <c r="J98" s="5">
        <v>4.8000000000000001E-2</v>
      </c>
      <c r="K98" s="5">
        <v>4.2000000000000003E-2</v>
      </c>
      <c r="L98" s="5">
        <v>0.23200000000000001</v>
      </c>
      <c r="M98" s="5">
        <v>0.753</v>
      </c>
      <c r="N98" s="5">
        <v>2.1829999999999998</v>
      </c>
      <c r="O98" s="5">
        <v>96.8</v>
      </c>
      <c r="P98" s="5">
        <v>0.126</v>
      </c>
      <c r="Q98" s="5">
        <v>0.13100000000000001</v>
      </c>
      <c r="R98" s="5">
        <v>0.12</v>
      </c>
      <c r="S98" s="5">
        <v>0.32700000000000001</v>
      </c>
      <c r="T98" s="5">
        <v>0.82499999999999996</v>
      </c>
      <c r="U98" s="5">
        <v>-1.5680000000000001</v>
      </c>
      <c r="V98" s="5">
        <v>39.479999999999997</v>
      </c>
      <c r="W98" s="5">
        <v>-3.5000000000000003E-2</v>
      </c>
      <c r="X98" s="5">
        <v>-4.9000000000000002E-2</v>
      </c>
      <c r="Y98" s="5">
        <v>-3.6999999999999998E-2</v>
      </c>
      <c r="Z98" s="5">
        <v>0.14299999999999999</v>
      </c>
      <c r="AA98" s="5">
        <v>0.67100000000000004</v>
      </c>
      <c r="AB98" s="5">
        <v>1.466</v>
      </c>
      <c r="AC98" s="5">
        <v>-0.80200000000000005</v>
      </c>
      <c r="AD98" s="5">
        <v>0.26500000000000001</v>
      </c>
      <c r="AE98" s="5">
        <v>-2.496</v>
      </c>
      <c r="AF98" s="5">
        <v>2.427</v>
      </c>
      <c r="AG98" s="5">
        <v>-1.8049999999999999</v>
      </c>
      <c r="AH98" s="5">
        <v>1.47</v>
      </c>
      <c r="AI98" s="5" t="s">
        <v>99</v>
      </c>
      <c r="AK98" s="5">
        <f t="shared" si="60"/>
        <v>0.80899999999999994</v>
      </c>
      <c r="AL98" s="8">
        <f t="shared" si="61"/>
        <v>0</v>
      </c>
      <c r="AN98" s="1">
        <f t="shared" si="67"/>
        <v>96.8</v>
      </c>
      <c r="AO98" s="1">
        <f t="shared" si="68"/>
        <v>81.900000000000006</v>
      </c>
      <c r="AP98" s="1">
        <f t="shared" si="69"/>
        <v>39.5</v>
      </c>
      <c r="AQ98" s="17">
        <f t="shared" si="57"/>
        <v>0.28199999999999997</v>
      </c>
      <c r="AR98" s="22">
        <f t="shared" si="70"/>
        <v>0.432</v>
      </c>
      <c r="AT98" s="19">
        <f t="shared" si="62"/>
        <v>43558</v>
      </c>
      <c r="AU98" s="20">
        <f t="shared" si="63"/>
        <v>93</v>
      </c>
      <c r="AV98" s="1">
        <f t="shared" si="71"/>
        <v>0.1</v>
      </c>
      <c r="AW98" s="1">
        <f t="shared" si="72"/>
        <v>2.2000000000000002</v>
      </c>
      <c r="AX98" s="1">
        <f t="shared" si="73"/>
        <v>-1.6</v>
      </c>
      <c r="AY98" s="1">
        <f t="shared" si="58"/>
        <v>81.900000000000006</v>
      </c>
      <c r="AZ98" s="1">
        <f t="shared" si="59"/>
        <v>39.5</v>
      </c>
      <c r="BA98" s="1">
        <f t="shared" si="74"/>
        <v>0.80899999999999994</v>
      </c>
      <c r="BB98" s="5">
        <f t="shared" si="75"/>
        <v>0</v>
      </c>
      <c r="BC98" s="1">
        <f t="shared" si="64"/>
        <v>-0.8</v>
      </c>
      <c r="BD98" s="1">
        <f t="shared" si="65"/>
        <v>0.3</v>
      </c>
      <c r="BE98" s="1">
        <f t="shared" si="66"/>
        <v>-2.5</v>
      </c>
      <c r="BF98" s="5">
        <f t="shared" si="76"/>
        <v>0</v>
      </c>
      <c r="BG98" s="5">
        <f t="shared" si="77"/>
        <v>0.2</v>
      </c>
      <c r="BH98" s="5">
        <f t="shared" si="78"/>
        <v>0.8</v>
      </c>
      <c r="BI98" s="5" t="str">
        <f t="shared" si="79"/>
        <v>NAN</v>
      </c>
      <c r="BJ98" s="10">
        <f t="shared" si="80"/>
        <v>0.28199999999999997</v>
      </c>
      <c r="BK98" s="10">
        <f t="shared" si="81"/>
        <v>0.432</v>
      </c>
      <c r="BM98" s="1">
        <f t="shared" si="82"/>
        <v>-1.9179999999999997</v>
      </c>
      <c r="BN98" s="1">
        <f t="shared" si="83"/>
        <v>-0.92799999999999994</v>
      </c>
    </row>
    <row r="99" spans="1:66" x14ac:dyDescent="0.2">
      <c r="A99" s="4">
        <f t="shared" si="84"/>
        <v>43559</v>
      </c>
      <c r="B99" s="1">
        <v>94</v>
      </c>
      <c r="C99" s="1">
        <v>12</v>
      </c>
      <c r="D99" s="5">
        <v>13.13</v>
      </c>
      <c r="E99" s="5">
        <v>4.6429999999999998</v>
      </c>
      <c r="F99" s="5">
        <v>-2.4630000000000001</v>
      </c>
      <c r="G99" s="5">
        <v>0.34</v>
      </c>
      <c r="H99" s="5">
        <v>77.209999999999994</v>
      </c>
      <c r="I99" s="5">
        <v>2.9000000000000001E-2</v>
      </c>
      <c r="J99" s="5">
        <v>2.8000000000000001E-2</v>
      </c>
      <c r="K99" s="5">
        <v>2.1999999999999999E-2</v>
      </c>
      <c r="L99" s="5">
        <v>0.214</v>
      </c>
      <c r="M99" s="5">
        <v>0.73</v>
      </c>
      <c r="N99" s="5">
        <v>4.1280000000000001</v>
      </c>
      <c r="O99" s="5">
        <v>89.9</v>
      </c>
      <c r="P99" s="5">
        <v>0.124</v>
      </c>
      <c r="Q99" s="5">
        <v>0.123</v>
      </c>
      <c r="R99" s="5">
        <v>0.111</v>
      </c>
      <c r="S99" s="5">
        <v>0.309</v>
      </c>
      <c r="T99" s="5">
        <v>0.82799999999999996</v>
      </c>
      <c r="U99" s="5">
        <v>-2.2440000000000002</v>
      </c>
      <c r="V99" s="5">
        <v>58.93</v>
      </c>
      <c r="W99" s="5">
        <v>-0.112</v>
      </c>
      <c r="X99" s="5">
        <v>-9.4E-2</v>
      </c>
      <c r="Y99" s="5">
        <v>-8.3000000000000004E-2</v>
      </c>
      <c r="Z99" s="5">
        <v>0.123</v>
      </c>
      <c r="AA99" s="5">
        <v>0.6</v>
      </c>
      <c r="AB99" s="5">
        <v>1.4730000000000001</v>
      </c>
      <c r="AC99" s="5">
        <v>-1.288</v>
      </c>
      <c r="AD99" s="5">
        <v>0.442</v>
      </c>
      <c r="AE99" s="5">
        <v>-3.62</v>
      </c>
      <c r="AF99" s="5">
        <v>5.0209999999999999</v>
      </c>
      <c r="AG99" s="5">
        <v>-2.456</v>
      </c>
      <c r="AH99" s="5">
        <v>1.4750000000000001</v>
      </c>
      <c r="AI99" s="5" t="s">
        <v>99</v>
      </c>
      <c r="AK99" s="5">
        <f t="shared" si="60"/>
        <v>0.80199999999999982</v>
      </c>
      <c r="AL99" s="8">
        <f t="shared" si="61"/>
        <v>0</v>
      </c>
      <c r="AN99" s="1">
        <f t="shared" si="67"/>
        <v>89.9</v>
      </c>
      <c r="AO99" s="1">
        <f t="shared" si="68"/>
        <v>77.2</v>
      </c>
      <c r="AP99" s="1">
        <f t="shared" si="69"/>
        <v>58.9</v>
      </c>
      <c r="AQ99" s="17">
        <f t="shared" si="57"/>
        <v>0.48299999999999998</v>
      </c>
      <c r="AR99" s="22">
        <f t="shared" si="70"/>
        <v>0.33700000000000002</v>
      </c>
      <c r="AT99" s="19">
        <f t="shared" si="62"/>
        <v>43559</v>
      </c>
      <c r="AU99" s="20">
        <f t="shared" si="63"/>
        <v>94</v>
      </c>
      <c r="AV99" s="1">
        <f t="shared" si="71"/>
        <v>0.3</v>
      </c>
      <c r="AW99" s="1">
        <f t="shared" si="72"/>
        <v>4.0999999999999996</v>
      </c>
      <c r="AX99" s="1">
        <f t="shared" si="73"/>
        <v>-2.2000000000000002</v>
      </c>
      <c r="AY99" s="1">
        <f t="shared" si="58"/>
        <v>77.2</v>
      </c>
      <c r="AZ99" s="1">
        <f t="shared" si="59"/>
        <v>58.9</v>
      </c>
      <c r="BA99" s="1">
        <f t="shared" si="74"/>
        <v>0.80199999999999982</v>
      </c>
      <c r="BB99" s="5">
        <f t="shared" si="75"/>
        <v>0</v>
      </c>
      <c r="BC99" s="1">
        <f t="shared" si="64"/>
        <v>-1.3</v>
      </c>
      <c r="BD99" s="1">
        <f t="shared" si="65"/>
        <v>0.4</v>
      </c>
      <c r="BE99" s="1">
        <f t="shared" si="66"/>
        <v>-3.6</v>
      </c>
      <c r="BF99" s="5">
        <f t="shared" si="76"/>
        <v>0</v>
      </c>
      <c r="BG99" s="5">
        <f t="shared" si="77"/>
        <v>0.2</v>
      </c>
      <c r="BH99" s="5">
        <f t="shared" si="78"/>
        <v>0.7</v>
      </c>
      <c r="BI99" s="5" t="str">
        <f t="shared" si="79"/>
        <v>NAN</v>
      </c>
      <c r="BJ99" s="10">
        <f t="shared" si="80"/>
        <v>0.48299999999999998</v>
      </c>
      <c r="BK99" s="10">
        <f t="shared" si="81"/>
        <v>0.33700000000000002</v>
      </c>
      <c r="BM99" s="1">
        <f t="shared" si="82"/>
        <v>-3.6859999999999999</v>
      </c>
      <c r="BN99" s="1">
        <f t="shared" si="83"/>
        <v>-1.3759999999999999</v>
      </c>
    </row>
    <row r="100" spans="1:66" x14ac:dyDescent="0.2">
      <c r="A100" s="4">
        <f t="shared" si="84"/>
        <v>43560</v>
      </c>
      <c r="B100" s="1">
        <v>95</v>
      </c>
      <c r="C100" s="1">
        <v>12</v>
      </c>
      <c r="D100" s="5">
        <v>12.88</v>
      </c>
      <c r="E100" s="5">
        <v>0.56499999999999995</v>
      </c>
      <c r="F100" s="5">
        <v>-2.7629999999999999</v>
      </c>
      <c r="G100" s="5">
        <v>-1.141</v>
      </c>
      <c r="H100" s="5">
        <v>94.1</v>
      </c>
      <c r="I100" s="5">
        <v>4.3999999999999997E-2</v>
      </c>
      <c r="J100" s="5">
        <v>4.2000000000000003E-2</v>
      </c>
      <c r="K100" s="5">
        <v>3.4000000000000002E-2</v>
      </c>
      <c r="L100" s="5">
        <v>0.22500000000000001</v>
      </c>
      <c r="M100" s="5">
        <v>0.73899999999999999</v>
      </c>
      <c r="N100" s="5">
        <v>0.29099999999999998</v>
      </c>
      <c r="O100" s="5">
        <v>96.7</v>
      </c>
      <c r="P100" s="5">
        <v>0.129</v>
      </c>
      <c r="Q100" s="5">
        <v>0.11700000000000001</v>
      </c>
      <c r="R100" s="5">
        <v>0.11700000000000001</v>
      </c>
      <c r="S100" s="5">
        <v>0.313</v>
      </c>
      <c r="T100" s="5">
        <v>0.82199999999999995</v>
      </c>
      <c r="U100" s="5">
        <v>-3.7320000000000002</v>
      </c>
      <c r="V100" s="5">
        <v>87.7</v>
      </c>
      <c r="W100" s="5">
        <v>-4.9000000000000002E-2</v>
      </c>
      <c r="X100" s="5">
        <v>-5.0999999999999997E-2</v>
      </c>
      <c r="Y100" s="5">
        <v>-5.7000000000000002E-2</v>
      </c>
      <c r="Z100" s="5">
        <v>0.126</v>
      </c>
      <c r="AA100" s="5">
        <v>0.64100000000000001</v>
      </c>
      <c r="AB100" s="5">
        <v>1.407</v>
      </c>
      <c r="AC100" s="5">
        <v>-1.26</v>
      </c>
      <c r="AD100" s="5">
        <v>-8.5999999999999993E-2</v>
      </c>
      <c r="AE100" s="5">
        <v>-4.6210000000000004</v>
      </c>
      <c r="AF100" s="5">
        <v>0.30099999999999999</v>
      </c>
      <c r="AG100" s="5">
        <v>-3.794</v>
      </c>
      <c r="AH100" s="5">
        <v>1.4159999999999999</v>
      </c>
      <c r="AI100" s="5" t="s">
        <v>99</v>
      </c>
      <c r="AK100" s="5">
        <f t="shared" si="60"/>
        <v>0.86799999999999988</v>
      </c>
      <c r="AL100" s="8">
        <f t="shared" si="61"/>
        <v>0</v>
      </c>
      <c r="AN100" s="1">
        <f t="shared" si="67"/>
        <v>96.7</v>
      </c>
      <c r="AO100" s="1">
        <f t="shared" si="68"/>
        <v>94.1</v>
      </c>
      <c r="AP100" s="1">
        <f t="shared" si="69"/>
        <v>87.7</v>
      </c>
      <c r="AQ100" s="17">
        <f t="shared" si="57"/>
        <v>0.54700000000000004</v>
      </c>
      <c r="AR100" s="22">
        <f t="shared" si="70"/>
        <v>7.6999999999999999E-2</v>
      </c>
      <c r="AT100" s="19">
        <f t="shared" si="62"/>
        <v>43560</v>
      </c>
      <c r="AU100" s="20">
        <f t="shared" si="63"/>
        <v>95</v>
      </c>
      <c r="AV100" s="1">
        <f t="shared" si="71"/>
        <v>-1.1000000000000001</v>
      </c>
      <c r="AW100" s="1">
        <f t="shared" si="72"/>
        <v>0.3</v>
      </c>
      <c r="AX100" s="1">
        <f t="shared" si="73"/>
        <v>-3.7</v>
      </c>
      <c r="AY100" s="1">
        <f t="shared" si="58"/>
        <v>94.1</v>
      </c>
      <c r="AZ100" s="1">
        <f t="shared" si="59"/>
        <v>87.7</v>
      </c>
      <c r="BA100" s="1">
        <f t="shared" si="74"/>
        <v>0.86799999999999988</v>
      </c>
      <c r="BB100" s="5">
        <f t="shared" si="75"/>
        <v>0</v>
      </c>
      <c r="BC100" s="1">
        <f t="shared" si="64"/>
        <v>-1.3</v>
      </c>
      <c r="BD100" s="1">
        <f t="shared" si="65"/>
        <v>-0.1</v>
      </c>
      <c r="BE100" s="1">
        <f t="shared" si="66"/>
        <v>-4.5999999999999996</v>
      </c>
      <c r="BF100" s="5">
        <f t="shared" si="76"/>
        <v>0</v>
      </c>
      <c r="BG100" s="5">
        <f t="shared" si="77"/>
        <v>0.2</v>
      </c>
      <c r="BH100" s="5">
        <f t="shared" si="78"/>
        <v>0.7</v>
      </c>
      <c r="BI100" s="5" t="str">
        <f t="shared" si="79"/>
        <v>NAN</v>
      </c>
      <c r="BJ100" s="10">
        <f t="shared" si="80"/>
        <v>0.54700000000000004</v>
      </c>
      <c r="BK100" s="10">
        <f t="shared" si="81"/>
        <v>7.6999999999999999E-2</v>
      </c>
      <c r="BM100" s="1">
        <f t="shared" si="82"/>
        <v>-0.377</v>
      </c>
      <c r="BN100" s="1">
        <f t="shared" si="83"/>
        <v>-0.88900000000000023</v>
      </c>
    </row>
    <row r="101" spans="1:66" x14ac:dyDescent="0.2">
      <c r="A101" s="4">
        <f t="shared" si="84"/>
        <v>43561</v>
      </c>
      <c r="B101" s="1">
        <v>96</v>
      </c>
      <c r="C101" s="1">
        <v>12</v>
      </c>
      <c r="D101" s="5">
        <v>13.13</v>
      </c>
      <c r="E101" s="5">
        <v>-0.67100000000000004</v>
      </c>
      <c r="F101" s="5">
        <v>-4.8959999999999999</v>
      </c>
      <c r="G101" s="5">
        <v>-3.54</v>
      </c>
      <c r="H101" s="5">
        <v>92.9</v>
      </c>
      <c r="I101" s="5">
        <v>8.0000000000000002E-3</v>
      </c>
      <c r="J101" s="5">
        <v>6.0000000000000001E-3</v>
      </c>
      <c r="K101" s="5">
        <v>-3.0000000000000001E-3</v>
      </c>
      <c r="L101" s="5">
        <v>0.187</v>
      </c>
      <c r="M101" s="5">
        <v>0.70199999999999996</v>
      </c>
      <c r="N101" s="5">
        <v>-1.5349999999999999</v>
      </c>
      <c r="O101" s="5">
        <v>94.7</v>
      </c>
      <c r="P101" s="5">
        <v>8.7999999999999995E-2</v>
      </c>
      <c r="Q101" s="5">
        <v>9.4E-2</v>
      </c>
      <c r="R101" s="5">
        <v>7.5999999999999998E-2</v>
      </c>
      <c r="S101" s="5">
        <v>0.26200000000000001</v>
      </c>
      <c r="T101" s="5">
        <v>0.81599999999999995</v>
      </c>
      <c r="U101" s="5">
        <v>-5.4829999999999997</v>
      </c>
      <c r="V101" s="5">
        <v>90.6</v>
      </c>
      <c r="W101" s="5">
        <v>-9.0999999999999998E-2</v>
      </c>
      <c r="X101" s="5">
        <v>-8.6999999999999994E-2</v>
      </c>
      <c r="Y101" s="5">
        <v>-8.8999999999999996E-2</v>
      </c>
      <c r="Z101" s="5">
        <v>0.10100000000000001</v>
      </c>
      <c r="AA101" s="5">
        <v>0.61399999999999999</v>
      </c>
      <c r="AB101" s="5">
        <v>1.411</v>
      </c>
      <c r="AC101" s="5">
        <v>-4.0060000000000002</v>
      </c>
      <c r="AD101" s="5">
        <v>-1.593</v>
      </c>
      <c r="AE101" s="5">
        <v>-6.7640000000000002</v>
      </c>
      <c r="AF101" s="5">
        <v>-1.2809999999999999</v>
      </c>
      <c r="AG101" s="5">
        <v>-5.5890000000000004</v>
      </c>
      <c r="AH101" s="5">
        <v>1.421</v>
      </c>
      <c r="AI101" s="5" t="s">
        <v>99</v>
      </c>
      <c r="AK101" s="5">
        <f t="shared" si="60"/>
        <v>0.86399999999999988</v>
      </c>
      <c r="AL101" s="8">
        <f t="shared" si="61"/>
        <v>0</v>
      </c>
      <c r="AN101" s="1">
        <f t="shared" si="67"/>
        <v>94.7</v>
      </c>
      <c r="AO101" s="1">
        <f t="shared" si="68"/>
        <v>92.9</v>
      </c>
      <c r="AP101" s="1">
        <f t="shared" si="69"/>
        <v>90.6</v>
      </c>
      <c r="AQ101" s="17">
        <f t="shared" si="57"/>
        <v>0.49399999999999999</v>
      </c>
      <c r="AR101" s="22">
        <f t="shared" si="70"/>
        <v>5.0999999999999997E-2</v>
      </c>
      <c r="AT101" s="19">
        <f t="shared" si="62"/>
        <v>43561</v>
      </c>
      <c r="AU101" s="20">
        <f t="shared" si="63"/>
        <v>96</v>
      </c>
      <c r="AV101" s="1">
        <f t="shared" si="71"/>
        <v>-3.5</v>
      </c>
      <c r="AW101" s="1">
        <f t="shared" si="72"/>
        <v>-1.5</v>
      </c>
      <c r="AX101" s="1">
        <f t="shared" si="73"/>
        <v>-5.5</v>
      </c>
      <c r="AY101" s="1">
        <f t="shared" si="58"/>
        <v>92.9</v>
      </c>
      <c r="AZ101" s="1">
        <f t="shared" si="59"/>
        <v>90.6</v>
      </c>
      <c r="BA101" s="1">
        <f t="shared" si="74"/>
        <v>0.86399999999999988</v>
      </c>
      <c r="BB101" s="5">
        <f t="shared" si="75"/>
        <v>0</v>
      </c>
      <c r="BC101" s="1">
        <f t="shared" si="64"/>
        <v>-4</v>
      </c>
      <c r="BD101" s="1">
        <f t="shared" si="65"/>
        <v>-1.6</v>
      </c>
      <c r="BE101" s="1">
        <f t="shared" si="66"/>
        <v>-6.8</v>
      </c>
      <c r="BF101" s="5">
        <f t="shared" si="76"/>
        <v>0</v>
      </c>
      <c r="BG101" s="5">
        <f t="shared" si="77"/>
        <v>0.2</v>
      </c>
      <c r="BH101" s="5">
        <f t="shared" si="78"/>
        <v>0.7</v>
      </c>
      <c r="BI101" s="5" t="str">
        <f t="shared" si="79"/>
        <v>NAN</v>
      </c>
      <c r="BJ101" s="10">
        <f t="shared" si="80"/>
        <v>0.49399999999999999</v>
      </c>
      <c r="BK101" s="10">
        <f t="shared" si="81"/>
        <v>5.0999999999999997E-2</v>
      </c>
      <c r="BM101" s="1">
        <f t="shared" si="82"/>
        <v>-5.8000000000000052E-2</v>
      </c>
      <c r="BN101" s="1">
        <f t="shared" si="83"/>
        <v>-1.2810000000000006</v>
      </c>
    </row>
    <row r="102" spans="1:66" x14ac:dyDescent="0.2">
      <c r="A102" s="4">
        <f t="shared" si="84"/>
        <v>43562</v>
      </c>
      <c r="B102" s="1">
        <v>97</v>
      </c>
      <c r="C102" s="1">
        <v>12</v>
      </c>
      <c r="D102" s="5">
        <v>13.21</v>
      </c>
      <c r="E102" s="5">
        <v>1.9470000000000001</v>
      </c>
      <c r="F102" s="5">
        <v>-4.2450000000000001</v>
      </c>
      <c r="G102" s="5">
        <v>-2.4660000000000002</v>
      </c>
      <c r="H102" s="5">
        <v>81.400000000000006</v>
      </c>
      <c r="I102" s="5">
        <v>1.6E-2</v>
      </c>
      <c r="J102" s="5">
        <v>1.4999999999999999E-2</v>
      </c>
      <c r="K102" s="5">
        <v>7.0000000000000001E-3</v>
      </c>
      <c r="L102" s="5">
        <v>0.20100000000000001</v>
      </c>
      <c r="M102" s="5">
        <v>0.71499999999999997</v>
      </c>
      <c r="N102" s="5">
        <v>1.23</v>
      </c>
      <c r="O102" s="5">
        <v>94.7</v>
      </c>
      <c r="P102" s="5">
        <v>9.4E-2</v>
      </c>
      <c r="Q102" s="5">
        <v>8.8999999999999996E-2</v>
      </c>
      <c r="R102" s="5">
        <v>9.1999999999999998E-2</v>
      </c>
      <c r="S102" s="5">
        <v>0.30499999999999999</v>
      </c>
      <c r="T102" s="5">
        <v>0.80700000000000005</v>
      </c>
      <c r="U102" s="5">
        <v>-5.8570000000000002</v>
      </c>
      <c r="V102" s="5">
        <v>51.27</v>
      </c>
      <c r="W102" s="5">
        <v>-8.5000000000000006E-2</v>
      </c>
      <c r="X102" s="5">
        <v>-0.08</v>
      </c>
      <c r="Y102" s="5">
        <v>-7.8E-2</v>
      </c>
      <c r="Z102" s="5">
        <v>0.113</v>
      </c>
      <c r="AA102" s="5">
        <v>0.59199999999999997</v>
      </c>
      <c r="AB102" s="5" t="s">
        <v>99</v>
      </c>
      <c r="AC102" s="5">
        <v>-3.44</v>
      </c>
      <c r="AD102" s="5">
        <v>0.30499999999999999</v>
      </c>
      <c r="AE102" s="5">
        <v>-7.133</v>
      </c>
      <c r="AF102" s="5">
        <v>1.66</v>
      </c>
      <c r="AG102" s="5">
        <v>-5.8780000000000001</v>
      </c>
      <c r="AI102" s="5" t="s">
        <v>99</v>
      </c>
      <c r="AJ102" s="5" t="s">
        <v>108</v>
      </c>
      <c r="AK102" s="1" t="s">
        <v>99</v>
      </c>
      <c r="AL102" s="8">
        <f t="shared" si="61"/>
        <v>0</v>
      </c>
      <c r="AN102" s="1">
        <f t="shared" si="67"/>
        <v>94.7</v>
      </c>
      <c r="AO102" s="1">
        <f t="shared" si="68"/>
        <v>81.400000000000006</v>
      </c>
      <c r="AP102" s="1">
        <f t="shared" si="69"/>
        <v>51.3</v>
      </c>
      <c r="AQ102" s="17">
        <f t="shared" si="57"/>
        <v>0.34200000000000003</v>
      </c>
      <c r="AR102" s="22">
        <f t="shared" si="70"/>
        <v>0.32500000000000001</v>
      </c>
      <c r="AT102" s="19">
        <f t="shared" si="62"/>
        <v>43562</v>
      </c>
      <c r="AU102" s="20">
        <f t="shared" si="63"/>
        <v>97</v>
      </c>
      <c r="AV102" s="1">
        <f t="shared" si="71"/>
        <v>-2.5</v>
      </c>
      <c r="AW102" s="1">
        <f t="shared" si="72"/>
        <v>1.2</v>
      </c>
      <c r="AX102" s="1">
        <f t="shared" si="73"/>
        <v>-5.9</v>
      </c>
      <c r="AY102" s="1">
        <f t="shared" si="58"/>
        <v>81.400000000000006</v>
      </c>
      <c r="AZ102" s="1">
        <f t="shared" si="59"/>
        <v>51.3</v>
      </c>
      <c r="BA102" s="1" t="str">
        <f t="shared" si="74"/>
        <v>NAN</v>
      </c>
      <c r="BB102" s="5">
        <f t="shared" si="75"/>
        <v>0</v>
      </c>
      <c r="BC102" s="1">
        <f t="shared" si="64"/>
        <v>-3.4</v>
      </c>
      <c r="BD102" s="1">
        <f t="shared" si="65"/>
        <v>0.3</v>
      </c>
      <c r="BE102" s="1">
        <f t="shared" si="66"/>
        <v>-7.1</v>
      </c>
      <c r="BF102" s="5">
        <f t="shared" si="76"/>
        <v>0</v>
      </c>
      <c r="BG102" s="5">
        <f t="shared" si="77"/>
        <v>0.2</v>
      </c>
      <c r="BH102" s="5">
        <f t="shared" si="78"/>
        <v>0.7</v>
      </c>
      <c r="BI102" s="5" t="str">
        <f t="shared" si="79"/>
        <v>NAN</v>
      </c>
      <c r="BJ102" s="10">
        <f t="shared" si="80"/>
        <v>0.34200000000000003</v>
      </c>
      <c r="BK102" s="10">
        <f t="shared" si="81"/>
        <v>0.32500000000000001</v>
      </c>
      <c r="BM102" s="1">
        <f t="shared" si="82"/>
        <v>-0.92500000000000004</v>
      </c>
      <c r="BN102" s="1">
        <f t="shared" si="83"/>
        <v>-1.2759999999999998</v>
      </c>
    </row>
    <row r="103" spans="1:66" x14ac:dyDescent="0.2">
      <c r="A103" s="4">
        <f t="shared" si="84"/>
        <v>43563</v>
      </c>
      <c r="B103" s="1">
        <v>98</v>
      </c>
      <c r="C103" s="1">
        <v>12</v>
      </c>
      <c r="D103" s="5">
        <v>13.04</v>
      </c>
      <c r="E103" s="5">
        <v>0.71399999999999997</v>
      </c>
      <c r="F103" s="5">
        <v>-5.94</v>
      </c>
      <c r="G103" s="5">
        <v>-2.2349999999999999</v>
      </c>
      <c r="H103" s="5">
        <v>88</v>
      </c>
      <c r="I103" s="5">
        <v>2.7E-2</v>
      </c>
      <c r="J103" s="5">
        <v>2.4E-2</v>
      </c>
      <c r="K103" s="5">
        <v>1.7999999999999999E-2</v>
      </c>
      <c r="L103" s="5">
        <v>0.21099999999999999</v>
      </c>
      <c r="M103" s="5">
        <v>0.71899999999999997</v>
      </c>
      <c r="N103" s="5">
        <v>0.35799999999999998</v>
      </c>
      <c r="O103" s="5">
        <v>95.9</v>
      </c>
      <c r="P103" s="5">
        <v>0.114</v>
      </c>
      <c r="Q103" s="5">
        <v>0.109</v>
      </c>
      <c r="R103" s="5">
        <v>0.111</v>
      </c>
      <c r="S103" s="5">
        <v>0.29499999999999998</v>
      </c>
      <c r="T103" s="5">
        <v>0.82299999999999995</v>
      </c>
      <c r="U103" s="5">
        <v>-6.1219999999999999</v>
      </c>
      <c r="V103" s="5">
        <v>74.66</v>
      </c>
      <c r="W103" s="5">
        <v>-7.6999999999999999E-2</v>
      </c>
      <c r="X103" s="5">
        <v>-7.3999999999999996E-2</v>
      </c>
      <c r="Y103" s="5">
        <v>-7.0999999999999994E-2</v>
      </c>
      <c r="Z103" s="5">
        <v>0.13</v>
      </c>
      <c r="AA103" s="5">
        <v>0.625</v>
      </c>
      <c r="AB103" s="5" t="s">
        <v>99</v>
      </c>
      <c r="AC103" s="5">
        <v>-3.0979999999999999</v>
      </c>
      <c r="AD103" s="5">
        <v>-1.4999999999999999E-2</v>
      </c>
      <c r="AE103" s="5">
        <v>-7.4660000000000002</v>
      </c>
      <c r="AF103" s="5">
        <v>0.50600000000000001</v>
      </c>
      <c r="AG103" s="5">
        <v>-6.2839999999999998</v>
      </c>
      <c r="AI103" s="5" t="s">
        <v>99</v>
      </c>
      <c r="AK103" s="1" t="s">
        <v>99</v>
      </c>
      <c r="AL103" s="8">
        <f t="shared" si="61"/>
        <v>0</v>
      </c>
      <c r="AN103" s="1">
        <f t="shared" si="67"/>
        <v>95.9</v>
      </c>
      <c r="AO103" s="1">
        <f t="shared" si="68"/>
        <v>88</v>
      </c>
      <c r="AP103" s="1">
        <f t="shared" si="69"/>
        <v>74.7</v>
      </c>
      <c r="AQ103" s="17">
        <f t="shared" si="57"/>
        <v>0.46800000000000003</v>
      </c>
      <c r="AR103" s="22">
        <f t="shared" si="70"/>
        <v>0.159</v>
      </c>
      <c r="AT103" s="19">
        <f t="shared" si="62"/>
        <v>43563</v>
      </c>
      <c r="AU103" s="20">
        <f t="shared" si="63"/>
        <v>98</v>
      </c>
      <c r="AV103" s="1">
        <f t="shared" si="71"/>
        <v>-2.2000000000000002</v>
      </c>
      <c r="AW103" s="1">
        <f t="shared" si="72"/>
        <v>0.4</v>
      </c>
      <c r="AX103" s="1">
        <f t="shared" si="73"/>
        <v>-6.1</v>
      </c>
      <c r="AY103" s="1">
        <f t="shared" si="58"/>
        <v>88</v>
      </c>
      <c r="AZ103" s="1">
        <f t="shared" si="59"/>
        <v>74.7</v>
      </c>
      <c r="BA103" s="1" t="str">
        <f t="shared" si="74"/>
        <v>NAN</v>
      </c>
      <c r="BB103" s="5">
        <f t="shared" si="75"/>
        <v>0</v>
      </c>
      <c r="BC103" s="1">
        <f t="shared" si="64"/>
        <v>-3.1</v>
      </c>
      <c r="BD103" s="1">
        <f t="shared" si="65"/>
        <v>0</v>
      </c>
      <c r="BE103" s="1">
        <f t="shared" si="66"/>
        <v>-7.5</v>
      </c>
      <c r="BF103" s="5">
        <f t="shared" si="76"/>
        <v>0</v>
      </c>
      <c r="BG103" s="5">
        <f t="shared" si="77"/>
        <v>0.2</v>
      </c>
      <c r="BH103" s="5">
        <f t="shared" si="78"/>
        <v>0.7</v>
      </c>
      <c r="BI103" s="5" t="str">
        <f t="shared" si="79"/>
        <v>NAN</v>
      </c>
      <c r="BJ103" s="10">
        <f t="shared" si="80"/>
        <v>0.46800000000000003</v>
      </c>
      <c r="BK103" s="10">
        <f t="shared" si="81"/>
        <v>0.159</v>
      </c>
      <c r="BM103" s="1">
        <f t="shared" si="82"/>
        <v>-0.373</v>
      </c>
      <c r="BN103" s="1">
        <f t="shared" si="83"/>
        <v>-1.3440000000000003</v>
      </c>
    </row>
    <row r="104" spans="1:66" x14ac:dyDescent="0.2">
      <c r="A104" s="4">
        <f t="shared" si="84"/>
        <v>43564</v>
      </c>
      <c r="B104" s="1">
        <v>99</v>
      </c>
      <c r="C104" s="1">
        <v>12</v>
      </c>
      <c r="D104" s="5">
        <v>13.19</v>
      </c>
      <c r="E104" s="5">
        <v>0.88300000000000001</v>
      </c>
      <c r="F104" s="5">
        <v>-2.4</v>
      </c>
      <c r="G104" s="5">
        <v>-1.645</v>
      </c>
      <c r="H104" s="5">
        <v>93.2</v>
      </c>
      <c r="I104" s="5">
        <v>2.3E-2</v>
      </c>
      <c r="J104" s="5">
        <v>0.02</v>
      </c>
      <c r="K104" s="5">
        <v>1.2999999999999999E-2</v>
      </c>
      <c r="L104" s="5">
        <v>0.20899999999999999</v>
      </c>
      <c r="M104" s="5">
        <v>0.71599999999999997</v>
      </c>
      <c r="N104" s="5">
        <v>8.6999999999999994E-2</v>
      </c>
      <c r="O104" s="5">
        <v>96.2</v>
      </c>
      <c r="P104" s="5">
        <v>0.1</v>
      </c>
      <c r="Q104" s="5">
        <v>0.10100000000000001</v>
      </c>
      <c r="R104" s="5">
        <v>8.5000000000000006E-2</v>
      </c>
      <c r="S104" s="5">
        <v>0.28499999999999998</v>
      </c>
      <c r="T104" s="5">
        <v>0.79400000000000004</v>
      </c>
      <c r="U104" s="5">
        <v>-2.7850000000000001</v>
      </c>
      <c r="V104" s="5">
        <v>80.099999999999994</v>
      </c>
      <c r="W104" s="5">
        <v>-7.4999999999999997E-2</v>
      </c>
      <c r="X104" s="5">
        <v>-6.4000000000000001E-2</v>
      </c>
      <c r="Y104" s="5">
        <v>-6.5000000000000002E-2</v>
      </c>
      <c r="Z104" s="5">
        <v>0.127</v>
      </c>
      <c r="AA104" s="5">
        <v>0.63100000000000001</v>
      </c>
      <c r="AB104" s="5" t="s">
        <v>99</v>
      </c>
      <c r="AC104" s="5">
        <v>-2.169</v>
      </c>
      <c r="AD104" s="5">
        <v>0.31</v>
      </c>
      <c r="AE104" s="5">
        <v>-3.9849999999999999</v>
      </c>
      <c r="AF104" s="5">
        <v>0.441</v>
      </c>
      <c r="AG104" s="5">
        <v>-2.9119999999999999</v>
      </c>
      <c r="AI104" s="5" t="s">
        <v>99</v>
      </c>
      <c r="AK104" s="1" t="s">
        <v>99</v>
      </c>
      <c r="AL104" s="8">
        <f t="shared" si="61"/>
        <v>0</v>
      </c>
      <c r="AN104" s="1">
        <f t="shared" si="67"/>
        <v>96.2</v>
      </c>
      <c r="AO104" s="1">
        <f t="shared" si="68"/>
        <v>93.2</v>
      </c>
      <c r="AP104" s="1">
        <f t="shared" si="69"/>
        <v>80.099999999999994</v>
      </c>
      <c r="AQ104" s="17">
        <f t="shared" si="57"/>
        <v>0.49199999999999999</v>
      </c>
      <c r="AR104" s="22">
        <f t="shared" si="70"/>
        <v>0.122</v>
      </c>
      <c r="AT104" s="19">
        <f t="shared" si="62"/>
        <v>43564</v>
      </c>
      <c r="AU104" s="20">
        <f t="shared" si="63"/>
        <v>99</v>
      </c>
      <c r="AV104" s="1">
        <f t="shared" si="71"/>
        <v>-1.6</v>
      </c>
      <c r="AW104" s="1">
        <f t="shared" si="72"/>
        <v>0.1</v>
      </c>
      <c r="AX104" s="1">
        <f t="shared" si="73"/>
        <v>-2.8</v>
      </c>
      <c r="AY104" s="1">
        <f t="shared" si="58"/>
        <v>93.2</v>
      </c>
      <c r="AZ104" s="1">
        <f t="shared" si="59"/>
        <v>80.099999999999994</v>
      </c>
      <c r="BA104" s="1" t="str">
        <f t="shared" si="74"/>
        <v>NAN</v>
      </c>
      <c r="BB104" s="5">
        <f t="shared" si="75"/>
        <v>0</v>
      </c>
      <c r="BC104" s="1">
        <f t="shared" si="64"/>
        <v>-2.2000000000000002</v>
      </c>
      <c r="BD104" s="1">
        <f t="shared" si="65"/>
        <v>0.3</v>
      </c>
      <c r="BE104" s="1">
        <f t="shared" si="66"/>
        <v>-4</v>
      </c>
      <c r="BF104" s="5">
        <f t="shared" si="76"/>
        <v>0</v>
      </c>
      <c r="BG104" s="5">
        <f t="shared" si="77"/>
        <v>0.2</v>
      </c>
      <c r="BH104" s="5">
        <f t="shared" si="78"/>
        <v>0.7</v>
      </c>
      <c r="BI104" s="5" t="str">
        <f t="shared" si="79"/>
        <v>NAN</v>
      </c>
      <c r="BJ104" s="10">
        <f t="shared" si="80"/>
        <v>0.49199999999999999</v>
      </c>
      <c r="BK104" s="10">
        <f t="shared" si="81"/>
        <v>0.122</v>
      </c>
      <c r="BM104" s="1">
        <f t="shared" si="82"/>
        <v>0.223</v>
      </c>
      <c r="BN104" s="1">
        <f t="shared" si="83"/>
        <v>-1.1999999999999997</v>
      </c>
    </row>
    <row r="105" spans="1:66" x14ac:dyDescent="0.2">
      <c r="A105" s="4">
        <f t="shared" si="84"/>
        <v>43565</v>
      </c>
      <c r="B105" s="1">
        <v>100</v>
      </c>
      <c r="C105" s="1">
        <v>12</v>
      </c>
      <c r="D105" s="5">
        <v>13.16</v>
      </c>
      <c r="E105" s="5">
        <v>-1.6719999999999999</v>
      </c>
      <c r="F105" s="5">
        <v>-4.3970000000000002</v>
      </c>
      <c r="G105" s="5">
        <v>-3.5870000000000002</v>
      </c>
      <c r="H105" s="5">
        <v>91.5</v>
      </c>
      <c r="I105" s="5">
        <v>8.0000000000000002E-3</v>
      </c>
      <c r="J105" s="5">
        <v>7.0000000000000001E-3</v>
      </c>
      <c r="K105" s="5">
        <v>-2E-3</v>
      </c>
      <c r="L105" s="5">
        <v>0.19500000000000001</v>
      </c>
      <c r="M105" s="5">
        <v>0.70099999999999996</v>
      </c>
      <c r="N105" s="5">
        <v>-2.2440000000000002</v>
      </c>
      <c r="O105" s="5">
        <v>94.4</v>
      </c>
      <c r="P105" s="5">
        <v>8.5999999999999993E-2</v>
      </c>
      <c r="Q105" s="5">
        <v>8.5000000000000006E-2</v>
      </c>
      <c r="R105" s="5">
        <v>7.9000000000000001E-2</v>
      </c>
      <c r="S105" s="5">
        <v>0.28000000000000003</v>
      </c>
      <c r="T105" s="5">
        <v>0.79900000000000004</v>
      </c>
      <c r="U105" s="5">
        <v>-5.2130000000000001</v>
      </c>
      <c r="V105" s="5">
        <v>81</v>
      </c>
      <c r="W105" s="5">
        <v>-8.5000000000000006E-2</v>
      </c>
      <c r="X105" s="5">
        <v>-7.9000000000000001E-2</v>
      </c>
      <c r="Y105" s="5">
        <v>-0.10199999999999999</v>
      </c>
      <c r="Z105" s="5">
        <v>0.09</v>
      </c>
      <c r="AA105" s="5">
        <v>0.61799999999999999</v>
      </c>
      <c r="AB105" s="5" t="s">
        <v>99</v>
      </c>
      <c r="AC105" s="5">
        <v>-3.97</v>
      </c>
      <c r="AD105" s="5">
        <v>-2.1960000000000002</v>
      </c>
      <c r="AE105" s="5">
        <v>-5.9</v>
      </c>
      <c r="AF105" s="5">
        <v>-1.952</v>
      </c>
      <c r="AG105" s="5">
        <v>-5.2480000000000002</v>
      </c>
      <c r="AI105" s="5" t="s">
        <v>99</v>
      </c>
      <c r="AK105" s="1" t="s">
        <v>99</v>
      </c>
      <c r="AL105" s="8">
        <f t="shared" si="61"/>
        <v>0</v>
      </c>
      <c r="AN105" s="1">
        <f t="shared" si="67"/>
        <v>94.4</v>
      </c>
      <c r="AO105" s="1">
        <f t="shared" si="68"/>
        <v>91.5</v>
      </c>
      <c r="AP105" s="1">
        <f t="shared" si="69"/>
        <v>81</v>
      </c>
      <c r="AQ105" s="17">
        <f t="shared" si="57"/>
        <v>0.41899999999999998</v>
      </c>
      <c r="AR105" s="22">
        <f t="shared" si="70"/>
        <v>9.8000000000000004E-2</v>
      </c>
      <c r="AT105" s="19">
        <f t="shared" si="62"/>
        <v>43565</v>
      </c>
      <c r="AU105" s="20">
        <f t="shared" si="63"/>
        <v>100</v>
      </c>
      <c r="AV105" s="1">
        <f t="shared" si="71"/>
        <v>-3.6</v>
      </c>
      <c r="AW105" s="1">
        <f t="shared" si="72"/>
        <v>-2.2000000000000002</v>
      </c>
      <c r="AX105" s="1">
        <f t="shared" si="73"/>
        <v>-5.2</v>
      </c>
      <c r="AY105" s="1">
        <f t="shared" si="58"/>
        <v>91.5</v>
      </c>
      <c r="AZ105" s="1">
        <f t="shared" si="59"/>
        <v>81</v>
      </c>
      <c r="BA105" s="1" t="str">
        <f t="shared" si="74"/>
        <v>NAN</v>
      </c>
      <c r="BB105" s="5">
        <f t="shared" si="75"/>
        <v>0</v>
      </c>
      <c r="BC105" s="1">
        <f t="shared" si="64"/>
        <v>-4</v>
      </c>
      <c r="BD105" s="1">
        <f t="shared" si="65"/>
        <v>-2.2000000000000002</v>
      </c>
      <c r="BE105" s="1">
        <f t="shared" si="66"/>
        <v>-5.9</v>
      </c>
      <c r="BF105" s="5">
        <f t="shared" si="76"/>
        <v>0</v>
      </c>
      <c r="BG105" s="5">
        <f t="shared" si="77"/>
        <v>0.2</v>
      </c>
      <c r="BH105" s="5">
        <f t="shared" si="78"/>
        <v>0.7</v>
      </c>
      <c r="BI105" s="5" t="str">
        <f t="shared" si="79"/>
        <v>NAN</v>
      </c>
      <c r="BJ105" s="10">
        <f t="shared" si="80"/>
        <v>0.41899999999999998</v>
      </c>
      <c r="BK105" s="10">
        <f t="shared" si="81"/>
        <v>9.8000000000000004E-2</v>
      </c>
      <c r="BM105" s="1">
        <f t="shared" si="82"/>
        <v>4.8000000000000043E-2</v>
      </c>
      <c r="BN105" s="1">
        <f t="shared" si="83"/>
        <v>-0.68700000000000028</v>
      </c>
    </row>
    <row r="106" spans="1:66" x14ac:dyDescent="0.2">
      <c r="A106" s="4">
        <f t="shared" si="84"/>
        <v>43566</v>
      </c>
      <c r="B106" s="1">
        <v>101</v>
      </c>
      <c r="C106" s="1">
        <v>12</v>
      </c>
      <c r="D106" s="5">
        <v>13.2</v>
      </c>
      <c r="E106" s="5">
        <v>9.7000000000000003E-2</v>
      </c>
      <c r="F106" s="5">
        <v>-5.5919999999999996</v>
      </c>
      <c r="G106" s="5">
        <v>-4.194</v>
      </c>
      <c r="H106" s="5">
        <v>87</v>
      </c>
      <c r="I106" s="5">
        <v>5.0000000000000001E-3</v>
      </c>
      <c r="J106" s="5">
        <v>5.0000000000000001E-3</v>
      </c>
      <c r="K106" s="5">
        <v>-4.0000000000000001E-3</v>
      </c>
      <c r="L106" s="5">
        <v>0.19400000000000001</v>
      </c>
      <c r="M106" s="5">
        <v>0.69699999999999995</v>
      </c>
      <c r="N106" s="5">
        <v>-1.399</v>
      </c>
      <c r="O106" s="5">
        <v>93.1</v>
      </c>
      <c r="P106" s="5">
        <v>8.4000000000000005E-2</v>
      </c>
      <c r="Q106" s="5">
        <v>8.6999999999999994E-2</v>
      </c>
      <c r="R106" s="5">
        <v>8.8999999999999996E-2</v>
      </c>
      <c r="S106" s="5">
        <v>0.27200000000000002</v>
      </c>
      <c r="T106" s="5">
        <v>0.78900000000000003</v>
      </c>
      <c r="U106" s="5">
        <v>-6.0519999999999996</v>
      </c>
      <c r="V106" s="5">
        <v>70.64</v>
      </c>
      <c r="W106" s="5">
        <v>-0.111</v>
      </c>
      <c r="X106" s="5">
        <v>-0.1</v>
      </c>
      <c r="Y106" s="5">
        <v>-9.4E-2</v>
      </c>
      <c r="Z106" s="5">
        <v>9.5000000000000001E-2</v>
      </c>
      <c r="AA106" s="5">
        <v>0.57699999999999996</v>
      </c>
      <c r="AB106" s="5" t="s">
        <v>99</v>
      </c>
      <c r="AC106" s="5">
        <v>-4.5640000000000001</v>
      </c>
      <c r="AD106" s="5">
        <v>-6.8000000000000005E-2</v>
      </c>
      <c r="AE106" s="5">
        <v>-7.06</v>
      </c>
      <c r="AF106" s="5">
        <v>0.41899999999999998</v>
      </c>
      <c r="AG106" s="5">
        <v>-6.1280000000000001</v>
      </c>
      <c r="AI106" s="5" t="s">
        <v>99</v>
      </c>
      <c r="AK106" s="1" t="s">
        <v>99</v>
      </c>
      <c r="AL106" s="8">
        <f t="shared" si="61"/>
        <v>0</v>
      </c>
      <c r="AN106" s="1">
        <f t="shared" si="67"/>
        <v>93.1</v>
      </c>
      <c r="AO106" s="1">
        <f t="shared" si="68"/>
        <v>87</v>
      </c>
      <c r="AP106" s="1">
        <f t="shared" si="69"/>
        <v>70.599999999999994</v>
      </c>
      <c r="AQ106" s="17">
        <f t="shared" si="57"/>
        <v>0.38900000000000001</v>
      </c>
      <c r="AR106" s="22">
        <f t="shared" si="70"/>
        <v>0.16200000000000001</v>
      </c>
      <c r="AT106" s="19">
        <f t="shared" si="62"/>
        <v>43566</v>
      </c>
      <c r="AU106" s="20">
        <f t="shared" si="63"/>
        <v>101</v>
      </c>
      <c r="AV106" s="1">
        <f t="shared" si="71"/>
        <v>-4.2</v>
      </c>
      <c r="AW106" s="1">
        <f t="shared" si="72"/>
        <v>-1.4</v>
      </c>
      <c r="AX106" s="1">
        <f t="shared" si="73"/>
        <v>-6.1</v>
      </c>
      <c r="AY106" s="1">
        <f t="shared" si="58"/>
        <v>87</v>
      </c>
      <c r="AZ106" s="1">
        <f t="shared" si="59"/>
        <v>70.599999999999994</v>
      </c>
      <c r="BA106" s="1" t="str">
        <f t="shared" si="74"/>
        <v>NAN</v>
      </c>
      <c r="BB106" s="5">
        <f t="shared" si="75"/>
        <v>0</v>
      </c>
      <c r="BC106" s="1">
        <f t="shared" si="64"/>
        <v>-4.5999999999999996</v>
      </c>
      <c r="BD106" s="1">
        <f t="shared" si="65"/>
        <v>-0.1</v>
      </c>
      <c r="BE106" s="1">
        <f t="shared" si="66"/>
        <v>-7.1</v>
      </c>
      <c r="BF106" s="5">
        <f t="shared" si="76"/>
        <v>0</v>
      </c>
      <c r="BG106" s="5">
        <f t="shared" si="77"/>
        <v>0.2</v>
      </c>
      <c r="BH106" s="5">
        <f t="shared" si="78"/>
        <v>0.7</v>
      </c>
      <c r="BI106" s="5" t="str">
        <f t="shared" si="79"/>
        <v>NAN</v>
      </c>
      <c r="BJ106" s="10">
        <f t="shared" si="80"/>
        <v>0.38900000000000001</v>
      </c>
      <c r="BK106" s="10">
        <f t="shared" si="81"/>
        <v>0.16200000000000001</v>
      </c>
      <c r="BM106" s="1">
        <f t="shared" si="82"/>
        <v>1.331</v>
      </c>
      <c r="BN106" s="1">
        <f t="shared" si="83"/>
        <v>-1.008</v>
      </c>
    </row>
    <row r="107" spans="1:66" x14ac:dyDescent="0.2">
      <c r="A107" s="4">
        <f t="shared" si="84"/>
        <v>43567</v>
      </c>
      <c r="B107" s="1">
        <v>102</v>
      </c>
      <c r="C107" s="1">
        <v>12</v>
      </c>
      <c r="D107" s="5">
        <v>13.22</v>
      </c>
      <c r="E107" s="5">
        <v>1.48</v>
      </c>
      <c r="F107" s="5">
        <v>-5.94</v>
      </c>
      <c r="G107" s="5">
        <v>-2.867</v>
      </c>
      <c r="H107" s="5">
        <v>79.78</v>
      </c>
      <c r="I107" s="5">
        <v>1.2999999999999999E-2</v>
      </c>
      <c r="J107" s="5">
        <v>1.2E-2</v>
      </c>
      <c r="K107" s="5">
        <v>4.0000000000000001E-3</v>
      </c>
      <c r="L107" s="5">
        <v>0.20300000000000001</v>
      </c>
      <c r="M107" s="5">
        <v>0.70399999999999996</v>
      </c>
      <c r="N107" s="5">
        <v>0.25700000000000001</v>
      </c>
      <c r="O107" s="5">
        <v>91</v>
      </c>
      <c r="P107" s="5">
        <v>0.1</v>
      </c>
      <c r="Q107" s="5">
        <v>0.105</v>
      </c>
      <c r="R107" s="5">
        <v>9.7000000000000003E-2</v>
      </c>
      <c r="S107" s="5">
        <v>0.28699999999999998</v>
      </c>
      <c r="T107" s="5">
        <v>0.79700000000000004</v>
      </c>
      <c r="U107" s="5">
        <v>-6.12</v>
      </c>
      <c r="V107" s="5">
        <v>61.65</v>
      </c>
      <c r="W107" s="5">
        <v>-8.5999999999999993E-2</v>
      </c>
      <c r="X107" s="5">
        <v>-8.5000000000000006E-2</v>
      </c>
      <c r="Y107" s="5">
        <v>-0.09</v>
      </c>
      <c r="Z107" s="5">
        <v>0.11899999999999999</v>
      </c>
      <c r="AA107" s="5">
        <v>0.61299999999999999</v>
      </c>
      <c r="AB107" s="5" t="s">
        <v>99</v>
      </c>
      <c r="AC107" s="5">
        <v>-4.0970000000000004</v>
      </c>
      <c r="AD107" s="5">
        <v>0.441</v>
      </c>
      <c r="AE107" s="5">
        <v>-7.5460000000000003</v>
      </c>
      <c r="AF107" s="5">
        <v>1.2070000000000001</v>
      </c>
      <c r="AG107" s="5">
        <v>-6.3620000000000001</v>
      </c>
      <c r="AI107" s="5" t="s">
        <v>99</v>
      </c>
      <c r="AK107" s="1" t="s">
        <v>99</v>
      </c>
      <c r="AL107" s="8">
        <f t="shared" si="61"/>
        <v>0</v>
      </c>
      <c r="AN107" s="1">
        <f t="shared" si="67"/>
        <v>91</v>
      </c>
      <c r="AO107" s="1">
        <f t="shared" si="68"/>
        <v>79.8</v>
      </c>
      <c r="AP107" s="1">
        <f t="shared" si="69"/>
        <v>61.7</v>
      </c>
      <c r="AQ107" s="17">
        <f t="shared" si="57"/>
        <v>0.38400000000000001</v>
      </c>
      <c r="AR107" s="22">
        <f t="shared" si="70"/>
        <v>0.23799999999999999</v>
      </c>
      <c r="AT107" s="19">
        <f t="shared" si="62"/>
        <v>43567</v>
      </c>
      <c r="AU107" s="20">
        <f t="shared" si="63"/>
        <v>102</v>
      </c>
      <c r="AV107" s="1">
        <f t="shared" si="71"/>
        <v>-2.9</v>
      </c>
      <c r="AW107" s="1">
        <f t="shared" si="72"/>
        <v>0.3</v>
      </c>
      <c r="AX107" s="1">
        <f t="shared" si="73"/>
        <v>-6.1</v>
      </c>
      <c r="AY107" s="1">
        <f t="shared" si="58"/>
        <v>79.8</v>
      </c>
      <c r="AZ107" s="1">
        <f t="shared" si="59"/>
        <v>61.7</v>
      </c>
      <c r="BA107" s="1" t="str">
        <f t="shared" si="74"/>
        <v>NAN</v>
      </c>
      <c r="BB107" s="5">
        <f t="shared" si="75"/>
        <v>0</v>
      </c>
      <c r="BC107" s="1">
        <f t="shared" si="64"/>
        <v>-4.0999999999999996</v>
      </c>
      <c r="BD107" s="1">
        <f t="shared" si="65"/>
        <v>0.4</v>
      </c>
      <c r="BE107" s="1">
        <f t="shared" si="66"/>
        <v>-7.5</v>
      </c>
      <c r="BF107" s="5">
        <f t="shared" si="76"/>
        <v>0</v>
      </c>
      <c r="BG107" s="5">
        <f t="shared" si="77"/>
        <v>0.2</v>
      </c>
      <c r="BH107" s="5">
        <f t="shared" si="78"/>
        <v>0.7</v>
      </c>
      <c r="BI107" s="5" t="str">
        <f t="shared" si="79"/>
        <v>NAN</v>
      </c>
      <c r="BJ107" s="10">
        <f t="shared" si="80"/>
        <v>0.38400000000000001</v>
      </c>
      <c r="BK107" s="10">
        <f t="shared" si="81"/>
        <v>0.23799999999999999</v>
      </c>
      <c r="BM107" s="1">
        <f t="shared" si="82"/>
        <v>0.184</v>
      </c>
      <c r="BN107" s="1">
        <f t="shared" si="83"/>
        <v>-1.4260000000000002</v>
      </c>
    </row>
    <row r="108" spans="1:66" x14ac:dyDescent="0.2">
      <c r="A108" s="4">
        <f t="shared" si="84"/>
        <v>43568</v>
      </c>
      <c r="B108" s="1">
        <v>103</v>
      </c>
      <c r="C108" s="1">
        <v>12</v>
      </c>
      <c r="D108" s="5">
        <v>12.91</v>
      </c>
      <c r="E108" s="5">
        <v>-0.90400000000000003</v>
      </c>
      <c r="F108" s="5">
        <v>-5.2439999999999998</v>
      </c>
      <c r="G108" s="5">
        <v>-3.2389999999999999</v>
      </c>
      <c r="H108" s="5">
        <v>91.6</v>
      </c>
      <c r="I108" s="5">
        <v>2.1000000000000001E-2</v>
      </c>
      <c r="J108" s="5">
        <v>1.9E-2</v>
      </c>
      <c r="K108" s="5">
        <v>1.0999999999999999E-2</v>
      </c>
      <c r="L108" s="5">
        <v>0.21099999999999999</v>
      </c>
      <c r="M108" s="5">
        <v>0.71</v>
      </c>
      <c r="N108" s="5">
        <v>-0.96</v>
      </c>
      <c r="O108" s="5">
        <v>96</v>
      </c>
      <c r="P108" s="5">
        <v>0.10199999999999999</v>
      </c>
      <c r="Q108" s="5">
        <v>0.104</v>
      </c>
      <c r="R108" s="5">
        <v>9.8000000000000004E-2</v>
      </c>
      <c r="S108" s="5">
        <v>0.29699999999999999</v>
      </c>
      <c r="T108" s="5">
        <v>0.79100000000000004</v>
      </c>
      <c r="U108" s="5">
        <v>-6.3620000000000001</v>
      </c>
      <c r="V108" s="5">
        <v>71.56</v>
      </c>
      <c r="W108" s="5">
        <v>-6.6000000000000003E-2</v>
      </c>
      <c r="X108" s="5">
        <v>-5.8000000000000003E-2</v>
      </c>
      <c r="Y108" s="5">
        <v>-6.9000000000000006E-2</v>
      </c>
      <c r="Z108" s="5">
        <v>0.13400000000000001</v>
      </c>
      <c r="AA108" s="5">
        <v>0.63300000000000001</v>
      </c>
      <c r="AB108" s="5" t="s">
        <v>99</v>
      </c>
      <c r="AC108" s="5">
        <v>-3.7719999999999998</v>
      </c>
      <c r="AD108" s="5">
        <v>-1.2629999999999999</v>
      </c>
      <c r="AE108" s="5">
        <v>-7.54</v>
      </c>
      <c r="AF108" s="5">
        <v>-0.85399999999999998</v>
      </c>
      <c r="AG108" s="5">
        <v>-6.4880000000000004</v>
      </c>
      <c r="AI108" s="5" t="s">
        <v>99</v>
      </c>
      <c r="AK108" s="1" t="s">
        <v>99</v>
      </c>
      <c r="AL108" s="8">
        <f t="shared" si="61"/>
        <v>0</v>
      </c>
      <c r="AN108" s="1">
        <f t="shared" si="67"/>
        <v>96</v>
      </c>
      <c r="AO108" s="1">
        <f t="shared" si="68"/>
        <v>91.6</v>
      </c>
      <c r="AP108" s="1">
        <f t="shared" si="69"/>
        <v>71.599999999999994</v>
      </c>
      <c r="AQ108" s="17">
        <f t="shared" si="57"/>
        <v>0.40799999999999997</v>
      </c>
      <c r="AR108" s="22">
        <f t="shared" si="70"/>
        <v>0.16200000000000001</v>
      </c>
      <c r="AT108" s="19">
        <f t="shared" si="62"/>
        <v>43568</v>
      </c>
      <c r="AU108" s="20">
        <f t="shared" si="63"/>
        <v>103</v>
      </c>
      <c r="AV108" s="1">
        <f t="shared" si="71"/>
        <v>-3.2</v>
      </c>
      <c r="AW108" s="1">
        <f t="shared" si="72"/>
        <v>-1</v>
      </c>
      <c r="AX108" s="1">
        <f t="shared" si="73"/>
        <v>-6.4</v>
      </c>
      <c r="AY108" s="1">
        <f t="shared" si="58"/>
        <v>91.6</v>
      </c>
      <c r="AZ108" s="1">
        <f t="shared" si="59"/>
        <v>71.599999999999994</v>
      </c>
      <c r="BA108" s="1" t="str">
        <f t="shared" si="74"/>
        <v>NAN</v>
      </c>
      <c r="BB108" s="5">
        <f t="shared" si="75"/>
        <v>0</v>
      </c>
      <c r="BC108" s="1">
        <f t="shared" si="64"/>
        <v>-3.8</v>
      </c>
      <c r="BD108" s="1">
        <f t="shared" si="65"/>
        <v>-1.3</v>
      </c>
      <c r="BE108" s="1">
        <f t="shared" si="66"/>
        <v>-7.5</v>
      </c>
      <c r="BF108" s="5">
        <f t="shared" si="76"/>
        <v>0</v>
      </c>
      <c r="BG108" s="5">
        <f t="shared" si="77"/>
        <v>0.2</v>
      </c>
      <c r="BH108" s="5">
        <f t="shared" si="78"/>
        <v>0.7</v>
      </c>
      <c r="BI108" s="5" t="str">
        <f t="shared" si="79"/>
        <v>NAN</v>
      </c>
      <c r="BJ108" s="10">
        <f t="shared" si="80"/>
        <v>0.40799999999999997</v>
      </c>
      <c r="BK108" s="10">
        <f t="shared" si="81"/>
        <v>0.16200000000000001</v>
      </c>
      <c r="BM108" s="1">
        <f t="shared" si="82"/>
        <v>-0.30299999999999994</v>
      </c>
      <c r="BN108" s="1">
        <f t="shared" si="83"/>
        <v>-1.1779999999999999</v>
      </c>
    </row>
    <row r="109" spans="1:66" x14ac:dyDescent="0.2">
      <c r="A109" s="4">
        <f t="shared" si="84"/>
        <v>43569</v>
      </c>
      <c r="B109" s="1">
        <v>104</v>
      </c>
      <c r="C109" s="1">
        <v>12</v>
      </c>
      <c r="D109" s="5">
        <v>13.21</v>
      </c>
      <c r="E109" s="5">
        <v>0.52200000000000002</v>
      </c>
      <c r="F109" s="5">
        <v>-6.0279999999999996</v>
      </c>
      <c r="G109" s="5">
        <v>-4.3970000000000002</v>
      </c>
      <c r="H109" s="5">
        <v>73.95</v>
      </c>
      <c r="I109" s="5">
        <v>4.0000000000000001E-3</v>
      </c>
      <c r="J109" s="5">
        <v>4.0000000000000001E-3</v>
      </c>
      <c r="K109" s="5">
        <v>-5.0000000000000001E-3</v>
      </c>
      <c r="L109" s="5">
        <v>0.19800000000000001</v>
      </c>
      <c r="M109" s="5">
        <v>0.69799999999999995</v>
      </c>
      <c r="N109" s="5">
        <v>-0.14899999999999999</v>
      </c>
      <c r="O109" s="5">
        <v>86.4</v>
      </c>
      <c r="P109" s="5">
        <v>8.5999999999999993E-2</v>
      </c>
      <c r="Q109" s="5">
        <v>8.5999999999999993E-2</v>
      </c>
      <c r="R109" s="5">
        <v>8.5000000000000006E-2</v>
      </c>
      <c r="S109" s="5">
        <v>0.28199999999999997</v>
      </c>
      <c r="T109" s="5">
        <v>0.77500000000000002</v>
      </c>
      <c r="U109" s="5">
        <v>-6.6950000000000003</v>
      </c>
      <c r="V109" s="5">
        <v>47.83</v>
      </c>
      <c r="W109" s="5">
        <v>-9.1999999999999998E-2</v>
      </c>
      <c r="X109" s="5">
        <v>-9.8000000000000004E-2</v>
      </c>
      <c r="Y109" s="5">
        <v>-0.115</v>
      </c>
      <c r="Z109" s="5">
        <v>0.106</v>
      </c>
      <c r="AA109" s="5">
        <v>0.60299999999999998</v>
      </c>
      <c r="AB109" s="5" t="s">
        <v>99</v>
      </c>
      <c r="AC109" s="5">
        <v>-5.58</v>
      </c>
      <c r="AD109" s="5">
        <v>-1.298</v>
      </c>
      <c r="AE109" s="5">
        <v>-8.0299999999999994</v>
      </c>
      <c r="AF109" s="5">
        <v>0.84</v>
      </c>
      <c r="AG109" s="5">
        <v>-6.875</v>
      </c>
      <c r="AI109" s="5" t="s">
        <v>99</v>
      </c>
      <c r="AK109" s="1" t="s">
        <v>99</v>
      </c>
      <c r="AL109" s="8">
        <f t="shared" si="61"/>
        <v>0</v>
      </c>
      <c r="AN109" s="1">
        <f t="shared" si="67"/>
        <v>86.4</v>
      </c>
      <c r="AO109" s="1">
        <f t="shared" si="68"/>
        <v>74</v>
      </c>
      <c r="AP109" s="1">
        <f t="shared" si="69"/>
        <v>47.8</v>
      </c>
      <c r="AQ109" s="17">
        <f t="shared" si="57"/>
        <v>0.28899999999999998</v>
      </c>
      <c r="AR109" s="22">
        <f t="shared" si="70"/>
        <v>0.316</v>
      </c>
      <c r="AT109" s="19">
        <f t="shared" si="62"/>
        <v>43569</v>
      </c>
      <c r="AU109" s="20">
        <f t="shared" si="63"/>
        <v>104</v>
      </c>
      <c r="AV109" s="1">
        <f t="shared" si="71"/>
        <v>-4.4000000000000004</v>
      </c>
      <c r="AW109" s="1">
        <f t="shared" si="72"/>
        <v>-0.1</v>
      </c>
      <c r="AX109" s="1">
        <f t="shared" si="73"/>
        <v>-6.7</v>
      </c>
      <c r="AY109" s="1">
        <f t="shared" si="58"/>
        <v>74</v>
      </c>
      <c r="AZ109" s="1">
        <f t="shared" si="59"/>
        <v>47.8</v>
      </c>
      <c r="BA109" s="1" t="str">
        <f t="shared" si="74"/>
        <v>NAN</v>
      </c>
      <c r="BB109" s="5">
        <f t="shared" si="75"/>
        <v>0</v>
      </c>
      <c r="BC109" s="1">
        <f t="shared" si="64"/>
        <v>-5.6</v>
      </c>
      <c r="BD109" s="1">
        <f t="shared" si="65"/>
        <v>-1.3</v>
      </c>
      <c r="BE109" s="1">
        <f t="shared" si="66"/>
        <v>-8</v>
      </c>
      <c r="BF109" s="5">
        <f t="shared" si="76"/>
        <v>0</v>
      </c>
      <c r="BG109" s="5">
        <f t="shared" si="77"/>
        <v>0.2</v>
      </c>
      <c r="BH109" s="5">
        <f t="shared" si="78"/>
        <v>0.7</v>
      </c>
      <c r="BI109" s="5" t="str">
        <f t="shared" si="79"/>
        <v>NAN</v>
      </c>
      <c r="BJ109" s="10">
        <f t="shared" si="80"/>
        <v>0.28899999999999998</v>
      </c>
      <c r="BK109" s="10">
        <f t="shared" si="81"/>
        <v>0.316</v>
      </c>
      <c r="BM109" s="1">
        <f t="shared" si="82"/>
        <v>-1.149</v>
      </c>
      <c r="BN109" s="1">
        <f t="shared" si="83"/>
        <v>-1.3349999999999991</v>
      </c>
    </row>
    <row r="110" spans="1:66" x14ac:dyDescent="0.2">
      <c r="A110" s="4">
        <f t="shared" si="84"/>
        <v>43570</v>
      </c>
      <c r="B110" s="1">
        <v>105</v>
      </c>
      <c r="C110" s="1">
        <v>12</v>
      </c>
      <c r="D110" s="5">
        <v>13.2</v>
      </c>
      <c r="E110" s="5">
        <v>0.628</v>
      </c>
      <c r="F110" s="5">
        <v>-8.08</v>
      </c>
      <c r="G110" s="5">
        <v>-4.3529999999999998</v>
      </c>
      <c r="H110" s="5">
        <v>73.63</v>
      </c>
      <c r="I110" s="5">
        <v>0</v>
      </c>
      <c r="J110" s="5">
        <v>0</v>
      </c>
      <c r="K110" s="5">
        <v>-0.01</v>
      </c>
      <c r="L110" s="5">
        <v>0.193</v>
      </c>
      <c r="M110" s="5">
        <v>0.68899999999999995</v>
      </c>
      <c r="N110" s="5">
        <v>-0.41899999999999998</v>
      </c>
      <c r="O110" s="5">
        <v>91.2</v>
      </c>
      <c r="P110" s="5">
        <v>9.0999999999999998E-2</v>
      </c>
      <c r="Q110" s="5">
        <v>9.7000000000000003E-2</v>
      </c>
      <c r="R110" s="5">
        <v>7.6999999999999999E-2</v>
      </c>
      <c r="S110" s="5">
        <v>0.28399999999999997</v>
      </c>
      <c r="T110" s="5">
        <v>0.77900000000000003</v>
      </c>
      <c r="U110" s="5">
        <v>-9.0299999999999994</v>
      </c>
      <c r="V110" s="5">
        <v>49.52</v>
      </c>
      <c r="W110" s="5">
        <v>-0.11</v>
      </c>
      <c r="X110" s="5">
        <v>-0.104</v>
      </c>
      <c r="Y110" s="5">
        <v>-9.1999999999999998E-2</v>
      </c>
      <c r="Z110" s="5">
        <v>0.11</v>
      </c>
      <c r="AA110" s="5">
        <v>0.59099999999999997</v>
      </c>
      <c r="AB110" s="5" t="s">
        <v>99</v>
      </c>
      <c r="AC110" s="5">
        <v>-5.6950000000000003</v>
      </c>
      <c r="AD110" s="5">
        <v>1.0999999999999999E-2</v>
      </c>
      <c r="AE110" s="5">
        <v>-10.42</v>
      </c>
      <c r="AF110" s="5">
        <v>1.4450000000000001</v>
      </c>
      <c r="AG110" s="5">
        <v>-9.1199999999999992</v>
      </c>
      <c r="AI110" s="5" t="s">
        <v>99</v>
      </c>
      <c r="AK110" s="1" t="s">
        <v>99</v>
      </c>
      <c r="AL110" s="8">
        <f t="shared" si="61"/>
        <v>0</v>
      </c>
      <c r="AN110" s="1">
        <f t="shared" si="67"/>
        <v>91.2</v>
      </c>
      <c r="AO110" s="1">
        <f t="shared" si="68"/>
        <v>73.599999999999994</v>
      </c>
      <c r="AP110" s="1">
        <f t="shared" si="69"/>
        <v>49.5</v>
      </c>
      <c r="AQ110" s="17">
        <f t="shared" si="57"/>
        <v>0.29299999999999998</v>
      </c>
      <c r="AR110" s="22">
        <f t="shared" si="70"/>
        <v>0.29899999999999999</v>
      </c>
      <c r="AT110" s="19">
        <f t="shared" si="62"/>
        <v>43570</v>
      </c>
      <c r="AU110" s="20">
        <f t="shared" si="63"/>
        <v>105</v>
      </c>
      <c r="AV110" s="1">
        <f t="shared" si="71"/>
        <v>-4.4000000000000004</v>
      </c>
      <c r="AW110" s="1">
        <f t="shared" si="72"/>
        <v>-0.4</v>
      </c>
      <c r="AX110" s="1">
        <f t="shared" si="73"/>
        <v>-9</v>
      </c>
      <c r="AY110" s="1">
        <f t="shared" si="58"/>
        <v>73.599999999999994</v>
      </c>
      <c r="AZ110" s="1">
        <f t="shared" si="59"/>
        <v>49.5</v>
      </c>
      <c r="BA110" s="1" t="str">
        <f t="shared" si="74"/>
        <v>NAN</v>
      </c>
      <c r="BB110" s="5">
        <f t="shared" si="75"/>
        <v>0</v>
      </c>
      <c r="BC110" s="1">
        <f t="shared" si="64"/>
        <v>-5.7</v>
      </c>
      <c r="BD110" s="1">
        <f t="shared" si="65"/>
        <v>0</v>
      </c>
      <c r="BE110" s="1">
        <f t="shared" si="66"/>
        <v>-10.4</v>
      </c>
      <c r="BF110" s="5">
        <f t="shared" si="76"/>
        <v>0</v>
      </c>
      <c r="BG110" s="5">
        <f t="shared" si="77"/>
        <v>0.2</v>
      </c>
      <c r="BH110" s="5">
        <f t="shared" si="78"/>
        <v>0.7</v>
      </c>
      <c r="BI110" s="5" t="str">
        <f t="shared" si="79"/>
        <v>NAN</v>
      </c>
      <c r="BJ110" s="10">
        <f t="shared" si="80"/>
        <v>0.29299999999999998</v>
      </c>
      <c r="BK110" s="10">
        <f t="shared" si="81"/>
        <v>0.29899999999999999</v>
      </c>
      <c r="BM110" s="1">
        <f t="shared" si="82"/>
        <v>0.43</v>
      </c>
      <c r="BN110" s="1">
        <f t="shared" si="83"/>
        <v>-1.3900000000000006</v>
      </c>
    </row>
    <row r="111" spans="1:66" x14ac:dyDescent="0.2">
      <c r="A111" s="4">
        <f t="shared" si="84"/>
        <v>43571</v>
      </c>
      <c r="B111" s="1">
        <v>106</v>
      </c>
      <c r="C111" s="1">
        <v>12</v>
      </c>
      <c r="D111" s="5">
        <v>13.21</v>
      </c>
      <c r="E111" s="5">
        <v>3.8069999999999999</v>
      </c>
      <c r="F111" s="5">
        <v>-6.1159999999999997</v>
      </c>
      <c r="G111" s="5">
        <v>-1.2390000000000001</v>
      </c>
      <c r="H111" s="5">
        <v>64.78</v>
      </c>
      <c r="I111" s="5">
        <v>2.5000000000000001E-2</v>
      </c>
      <c r="J111" s="5">
        <v>2.4E-2</v>
      </c>
      <c r="K111" s="5">
        <v>1.7999999999999999E-2</v>
      </c>
      <c r="L111" s="5">
        <v>0.223</v>
      </c>
      <c r="M111" s="5">
        <v>0.71799999999999997</v>
      </c>
      <c r="N111" s="5">
        <v>3.657</v>
      </c>
      <c r="O111" s="5">
        <v>83.8</v>
      </c>
      <c r="P111" s="5">
        <v>0.16300000000000001</v>
      </c>
      <c r="Q111" s="5">
        <v>0.14399999999999999</v>
      </c>
      <c r="R111" s="5">
        <v>0.13200000000000001</v>
      </c>
      <c r="S111" s="5">
        <v>0.33900000000000002</v>
      </c>
      <c r="T111" s="5">
        <v>0.83099999999999996</v>
      </c>
      <c r="U111" s="5">
        <v>-5.85</v>
      </c>
      <c r="V111" s="5">
        <v>30.45</v>
      </c>
      <c r="W111" s="5">
        <v>-8.3000000000000004E-2</v>
      </c>
      <c r="X111" s="5">
        <v>-7.8E-2</v>
      </c>
      <c r="Y111" s="5">
        <v>-7.8E-2</v>
      </c>
      <c r="Z111" s="5">
        <v>0.11700000000000001</v>
      </c>
      <c r="AA111" s="5">
        <v>0.61099999999999999</v>
      </c>
      <c r="AB111" s="5" t="s">
        <v>99</v>
      </c>
      <c r="AC111" s="5">
        <v>-3.38</v>
      </c>
      <c r="AD111" s="5">
        <v>0.36</v>
      </c>
      <c r="AE111" s="5">
        <v>-7.907</v>
      </c>
      <c r="AF111" s="5">
        <v>4.9290000000000003</v>
      </c>
      <c r="AG111" s="5">
        <v>-6.1840000000000002</v>
      </c>
      <c r="AI111" s="5" t="s">
        <v>99</v>
      </c>
      <c r="AK111" s="1" t="s">
        <v>99</v>
      </c>
      <c r="AL111" s="8">
        <f t="shared" si="61"/>
        <v>0</v>
      </c>
      <c r="AN111" s="1">
        <f t="shared" si="67"/>
        <v>83.8</v>
      </c>
      <c r="AO111" s="1">
        <f t="shared" si="68"/>
        <v>64.8</v>
      </c>
      <c r="AP111" s="1">
        <f t="shared" si="69"/>
        <v>30.5</v>
      </c>
      <c r="AQ111" s="17">
        <f t="shared" si="57"/>
        <v>0.24199999999999999</v>
      </c>
      <c r="AR111" s="22">
        <f t="shared" si="70"/>
        <v>0.55100000000000005</v>
      </c>
      <c r="AT111" s="19">
        <f t="shared" si="62"/>
        <v>43571</v>
      </c>
      <c r="AU111" s="20">
        <f t="shared" si="63"/>
        <v>106</v>
      </c>
      <c r="AV111" s="1">
        <f t="shared" si="71"/>
        <v>-1.2</v>
      </c>
      <c r="AW111" s="1">
        <f t="shared" si="72"/>
        <v>3.7</v>
      </c>
      <c r="AX111" s="1">
        <f t="shared" si="73"/>
        <v>-5.9</v>
      </c>
      <c r="AY111" s="1">
        <f t="shared" si="58"/>
        <v>64.8</v>
      </c>
      <c r="AZ111" s="1">
        <f t="shared" si="59"/>
        <v>30.5</v>
      </c>
      <c r="BA111" s="1" t="str">
        <f t="shared" si="74"/>
        <v>NAN</v>
      </c>
      <c r="BB111" s="5">
        <f t="shared" si="75"/>
        <v>0</v>
      </c>
      <c r="BC111" s="1">
        <f t="shared" si="64"/>
        <v>-3.4</v>
      </c>
      <c r="BD111" s="1">
        <f t="shared" si="65"/>
        <v>0.4</v>
      </c>
      <c r="BE111" s="1">
        <f t="shared" si="66"/>
        <v>-7.9</v>
      </c>
      <c r="BF111" s="5">
        <f t="shared" si="76"/>
        <v>0</v>
      </c>
      <c r="BG111" s="5">
        <f t="shared" si="77"/>
        <v>0.2</v>
      </c>
      <c r="BH111" s="5">
        <f t="shared" si="78"/>
        <v>0.7</v>
      </c>
      <c r="BI111" s="5" t="str">
        <f t="shared" si="79"/>
        <v>NAN</v>
      </c>
      <c r="BJ111" s="10">
        <f t="shared" si="80"/>
        <v>0.24199999999999999</v>
      </c>
      <c r="BK111" s="10">
        <f t="shared" si="81"/>
        <v>0.55100000000000005</v>
      </c>
      <c r="BM111" s="1">
        <f t="shared" si="82"/>
        <v>-3.2970000000000002</v>
      </c>
      <c r="BN111" s="1">
        <f t="shared" si="83"/>
        <v>-2.0570000000000004</v>
      </c>
    </row>
    <row r="112" spans="1:66" x14ac:dyDescent="0.2">
      <c r="A112" s="4">
        <f t="shared" si="84"/>
        <v>43572</v>
      </c>
      <c r="B112" s="1">
        <v>107</v>
      </c>
      <c r="C112" s="1">
        <v>12</v>
      </c>
      <c r="D112" s="5">
        <v>13.24</v>
      </c>
      <c r="E112" s="5">
        <v>5.117</v>
      </c>
      <c r="F112" s="5">
        <v>-2.2480000000000002</v>
      </c>
      <c r="G112" s="5">
        <v>0.89600000000000002</v>
      </c>
      <c r="H112" s="5">
        <v>67.3</v>
      </c>
      <c r="I112" s="5">
        <v>0.05</v>
      </c>
      <c r="J112" s="5">
        <v>4.7E-2</v>
      </c>
      <c r="K112" s="5">
        <v>3.7999999999999999E-2</v>
      </c>
      <c r="L112" s="5">
        <v>0.24299999999999999</v>
      </c>
      <c r="M112" s="5">
        <v>0.73499999999999999</v>
      </c>
      <c r="N112" s="5">
        <v>4.9740000000000002</v>
      </c>
      <c r="O112" s="5">
        <v>86.7</v>
      </c>
      <c r="P112" s="5">
        <v>0.16800000000000001</v>
      </c>
      <c r="Q112" s="5">
        <v>0.157</v>
      </c>
      <c r="R112" s="5">
        <v>0.14499999999999999</v>
      </c>
      <c r="S112" s="5">
        <v>0.33700000000000002</v>
      </c>
      <c r="T112" s="5">
        <v>0.83</v>
      </c>
      <c r="U112" s="5">
        <v>-2.4809999999999999</v>
      </c>
      <c r="V112" s="5">
        <v>45.08</v>
      </c>
      <c r="W112" s="5">
        <v>-5.8000000000000003E-2</v>
      </c>
      <c r="X112" s="5">
        <v>-4.9000000000000002E-2</v>
      </c>
      <c r="Y112" s="5">
        <v>-4.8000000000000001E-2</v>
      </c>
      <c r="Z112" s="5">
        <v>0.154</v>
      </c>
      <c r="AA112" s="5">
        <v>0.65100000000000002</v>
      </c>
      <c r="AB112" s="5" t="s">
        <v>99</v>
      </c>
      <c r="AC112" s="5">
        <v>-1.2310000000000001</v>
      </c>
      <c r="AD112" s="5">
        <v>0.46800000000000003</v>
      </c>
      <c r="AE112" s="5">
        <v>-3.927</v>
      </c>
      <c r="AF112" s="5">
        <v>5.8979999999999997</v>
      </c>
      <c r="AG112" s="5">
        <v>-2.629</v>
      </c>
      <c r="AI112" s="5" t="s">
        <v>99</v>
      </c>
      <c r="AK112" s="1" t="s">
        <v>99</v>
      </c>
      <c r="AL112" s="8">
        <f t="shared" si="61"/>
        <v>0</v>
      </c>
      <c r="AN112" s="1">
        <f t="shared" si="67"/>
        <v>86.7</v>
      </c>
      <c r="AO112" s="1">
        <f t="shared" si="68"/>
        <v>67.3</v>
      </c>
      <c r="AP112" s="1">
        <f t="shared" si="69"/>
        <v>45.1</v>
      </c>
      <c r="AQ112" s="17">
        <f t="shared" si="57"/>
        <v>0.39300000000000002</v>
      </c>
      <c r="AR112" s="22">
        <f t="shared" si="70"/>
        <v>0.47799999999999998</v>
      </c>
      <c r="AT112" s="19">
        <f t="shared" si="62"/>
        <v>43572</v>
      </c>
      <c r="AU112" s="20">
        <f t="shared" si="63"/>
        <v>107</v>
      </c>
      <c r="AV112" s="1">
        <f t="shared" si="71"/>
        <v>0.9</v>
      </c>
      <c r="AW112" s="1">
        <f t="shared" si="72"/>
        <v>5</v>
      </c>
      <c r="AX112" s="1">
        <f t="shared" si="73"/>
        <v>-2.5</v>
      </c>
      <c r="AY112" s="1">
        <f t="shared" si="58"/>
        <v>67.3</v>
      </c>
      <c r="AZ112" s="1">
        <f t="shared" si="59"/>
        <v>45.1</v>
      </c>
      <c r="BA112" s="1" t="str">
        <f t="shared" si="74"/>
        <v>NAN</v>
      </c>
      <c r="BB112" s="5">
        <f t="shared" si="75"/>
        <v>0</v>
      </c>
      <c r="BC112" s="1">
        <f t="shared" si="64"/>
        <v>-1.2</v>
      </c>
      <c r="BD112" s="1">
        <f t="shared" si="65"/>
        <v>0.5</v>
      </c>
      <c r="BE112" s="1">
        <f t="shared" si="66"/>
        <v>-3.9</v>
      </c>
      <c r="BF112" s="5">
        <f t="shared" si="76"/>
        <v>0</v>
      </c>
      <c r="BG112" s="5">
        <f t="shared" si="77"/>
        <v>0.2</v>
      </c>
      <c r="BH112" s="5">
        <f t="shared" si="78"/>
        <v>0.7</v>
      </c>
      <c r="BI112" s="5" t="str">
        <f t="shared" si="79"/>
        <v>NAN</v>
      </c>
      <c r="BJ112" s="10">
        <f t="shared" si="80"/>
        <v>0.39300000000000002</v>
      </c>
      <c r="BK112" s="10">
        <f t="shared" si="81"/>
        <v>0.47799999999999998</v>
      </c>
      <c r="BM112" s="1">
        <f t="shared" si="82"/>
        <v>-4.5060000000000002</v>
      </c>
      <c r="BN112" s="1">
        <f t="shared" si="83"/>
        <v>-1.4460000000000002</v>
      </c>
    </row>
    <row r="113" spans="1:66" x14ac:dyDescent="0.2">
      <c r="A113" s="4">
        <f t="shared" si="84"/>
        <v>43573</v>
      </c>
      <c r="B113" s="1">
        <v>108</v>
      </c>
      <c r="C113" s="1">
        <v>12</v>
      </c>
      <c r="D113" s="5">
        <v>13.16</v>
      </c>
      <c r="E113" s="5">
        <v>4.2789999999999999</v>
      </c>
      <c r="F113" s="5">
        <v>1.0999999999999999E-2</v>
      </c>
      <c r="G113" s="5">
        <v>2.1160000000000001</v>
      </c>
      <c r="H113" s="5">
        <v>95.8</v>
      </c>
      <c r="I113" s="5">
        <v>5.1999999999999998E-2</v>
      </c>
      <c r="J113" s="5">
        <v>4.8000000000000001E-2</v>
      </c>
      <c r="K113" s="5">
        <v>4.3999999999999997E-2</v>
      </c>
      <c r="L113" s="5">
        <v>0.24399999999999999</v>
      </c>
      <c r="M113" s="5">
        <v>0.73699999999999999</v>
      </c>
      <c r="N113" s="5">
        <v>4.0270000000000001</v>
      </c>
      <c r="O113" s="5">
        <v>97.7</v>
      </c>
      <c r="P113" s="5">
        <v>0.13300000000000001</v>
      </c>
      <c r="Q113" s="5">
        <v>0.123</v>
      </c>
      <c r="R113" s="5">
        <v>0.14299999999999999</v>
      </c>
      <c r="S113" s="5">
        <v>0.33800000000000002</v>
      </c>
      <c r="T113" s="5">
        <v>0.83099999999999996</v>
      </c>
      <c r="U113" s="5">
        <v>-0.45300000000000001</v>
      </c>
      <c r="V113" s="5">
        <v>84.8</v>
      </c>
      <c r="W113" s="5">
        <v>-4.5999999999999999E-2</v>
      </c>
      <c r="X113" s="5">
        <v>-3.9E-2</v>
      </c>
      <c r="Y113" s="5">
        <v>-4.9000000000000002E-2</v>
      </c>
      <c r="Z113" s="5">
        <v>0.161</v>
      </c>
      <c r="AA113" s="5">
        <v>0.63800000000000001</v>
      </c>
      <c r="AB113" s="5" t="s">
        <v>99</v>
      </c>
      <c r="AC113" s="5">
        <v>1.4999999999999999E-2</v>
      </c>
      <c r="AD113" s="5">
        <v>0.43099999999999999</v>
      </c>
      <c r="AE113" s="5">
        <v>-0.59899999999999998</v>
      </c>
      <c r="AF113" s="5">
        <v>4.8250000000000002</v>
      </c>
      <c r="AG113" s="5">
        <v>-0.54100000000000004</v>
      </c>
      <c r="AI113" s="5" t="s">
        <v>99</v>
      </c>
      <c r="AK113" s="1" t="s">
        <v>99</v>
      </c>
      <c r="AL113" s="8">
        <f t="shared" si="61"/>
        <v>0</v>
      </c>
      <c r="AN113" s="1">
        <f t="shared" si="67"/>
        <v>97.7</v>
      </c>
      <c r="AO113" s="1">
        <f t="shared" si="68"/>
        <v>95.8</v>
      </c>
      <c r="AP113" s="1">
        <f t="shared" si="69"/>
        <v>84.8</v>
      </c>
      <c r="AQ113" s="17">
        <f t="shared" si="57"/>
        <v>0.69099999999999995</v>
      </c>
      <c r="AR113" s="22">
        <f t="shared" si="70"/>
        <v>0.124</v>
      </c>
      <c r="AT113" s="19">
        <f t="shared" si="62"/>
        <v>43573</v>
      </c>
      <c r="AU113" s="20">
        <f t="shared" si="63"/>
        <v>108</v>
      </c>
      <c r="AV113" s="1">
        <f t="shared" si="71"/>
        <v>2.1</v>
      </c>
      <c r="AW113" s="1">
        <f t="shared" si="72"/>
        <v>4</v>
      </c>
      <c r="AX113" s="1">
        <f t="shared" si="73"/>
        <v>-0.5</v>
      </c>
      <c r="AY113" s="1">
        <f t="shared" si="58"/>
        <v>95.8</v>
      </c>
      <c r="AZ113" s="1">
        <f t="shared" si="59"/>
        <v>84.8</v>
      </c>
      <c r="BA113" s="1" t="str">
        <f t="shared" si="74"/>
        <v>NAN</v>
      </c>
      <c r="BB113" s="5">
        <f t="shared" si="75"/>
        <v>0</v>
      </c>
      <c r="BC113" s="1">
        <f t="shared" si="64"/>
        <v>0</v>
      </c>
      <c r="BD113" s="1">
        <f t="shared" si="65"/>
        <v>0.4</v>
      </c>
      <c r="BE113" s="1">
        <f t="shared" si="66"/>
        <v>-0.6</v>
      </c>
      <c r="BF113" s="5">
        <f t="shared" si="76"/>
        <v>0</v>
      </c>
      <c r="BG113" s="5">
        <f t="shared" si="77"/>
        <v>0.2</v>
      </c>
      <c r="BH113" s="5">
        <f t="shared" si="78"/>
        <v>0.7</v>
      </c>
      <c r="BI113" s="5" t="str">
        <f t="shared" si="79"/>
        <v>NAN</v>
      </c>
      <c r="BJ113" s="10">
        <f t="shared" si="80"/>
        <v>0.69099999999999995</v>
      </c>
      <c r="BK113" s="10">
        <f t="shared" si="81"/>
        <v>0.124</v>
      </c>
      <c r="BM113" s="1">
        <f t="shared" si="82"/>
        <v>-3.5960000000000001</v>
      </c>
      <c r="BN113" s="1">
        <f t="shared" si="83"/>
        <v>-0.14599999999999996</v>
      </c>
    </row>
    <row r="114" spans="1:66" x14ac:dyDescent="0.2">
      <c r="A114" s="4">
        <f t="shared" si="84"/>
        <v>43574</v>
      </c>
      <c r="B114" s="1">
        <v>109</v>
      </c>
      <c r="C114" s="1">
        <v>12</v>
      </c>
      <c r="D114" s="5">
        <v>13.22</v>
      </c>
      <c r="E114" s="5">
        <v>4.7939999999999996</v>
      </c>
      <c r="F114" s="5">
        <v>-0.35</v>
      </c>
      <c r="G114" s="5">
        <v>2.294</v>
      </c>
      <c r="H114" s="5">
        <v>90.2</v>
      </c>
      <c r="I114" s="5">
        <v>4.8000000000000001E-2</v>
      </c>
      <c r="J114" s="5">
        <v>4.5999999999999999E-2</v>
      </c>
      <c r="K114" s="5">
        <v>4.1000000000000002E-2</v>
      </c>
      <c r="L114" s="5">
        <v>0.21099999999999999</v>
      </c>
      <c r="M114" s="5">
        <v>0.71</v>
      </c>
      <c r="N114" s="5">
        <v>4.1959999999999997</v>
      </c>
      <c r="O114" s="5">
        <v>97.8</v>
      </c>
      <c r="P114" s="5">
        <v>0.129</v>
      </c>
      <c r="Q114" s="5">
        <v>0.128</v>
      </c>
      <c r="R114" s="5">
        <v>0.123</v>
      </c>
      <c r="S114" s="5">
        <v>0.29199999999999998</v>
      </c>
      <c r="T114" s="5">
        <v>0.79900000000000004</v>
      </c>
      <c r="U114" s="5">
        <v>-1.0609999999999999</v>
      </c>
      <c r="V114" s="5">
        <v>71.23</v>
      </c>
      <c r="W114" s="5">
        <v>-5.8000000000000003E-2</v>
      </c>
      <c r="X114" s="5">
        <v>-6.6000000000000003E-2</v>
      </c>
      <c r="Y114" s="5">
        <v>-0.06</v>
      </c>
      <c r="Z114" s="5">
        <v>0.113</v>
      </c>
      <c r="AA114" s="5">
        <v>0.59799999999999998</v>
      </c>
      <c r="AB114" s="5" t="s">
        <v>99</v>
      </c>
      <c r="AC114" s="5">
        <v>0.10100000000000001</v>
      </c>
      <c r="AD114" s="5">
        <v>0.70199999999999996</v>
      </c>
      <c r="AE114" s="5">
        <v>-0.53600000000000003</v>
      </c>
      <c r="AF114" s="5">
        <v>4.16</v>
      </c>
      <c r="AG114" s="5">
        <v>-1.0920000000000001</v>
      </c>
      <c r="AI114" s="5" t="s">
        <v>99</v>
      </c>
      <c r="AK114" s="1" t="s">
        <v>99</v>
      </c>
      <c r="AL114" s="8">
        <f t="shared" si="61"/>
        <v>0</v>
      </c>
      <c r="AN114" s="1">
        <f t="shared" si="67"/>
        <v>97.8</v>
      </c>
      <c r="AO114" s="1">
        <f t="shared" si="68"/>
        <v>90.2</v>
      </c>
      <c r="AP114" s="1">
        <f t="shared" si="69"/>
        <v>71.2</v>
      </c>
      <c r="AQ114" s="17">
        <f t="shared" si="57"/>
        <v>0.58699999999999997</v>
      </c>
      <c r="AR114" s="22">
        <f t="shared" si="70"/>
        <v>0.23699999999999999</v>
      </c>
      <c r="AT114" s="19">
        <f t="shared" si="62"/>
        <v>43574</v>
      </c>
      <c r="AU114" s="20">
        <f t="shared" si="63"/>
        <v>109</v>
      </c>
      <c r="AV114" s="1">
        <f t="shared" si="71"/>
        <v>2.2999999999999998</v>
      </c>
      <c r="AW114" s="1">
        <f t="shared" si="72"/>
        <v>4.2</v>
      </c>
      <c r="AX114" s="1">
        <f t="shared" si="73"/>
        <v>-1.1000000000000001</v>
      </c>
      <c r="AY114" s="1">
        <f t="shared" si="58"/>
        <v>90.2</v>
      </c>
      <c r="AZ114" s="1">
        <f t="shared" si="59"/>
        <v>71.2</v>
      </c>
      <c r="BA114" s="1" t="str">
        <f t="shared" si="74"/>
        <v>NAN</v>
      </c>
      <c r="BB114" s="5">
        <f t="shared" si="75"/>
        <v>0</v>
      </c>
      <c r="BC114" s="1">
        <f t="shared" si="64"/>
        <v>0.1</v>
      </c>
      <c r="BD114" s="1">
        <f t="shared" si="65"/>
        <v>0.7</v>
      </c>
      <c r="BE114" s="1">
        <f t="shared" si="66"/>
        <v>-0.5</v>
      </c>
      <c r="BF114" s="5">
        <f t="shared" si="76"/>
        <v>0</v>
      </c>
      <c r="BG114" s="5">
        <f t="shared" si="77"/>
        <v>0.2</v>
      </c>
      <c r="BH114" s="5">
        <f t="shared" si="78"/>
        <v>0.7</v>
      </c>
      <c r="BI114" s="5" t="str">
        <f t="shared" si="79"/>
        <v>NAN</v>
      </c>
      <c r="BJ114" s="10">
        <f t="shared" si="80"/>
        <v>0.58699999999999997</v>
      </c>
      <c r="BK114" s="10">
        <f t="shared" si="81"/>
        <v>0.23699999999999999</v>
      </c>
      <c r="BM114" s="1">
        <f t="shared" si="82"/>
        <v>-3.4939999999999998</v>
      </c>
      <c r="BN114" s="1">
        <f t="shared" si="83"/>
        <v>0.52499999999999991</v>
      </c>
    </row>
    <row r="115" spans="1:66" x14ac:dyDescent="0.2">
      <c r="A115" s="4">
        <f t="shared" si="84"/>
        <v>43575</v>
      </c>
      <c r="B115" s="1">
        <v>110</v>
      </c>
      <c r="C115" s="1">
        <v>12</v>
      </c>
      <c r="D115" s="5">
        <v>13.24</v>
      </c>
      <c r="E115" s="5">
        <v>5.0739999999999998</v>
      </c>
      <c r="F115" s="5">
        <v>-2.5920000000000001</v>
      </c>
      <c r="G115" s="5">
        <v>-0.76100000000000001</v>
      </c>
      <c r="H115" s="5">
        <v>69.63</v>
      </c>
      <c r="I115" s="5">
        <v>3.1E-2</v>
      </c>
      <c r="J115" s="5">
        <v>2.8000000000000001E-2</v>
      </c>
      <c r="K115" s="5">
        <v>2.3E-2</v>
      </c>
      <c r="L115" s="5">
        <v>0.20799999999999999</v>
      </c>
      <c r="M115" s="5">
        <v>0.68700000000000006</v>
      </c>
      <c r="N115" s="5">
        <v>2.5070000000000001</v>
      </c>
      <c r="O115" s="5">
        <v>96.4</v>
      </c>
      <c r="P115" s="5">
        <v>0.12</v>
      </c>
      <c r="Q115" s="5">
        <v>0.12</v>
      </c>
      <c r="R115" s="5">
        <v>0.109</v>
      </c>
      <c r="S115" s="5">
        <v>0.29799999999999999</v>
      </c>
      <c r="T115" s="5">
        <v>0.78</v>
      </c>
      <c r="U115" s="5">
        <v>-3.2250000000000001</v>
      </c>
      <c r="V115" s="5">
        <v>41.76</v>
      </c>
      <c r="W115" s="5">
        <v>-0.122</v>
      </c>
      <c r="X115" s="5">
        <v>-0.10100000000000001</v>
      </c>
      <c r="Y115" s="5">
        <v>-8.8999999999999996E-2</v>
      </c>
      <c r="Z115" s="5">
        <v>0.108</v>
      </c>
      <c r="AA115" s="5">
        <v>0.55300000000000005</v>
      </c>
      <c r="AB115" s="5" t="s">
        <v>99</v>
      </c>
      <c r="AC115" s="5">
        <v>-1.6890000000000001</v>
      </c>
      <c r="AD115" s="5">
        <v>0.52</v>
      </c>
      <c r="AE115" s="5">
        <v>-3.996</v>
      </c>
      <c r="AF115" s="5">
        <v>4.7720000000000002</v>
      </c>
      <c r="AG115" s="5">
        <v>-3.2050000000000001</v>
      </c>
      <c r="AI115" s="5" t="s">
        <v>99</v>
      </c>
      <c r="AK115" s="1" t="s">
        <v>99</v>
      </c>
      <c r="AL115" s="8">
        <f t="shared" si="61"/>
        <v>0</v>
      </c>
      <c r="AN115" s="1">
        <f t="shared" si="67"/>
        <v>96.4</v>
      </c>
      <c r="AO115" s="1">
        <f t="shared" si="68"/>
        <v>69.599999999999994</v>
      </c>
      <c r="AP115" s="1">
        <f t="shared" si="69"/>
        <v>41.8</v>
      </c>
      <c r="AQ115" s="17">
        <f t="shared" si="57"/>
        <v>0.30599999999999999</v>
      </c>
      <c r="AR115" s="22">
        <f t="shared" si="70"/>
        <v>0.42599999999999999</v>
      </c>
      <c r="AT115" s="19">
        <f t="shared" si="62"/>
        <v>43575</v>
      </c>
      <c r="AU115" s="20">
        <f t="shared" si="63"/>
        <v>110</v>
      </c>
      <c r="AV115" s="1">
        <f t="shared" si="71"/>
        <v>-0.8</v>
      </c>
      <c r="AW115" s="1">
        <f t="shared" si="72"/>
        <v>2.5</v>
      </c>
      <c r="AX115" s="1">
        <f t="shared" si="73"/>
        <v>-3.2</v>
      </c>
      <c r="AY115" s="1">
        <f t="shared" si="58"/>
        <v>69.599999999999994</v>
      </c>
      <c r="AZ115" s="1">
        <f t="shared" si="59"/>
        <v>41.8</v>
      </c>
      <c r="BA115" s="1" t="str">
        <f t="shared" si="74"/>
        <v>NAN</v>
      </c>
      <c r="BB115" s="5">
        <f t="shared" si="75"/>
        <v>0</v>
      </c>
      <c r="BC115" s="1">
        <f t="shared" si="64"/>
        <v>-1.7</v>
      </c>
      <c r="BD115" s="1">
        <f t="shared" si="65"/>
        <v>0.5</v>
      </c>
      <c r="BE115" s="1">
        <f t="shared" si="66"/>
        <v>-4</v>
      </c>
      <c r="BF115" s="5">
        <f t="shared" si="76"/>
        <v>0</v>
      </c>
      <c r="BG115" s="5">
        <f t="shared" si="77"/>
        <v>0.2</v>
      </c>
      <c r="BH115" s="5">
        <f t="shared" si="78"/>
        <v>0.7</v>
      </c>
      <c r="BI115" s="5" t="str">
        <f t="shared" si="79"/>
        <v>NAN</v>
      </c>
      <c r="BJ115" s="10">
        <f t="shared" si="80"/>
        <v>0.30599999999999999</v>
      </c>
      <c r="BK115" s="10">
        <f t="shared" si="81"/>
        <v>0.42599999999999999</v>
      </c>
      <c r="BM115" s="1">
        <f t="shared" si="82"/>
        <v>-1.9870000000000001</v>
      </c>
      <c r="BN115" s="1">
        <f t="shared" si="83"/>
        <v>-0.77099999999999991</v>
      </c>
    </row>
    <row r="116" spans="1:66" x14ac:dyDescent="0.2">
      <c r="A116" s="4">
        <f t="shared" si="84"/>
        <v>43576</v>
      </c>
      <c r="B116" s="1">
        <v>111</v>
      </c>
      <c r="C116" s="1">
        <v>12</v>
      </c>
      <c r="D116" s="5">
        <v>13.27</v>
      </c>
      <c r="E116" s="5">
        <v>10.18</v>
      </c>
      <c r="F116" s="5">
        <v>-2.9350000000000001</v>
      </c>
      <c r="G116" s="5">
        <v>2.484</v>
      </c>
      <c r="H116" s="5">
        <v>38.549999999999997</v>
      </c>
      <c r="I116" s="5">
        <v>3.2000000000000001E-2</v>
      </c>
      <c r="J116" s="5">
        <v>2.8000000000000001E-2</v>
      </c>
      <c r="K116" s="5">
        <v>2.7E-2</v>
      </c>
      <c r="L116" s="5">
        <v>0.224</v>
      </c>
      <c r="M116" s="5">
        <v>0.69699999999999995</v>
      </c>
      <c r="N116" s="5">
        <v>7.8970000000000002</v>
      </c>
      <c r="O116" s="5">
        <v>56.81</v>
      </c>
      <c r="P116" s="5">
        <v>0.16</v>
      </c>
      <c r="Q116" s="5">
        <v>0.13500000000000001</v>
      </c>
      <c r="R116" s="5">
        <v>0.114</v>
      </c>
      <c r="S116" s="5">
        <v>0.32100000000000001</v>
      </c>
      <c r="T116" s="5">
        <v>0.80700000000000005</v>
      </c>
      <c r="U116" s="5">
        <v>-2.5150000000000001</v>
      </c>
      <c r="V116" s="5">
        <v>16.72</v>
      </c>
      <c r="W116" s="5">
        <v>-0.11799999999999999</v>
      </c>
      <c r="X116" s="5">
        <v>-0.108</v>
      </c>
      <c r="Y116" s="5">
        <v>-9.7000000000000003E-2</v>
      </c>
      <c r="Z116" s="5">
        <v>0.111</v>
      </c>
      <c r="AA116" s="5">
        <v>0.53700000000000003</v>
      </c>
      <c r="AB116" s="5" t="s">
        <v>99</v>
      </c>
      <c r="AC116" s="5">
        <v>-1.728</v>
      </c>
      <c r="AD116" s="5">
        <v>0.51300000000000001</v>
      </c>
      <c r="AE116" s="5">
        <v>-5.0330000000000004</v>
      </c>
      <c r="AF116" s="5">
        <v>9.74</v>
      </c>
      <c r="AG116" s="5">
        <v>-2.9329999999999998</v>
      </c>
      <c r="AI116" s="5" t="s">
        <v>99</v>
      </c>
      <c r="AK116" s="1" t="s">
        <v>99</v>
      </c>
      <c r="AL116" s="8">
        <f t="shared" si="61"/>
        <v>0</v>
      </c>
      <c r="AN116" s="1">
        <f t="shared" si="67"/>
        <v>56.8</v>
      </c>
      <c r="AO116" s="1">
        <f t="shared" si="68"/>
        <v>38.6</v>
      </c>
      <c r="AP116" s="1">
        <f t="shared" si="69"/>
        <v>16.7</v>
      </c>
      <c r="AQ116" s="17">
        <f t="shared" si="57"/>
        <v>0.17799999999999999</v>
      </c>
      <c r="AR116" s="22">
        <f t="shared" si="70"/>
        <v>0.88800000000000001</v>
      </c>
      <c r="AT116" s="19">
        <f t="shared" si="62"/>
        <v>43576</v>
      </c>
      <c r="AU116" s="20">
        <f t="shared" si="63"/>
        <v>111</v>
      </c>
      <c r="AV116" s="1">
        <f t="shared" si="71"/>
        <v>2.5</v>
      </c>
      <c r="AW116" s="1">
        <f t="shared" si="72"/>
        <v>7.9</v>
      </c>
      <c r="AX116" s="1">
        <f t="shared" si="73"/>
        <v>-2.5</v>
      </c>
      <c r="AY116" s="1">
        <f t="shared" si="58"/>
        <v>38.6</v>
      </c>
      <c r="AZ116" s="1">
        <f t="shared" si="59"/>
        <v>16.7</v>
      </c>
      <c r="BA116" s="1" t="str">
        <f t="shared" si="74"/>
        <v>NAN</v>
      </c>
      <c r="BB116" s="5">
        <f t="shared" si="75"/>
        <v>0</v>
      </c>
      <c r="BC116" s="1">
        <f t="shared" si="64"/>
        <v>-1.7</v>
      </c>
      <c r="BD116" s="1">
        <f t="shared" si="65"/>
        <v>0.5</v>
      </c>
      <c r="BE116" s="1">
        <f t="shared" si="66"/>
        <v>-5</v>
      </c>
      <c r="BF116" s="5">
        <f t="shared" si="76"/>
        <v>0</v>
      </c>
      <c r="BG116" s="5">
        <f t="shared" si="77"/>
        <v>0.2</v>
      </c>
      <c r="BH116" s="5">
        <f t="shared" si="78"/>
        <v>0.7</v>
      </c>
      <c r="BI116" s="5" t="str">
        <f t="shared" si="79"/>
        <v>NAN</v>
      </c>
      <c r="BJ116" s="10">
        <f t="shared" si="80"/>
        <v>0.17799999999999999</v>
      </c>
      <c r="BK116" s="10">
        <f t="shared" si="81"/>
        <v>0.88800000000000001</v>
      </c>
      <c r="BM116" s="1">
        <f t="shared" si="82"/>
        <v>-7.3840000000000003</v>
      </c>
      <c r="BN116" s="1">
        <f t="shared" si="83"/>
        <v>-2.5180000000000002</v>
      </c>
    </row>
    <row r="117" spans="1:66" x14ac:dyDescent="0.2">
      <c r="A117" s="4">
        <f t="shared" si="84"/>
        <v>43577</v>
      </c>
      <c r="B117" s="1">
        <v>112</v>
      </c>
      <c r="C117" s="1">
        <v>12</v>
      </c>
      <c r="D117" s="5">
        <v>13.07</v>
      </c>
      <c r="E117" s="5">
        <v>5.3970000000000002</v>
      </c>
      <c r="F117" s="5">
        <v>-0.224</v>
      </c>
      <c r="G117" s="5">
        <v>2.66</v>
      </c>
      <c r="H117" s="5">
        <v>62.13</v>
      </c>
      <c r="I117" s="5">
        <v>5.2999999999999999E-2</v>
      </c>
      <c r="J117" s="5">
        <v>4.8000000000000001E-2</v>
      </c>
      <c r="K117" s="5">
        <v>4.5999999999999999E-2</v>
      </c>
      <c r="L117" s="5">
        <v>0.24399999999999999</v>
      </c>
      <c r="M117" s="5">
        <v>0.71599999999999997</v>
      </c>
      <c r="N117" s="5">
        <v>5.5140000000000002</v>
      </c>
      <c r="O117" s="5">
        <v>85.3</v>
      </c>
      <c r="P117" s="5">
        <v>0.14799999999999999</v>
      </c>
      <c r="Q117" s="5">
        <v>0.14599999999999999</v>
      </c>
      <c r="R117" s="5">
        <v>0.13</v>
      </c>
      <c r="S117" s="5">
        <v>0.32400000000000001</v>
      </c>
      <c r="T117" s="5">
        <v>0.81399999999999995</v>
      </c>
      <c r="U117" s="5">
        <v>-0.115</v>
      </c>
      <c r="V117" s="5">
        <v>39.14</v>
      </c>
      <c r="W117" s="5">
        <v>-6.3E-2</v>
      </c>
      <c r="X117" s="5">
        <v>-0.06</v>
      </c>
      <c r="Y117" s="5">
        <v>-0.06</v>
      </c>
      <c r="Z117" s="5">
        <v>0.14699999999999999</v>
      </c>
      <c r="AA117" s="5">
        <v>0.59699999999999998</v>
      </c>
      <c r="AB117" s="5" t="s">
        <v>99</v>
      </c>
      <c r="AC117" s="5">
        <v>-0.46500000000000002</v>
      </c>
      <c r="AD117" s="5">
        <v>0.13400000000000001</v>
      </c>
      <c r="AE117" s="5">
        <v>-2.1070000000000002</v>
      </c>
      <c r="AF117" s="5">
        <v>5.1859999999999999</v>
      </c>
      <c r="AG117" s="5">
        <v>-0.23899999999999999</v>
      </c>
      <c r="AI117" s="5" t="s">
        <v>99</v>
      </c>
      <c r="AK117" s="1" t="s">
        <v>99</v>
      </c>
      <c r="AL117" s="8">
        <f t="shared" si="61"/>
        <v>0</v>
      </c>
      <c r="AN117" s="1">
        <f t="shared" si="67"/>
        <v>85.3</v>
      </c>
      <c r="AO117" s="1">
        <f t="shared" si="68"/>
        <v>62.1</v>
      </c>
      <c r="AP117" s="1">
        <f t="shared" si="69"/>
        <v>39.1</v>
      </c>
      <c r="AQ117" s="17">
        <f t="shared" si="57"/>
        <v>0.35299999999999998</v>
      </c>
      <c r="AR117" s="22">
        <f t="shared" si="70"/>
        <v>0.55000000000000004</v>
      </c>
      <c r="AT117" s="19">
        <f t="shared" si="62"/>
        <v>43577</v>
      </c>
      <c r="AU117" s="20">
        <f t="shared" si="63"/>
        <v>112</v>
      </c>
      <c r="AV117" s="1">
        <f t="shared" si="71"/>
        <v>2.7</v>
      </c>
      <c r="AW117" s="1">
        <f t="shared" si="72"/>
        <v>5.5</v>
      </c>
      <c r="AX117" s="1">
        <f t="shared" si="73"/>
        <v>-0.1</v>
      </c>
      <c r="AY117" s="1">
        <f t="shared" si="58"/>
        <v>62.1</v>
      </c>
      <c r="AZ117" s="1">
        <f t="shared" si="59"/>
        <v>39.1</v>
      </c>
      <c r="BA117" s="1" t="str">
        <f t="shared" si="74"/>
        <v>NAN</v>
      </c>
      <c r="BB117" s="5">
        <f t="shared" si="75"/>
        <v>0</v>
      </c>
      <c r="BC117" s="1">
        <f t="shared" si="64"/>
        <v>-0.5</v>
      </c>
      <c r="BD117" s="1">
        <f t="shared" si="65"/>
        <v>0.1</v>
      </c>
      <c r="BE117" s="1">
        <f t="shared" si="66"/>
        <v>-2.1</v>
      </c>
      <c r="BF117" s="5">
        <f t="shared" si="76"/>
        <v>0</v>
      </c>
      <c r="BG117" s="5">
        <f t="shared" si="77"/>
        <v>0.2</v>
      </c>
      <c r="BH117" s="5">
        <f t="shared" si="78"/>
        <v>0.7</v>
      </c>
      <c r="BI117" s="5" t="str">
        <f t="shared" si="79"/>
        <v>NAN</v>
      </c>
      <c r="BJ117" s="10">
        <f t="shared" si="80"/>
        <v>0.35299999999999998</v>
      </c>
      <c r="BK117" s="10">
        <f t="shared" si="81"/>
        <v>0.55000000000000004</v>
      </c>
      <c r="BM117" s="1">
        <f t="shared" si="82"/>
        <v>-5.38</v>
      </c>
      <c r="BN117" s="1">
        <f t="shared" si="83"/>
        <v>-1.9920000000000002</v>
      </c>
    </row>
    <row r="118" spans="1:66" x14ac:dyDescent="0.2">
      <c r="A118" s="4">
        <f t="shared" si="84"/>
        <v>43578</v>
      </c>
      <c r="B118" s="1">
        <v>113</v>
      </c>
      <c r="C118" s="1">
        <v>12</v>
      </c>
      <c r="D118" s="5">
        <v>13.26</v>
      </c>
      <c r="E118" s="5">
        <v>6.33</v>
      </c>
      <c r="F118" s="5">
        <v>-2.6549999999999998</v>
      </c>
      <c r="G118" s="5">
        <v>1.526</v>
      </c>
      <c r="H118" s="5">
        <v>74.81</v>
      </c>
      <c r="I118" s="5">
        <v>5.1999999999999998E-2</v>
      </c>
      <c r="J118" s="5">
        <v>4.7E-2</v>
      </c>
      <c r="K118" s="5">
        <v>4.2999999999999997E-2</v>
      </c>
      <c r="L118" s="5">
        <v>0.24</v>
      </c>
      <c r="M118" s="5">
        <v>0.71799999999999997</v>
      </c>
      <c r="N118" s="5">
        <v>5.5819999999999999</v>
      </c>
      <c r="O118" s="5">
        <v>86.9</v>
      </c>
      <c r="P118" s="5">
        <v>0.14599999999999999</v>
      </c>
      <c r="Q118" s="5">
        <v>0.14299999999999999</v>
      </c>
      <c r="R118" s="5">
        <v>0.13500000000000001</v>
      </c>
      <c r="S118" s="5">
        <v>0.33800000000000002</v>
      </c>
      <c r="T118" s="5">
        <v>0.81499999999999995</v>
      </c>
      <c r="U118" s="5">
        <v>-3.157</v>
      </c>
      <c r="V118" s="5">
        <v>44.53</v>
      </c>
      <c r="W118" s="5">
        <v>-9.5000000000000001E-2</v>
      </c>
      <c r="X118" s="5">
        <v>-9.5000000000000001E-2</v>
      </c>
      <c r="Y118" s="5">
        <v>-7.6999999999999999E-2</v>
      </c>
      <c r="Z118" s="5">
        <v>0.11600000000000001</v>
      </c>
      <c r="AA118" s="5">
        <v>0.58199999999999996</v>
      </c>
      <c r="AB118" s="5" t="s">
        <v>99</v>
      </c>
      <c r="AC118" s="5">
        <v>-0.54300000000000004</v>
      </c>
      <c r="AD118" s="5">
        <v>0.39</v>
      </c>
      <c r="AE118" s="5">
        <v>-3.5419999999999998</v>
      </c>
      <c r="AF118" s="5">
        <v>5.3559999999999999</v>
      </c>
      <c r="AG118" s="5">
        <v>-3.3140000000000001</v>
      </c>
      <c r="AI118" s="5" t="s">
        <v>99</v>
      </c>
      <c r="AK118" s="1" t="s">
        <v>99</v>
      </c>
      <c r="AL118" s="8">
        <f t="shared" si="61"/>
        <v>0</v>
      </c>
      <c r="AN118" s="1">
        <f t="shared" si="67"/>
        <v>86.9</v>
      </c>
      <c r="AO118" s="1">
        <f t="shared" si="68"/>
        <v>74.8</v>
      </c>
      <c r="AP118" s="1">
        <f t="shared" si="69"/>
        <v>44.5</v>
      </c>
      <c r="AQ118" s="17">
        <f t="shared" ref="AQ118:AQ149" si="85">ROUND((0.6105*(EXP((17.273*N118)/(N118+237.3))))*AP118/100,3)</f>
        <v>0.40400000000000003</v>
      </c>
      <c r="AR118" s="22">
        <f t="shared" si="70"/>
        <v>0.504</v>
      </c>
      <c r="AT118" s="19">
        <f t="shared" si="62"/>
        <v>43578</v>
      </c>
      <c r="AU118" s="20">
        <f t="shared" si="63"/>
        <v>113</v>
      </c>
      <c r="AV118" s="1">
        <f t="shared" si="71"/>
        <v>1.5</v>
      </c>
      <c r="AW118" s="1">
        <f t="shared" si="72"/>
        <v>5.6</v>
      </c>
      <c r="AX118" s="1">
        <f t="shared" si="73"/>
        <v>-3.2</v>
      </c>
      <c r="AY118" s="1">
        <f t="shared" si="58"/>
        <v>74.8</v>
      </c>
      <c r="AZ118" s="1">
        <f t="shared" si="59"/>
        <v>44.5</v>
      </c>
      <c r="BA118" s="1" t="str">
        <f t="shared" si="74"/>
        <v>NAN</v>
      </c>
      <c r="BB118" s="5">
        <f t="shared" si="75"/>
        <v>0</v>
      </c>
      <c r="BC118" s="1">
        <f t="shared" si="64"/>
        <v>-0.5</v>
      </c>
      <c r="BD118" s="1">
        <f t="shared" si="65"/>
        <v>0.4</v>
      </c>
      <c r="BE118" s="1">
        <f t="shared" si="66"/>
        <v>-3.5</v>
      </c>
      <c r="BF118" s="5">
        <f t="shared" si="76"/>
        <v>0</v>
      </c>
      <c r="BG118" s="5">
        <f t="shared" si="77"/>
        <v>0.2</v>
      </c>
      <c r="BH118" s="5">
        <f t="shared" si="78"/>
        <v>0.7</v>
      </c>
      <c r="BI118" s="5" t="str">
        <f t="shared" si="79"/>
        <v>NAN</v>
      </c>
      <c r="BJ118" s="10">
        <f t="shared" si="80"/>
        <v>0.40400000000000003</v>
      </c>
      <c r="BK118" s="10">
        <f t="shared" si="81"/>
        <v>0.504</v>
      </c>
      <c r="BM118" s="1">
        <f t="shared" si="82"/>
        <v>-5.1920000000000002</v>
      </c>
      <c r="BN118" s="1">
        <f t="shared" si="83"/>
        <v>-0.38499999999999979</v>
      </c>
    </row>
    <row r="119" spans="1:66" x14ac:dyDescent="0.2">
      <c r="A119" s="4">
        <f t="shared" si="84"/>
        <v>43579</v>
      </c>
      <c r="B119" s="1">
        <v>114</v>
      </c>
      <c r="C119" s="1">
        <v>12</v>
      </c>
      <c r="D119" s="5">
        <v>13.27</v>
      </c>
      <c r="E119" s="5">
        <v>5.7649999999999997</v>
      </c>
      <c r="F119" s="5">
        <v>-2.8490000000000002</v>
      </c>
      <c r="G119" s="5">
        <v>-0.82699999999999996</v>
      </c>
      <c r="H119" s="5">
        <v>63.68</v>
      </c>
      <c r="I119" s="5">
        <v>2.1999999999999999E-2</v>
      </c>
      <c r="J119" s="5">
        <v>0.02</v>
      </c>
      <c r="K119" s="5">
        <v>1.2999999999999999E-2</v>
      </c>
      <c r="L119" s="5">
        <v>0.20799999999999999</v>
      </c>
      <c r="M119" s="5">
        <v>0.68100000000000005</v>
      </c>
      <c r="N119" s="5">
        <v>3.1829999999999998</v>
      </c>
      <c r="O119" s="5">
        <v>82.9</v>
      </c>
      <c r="P119" s="5">
        <v>0.13700000000000001</v>
      </c>
      <c r="Q119" s="5">
        <v>0.121</v>
      </c>
      <c r="R119" s="5">
        <v>0.109</v>
      </c>
      <c r="S119" s="5">
        <v>0.29299999999999998</v>
      </c>
      <c r="T119" s="5">
        <v>0.78200000000000003</v>
      </c>
      <c r="U119" s="5">
        <v>-2.92</v>
      </c>
      <c r="V119" s="5">
        <v>38.96</v>
      </c>
      <c r="W119" s="5">
        <v>-0.13200000000000001</v>
      </c>
      <c r="X119" s="5">
        <v>-0.126</v>
      </c>
      <c r="Y119" s="5">
        <v>-0.114</v>
      </c>
      <c r="Z119" s="5">
        <v>8.5000000000000006E-2</v>
      </c>
      <c r="AA119" s="5">
        <v>0.51900000000000002</v>
      </c>
      <c r="AB119" s="5" t="s">
        <v>99</v>
      </c>
      <c r="AC119" s="5">
        <v>-1.998</v>
      </c>
      <c r="AD119" s="5">
        <v>0.48099999999999998</v>
      </c>
      <c r="AE119" s="5">
        <v>-4.3440000000000003</v>
      </c>
      <c r="AF119" s="5">
        <v>4.4980000000000002</v>
      </c>
      <c r="AG119" s="5">
        <v>-3.1840000000000002</v>
      </c>
      <c r="AI119" s="5" t="s">
        <v>99</v>
      </c>
      <c r="AK119" s="1" t="s">
        <v>99</v>
      </c>
      <c r="AL119" s="8">
        <f t="shared" si="61"/>
        <v>0</v>
      </c>
      <c r="AN119" s="1">
        <f t="shared" si="67"/>
        <v>82.9</v>
      </c>
      <c r="AO119" s="1">
        <f t="shared" si="68"/>
        <v>63.7</v>
      </c>
      <c r="AP119" s="1">
        <f t="shared" si="69"/>
        <v>39</v>
      </c>
      <c r="AQ119" s="17">
        <f t="shared" si="85"/>
        <v>0.29899999999999999</v>
      </c>
      <c r="AR119" s="22">
        <f t="shared" si="70"/>
        <v>0.46800000000000003</v>
      </c>
      <c r="AT119" s="19">
        <f t="shared" si="62"/>
        <v>43579</v>
      </c>
      <c r="AU119" s="20">
        <f t="shared" si="63"/>
        <v>114</v>
      </c>
      <c r="AV119" s="1">
        <f t="shared" si="71"/>
        <v>-0.8</v>
      </c>
      <c r="AW119" s="1">
        <f t="shared" si="72"/>
        <v>3.2</v>
      </c>
      <c r="AX119" s="1">
        <f t="shared" si="73"/>
        <v>-2.9</v>
      </c>
      <c r="AY119" s="1">
        <f t="shared" si="58"/>
        <v>63.7</v>
      </c>
      <c r="AZ119" s="1">
        <f t="shared" si="59"/>
        <v>39</v>
      </c>
      <c r="BA119" s="1" t="str">
        <f t="shared" si="74"/>
        <v>NAN</v>
      </c>
      <c r="BB119" s="5">
        <f t="shared" si="75"/>
        <v>0</v>
      </c>
      <c r="BC119" s="1">
        <f t="shared" si="64"/>
        <v>-2</v>
      </c>
      <c r="BD119" s="1">
        <f t="shared" si="65"/>
        <v>0.5</v>
      </c>
      <c r="BE119" s="1">
        <f t="shared" si="66"/>
        <v>-4.3</v>
      </c>
      <c r="BF119" s="5">
        <f t="shared" si="76"/>
        <v>0</v>
      </c>
      <c r="BG119" s="5">
        <f t="shared" si="77"/>
        <v>0.2</v>
      </c>
      <c r="BH119" s="5">
        <f t="shared" si="78"/>
        <v>0.7</v>
      </c>
      <c r="BI119" s="5" t="str">
        <f t="shared" si="79"/>
        <v>NAN</v>
      </c>
      <c r="BJ119" s="10">
        <f t="shared" si="80"/>
        <v>0.29899999999999999</v>
      </c>
      <c r="BK119" s="10">
        <f t="shared" si="81"/>
        <v>0.46800000000000003</v>
      </c>
      <c r="BM119" s="1">
        <f t="shared" si="82"/>
        <v>-2.702</v>
      </c>
      <c r="BN119" s="1">
        <f t="shared" si="83"/>
        <v>-1.4240000000000004</v>
      </c>
    </row>
    <row r="120" spans="1:66" x14ac:dyDescent="0.2">
      <c r="A120" s="4">
        <f t="shared" si="84"/>
        <v>43580</v>
      </c>
      <c r="B120" s="1">
        <v>115</v>
      </c>
      <c r="C120" s="1">
        <v>12</v>
      </c>
      <c r="D120" s="5">
        <v>13.24</v>
      </c>
      <c r="E120" s="5">
        <v>8.81</v>
      </c>
      <c r="F120" s="5">
        <v>-4.0739999999999998</v>
      </c>
      <c r="G120" s="5">
        <v>1.1359999999999999</v>
      </c>
      <c r="H120" s="5">
        <v>50.09</v>
      </c>
      <c r="I120" s="5">
        <v>2.7E-2</v>
      </c>
      <c r="J120" s="5">
        <v>2.4E-2</v>
      </c>
      <c r="K120" s="5">
        <v>2.1999999999999999E-2</v>
      </c>
      <c r="L120" s="5">
        <v>0.221</v>
      </c>
      <c r="M120" s="5">
        <v>0.69</v>
      </c>
      <c r="N120" s="5">
        <v>6.149</v>
      </c>
      <c r="O120" s="5">
        <v>64.739999999999995</v>
      </c>
      <c r="P120" s="5">
        <v>0.13400000000000001</v>
      </c>
      <c r="Q120" s="5">
        <v>0.127</v>
      </c>
      <c r="R120" s="5">
        <v>0.115</v>
      </c>
      <c r="S120" s="5">
        <v>0.32100000000000001</v>
      </c>
      <c r="T120" s="5">
        <v>0.79100000000000004</v>
      </c>
      <c r="U120" s="5">
        <v>-3.9980000000000002</v>
      </c>
      <c r="V120" s="5">
        <v>22.06</v>
      </c>
      <c r="W120" s="5">
        <v>-0.158</v>
      </c>
      <c r="X120" s="5">
        <v>-0.151</v>
      </c>
      <c r="Y120" s="5">
        <v>-0.111</v>
      </c>
      <c r="Z120" s="5">
        <v>8.1000000000000003E-2</v>
      </c>
      <c r="AA120" s="5">
        <v>0.51</v>
      </c>
      <c r="AB120" s="5" t="s">
        <v>99</v>
      </c>
      <c r="AC120" s="5">
        <v>-1.7589999999999999</v>
      </c>
      <c r="AD120" s="5">
        <v>0.49</v>
      </c>
      <c r="AE120" s="5">
        <v>-5.4710000000000001</v>
      </c>
      <c r="AF120" s="5">
        <v>8.51</v>
      </c>
      <c r="AG120" s="5">
        <v>-4.3040000000000003</v>
      </c>
      <c r="AI120" s="5" t="s">
        <v>99</v>
      </c>
      <c r="AK120" s="1" t="s">
        <v>99</v>
      </c>
      <c r="AL120" s="8">
        <f t="shared" si="61"/>
        <v>0</v>
      </c>
      <c r="AN120" s="1">
        <f t="shared" si="67"/>
        <v>64.7</v>
      </c>
      <c r="AO120" s="1">
        <f t="shared" si="68"/>
        <v>50.1</v>
      </c>
      <c r="AP120" s="1">
        <f t="shared" si="69"/>
        <v>22.1</v>
      </c>
      <c r="AQ120" s="17">
        <f t="shared" si="85"/>
        <v>0.20899999999999999</v>
      </c>
      <c r="AR120" s="22">
        <f t="shared" si="70"/>
        <v>0.73699999999999999</v>
      </c>
      <c r="AT120" s="19">
        <f t="shared" si="62"/>
        <v>43580</v>
      </c>
      <c r="AU120" s="20">
        <f t="shared" si="63"/>
        <v>115</v>
      </c>
      <c r="AV120" s="1">
        <f t="shared" si="71"/>
        <v>1.1000000000000001</v>
      </c>
      <c r="AW120" s="1">
        <f t="shared" si="72"/>
        <v>6.1</v>
      </c>
      <c r="AX120" s="1">
        <f t="shared" si="73"/>
        <v>-4</v>
      </c>
      <c r="AY120" s="1">
        <f t="shared" si="58"/>
        <v>50.1</v>
      </c>
      <c r="AZ120" s="1">
        <f t="shared" si="59"/>
        <v>22.1</v>
      </c>
      <c r="BA120" s="1" t="str">
        <f t="shared" si="74"/>
        <v>NAN</v>
      </c>
      <c r="BB120" s="5">
        <f t="shared" si="75"/>
        <v>0</v>
      </c>
      <c r="BC120" s="1">
        <f t="shared" si="64"/>
        <v>-1.8</v>
      </c>
      <c r="BD120" s="1">
        <f t="shared" si="65"/>
        <v>0.5</v>
      </c>
      <c r="BE120" s="1">
        <f t="shared" si="66"/>
        <v>-5.5</v>
      </c>
      <c r="BF120" s="5">
        <f t="shared" si="76"/>
        <v>0</v>
      </c>
      <c r="BG120" s="5">
        <f t="shared" si="77"/>
        <v>0.2</v>
      </c>
      <c r="BH120" s="5">
        <f t="shared" si="78"/>
        <v>0.7</v>
      </c>
      <c r="BI120" s="5" t="str">
        <f t="shared" si="79"/>
        <v>NAN</v>
      </c>
      <c r="BJ120" s="10">
        <f t="shared" si="80"/>
        <v>0.20899999999999999</v>
      </c>
      <c r="BK120" s="10">
        <f t="shared" si="81"/>
        <v>0.73699999999999999</v>
      </c>
      <c r="BM120" s="1">
        <f t="shared" si="82"/>
        <v>-5.6589999999999998</v>
      </c>
      <c r="BN120" s="1">
        <f t="shared" si="83"/>
        <v>-1.4729999999999999</v>
      </c>
    </row>
    <row r="121" spans="1:66" x14ac:dyDescent="0.2">
      <c r="A121" s="4">
        <f t="shared" si="84"/>
        <v>43581</v>
      </c>
      <c r="B121" s="1">
        <v>116</v>
      </c>
      <c r="C121" s="1">
        <v>12</v>
      </c>
      <c r="D121" s="5">
        <v>13.27</v>
      </c>
      <c r="E121" s="5">
        <v>7.399</v>
      </c>
      <c r="F121" s="5">
        <v>-2.3570000000000002</v>
      </c>
      <c r="G121" s="5">
        <v>0.95799999999999996</v>
      </c>
      <c r="H121" s="5">
        <v>53.9</v>
      </c>
      <c r="I121" s="5">
        <v>0.04</v>
      </c>
      <c r="J121" s="5">
        <v>3.6999999999999998E-2</v>
      </c>
      <c r="K121" s="5">
        <v>3.1E-2</v>
      </c>
      <c r="L121" s="5">
        <v>0.23200000000000001</v>
      </c>
      <c r="M121" s="5">
        <v>0.70199999999999996</v>
      </c>
      <c r="N121" s="5">
        <v>5.4729999999999999</v>
      </c>
      <c r="O121" s="5">
        <v>79.430000000000007</v>
      </c>
      <c r="P121" s="5">
        <v>0.14000000000000001</v>
      </c>
      <c r="Q121" s="5">
        <v>0.123</v>
      </c>
      <c r="R121" s="5">
        <v>0.123</v>
      </c>
      <c r="S121" s="5">
        <v>0.32600000000000001</v>
      </c>
      <c r="T121" s="5">
        <v>0.79400000000000004</v>
      </c>
      <c r="U121" s="5">
        <v>-2.6840000000000002</v>
      </c>
      <c r="V121" s="5">
        <v>24.97</v>
      </c>
      <c r="W121" s="5">
        <v>-8.5000000000000006E-2</v>
      </c>
      <c r="X121" s="5">
        <v>-8.7999999999999995E-2</v>
      </c>
      <c r="Y121" s="5">
        <v>-0.08</v>
      </c>
      <c r="Z121" s="5">
        <v>0.124</v>
      </c>
      <c r="AA121" s="5">
        <v>0.57199999999999995</v>
      </c>
      <c r="AB121" s="5" t="s">
        <v>99</v>
      </c>
      <c r="AC121" s="5">
        <v>-1.3979999999999999</v>
      </c>
      <c r="AD121" s="5">
        <v>0.48399999999999999</v>
      </c>
      <c r="AE121" s="5">
        <v>-4.0519999999999996</v>
      </c>
      <c r="AF121" s="5">
        <v>6.5519999999999996</v>
      </c>
      <c r="AG121" s="5">
        <v>-2.8519999999999999</v>
      </c>
      <c r="AI121" s="5" t="s">
        <v>99</v>
      </c>
      <c r="AK121" s="1" t="s">
        <v>99</v>
      </c>
      <c r="AL121" s="8">
        <f t="shared" si="61"/>
        <v>0</v>
      </c>
      <c r="AN121" s="1">
        <f t="shared" si="67"/>
        <v>79.400000000000006</v>
      </c>
      <c r="AO121" s="1">
        <f t="shared" si="68"/>
        <v>53.9</v>
      </c>
      <c r="AP121" s="1">
        <f t="shared" si="69"/>
        <v>25</v>
      </c>
      <c r="AQ121" s="17">
        <f t="shared" si="85"/>
        <v>0.22500000000000001</v>
      </c>
      <c r="AR121" s="22">
        <f t="shared" si="70"/>
        <v>0.67500000000000004</v>
      </c>
      <c r="AT121" s="19">
        <f t="shared" si="62"/>
        <v>43581</v>
      </c>
      <c r="AU121" s="20">
        <f t="shared" si="63"/>
        <v>116</v>
      </c>
      <c r="AV121" s="1">
        <f t="shared" si="71"/>
        <v>1</v>
      </c>
      <c r="AW121" s="1">
        <f t="shared" si="72"/>
        <v>5.5</v>
      </c>
      <c r="AX121" s="1">
        <f t="shared" si="73"/>
        <v>-2.7</v>
      </c>
      <c r="AY121" s="1">
        <f t="shared" si="58"/>
        <v>53.9</v>
      </c>
      <c r="AZ121" s="1">
        <f t="shared" si="59"/>
        <v>25</v>
      </c>
      <c r="BA121" s="1" t="str">
        <f t="shared" si="74"/>
        <v>NAN</v>
      </c>
      <c r="BB121" s="5">
        <f t="shared" si="75"/>
        <v>0</v>
      </c>
      <c r="BC121" s="1">
        <f t="shared" si="64"/>
        <v>-1.4</v>
      </c>
      <c r="BD121" s="1">
        <f t="shared" si="65"/>
        <v>0.5</v>
      </c>
      <c r="BE121" s="1">
        <f t="shared" si="66"/>
        <v>-4.0999999999999996</v>
      </c>
      <c r="BF121" s="5">
        <f t="shared" si="76"/>
        <v>0</v>
      </c>
      <c r="BG121" s="5">
        <f t="shared" si="77"/>
        <v>0.2</v>
      </c>
      <c r="BH121" s="5">
        <f t="shared" si="78"/>
        <v>0.7</v>
      </c>
      <c r="BI121" s="5" t="str">
        <f t="shared" si="79"/>
        <v>NAN</v>
      </c>
      <c r="BJ121" s="10">
        <f t="shared" si="80"/>
        <v>0.22500000000000001</v>
      </c>
      <c r="BK121" s="10">
        <f t="shared" si="81"/>
        <v>0.67500000000000004</v>
      </c>
      <c r="BM121" s="1">
        <f t="shared" si="82"/>
        <v>-4.9889999999999999</v>
      </c>
      <c r="BN121" s="1">
        <f t="shared" si="83"/>
        <v>-1.3679999999999994</v>
      </c>
    </row>
    <row r="122" spans="1:66" x14ac:dyDescent="0.2">
      <c r="A122" s="4">
        <f t="shared" si="84"/>
        <v>43582</v>
      </c>
      <c r="B122" s="1">
        <v>117</v>
      </c>
      <c r="C122" s="1">
        <v>12</v>
      </c>
      <c r="D122" s="5">
        <v>13.18</v>
      </c>
      <c r="E122" s="5">
        <v>-2.3570000000000002</v>
      </c>
      <c r="F122" s="5">
        <v>-5.8310000000000004</v>
      </c>
      <c r="G122" s="5">
        <v>-5.4349999999999996</v>
      </c>
      <c r="H122" s="5">
        <v>84.8</v>
      </c>
      <c r="I122" s="5">
        <v>-1E-3</v>
      </c>
      <c r="J122" s="5">
        <v>-6.0000000000000001E-3</v>
      </c>
      <c r="K122" s="5">
        <v>-1.2E-2</v>
      </c>
      <c r="L122" s="5">
        <v>0.187</v>
      </c>
      <c r="M122" s="5">
        <v>0.65600000000000003</v>
      </c>
      <c r="N122" s="5">
        <v>-2.5819999999999999</v>
      </c>
      <c r="O122" s="5">
        <v>92.7</v>
      </c>
      <c r="P122" s="5">
        <v>0.09</v>
      </c>
      <c r="Q122" s="5">
        <v>8.5999999999999993E-2</v>
      </c>
      <c r="R122" s="5">
        <v>8.5000000000000006E-2</v>
      </c>
      <c r="S122" s="5">
        <v>0.28100000000000003</v>
      </c>
      <c r="T122" s="5">
        <v>0.75800000000000001</v>
      </c>
      <c r="U122" s="5">
        <v>-7.9119999999999999</v>
      </c>
      <c r="V122" s="5">
        <v>67.2</v>
      </c>
      <c r="W122" s="5">
        <v>-0.121</v>
      </c>
      <c r="X122" s="5">
        <v>-0.113</v>
      </c>
      <c r="Y122" s="5">
        <v>-0.121</v>
      </c>
      <c r="Z122" s="5">
        <v>8.5000000000000006E-2</v>
      </c>
      <c r="AA122" s="5">
        <v>0.54600000000000004</v>
      </c>
      <c r="AB122" s="5" t="s">
        <v>99</v>
      </c>
      <c r="AC122" s="5">
        <v>-5.3440000000000003</v>
      </c>
      <c r="AD122" s="5">
        <v>-3.8490000000000002</v>
      </c>
      <c r="AE122" s="5">
        <v>-6.6849999999999996</v>
      </c>
      <c r="AF122" s="5">
        <v>-2.8570000000000002</v>
      </c>
      <c r="AG122" s="5">
        <v>-7.5490000000000004</v>
      </c>
      <c r="AI122" s="5" t="s">
        <v>99</v>
      </c>
      <c r="AK122" s="1" t="s">
        <v>99</v>
      </c>
      <c r="AL122" s="8">
        <f t="shared" si="61"/>
        <v>0</v>
      </c>
      <c r="AN122" s="1">
        <f t="shared" si="67"/>
        <v>92.7</v>
      </c>
      <c r="AO122" s="1">
        <f t="shared" si="68"/>
        <v>84.8</v>
      </c>
      <c r="AP122" s="1">
        <f t="shared" si="69"/>
        <v>67.2</v>
      </c>
      <c r="AQ122" s="17">
        <f t="shared" si="85"/>
        <v>0.33900000000000002</v>
      </c>
      <c r="AR122" s="22">
        <f t="shared" si="70"/>
        <v>0.16500000000000001</v>
      </c>
      <c r="AT122" s="19">
        <f t="shared" si="62"/>
        <v>43582</v>
      </c>
      <c r="AU122" s="20">
        <f t="shared" si="63"/>
        <v>117</v>
      </c>
      <c r="AV122" s="1">
        <f t="shared" si="71"/>
        <v>-5.4</v>
      </c>
      <c r="AW122" s="1">
        <f t="shared" si="72"/>
        <v>-2.6</v>
      </c>
      <c r="AX122" s="1">
        <f t="shared" si="73"/>
        <v>-7.9</v>
      </c>
      <c r="AY122" s="1">
        <f t="shared" si="58"/>
        <v>84.8</v>
      </c>
      <c r="AZ122" s="1">
        <f t="shared" si="59"/>
        <v>67.2</v>
      </c>
      <c r="BA122" s="1" t="str">
        <f t="shared" si="74"/>
        <v>NAN</v>
      </c>
      <c r="BB122" s="5">
        <f t="shared" si="75"/>
        <v>0</v>
      </c>
      <c r="BC122" s="1">
        <f t="shared" si="64"/>
        <v>-5.3</v>
      </c>
      <c r="BD122" s="1">
        <f t="shared" si="65"/>
        <v>-3.8</v>
      </c>
      <c r="BE122" s="1">
        <f t="shared" si="66"/>
        <v>-6.7</v>
      </c>
      <c r="BF122" s="5">
        <f t="shared" si="76"/>
        <v>0</v>
      </c>
      <c r="BG122" s="5">
        <f t="shared" si="77"/>
        <v>0.2</v>
      </c>
      <c r="BH122" s="5">
        <f t="shared" si="78"/>
        <v>0.7</v>
      </c>
      <c r="BI122" s="5" t="str">
        <f t="shared" si="79"/>
        <v>NAN</v>
      </c>
      <c r="BJ122" s="10">
        <f t="shared" si="80"/>
        <v>0.33900000000000002</v>
      </c>
      <c r="BK122" s="10">
        <f t="shared" si="81"/>
        <v>0.16500000000000001</v>
      </c>
      <c r="BM122" s="1">
        <f t="shared" si="82"/>
        <v>-1.2670000000000003</v>
      </c>
      <c r="BN122" s="1">
        <f t="shared" si="83"/>
        <v>1.2270000000000003</v>
      </c>
    </row>
    <row r="123" spans="1:66" x14ac:dyDescent="0.2">
      <c r="A123" s="4">
        <f t="shared" si="84"/>
        <v>43583</v>
      </c>
      <c r="B123" s="1">
        <v>118</v>
      </c>
      <c r="C123" s="1">
        <v>12</v>
      </c>
      <c r="D123" s="5">
        <v>13.25</v>
      </c>
      <c r="E123" s="5">
        <v>3.0139999999999998</v>
      </c>
      <c r="F123" s="5">
        <v>-6.6879999999999997</v>
      </c>
      <c r="G123" s="5">
        <v>-4.0220000000000002</v>
      </c>
      <c r="H123" s="5">
        <v>78.58</v>
      </c>
      <c r="I123" s="5">
        <v>1.4999999999999999E-2</v>
      </c>
      <c r="J123" s="5">
        <v>1.2999999999999999E-2</v>
      </c>
      <c r="K123" s="5">
        <v>4.0000000000000001E-3</v>
      </c>
      <c r="L123" s="5">
        <v>0.20899999999999999</v>
      </c>
      <c r="M123" s="5">
        <v>0.67600000000000005</v>
      </c>
      <c r="N123" s="5">
        <v>1.0209999999999999</v>
      </c>
      <c r="O123" s="5">
        <v>92.5</v>
      </c>
      <c r="P123" s="5">
        <v>0.124</v>
      </c>
      <c r="Q123" s="5">
        <v>0.105</v>
      </c>
      <c r="R123" s="5">
        <v>9.2999999999999999E-2</v>
      </c>
      <c r="S123" s="5">
        <v>0.30399999999999999</v>
      </c>
      <c r="T123" s="5">
        <v>0.77200000000000002</v>
      </c>
      <c r="U123" s="5">
        <v>-7.1340000000000003</v>
      </c>
      <c r="V123" s="5">
        <v>41.83</v>
      </c>
      <c r="W123" s="5">
        <v>-0.108</v>
      </c>
      <c r="X123" s="5">
        <v>-0.104</v>
      </c>
      <c r="Y123" s="5">
        <v>-0.10199999999999999</v>
      </c>
      <c r="Z123" s="5">
        <v>0.107</v>
      </c>
      <c r="AA123" s="5">
        <v>0.53500000000000003</v>
      </c>
      <c r="AB123" s="5" t="s">
        <v>99</v>
      </c>
      <c r="AC123" s="5">
        <v>-4.4249999999999998</v>
      </c>
      <c r="AD123" s="5">
        <v>0.29899999999999999</v>
      </c>
      <c r="AE123" s="5">
        <v>-8.34</v>
      </c>
      <c r="AF123" s="5">
        <v>3.629</v>
      </c>
      <c r="AG123" s="5">
        <v>-7.3239999999999998</v>
      </c>
      <c r="AI123" s="5" t="s">
        <v>99</v>
      </c>
      <c r="AK123" s="1" t="s">
        <v>99</v>
      </c>
      <c r="AL123" s="8">
        <f t="shared" si="61"/>
        <v>0</v>
      </c>
      <c r="AN123" s="1">
        <f t="shared" si="67"/>
        <v>92.5</v>
      </c>
      <c r="AO123" s="1">
        <f t="shared" si="68"/>
        <v>78.599999999999994</v>
      </c>
      <c r="AP123" s="1">
        <f t="shared" si="69"/>
        <v>41.8</v>
      </c>
      <c r="AQ123" s="17">
        <f t="shared" si="85"/>
        <v>0.27500000000000002</v>
      </c>
      <c r="AR123" s="22">
        <f t="shared" si="70"/>
        <v>0.38300000000000001</v>
      </c>
      <c r="AT123" s="19">
        <f t="shared" si="62"/>
        <v>43583</v>
      </c>
      <c r="AU123" s="20">
        <f t="shared" si="63"/>
        <v>118</v>
      </c>
      <c r="AV123" s="1">
        <f t="shared" si="71"/>
        <v>-4</v>
      </c>
      <c r="AW123" s="1">
        <f t="shared" si="72"/>
        <v>1</v>
      </c>
      <c r="AX123" s="1">
        <f t="shared" si="73"/>
        <v>-7.1</v>
      </c>
      <c r="AY123" s="1">
        <f t="shared" si="58"/>
        <v>78.599999999999994</v>
      </c>
      <c r="AZ123" s="1">
        <f t="shared" si="59"/>
        <v>41.8</v>
      </c>
      <c r="BA123" s="1" t="str">
        <f t="shared" si="74"/>
        <v>NAN</v>
      </c>
      <c r="BB123" s="5">
        <f t="shared" si="75"/>
        <v>0</v>
      </c>
      <c r="BC123" s="1">
        <f t="shared" si="64"/>
        <v>-4.4000000000000004</v>
      </c>
      <c r="BD123" s="1">
        <f t="shared" si="65"/>
        <v>0.3</v>
      </c>
      <c r="BE123" s="1">
        <f t="shared" si="66"/>
        <v>-8.3000000000000007</v>
      </c>
      <c r="BF123" s="5">
        <f t="shared" si="76"/>
        <v>0</v>
      </c>
      <c r="BG123" s="5">
        <f t="shared" si="77"/>
        <v>0.2</v>
      </c>
      <c r="BH123" s="5">
        <f t="shared" si="78"/>
        <v>0.7</v>
      </c>
      <c r="BI123" s="5" t="str">
        <f t="shared" si="79"/>
        <v>NAN</v>
      </c>
      <c r="BJ123" s="10">
        <f t="shared" si="80"/>
        <v>0.27500000000000002</v>
      </c>
      <c r="BK123" s="10">
        <f t="shared" si="81"/>
        <v>0.38300000000000001</v>
      </c>
      <c r="BM123" s="1">
        <f t="shared" si="82"/>
        <v>-0.72199999999999998</v>
      </c>
      <c r="BN123" s="1">
        <f t="shared" si="83"/>
        <v>-1.2059999999999995</v>
      </c>
    </row>
    <row r="124" spans="1:66" x14ac:dyDescent="0.2">
      <c r="A124" s="4">
        <f t="shared" si="84"/>
        <v>43584</v>
      </c>
      <c r="B124" s="1">
        <v>119</v>
      </c>
      <c r="C124" s="1">
        <v>12</v>
      </c>
      <c r="D124" s="5">
        <v>13.33</v>
      </c>
      <c r="E124" s="5">
        <v>1.6919999999999999</v>
      </c>
      <c r="F124" s="5">
        <v>-7.0629999999999997</v>
      </c>
      <c r="G124" s="5">
        <v>-3.419</v>
      </c>
      <c r="H124" s="5">
        <v>66.760000000000005</v>
      </c>
      <c r="I124" s="5">
        <v>1.2E-2</v>
      </c>
      <c r="J124" s="5">
        <v>6.0000000000000001E-3</v>
      </c>
      <c r="K124" s="5">
        <v>-2E-3</v>
      </c>
      <c r="L124" s="5">
        <v>0.20799999999999999</v>
      </c>
      <c r="M124" s="5">
        <v>0.66900000000000004</v>
      </c>
      <c r="N124" s="5">
        <v>0.83</v>
      </c>
      <c r="O124" s="5">
        <v>89.7</v>
      </c>
      <c r="P124" s="5">
        <v>0.125</v>
      </c>
      <c r="Q124" s="5">
        <v>0.1</v>
      </c>
      <c r="R124" s="5">
        <v>9.7000000000000003E-2</v>
      </c>
      <c r="S124" s="5">
        <v>0.30399999999999999</v>
      </c>
      <c r="T124" s="5">
        <v>0.76500000000000001</v>
      </c>
      <c r="U124" s="5">
        <v>-7.4729999999999999</v>
      </c>
      <c r="V124" s="5">
        <v>38.799999999999997</v>
      </c>
      <c r="W124" s="5">
        <v>-0.126</v>
      </c>
      <c r="X124" s="5">
        <v>-0.13400000000000001</v>
      </c>
      <c r="Y124" s="5">
        <v>-0.109</v>
      </c>
      <c r="Z124" s="5">
        <v>8.6999999999999994E-2</v>
      </c>
      <c r="AA124" s="5">
        <v>0.53300000000000003</v>
      </c>
      <c r="AB124" s="5" t="s">
        <v>99</v>
      </c>
      <c r="AC124" s="5">
        <v>-4.9269999999999996</v>
      </c>
      <c r="AD124" s="5">
        <v>-0.14099999999999999</v>
      </c>
      <c r="AE124" s="5">
        <v>-8.1</v>
      </c>
      <c r="AF124" s="5">
        <v>2.806</v>
      </c>
      <c r="AG124" s="5">
        <v>-7.6269999999999998</v>
      </c>
      <c r="AI124" s="5" t="s">
        <v>99</v>
      </c>
      <c r="AK124" s="1" t="s">
        <v>99</v>
      </c>
      <c r="AL124" s="8">
        <f t="shared" si="61"/>
        <v>0</v>
      </c>
      <c r="AN124" s="1">
        <f t="shared" si="67"/>
        <v>89.7</v>
      </c>
      <c r="AO124" s="1">
        <f t="shared" si="68"/>
        <v>66.8</v>
      </c>
      <c r="AP124" s="1">
        <f t="shared" si="69"/>
        <v>38.799999999999997</v>
      </c>
      <c r="AQ124" s="17">
        <f t="shared" si="85"/>
        <v>0.252</v>
      </c>
      <c r="AR124" s="22">
        <f t="shared" si="70"/>
        <v>0.39700000000000002</v>
      </c>
      <c r="AT124" s="19">
        <f t="shared" si="62"/>
        <v>43584</v>
      </c>
      <c r="AU124" s="20">
        <f t="shared" si="63"/>
        <v>119</v>
      </c>
      <c r="AV124" s="1">
        <f t="shared" si="71"/>
        <v>-3.4</v>
      </c>
      <c r="AW124" s="1">
        <f t="shared" si="72"/>
        <v>0.8</v>
      </c>
      <c r="AX124" s="1">
        <f t="shared" si="73"/>
        <v>-7.5</v>
      </c>
      <c r="AY124" s="1">
        <f t="shared" si="58"/>
        <v>66.8</v>
      </c>
      <c r="AZ124" s="1">
        <f t="shared" si="59"/>
        <v>38.799999999999997</v>
      </c>
      <c r="BA124" s="1" t="str">
        <f t="shared" si="74"/>
        <v>NAN</v>
      </c>
      <c r="BB124" s="5">
        <f t="shared" si="75"/>
        <v>0</v>
      </c>
      <c r="BC124" s="1">
        <f t="shared" si="64"/>
        <v>-4.9000000000000004</v>
      </c>
      <c r="BD124" s="1">
        <f t="shared" si="65"/>
        <v>-0.1</v>
      </c>
      <c r="BE124" s="1">
        <f t="shared" si="66"/>
        <v>-8.1</v>
      </c>
      <c r="BF124" s="5">
        <f t="shared" si="76"/>
        <v>0</v>
      </c>
      <c r="BG124" s="5">
        <f t="shared" si="77"/>
        <v>0.2</v>
      </c>
      <c r="BH124" s="5">
        <f t="shared" si="78"/>
        <v>0.7</v>
      </c>
      <c r="BI124" s="5" t="str">
        <f t="shared" si="79"/>
        <v>NAN</v>
      </c>
      <c r="BJ124" s="10">
        <f t="shared" si="80"/>
        <v>0.252</v>
      </c>
      <c r="BK124" s="10">
        <f t="shared" si="81"/>
        <v>0.39700000000000002</v>
      </c>
      <c r="BM124" s="1">
        <f t="shared" si="82"/>
        <v>-0.97099999999999997</v>
      </c>
      <c r="BN124" s="1">
        <f t="shared" si="83"/>
        <v>-0.62699999999999978</v>
      </c>
    </row>
    <row r="125" spans="1:66" x14ac:dyDescent="0.2">
      <c r="A125" s="4">
        <f t="shared" si="84"/>
        <v>43585</v>
      </c>
      <c r="B125" s="1">
        <v>120</v>
      </c>
      <c r="C125" s="1">
        <v>12</v>
      </c>
      <c r="D125" s="5">
        <v>13.3</v>
      </c>
      <c r="E125" s="5">
        <v>4.6429999999999998</v>
      </c>
      <c r="F125" s="5">
        <v>-6.4459999999999997</v>
      </c>
      <c r="G125" s="5">
        <v>-1.8680000000000001</v>
      </c>
      <c r="H125" s="5">
        <v>51.72</v>
      </c>
      <c r="I125" s="5">
        <v>2.1000000000000001E-2</v>
      </c>
      <c r="J125" s="5">
        <v>1.7000000000000001E-2</v>
      </c>
      <c r="K125" s="5">
        <v>1.0999999999999999E-2</v>
      </c>
      <c r="L125" s="5">
        <v>0.224</v>
      </c>
      <c r="M125" s="5">
        <v>0.68200000000000005</v>
      </c>
      <c r="N125" s="5">
        <v>2.1019999999999999</v>
      </c>
      <c r="O125" s="5">
        <v>76.53</v>
      </c>
      <c r="P125" s="5">
        <v>0.123</v>
      </c>
      <c r="Q125" s="5">
        <v>0.115</v>
      </c>
      <c r="R125" s="5">
        <v>0.105</v>
      </c>
      <c r="S125" s="5">
        <v>0.33300000000000002</v>
      </c>
      <c r="T125" s="5">
        <v>0.79100000000000004</v>
      </c>
      <c r="U125" s="5">
        <v>-5.85</v>
      </c>
      <c r="V125" s="5">
        <v>31.56</v>
      </c>
      <c r="W125" s="5">
        <v>-9.6000000000000002E-2</v>
      </c>
      <c r="X125" s="5">
        <v>-0.107</v>
      </c>
      <c r="Y125" s="5">
        <v>-8.6999999999999994E-2</v>
      </c>
      <c r="Z125" s="5">
        <v>0.11899999999999999</v>
      </c>
      <c r="AA125" s="5">
        <v>0.54400000000000004</v>
      </c>
      <c r="AB125" s="5" t="s">
        <v>99</v>
      </c>
      <c r="AC125" s="5">
        <v>-3.855</v>
      </c>
      <c r="AD125" s="5">
        <v>0.27600000000000002</v>
      </c>
      <c r="AE125" s="5">
        <v>-7.9260000000000002</v>
      </c>
      <c r="AF125" s="5">
        <v>4.2699999999999996</v>
      </c>
      <c r="AG125" s="5">
        <v>-6.306</v>
      </c>
      <c r="AI125" s="5" t="s">
        <v>99</v>
      </c>
      <c r="AK125" s="1" t="s">
        <v>99</v>
      </c>
      <c r="AL125" s="8">
        <f t="shared" si="61"/>
        <v>0</v>
      </c>
      <c r="AN125" s="1">
        <f t="shared" si="67"/>
        <v>76.5</v>
      </c>
      <c r="AO125" s="1">
        <f t="shared" si="68"/>
        <v>51.7</v>
      </c>
      <c r="AP125" s="1">
        <f t="shared" si="69"/>
        <v>31.6</v>
      </c>
      <c r="AQ125" s="17">
        <f t="shared" si="85"/>
        <v>0.22500000000000001</v>
      </c>
      <c r="AR125" s="22">
        <f t="shared" si="70"/>
        <v>0.48699999999999999</v>
      </c>
      <c r="AT125" s="19">
        <f t="shared" si="62"/>
        <v>43585</v>
      </c>
      <c r="AU125" s="20">
        <f t="shared" si="63"/>
        <v>120</v>
      </c>
      <c r="AV125" s="1">
        <f t="shared" si="71"/>
        <v>-1.9</v>
      </c>
      <c r="AW125" s="1">
        <f t="shared" si="72"/>
        <v>2.1</v>
      </c>
      <c r="AX125" s="1">
        <f t="shared" si="73"/>
        <v>-5.9</v>
      </c>
      <c r="AY125" s="1">
        <f t="shared" si="58"/>
        <v>51.7</v>
      </c>
      <c r="AZ125" s="1">
        <f t="shared" si="59"/>
        <v>31.6</v>
      </c>
      <c r="BA125" s="1" t="str">
        <f t="shared" si="74"/>
        <v>NAN</v>
      </c>
      <c r="BB125" s="5">
        <f t="shared" si="75"/>
        <v>0</v>
      </c>
      <c r="BC125" s="1">
        <f t="shared" si="64"/>
        <v>-3.9</v>
      </c>
      <c r="BD125" s="1">
        <f t="shared" si="65"/>
        <v>0.3</v>
      </c>
      <c r="BE125" s="1">
        <f t="shared" si="66"/>
        <v>-7.9</v>
      </c>
      <c r="BF125" s="5">
        <f t="shared" si="76"/>
        <v>0</v>
      </c>
      <c r="BG125" s="5">
        <f t="shared" si="77"/>
        <v>0.2</v>
      </c>
      <c r="BH125" s="5">
        <f t="shared" si="78"/>
        <v>0.7</v>
      </c>
      <c r="BI125" s="5" t="str">
        <f t="shared" si="79"/>
        <v>NAN</v>
      </c>
      <c r="BJ125" s="10">
        <f t="shared" si="80"/>
        <v>0.22500000000000001</v>
      </c>
      <c r="BK125" s="10">
        <f t="shared" si="81"/>
        <v>0.48699999999999999</v>
      </c>
      <c r="BM125" s="1">
        <f t="shared" si="82"/>
        <v>-1.8259999999999998</v>
      </c>
      <c r="BN125" s="1">
        <f t="shared" si="83"/>
        <v>-2.0760000000000005</v>
      </c>
    </row>
    <row r="126" spans="1:66" x14ac:dyDescent="0.2">
      <c r="A126" s="4">
        <f t="shared" si="84"/>
        <v>43586</v>
      </c>
      <c r="B126" s="1">
        <v>121</v>
      </c>
      <c r="C126" s="1">
        <v>12</v>
      </c>
      <c r="D126" s="5">
        <v>13.27</v>
      </c>
      <c r="E126" s="5">
        <v>4.8369999999999997</v>
      </c>
      <c r="F126" s="5">
        <v>-3.1930000000000001</v>
      </c>
      <c r="G126" s="5">
        <v>-0.73199999999999998</v>
      </c>
      <c r="H126" s="5">
        <v>59.8</v>
      </c>
      <c r="I126" s="5">
        <v>2.3E-2</v>
      </c>
      <c r="J126" s="5">
        <v>1.7000000000000001E-2</v>
      </c>
      <c r="K126" s="5">
        <v>0.01</v>
      </c>
      <c r="L126" s="5">
        <v>0.23</v>
      </c>
      <c r="M126" s="5">
        <v>0.68200000000000005</v>
      </c>
      <c r="N126" s="5">
        <v>3.0139999999999998</v>
      </c>
      <c r="O126" s="5">
        <v>84.8</v>
      </c>
      <c r="P126" s="5">
        <v>0.114</v>
      </c>
      <c r="Q126" s="5">
        <v>0.125</v>
      </c>
      <c r="R126" s="5">
        <v>9.5000000000000001E-2</v>
      </c>
      <c r="S126" s="5">
        <v>0.318</v>
      </c>
      <c r="T126" s="5">
        <v>0.77900000000000003</v>
      </c>
      <c r="U126" s="5">
        <v>-3.36</v>
      </c>
      <c r="V126" s="5">
        <v>45.85</v>
      </c>
      <c r="W126" s="5">
        <v>-0.126</v>
      </c>
      <c r="X126" s="5">
        <v>-0.106</v>
      </c>
      <c r="Y126" s="5">
        <v>-0.107</v>
      </c>
      <c r="Z126" s="5">
        <v>0.11799999999999999</v>
      </c>
      <c r="AA126" s="5">
        <v>0.55400000000000005</v>
      </c>
      <c r="AB126" s="5" t="s">
        <v>99</v>
      </c>
      <c r="AC126" s="5">
        <v>-2.37</v>
      </c>
      <c r="AD126" s="5">
        <v>0.374</v>
      </c>
      <c r="AE126" s="5">
        <v>-4.3630000000000004</v>
      </c>
      <c r="AF126" s="5">
        <v>3.867</v>
      </c>
      <c r="AG126" s="5">
        <v>-3.5489999999999999</v>
      </c>
      <c r="AI126" s="5" t="s">
        <v>99</v>
      </c>
      <c r="AK126" s="1" t="s">
        <v>99</v>
      </c>
      <c r="AL126" s="8">
        <f t="shared" si="61"/>
        <v>0</v>
      </c>
      <c r="AN126" s="1">
        <f t="shared" si="67"/>
        <v>84.8</v>
      </c>
      <c r="AO126" s="1">
        <f t="shared" si="68"/>
        <v>59.8</v>
      </c>
      <c r="AP126" s="1">
        <f t="shared" si="69"/>
        <v>45.9</v>
      </c>
      <c r="AQ126" s="17">
        <f t="shared" si="85"/>
        <v>0.34799999999999998</v>
      </c>
      <c r="AR126" s="22">
        <f t="shared" si="70"/>
        <v>0.41</v>
      </c>
      <c r="AT126" s="19">
        <f t="shared" si="62"/>
        <v>43586</v>
      </c>
      <c r="AU126" s="20">
        <f t="shared" si="63"/>
        <v>121</v>
      </c>
      <c r="AV126" s="1">
        <f t="shared" si="71"/>
        <v>-0.7</v>
      </c>
      <c r="AW126" s="1">
        <f t="shared" si="72"/>
        <v>3</v>
      </c>
      <c r="AX126" s="1">
        <f t="shared" si="73"/>
        <v>-3.4</v>
      </c>
      <c r="AY126" s="1">
        <f t="shared" si="58"/>
        <v>59.8</v>
      </c>
      <c r="AZ126" s="1">
        <f t="shared" si="59"/>
        <v>45.9</v>
      </c>
      <c r="BA126" s="1" t="str">
        <f t="shared" si="74"/>
        <v>NAN</v>
      </c>
      <c r="BB126" s="5">
        <f t="shared" si="75"/>
        <v>0</v>
      </c>
      <c r="BC126" s="1">
        <f t="shared" si="64"/>
        <v>-2.4</v>
      </c>
      <c r="BD126" s="1">
        <f t="shared" si="65"/>
        <v>0.4</v>
      </c>
      <c r="BE126" s="1">
        <f t="shared" si="66"/>
        <v>-4.4000000000000004</v>
      </c>
      <c r="BF126" s="5">
        <f t="shared" si="76"/>
        <v>0</v>
      </c>
      <c r="BG126" s="5">
        <f t="shared" si="77"/>
        <v>0.2</v>
      </c>
      <c r="BH126" s="5">
        <f t="shared" si="78"/>
        <v>0.7</v>
      </c>
      <c r="BI126" s="5" t="str">
        <f t="shared" si="79"/>
        <v>NAN</v>
      </c>
      <c r="BJ126" s="10">
        <f t="shared" si="80"/>
        <v>0.34799999999999998</v>
      </c>
      <c r="BK126" s="10">
        <f t="shared" si="81"/>
        <v>0.41</v>
      </c>
      <c r="BM126" s="1">
        <f t="shared" si="82"/>
        <v>-2.6399999999999997</v>
      </c>
      <c r="BN126" s="1">
        <f t="shared" si="83"/>
        <v>-1.0030000000000006</v>
      </c>
    </row>
    <row r="127" spans="1:66" x14ac:dyDescent="0.2">
      <c r="A127" s="4">
        <f t="shared" si="84"/>
        <v>43587</v>
      </c>
      <c r="B127" s="1">
        <v>122</v>
      </c>
      <c r="C127" s="1">
        <v>12</v>
      </c>
      <c r="D127" s="5">
        <v>13.3</v>
      </c>
      <c r="E127" s="5">
        <v>5.16</v>
      </c>
      <c r="F127" s="5">
        <v>-3.15</v>
      </c>
      <c r="G127" s="5">
        <v>-0.01</v>
      </c>
      <c r="H127" s="5">
        <v>72.67</v>
      </c>
      <c r="I127" s="5">
        <v>2.7E-2</v>
      </c>
      <c r="J127" s="5">
        <v>2.1000000000000001E-2</v>
      </c>
      <c r="K127" s="5">
        <v>1.6E-2</v>
      </c>
      <c r="L127" s="5">
        <v>0.23499999999999999</v>
      </c>
      <c r="M127" s="5">
        <v>0.68700000000000006</v>
      </c>
      <c r="N127" s="5">
        <v>5.2439999999999998</v>
      </c>
      <c r="O127" s="5">
        <v>92.5</v>
      </c>
      <c r="P127" s="5">
        <v>0.14699999999999999</v>
      </c>
      <c r="Q127" s="5">
        <v>0.13200000000000001</v>
      </c>
      <c r="R127" s="5">
        <v>0.109</v>
      </c>
      <c r="S127" s="5">
        <v>0.33900000000000002</v>
      </c>
      <c r="T127" s="5">
        <v>0.81200000000000006</v>
      </c>
      <c r="U127" s="5">
        <v>-3.5630000000000002</v>
      </c>
      <c r="V127" s="5">
        <v>51.66</v>
      </c>
      <c r="W127" s="5">
        <v>-8.3000000000000004E-2</v>
      </c>
      <c r="X127" s="5">
        <v>-8.4000000000000005E-2</v>
      </c>
      <c r="Y127" s="5">
        <v>-7.1999999999999995E-2</v>
      </c>
      <c r="Z127" s="5">
        <v>0.14699999999999999</v>
      </c>
      <c r="AA127" s="5">
        <v>0.57299999999999995</v>
      </c>
      <c r="AB127" s="5" t="s">
        <v>99</v>
      </c>
      <c r="AC127" s="5">
        <v>-1.6180000000000001</v>
      </c>
      <c r="AD127" s="5">
        <v>0.255</v>
      </c>
      <c r="AE127" s="5">
        <v>-4.1189999999999998</v>
      </c>
      <c r="AF127" s="5">
        <v>5.0220000000000002</v>
      </c>
      <c r="AG127" s="5">
        <v>-3.6190000000000002</v>
      </c>
      <c r="AI127" s="5" t="s">
        <v>99</v>
      </c>
      <c r="AK127" s="1" t="s">
        <v>99</v>
      </c>
      <c r="AL127" s="8">
        <f t="shared" si="61"/>
        <v>0</v>
      </c>
      <c r="AN127" s="1">
        <f t="shared" si="67"/>
        <v>92.5</v>
      </c>
      <c r="AO127" s="1">
        <f t="shared" si="68"/>
        <v>72.7</v>
      </c>
      <c r="AP127" s="1">
        <f t="shared" si="69"/>
        <v>51.7</v>
      </c>
      <c r="AQ127" s="17">
        <f t="shared" si="85"/>
        <v>0.45900000000000002</v>
      </c>
      <c r="AR127" s="22">
        <f t="shared" si="70"/>
        <v>0.42899999999999999</v>
      </c>
      <c r="AT127" s="19">
        <f t="shared" si="62"/>
        <v>43587</v>
      </c>
      <c r="AU127" s="20">
        <f t="shared" si="63"/>
        <v>122</v>
      </c>
      <c r="AV127" s="1">
        <f t="shared" si="71"/>
        <v>0</v>
      </c>
      <c r="AW127" s="1">
        <f t="shared" si="72"/>
        <v>5.2</v>
      </c>
      <c r="AX127" s="1">
        <f t="shared" si="73"/>
        <v>-3.6</v>
      </c>
      <c r="AY127" s="1">
        <f t="shared" si="58"/>
        <v>72.7</v>
      </c>
      <c r="AZ127" s="1">
        <f t="shared" si="59"/>
        <v>51.7</v>
      </c>
      <c r="BA127" s="1" t="str">
        <f t="shared" si="74"/>
        <v>NAN</v>
      </c>
      <c r="BB127" s="5">
        <f t="shared" si="75"/>
        <v>0</v>
      </c>
      <c r="BC127" s="1">
        <f t="shared" si="64"/>
        <v>-1.6</v>
      </c>
      <c r="BD127" s="1">
        <f t="shared" si="65"/>
        <v>0.3</v>
      </c>
      <c r="BE127" s="1">
        <f t="shared" si="66"/>
        <v>-4.0999999999999996</v>
      </c>
      <c r="BF127" s="5">
        <f t="shared" si="76"/>
        <v>0</v>
      </c>
      <c r="BG127" s="5">
        <f t="shared" si="77"/>
        <v>0.2</v>
      </c>
      <c r="BH127" s="5">
        <f t="shared" si="78"/>
        <v>0.7</v>
      </c>
      <c r="BI127" s="5" t="str">
        <f t="shared" si="79"/>
        <v>NAN</v>
      </c>
      <c r="BJ127" s="10">
        <f t="shared" si="80"/>
        <v>0.45900000000000002</v>
      </c>
      <c r="BK127" s="10">
        <f t="shared" si="81"/>
        <v>0.42899999999999999</v>
      </c>
      <c r="BM127" s="1">
        <f t="shared" si="82"/>
        <v>-4.9889999999999999</v>
      </c>
      <c r="BN127" s="1">
        <f t="shared" si="83"/>
        <v>-0.55599999999999961</v>
      </c>
    </row>
    <row r="128" spans="1:66" x14ac:dyDescent="0.2">
      <c r="A128" s="4">
        <f t="shared" si="84"/>
        <v>43588</v>
      </c>
      <c r="B128" s="1">
        <v>123</v>
      </c>
      <c r="C128" s="1">
        <v>12</v>
      </c>
      <c r="D128" s="5">
        <v>13.3</v>
      </c>
      <c r="E128" s="5">
        <v>10.27</v>
      </c>
      <c r="F128" s="5">
        <v>-1.9930000000000001</v>
      </c>
      <c r="G128" s="5">
        <v>2.84</v>
      </c>
      <c r="H128" s="5">
        <v>63.66</v>
      </c>
      <c r="I128" s="5">
        <v>3.9E-2</v>
      </c>
      <c r="J128" s="5">
        <v>3.2000000000000001E-2</v>
      </c>
      <c r="K128" s="5">
        <v>2.7E-2</v>
      </c>
      <c r="L128" s="5">
        <v>0.248</v>
      </c>
      <c r="M128" s="5">
        <v>0.69899999999999995</v>
      </c>
      <c r="N128" s="5">
        <v>8.06</v>
      </c>
      <c r="O128" s="5">
        <v>85.9</v>
      </c>
      <c r="P128" s="5">
        <v>0.14899999999999999</v>
      </c>
      <c r="Q128" s="5">
        <v>0.161</v>
      </c>
      <c r="R128" s="5">
        <v>0.112</v>
      </c>
      <c r="S128" s="5">
        <v>0.34</v>
      </c>
      <c r="T128" s="5">
        <v>0.80600000000000005</v>
      </c>
      <c r="U128" s="5">
        <v>-2.3119999999999998</v>
      </c>
      <c r="V128" s="5">
        <v>43.1</v>
      </c>
      <c r="W128" s="5">
        <v>-0.13700000000000001</v>
      </c>
      <c r="X128" s="5">
        <v>-0.13700000000000001</v>
      </c>
      <c r="Y128" s="5">
        <v>-0.109</v>
      </c>
      <c r="Z128" s="5">
        <v>0.13</v>
      </c>
      <c r="AA128" s="5">
        <v>0.53200000000000003</v>
      </c>
      <c r="AB128" s="5" t="s">
        <v>99</v>
      </c>
      <c r="AC128" s="5">
        <v>-0.92</v>
      </c>
      <c r="AD128" s="5">
        <v>0.48099999999999998</v>
      </c>
      <c r="AE128" s="5">
        <v>-3.2189999999999999</v>
      </c>
      <c r="AF128" s="5">
        <v>8.7899999999999991</v>
      </c>
      <c r="AG128" s="5">
        <v>-2.4449999999999998</v>
      </c>
      <c r="AI128" s="5" t="s">
        <v>99</v>
      </c>
      <c r="AK128" s="1" t="s">
        <v>99</v>
      </c>
      <c r="AL128" s="8">
        <f t="shared" si="61"/>
        <v>0</v>
      </c>
      <c r="AN128" s="1">
        <f t="shared" si="67"/>
        <v>85.9</v>
      </c>
      <c r="AO128" s="1">
        <f t="shared" si="68"/>
        <v>63.7</v>
      </c>
      <c r="AP128" s="1">
        <f t="shared" si="69"/>
        <v>43.1</v>
      </c>
      <c r="AQ128" s="17">
        <f t="shared" si="85"/>
        <v>0.46400000000000002</v>
      </c>
      <c r="AR128" s="22">
        <f t="shared" si="70"/>
        <v>0.61299999999999999</v>
      </c>
      <c r="AT128" s="19">
        <f t="shared" si="62"/>
        <v>43588</v>
      </c>
      <c r="AU128" s="20">
        <f t="shared" si="63"/>
        <v>123</v>
      </c>
      <c r="AV128" s="1">
        <f t="shared" si="71"/>
        <v>2.8</v>
      </c>
      <c r="AW128" s="1">
        <f t="shared" si="72"/>
        <v>8.1</v>
      </c>
      <c r="AX128" s="1">
        <f t="shared" si="73"/>
        <v>-2.2999999999999998</v>
      </c>
      <c r="AY128" s="1">
        <f t="shared" si="58"/>
        <v>63.7</v>
      </c>
      <c r="AZ128" s="1">
        <f t="shared" si="59"/>
        <v>43.1</v>
      </c>
      <c r="BA128" s="1" t="str">
        <f t="shared" si="74"/>
        <v>NAN</v>
      </c>
      <c r="BB128" s="5">
        <f t="shared" si="75"/>
        <v>0</v>
      </c>
      <c r="BC128" s="1">
        <f t="shared" si="64"/>
        <v>-0.9</v>
      </c>
      <c r="BD128" s="1">
        <f t="shared" si="65"/>
        <v>0.5</v>
      </c>
      <c r="BE128" s="1">
        <f t="shared" si="66"/>
        <v>-3.2</v>
      </c>
      <c r="BF128" s="5">
        <f t="shared" si="76"/>
        <v>0</v>
      </c>
      <c r="BG128" s="5">
        <f t="shared" si="77"/>
        <v>0.2</v>
      </c>
      <c r="BH128" s="5">
        <f t="shared" si="78"/>
        <v>0.7</v>
      </c>
      <c r="BI128" s="5" t="str">
        <f t="shared" si="79"/>
        <v>NAN</v>
      </c>
      <c r="BJ128" s="10">
        <f t="shared" si="80"/>
        <v>0.46400000000000002</v>
      </c>
      <c r="BK128" s="10">
        <f t="shared" si="81"/>
        <v>0.61299999999999999</v>
      </c>
      <c r="BM128" s="1">
        <f t="shared" si="82"/>
        <v>-7.5790000000000006</v>
      </c>
      <c r="BN128" s="1">
        <f t="shared" si="83"/>
        <v>-0.90700000000000003</v>
      </c>
    </row>
    <row r="129" spans="1:66" x14ac:dyDescent="0.2">
      <c r="A129" s="4">
        <f t="shared" si="84"/>
        <v>43589</v>
      </c>
      <c r="B129" s="1">
        <v>124</v>
      </c>
      <c r="C129" s="1">
        <v>12</v>
      </c>
      <c r="D129" s="5">
        <v>13.28</v>
      </c>
      <c r="E129" s="5">
        <v>10.31</v>
      </c>
      <c r="F129" s="5">
        <v>1.1379999999999999</v>
      </c>
      <c r="G129" s="5">
        <v>4.6769999999999996</v>
      </c>
      <c r="H129" s="5">
        <v>64.87</v>
      </c>
      <c r="I129" s="5">
        <v>5.1999999999999998E-2</v>
      </c>
      <c r="J129" s="5">
        <v>4.4999999999999998E-2</v>
      </c>
      <c r="K129" s="5">
        <v>4.2000000000000003E-2</v>
      </c>
      <c r="L129" s="5">
        <v>0.249</v>
      </c>
      <c r="M129" s="5">
        <v>0.70899999999999996</v>
      </c>
      <c r="N129" s="5">
        <v>8.8800000000000008</v>
      </c>
      <c r="O129" s="5">
        <v>78.12</v>
      </c>
      <c r="P129" s="5">
        <v>0.16400000000000001</v>
      </c>
      <c r="Q129" s="5">
        <v>0.14499999999999999</v>
      </c>
      <c r="R129" s="5">
        <v>0.11899999999999999</v>
      </c>
      <c r="S129" s="5">
        <v>0.32700000000000001</v>
      </c>
      <c r="T129" s="5">
        <v>0.79800000000000004</v>
      </c>
      <c r="U129" s="5">
        <v>0.65400000000000003</v>
      </c>
      <c r="V129" s="5">
        <v>49.28</v>
      </c>
      <c r="W129" s="5">
        <v>-0.156</v>
      </c>
      <c r="X129" s="5">
        <v>-0.128</v>
      </c>
      <c r="Y129" s="5">
        <v>-0.10199999999999999</v>
      </c>
      <c r="Z129" s="5">
        <v>9.4E-2</v>
      </c>
      <c r="AA129" s="5">
        <v>0.52300000000000002</v>
      </c>
      <c r="AB129" s="5" t="s">
        <v>99</v>
      </c>
      <c r="AC129" s="5">
        <v>-3.1E-2</v>
      </c>
      <c r="AD129" s="5">
        <v>0.55600000000000005</v>
      </c>
      <c r="AE129" s="5">
        <v>-0.36399999999999999</v>
      </c>
      <c r="AF129" s="5">
        <v>9.5399999999999991</v>
      </c>
      <c r="AG129" s="5">
        <v>0.65</v>
      </c>
      <c r="AI129" s="5" t="s">
        <v>99</v>
      </c>
      <c r="AK129" s="1" t="s">
        <v>99</v>
      </c>
      <c r="AL129" s="8">
        <f t="shared" si="61"/>
        <v>0</v>
      </c>
      <c r="AN129" s="1">
        <f t="shared" si="67"/>
        <v>78.099999999999994</v>
      </c>
      <c r="AO129" s="1">
        <f t="shared" si="68"/>
        <v>64.900000000000006</v>
      </c>
      <c r="AP129" s="1">
        <f t="shared" si="69"/>
        <v>49.3</v>
      </c>
      <c r="AQ129" s="17">
        <f t="shared" si="85"/>
        <v>0.56100000000000005</v>
      </c>
      <c r="AR129" s="22">
        <f t="shared" si="70"/>
        <v>0.57699999999999996</v>
      </c>
      <c r="AT129" s="19">
        <f t="shared" si="62"/>
        <v>43589</v>
      </c>
      <c r="AU129" s="20">
        <f t="shared" si="63"/>
        <v>124</v>
      </c>
      <c r="AV129" s="1">
        <f t="shared" si="71"/>
        <v>4.7</v>
      </c>
      <c r="AW129" s="1">
        <f t="shared" si="72"/>
        <v>8.9</v>
      </c>
      <c r="AX129" s="1">
        <f t="shared" si="73"/>
        <v>0.7</v>
      </c>
      <c r="AY129" s="1">
        <f t="shared" si="58"/>
        <v>64.900000000000006</v>
      </c>
      <c r="AZ129" s="1">
        <f t="shared" si="59"/>
        <v>49.3</v>
      </c>
      <c r="BA129" s="1" t="str">
        <f t="shared" si="74"/>
        <v>NAN</v>
      </c>
      <c r="BB129" s="5">
        <f t="shared" si="75"/>
        <v>0</v>
      </c>
      <c r="BC129" s="1">
        <f t="shared" si="64"/>
        <v>0</v>
      </c>
      <c r="BD129" s="1">
        <f t="shared" si="65"/>
        <v>0.6</v>
      </c>
      <c r="BE129" s="1">
        <f t="shared" si="66"/>
        <v>-0.4</v>
      </c>
      <c r="BF129" s="5">
        <f t="shared" si="76"/>
        <v>0</v>
      </c>
      <c r="BG129" s="5">
        <f t="shared" si="77"/>
        <v>0.2</v>
      </c>
      <c r="BH129" s="5">
        <f t="shared" si="78"/>
        <v>0.7</v>
      </c>
      <c r="BI129" s="5" t="str">
        <f t="shared" si="79"/>
        <v>NAN</v>
      </c>
      <c r="BJ129" s="10">
        <f t="shared" si="80"/>
        <v>0.56100000000000005</v>
      </c>
      <c r="BK129" s="10">
        <f t="shared" si="81"/>
        <v>0.57699999999999996</v>
      </c>
      <c r="BM129" s="1">
        <f t="shared" si="82"/>
        <v>-8.3240000000000016</v>
      </c>
      <c r="BN129" s="1">
        <f t="shared" si="83"/>
        <v>-1.018</v>
      </c>
    </row>
    <row r="130" spans="1:66" x14ac:dyDescent="0.2">
      <c r="A130" s="4">
        <f t="shared" si="84"/>
        <v>43590</v>
      </c>
      <c r="B130" s="1">
        <v>125</v>
      </c>
      <c r="C130" s="1">
        <v>12</v>
      </c>
      <c r="D130" s="5">
        <v>13.32</v>
      </c>
      <c r="E130" s="5">
        <v>9.64</v>
      </c>
      <c r="F130" s="5">
        <v>-0.73399999999999999</v>
      </c>
      <c r="G130" s="5">
        <v>3.3250000000000002</v>
      </c>
      <c r="H130" s="5">
        <v>56.74</v>
      </c>
      <c r="I130" s="5">
        <v>4.8000000000000001E-2</v>
      </c>
      <c r="J130" s="5">
        <v>4.2000000000000003E-2</v>
      </c>
      <c r="K130" s="5">
        <v>3.9E-2</v>
      </c>
      <c r="L130" s="5">
        <v>0.23699999999999999</v>
      </c>
      <c r="M130" s="5">
        <v>0.69299999999999995</v>
      </c>
      <c r="N130" s="5">
        <v>7.4589999999999996</v>
      </c>
      <c r="O130" s="5">
        <v>80.8</v>
      </c>
      <c r="P130" s="5">
        <v>0.157</v>
      </c>
      <c r="Q130" s="5">
        <v>0.14699999999999999</v>
      </c>
      <c r="R130" s="5">
        <v>0.14000000000000001</v>
      </c>
      <c r="S130" s="5">
        <v>0.32600000000000001</v>
      </c>
      <c r="T130" s="5">
        <v>0.8</v>
      </c>
      <c r="U130" s="5">
        <v>-0.58799999999999997</v>
      </c>
      <c r="V130" s="5">
        <v>36.46</v>
      </c>
      <c r="W130" s="5">
        <v>-8.3000000000000004E-2</v>
      </c>
      <c r="X130" s="5">
        <v>-9.5000000000000001E-2</v>
      </c>
      <c r="Y130" s="5">
        <v>-7.1999999999999995E-2</v>
      </c>
      <c r="Z130" s="5">
        <v>0.13400000000000001</v>
      </c>
      <c r="AA130" s="5">
        <v>0.55700000000000005</v>
      </c>
      <c r="AB130" s="5" t="s">
        <v>99</v>
      </c>
      <c r="AC130" s="5">
        <v>-0.33400000000000002</v>
      </c>
      <c r="AD130" s="5">
        <v>0.60699999999999998</v>
      </c>
      <c r="AE130" s="5">
        <v>-1.702</v>
      </c>
      <c r="AF130" s="5">
        <v>9.31</v>
      </c>
      <c r="AG130" s="5">
        <v>-0.876</v>
      </c>
      <c r="AI130" s="5" t="s">
        <v>99</v>
      </c>
      <c r="AK130" s="1" t="s">
        <v>99</v>
      </c>
      <c r="AL130" s="8">
        <f t="shared" si="61"/>
        <v>0</v>
      </c>
      <c r="AN130" s="1">
        <f t="shared" si="67"/>
        <v>80.8</v>
      </c>
      <c r="AO130" s="1">
        <f t="shared" si="68"/>
        <v>56.7</v>
      </c>
      <c r="AP130" s="1">
        <f t="shared" si="69"/>
        <v>36.5</v>
      </c>
      <c r="AQ130" s="17">
        <f t="shared" si="85"/>
        <v>0.377</v>
      </c>
      <c r="AR130" s="22">
        <f t="shared" si="70"/>
        <v>0.65600000000000003</v>
      </c>
      <c r="AT130" s="19">
        <f t="shared" si="62"/>
        <v>43590</v>
      </c>
      <c r="AU130" s="20">
        <f t="shared" si="63"/>
        <v>125</v>
      </c>
      <c r="AV130" s="1">
        <f t="shared" si="71"/>
        <v>3.3</v>
      </c>
      <c r="AW130" s="1">
        <f t="shared" si="72"/>
        <v>7.5</v>
      </c>
      <c r="AX130" s="1">
        <f t="shared" si="73"/>
        <v>-0.6</v>
      </c>
      <c r="AY130" s="1">
        <f t="shared" si="58"/>
        <v>56.7</v>
      </c>
      <c r="AZ130" s="1">
        <f t="shared" si="59"/>
        <v>36.5</v>
      </c>
      <c r="BA130" s="1" t="str">
        <f t="shared" si="74"/>
        <v>NAN</v>
      </c>
      <c r="BB130" s="5">
        <f t="shared" si="75"/>
        <v>0</v>
      </c>
      <c r="BC130" s="1">
        <f t="shared" si="64"/>
        <v>-0.3</v>
      </c>
      <c r="BD130" s="1">
        <f t="shared" si="65"/>
        <v>0.6</v>
      </c>
      <c r="BE130" s="1">
        <f t="shared" si="66"/>
        <v>-1.7</v>
      </c>
      <c r="BF130" s="5">
        <f t="shared" si="76"/>
        <v>0</v>
      </c>
      <c r="BG130" s="5">
        <f t="shared" si="77"/>
        <v>0.2</v>
      </c>
      <c r="BH130" s="5">
        <f t="shared" si="78"/>
        <v>0.7</v>
      </c>
      <c r="BI130" s="5" t="str">
        <f t="shared" si="79"/>
        <v>NAN</v>
      </c>
      <c r="BJ130" s="10">
        <f t="shared" si="80"/>
        <v>0.377</v>
      </c>
      <c r="BK130" s="10">
        <f t="shared" si="81"/>
        <v>0.65600000000000003</v>
      </c>
      <c r="BM130" s="1">
        <f t="shared" si="82"/>
        <v>-6.8519999999999994</v>
      </c>
      <c r="BN130" s="1">
        <f t="shared" si="83"/>
        <v>-1.1139999999999999</v>
      </c>
    </row>
    <row r="131" spans="1:66" x14ac:dyDescent="0.2">
      <c r="A131" s="4">
        <f t="shared" si="84"/>
        <v>43591</v>
      </c>
      <c r="B131" s="1">
        <v>126</v>
      </c>
      <c r="C131" s="1">
        <v>12</v>
      </c>
      <c r="D131" s="5">
        <v>13.3</v>
      </c>
      <c r="E131" s="5">
        <v>11.68</v>
      </c>
      <c r="F131" s="5">
        <v>0.73399999999999999</v>
      </c>
      <c r="G131" s="5">
        <v>4.9130000000000003</v>
      </c>
      <c r="H131" s="5">
        <v>54.59</v>
      </c>
      <c r="I131" s="5">
        <v>5.2999999999999999E-2</v>
      </c>
      <c r="J131" s="5">
        <v>4.8000000000000001E-2</v>
      </c>
      <c r="K131" s="5">
        <v>4.4999999999999998E-2</v>
      </c>
      <c r="L131" s="5">
        <v>0.24399999999999999</v>
      </c>
      <c r="M131" s="5">
        <v>0.69299999999999995</v>
      </c>
      <c r="N131" s="5">
        <v>9.65</v>
      </c>
      <c r="O131" s="5">
        <v>76.13</v>
      </c>
      <c r="P131" s="5">
        <v>0.156</v>
      </c>
      <c r="Q131" s="5">
        <v>0.14499999999999999</v>
      </c>
      <c r="R131" s="5">
        <v>0.126</v>
      </c>
      <c r="S131" s="5">
        <v>0.32900000000000001</v>
      </c>
      <c r="T131" s="5">
        <v>0.79</v>
      </c>
      <c r="U131" s="5">
        <v>1.0640000000000001</v>
      </c>
      <c r="V131" s="5">
        <v>36.54</v>
      </c>
      <c r="W131" s="5">
        <v>-0.152</v>
      </c>
      <c r="X131" s="5">
        <v>-0.13200000000000001</v>
      </c>
      <c r="Y131" s="5">
        <v>-0.111</v>
      </c>
      <c r="Z131" s="5">
        <v>0.10199999999999999</v>
      </c>
      <c r="AA131" s="5">
        <v>0.50800000000000001</v>
      </c>
      <c r="AB131" s="5" t="s">
        <v>99</v>
      </c>
      <c r="AC131" s="5">
        <v>-0.125</v>
      </c>
      <c r="AD131" s="5">
        <v>0.56699999999999995</v>
      </c>
      <c r="AE131" s="5">
        <v>-0.90800000000000003</v>
      </c>
      <c r="AF131" s="5">
        <v>10.19</v>
      </c>
      <c r="AG131" s="5">
        <v>0.61299999999999999</v>
      </c>
      <c r="AI131" s="5" t="s">
        <v>99</v>
      </c>
      <c r="AK131" s="1" t="s">
        <v>99</v>
      </c>
      <c r="AL131" s="8">
        <f t="shared" si="61"/>
        <v>0</v>
      </c>
      <c r="AN131" s="1">
        <f t="shared" si="67"/>
        <v>76.099999999999994</v>
      </c>
      <c r="AO131" s="1">
        <f t="shared" si="68"/>
        <v>54.6</v>
      </c>
      <c r="AP131" s="1">
        <f t="shared" si="69"/>
        <v>36.5</v>
      </c>
      <c r="AQ131" s="17">
        <f t="shared" si="85"/>
        <v>0.438</v>
      </c>
      <c r="AR131" s="22">
        <f t="shared" si="70"/>
        <v>0.76200000000000001</v>
      </c>
      <c r="AT131" s="19">
        <f t="shared" si="62"/>
        <v>43591</v>
      </c>
      <c r="AU131" s="20">
        <f t="shared" si="63"/>
        <v>126</v>
      </c>
      <c r="AV131" s="1">
        <f t="shared" si="71"/>
        <v>4.9000000000000004</v>
      </c>
      <c r="AW131" s="1">
        <f t="shared" si="72"/>
        <v>9.6999999999999993</v>
      </c>
      <c r="AX131" s="1">
        <f t="shared" si="73"/>
        <v>1.1000000000000001</v>
      </c>
      <c r="AY131" s="1">
        <f t="shared" si="58"/>
        <v>54.6</v>
      </c>
      <c r="AZ131" s="1">
        <f t="shared" si="59"/>
        <v>36.5</v>
      </c>
      <c r="BA131" s="1" t="str">
        <f t="shared" si="74"/>
        <v>NAN</v>
      </c>
      <c r="BB131" s="5">
        <f t="shared" si="75"/>
        <v>0</v>
      </c>
      <c r="BC131" s="1">
        <f t="shared" si="64"/>
        <v>-0.1</v>
      </c>
      <c r="BD131" s="1">
        <f t="shared" si="65"/>
        <v>0.6</v>
      </c>
      <c r="BE131" s="1">
        <f t="shared" si="66"/>
        <v>-0.9</v>
      </c>
      <c r="BF131" s="5">
        <f t="shared" si="76"/>
        <v>0</v>
      </c>
      <c r="BG131" s="5">
        <f t="shared" si="77"/>
        <v>0.2</v>
      </c>
      <c r="BH131" s="5">
        <f t="shared" si="78"/>
        <v>0.7</v>
      </c>
      <c r="BI131" s="5" t="str">
        <f t="shared" si="79"/>
        <v>NAN</v>
      </c>
      <c r="BJ131" s="10">
        <f t="shared" si="80"/>
        <v>0.438</v>
      </c>
      <c r="BK131" s="10">
        <f t="shared" si="81"/>
        <v>0.76200000000000001</v>
      </c>
      <c r="BM131" s="1">
        <f t="shared" si="82"/>
        <v>-9.0830000000000002</v>
      </c>
      <c r="BN131" s="1">
        <f t="shared" si="83"/>
        <v>-1.972</v>
      </c>
    </row>
    <row r="132" spans="1:66" x14ac:dyDescent="0.2">
      <c r="A132" s="4">
        <f t="shared" si="84"/>
        <v>43592</v>
      </c>
      <c r="B132" s="1">
        <v>127</v>
      </c>
      <c r="C132" s="1">
        <v>12</v>
      </c>
      <c r="D132" s="5">
        <v>13.32</v>
      </c>
      <c r="E132" s="5">
        <v>11.45</v>
      </c>
      <c r="F132" s="5">
        <v>0.98899999999999999</v>
      </c>
      <c r="G132" s="5">
        <v>4.9379999999999997</v>
      </c>
      <c r="H132" s="5">
        <v>58.64</v>
      </c>
      <c r="I132" s="5">
        <v>5.5E-2</v>
      </c>
      <c r="J132" s="5">
        <v>4.9000000000000002E-2</v>
      </c>
      <c r="K132" s="5">
        <v>4.5999999999999999E-2</v>
      </c>
      <c r="L132" s="5">
        <v>0.23899999999999999</v>
      </c>
      <c r="M132" s="5">
        <v>0.67900000000000005</v>
      </c>
      <c r="N132" s="5">
        <v>9.11</v>
      </c>
      <c r="O132" s="5">
        <v>80.3</v>
      </c>
      <c r="P132" s="5">
        <v>0.14899999999999999</v>
      </c>
      <c r="Q132" s="5">
        <v>0.151</v>
      </c>
      <c r="R132" s="5">
        <v>0.13500000000000001</v>
      </c>
      <c r="S132" s="5">
        <v>0.33</v>
      </c>
      <c r="T132" s="5">
        <v>0.78300000000000003</v>
      </c>
      <c r="U132" s="5">
        <v>1.133</v>
      </c>
      <c r="V132" s="5">
        <v>41.81</v>
      </c>
      <c r="W132" s="5">
        <v>-0.14899999999999999</v>
      </c>
      <c r="X132" s="5">
        <v>-0.128</v>
      </c>
      <c r="Y132" s="5">
        <v>-0.106</v>
      </c>
      <c r="Z132" s="5">
        <v>0.104</v>
      </c>
      <c r="AA132" s="5">
        <v>0.51600000000000001</v>
      </c>
      <c r="AB132" s="5" t="s">
        <v>99</v>
      </c>
      <c r="AC132" s="5">
        <v>-0.04</v>
      </c>
      <c r="AD132" s="5">
        <v>0.74399999999999999</v>
      </c>
      <c r="AE132" s="5">
        <v>-0.48299999999999998</v>
      </c>
      <c r="AF132" s="5">
        <v>10.35</v>
      </c>
      <c r="AG132" s="5">
        <v>0.72899999999999998</v>
      </c>
      <c r="AI132" s="5" t="s">
        <v>99</v>
      </c>
      <c r="AK132" s="1" t="s">
        <v>99</v>
      </c>
      <c r="AL132" s="8">
        <f t="shared" si="61"/>
        <v>0</v>
      </c>
      <c r="AN132" s="1">
        <f t="shared" si="67"/>
        <v>80.3</v>
      </c>
      <c r="AO132" s="1">
        <f t="shared" si="68"/>
        <v>58.6</v>
      </c>
      <c r="AP132" s="1">
        <f t="shared" si="69"/>
        <v>41.8</v>
      </c>
      <c r="AQ132" s="17">
        <f t="shared" si="85"/>
        <v>0.48299999999999998</v>
      </c>
      <c r="AR132" s="22">
        <f t="shared" si="70"/>
        <v>0.67300000000000004</v>
      </c>
      <c r="AT132" s="19">
        <f t="shared" si="62"/>
        <v>43592</v>
      </c>
      <c r="AU132" s="20">
        <f t="shared" si="63"/>
        <v>127</v>
      </c>
      <c r="AV132" s="1">
        <f t="shared" si="71"/>
        <v>4.9000000000000004</v>
      </c>
      <c r="AW132" s="1">
        <f t="shared" si="72"/>
        <v>9.1</v>
      </c>
      <c r="AX132" s="1">
        <f t="shared" si="73"/>
        <v>1.1000000000000001</v>
      </c>
      <c r="AY132" s="1">
        <f t="shared" si="58"/>
        <v>58.6</v>
      </c>
      <c r="AZ132" s="1">
        <f t="shared" si="59"/>
        <v>41.8</v>
      </c>
      <c r="BA132" s="1" t="str">
        <f t="shared" si="74"/>
        <v>NAN</v>
      </c>
      <c r="BB132" s="5">
        <f t="shared" si="75"/>
        <v>0</v>
      </c>
      <c r="BC132" s="1">
        <f t="shared" si="64"/>
        <v>0</v>
      </c>
      <c r="BD132" s="1">
        <f t="shared" si="65"/>
        <v>0.7</v>
      </c>
      <c r="BE132" s="1">
        <f t="shared" si="66"/>
        <v>-0.5</v>
      </c>
      <c r="BF132" s="5">
        <f t="shared" si="76"/>
        <v>0</v>
      </c>
      <c r="BG132" s="5">
        <f t="shared" si="77"/>
        <v>0.2</v>
      </c>
      <c r="BH132" s="5">
        <f t="shared" si="78"/>
        <v>0.7</v>
      </c>
      <c r="BI132" s="5" t="str">
        <f t="shared" si="79"/>
        <v>NAN</v>
      </c>
      <c r="BJ132" s="10">
        <f t="shared" si="80"/>
        <v>0.48299999999999998</v>
      </c>
      <c r="BK132" s="10">
        <f t="shared" si="81"/>
        <v>0.67300000000000004</v>
      </c>
      <c r="BM132" s="1">
        <f t="shared" si="82"/>
        <v>-8.3659999999999997</v>
      </c>
      <c r="BN132" s="1">
        <f t="shared" si="83"/>
        <v>-1.6160000000000001</v>
      </c>
    </row>
    <row r="133" spans="1:66" x14ac:dyDescent="0.2">
      <c r="A133" s="4">
        <f t="shared" si="84"/>
        <v>43593</v>
      </c>
      <c r="B133" s="1">
        <v>128</v>
      </c>
      <c r="C133" s="1">
        <v>12</v>
      </c>
      <c r="D133" s="5">
        <v>13.3</v>
      </c>
      <c r="E133" s="5">
        <v>11.4</v>
      </c>
      <c r="F133" s="5">
        <v>2.63</v>
      </c>
      <c r="G133" s="5">
        <v>5.54</v>
      </c>
      <c r="H133" s="5">
        <v>57.43</v>
      </c>
      <c r="I133" s="5">
        <v>5.2999999999999999E-2</v>
      </c>
      <c r="J133" s="5">
        <v>4.8000000000000001E-2</v>
      </c>
      <c r="K133" s="5">
        <v>4.2000000000000003E-2</v>
      </c>
      <c r="L133" s="5">
        <v>0.23100000000000001</v>
      </c>
      <c r="M133" s="5">
        <v>0.66100000000000003</v>
      </c>
      <c r="N133" s="5">
        <v>9.7799999999999994</v>
      </c>
      <c r="O133" s="5">
        <v>68.8</v>
      </c>
      <c r="P133" s="5">
        <v>0.158</v>
      </c>
      <c r="Q133" s="5">
        <v>0.151</v>
      </c>
      <c r="R133" s="5">
        <v>0.13700000000000001</v>
      </c>
      <c r="S133" s="5">
        <v>0.32300000000000001</v>
      </c>
      <c r="T133" s="5">
        <v>0.76600000000000001</v>
      </c>
      <c r="U133" s="5">
        <v>2.7770000000000001</v>
      </c>
      <c r="V133" s="5">
        <v>42.86</v>
      </c>
      <c r="W133" s="5">
        <v>-0.153</v>
      </c>
      <c r="X133" s="5">
        <v>-0.125</v>
      </c>
      <c r="Y133" s="5">
        <v>-9.8000000000000004E-2</v>
      </c>
      <c r="Z133" s="5">
        <v>9.4E-2</v>
      </c>
      <c r="AA133" s="5">
        <v>0.47599999999999998</v>
      </c>
      <c r="AB133" s="5" t="s">
        <v>99</v>
      </c>
      <c r="AC133" s="5">
        <v>3.3000000000000002E-2</v>
      </c>
      <c r="AD133" s="5">
        <v>0.751</v>
      </c>
      <c r="AE133" s="5">
        <v>-0.34399999999999997</v>
      </c>
      <c r="AF133" s="5">
        <v>10.56</v>
      </c>
      <c r="AG133" s="5">
        <v>2.286</v>
      </c>
      <c r="AI133" s="5" t="s">
        <v>99</v>
      </c>
      <c r="AK133" s="1" t="s">
        <v>99</v>
      </c>
      <c r="AL133" s="8">
        <f t="shared" si="61"/>
        <v>0</v>
      </c>
      <c r="AN133" s="1">
        <f t="shared" si="67"/>
        <v>68.8</v>
      </c>
      <c r="AO133" s="1">
        <f t="shared" si="68"/>
        <v>57.4</v>
      </c>
      <c r="AP133" s="1">
        <f t="shared" si="69"/>
        <v>42.9</v>
      </c>
      <c r="AQ133" s="17">
        <f t="shared" si="85"/>
        <v>0.51900000000000002</v>
      </c>
      <c r="AR133" s="22">
        <f t="shared" si="70"/>
        <v>0.69099999999999995</v>
      </c>
      <c r="AT133" s="19">
        <f t="shared" si="62"/>
        <v>43593</v>
      </c>
      <c r="AU133" s="20">
        <f t="shared" si="63"/>
        <v>128</v>
      </c>
      <c r="AV133" s="1">
        <f t="shared" si="71"/>
        <v>5.5</v>
      </c>
      <c r="AW133" s="1">
        <f t="shared" si="72"/>
        <v>9.8000000000000007</v>
      </c>
      <c r="AX133" s="1">
        <f t="shared" si="73"/>
        <v>2.8</v>
      </c>
      <c r="AY133" s="1">
        <f t="shared" ref="AY133:AY196" si="86">AO133</f>
        <v>57.4</v>
      </c>
      <c r="AZ133" s="1">
        <f t="shared" ref="AZ133:AZ196" si="87">AP133</f>
        <v>42.9</v>
      </c>
      <c r="BA133" s="1" t="str">
        <f t="shared" si="74"/>
        <v>NAN</v>
      </c>
      <c r="BB133" s="5">
        <f t="shared" si="75"/>
        <v>0</v>
      </c>
      <c r="BC133" s="1">
        <f t="shared" si="64"/>
        <v>0</v>
      </c>
      <c r="BD133" s="1">
        <f t="shared" si="65"/>
        <v>0.8</v>
      </c>
      <c r="BE133" s="1">
        <f t="shared" si="66"/>
        <v>-0.3</v>
      </c>
      <c r="BF133" s="5">
        <f t="shared" si="76"/>
        <v>0</v>
      </c>
      <c r="BG133" s="5">
        <f t="shared" si="77"/>
        <v>0.2</v>
      </c>
      <c r="BH133" s="5">
        <f t="shared" si="78"/>
        <v>0.7</v>
      </c>
      <c r="BI133" s="5" t="str">
        <f t="shared" si="79"/>
        <v>NAN</v>
      </c>
      <c r="BJ133" s="10">
        <f t="shared" si="80"/>
        <v>0.51900000000000002</v>
      </c>
      <c r="BK133" s="10">
        <f t="shared" si="81"/>
        <v>0.69099999999999995</v>
      </c>
      <c r="BM133" s="1">
        <f t="shared" si="82"/>
        <v>-9.0289999999999999</v>
      </c>
      <c r="BN133" s="1">
        <f t="shared" si="83"/>
        <v>-3.121</v>
      </c>
    </row>
    <row r="134" spans="1:66" x14ac:dyDescent="0.2">
      <c r="A134" s="4">
        <f t="shared" si="84"/>
        <v>43594</v>
      </c>
      <c r="B134" s="1">
        <v>129</v>
      </c>
      <c r="C134" s="1">
        <v>12</v>
      </c>
      <c r="D134" s="5">
        <v>13.33</v>
      </c>
      <c r="E134" s="5">
        <v>13.97</v>
      </c>
      <c r="F134" s="5">
        <v>1.629</v>
      </c>
      <c r="G134" s="5">
        <v>7.2169999999999996</v>
      </c>
      <c r="H134" s="5">
        <v>43.34</v>
      </c>
      <c r="I134" s="5">
        <v>5.2999999999999999E-2</v>
      </c>
      <c r="J134" s="5">
        <v>4.7E-2</v>
      </c>
      <c r="K134" s="5">
        <v>4.4999999999999998E-2</v>
      </c>
      <c r="L134" s="5">
        <v>0.23499999999999999</v>
      </c>
      <c r="M134" s="5">
        <v>0.65200000000000002</v>
      </c>
      <c r="N134" s="5">
        <v>12.21</v>
      </c>
      <c r="O134" s="5">
        <v>59.85</v>
      </c>
      <c r="P134" s="5">
        <v>0.16700000000000001</v>
      </c>
      <c r="Q134" s="5">
        <v>0.151</v>
      </c>
      <c r="R134" s="5">
        <v>0.14000000000000001</v>
      </c>
      <c r="S134" s="5">
        <v>0.33200000000000002</v>
      </c>
      <c r="T134" s="5">
        <v>0.76300000000000001</v>
      </c>
      <c r="U134" s="5">
        <v>2.21</v>
      </c>
      <c r="V134" s="5">
        <v>24.69</v>
      </c>
      <c r="W134" s="5">
        <v>-0.16600000000000001</v>
      </c>
      <c r="X134" s="5">
        <v>-0.11700000000000001</v>
      </c>
      <c r="Y134" s="5">
        <v>-0.11700000000000001</v>
      </c>
      <c r="Z134" s="5">
        <v>0.107</v>
      </c>
      <c r="AA134" s="5">
        <v>0.47199999999999998</v>
      </c>
      <c r="AB134" s="5" t="s">
        <v>99</v>
      </c>
      <c r="AC134" s="5">
        <v>2.4E-2</v>
      </c>
      <c r="AD134" s="5">
        <v>0.83199999999999996</v>
      </c>
      <c r="AE134" s="5">
        <v>-0.58899999999999997</v>
      </c>
      <c r="AF134" s="5">
        <v>13.01</v>
      </c>
      <c r="AG134" s="5">
        <v>1.7410000000000001</v>
      </c>
      <c r="AI134" s="5" t="s">
        <v>99</v>
      </c>
      <c r="AK134" s="1" t="s">
        <v>99</v>
      </c>
      <c r="AL134" s="8">
        <f t="shared" ref="AL134:AL138" si="88">ROUND(AVERAGE(J134:K134),1)</f>
        <v>0</v>
      </c>
      <c r="AN134" s="1">
        <f t="shared" si="67"/>
        <v>59.9</v>
      </c>
      <c r="AO134" s="1">
        <f t="shared" si="68"/>
        <v>43.3</v>
      </c>
      <c r="AP134" s="1">
        <f t="shared" si="69"/>
        <v>24.7</v>
      </c>
      <c r="AQ134" s="17">
        <f t="shared" si="85"/>
        <v>0.35099999999999998</v>
      </c>
      <c r="AR134" s="22">
        <f t="shared" si="70"/>
        <v>1.07</v>
      </c>
      <c r="AT134" s="19">
        <f t="shared" ref="AT134:AT197" si="89">A134</f>
        <v>43594</v>
      </c>
      <c r="AU134" s="20">
        <f t="shared" ref="AU134:AU197" si="90">B134</f>
        <v>129</v>
      </c>
      <c r="AV134" s="1">
        <f t="shared" si="71"/>
        <v>7.2</v>
      </c>
      <c r="AW134" s="1">
        <f t="shared" si="72"/>
        <v>12.2</v>
      </c>
      <c r="AX134" s="1">
        <f t="shared" si="73"/>
        <v>2.2000000000000002</v>
      </c>
      <c r="AY134" s="1">
        <f t="shared" si="86"/>
        <v>43.3</v>
      </c>
      <c r="AZ134" s="1">
        <f t="shared" si="87"/>
        <v>24.7</v>
      </c>
      <c r="BA134" s="1" t="str">
        <f t="shared" si="74"/>
        <v>NAN</v>
      </c>
      <c r="BB134" s="5">
        <f t="shared" si="75"/>
        <v>0</v>
      </c>
      <c r="BC134" s="1">
        <f t="shared" ref="BC134:BC197" si="91">ROUND(AC134,1)</f>
        <v>0</v>
      </c>
      <c r="BD134" s="1">
        <f t="shared" ref="BD134:BD197" si="92">ROUND(AD134,1)</f>
        <v>0.8</v>
      </c>
      <c r="BE134" s="1">
        <f t="shared" ref="BE134:BE197" si="93">ROUND(AE134,1)</f>
        <v>-0.6</v>
      </c>
      <c r="BF134" s="5">
        <f t="shared" si="76"/>
        <v>0</v>
      </c>
      <c r="BG134" s="5">
        <f t="shared" si="77"/>
        <v>0.2</v>
      </c>
      <c r="BH134" s="5">
        <f t="shared" si="78"/>
        <v>0.7</v>
      </c>
      <c r="BI134" s="5" t="str">
        <f t="shared" si="79"/>
        <v>NAN</v>
      </c>
      <c r="BJ134" s="10">
        <f t="shared" si="80"/>
        <v>0.35099999999999998</v>
      </c>
      <c r="BK134" s="10">
        <f t="shared" si="81"/>
        <v>1.07</v>
      </c>
      <c r="BM134" s="1">
        <f t="shared" si="82"/>
        <v>-11.378</v>
      </c>
      <c r="BN134" s="1">
        <f t="shared" si="83"/>
        <v>-2.7989999999999999</v>
      </c>
    </row>
    <row r="135" spans="1:66" x14ac:dyDescent="0.2">
      <c r="A135" s="4">
        <f t="shared" si="84"/>
        <v>43595</v>
      </c>
      <c r="B135" s="1">
        <v>130</v>
      </c>
      <c r="C135" s="1">
        <v>12</v>
      </c>
      <c r="D135" s="5">
        <v>13.33</v>
      </c>
      <c r="E135" s="5">
        <v>16.190000000000001</v>
      </c>
      <c r="F135" s="5">
        <v>4.1929999999999996</v>
      </c>
      <c r="G135" s="5">
        <v>9.9</v>
      </c>
      <c r="H135" s="5">
        <v>48.1</v>
      </c>
      <c r="I135" s="5">
        <v>5.8999999999999997E-2</v>
      </c>
      <c r="J135" s="5">
        <v>5.3999999999999999E-2</v>
      </c>
      <c r="K135" s="5">
        <v>0.05</v>
      </c>
      <c r="L135" s="5">
        <v>0.23400000000000001</v>
      </c>
      <c r="M135" s="5">
        <v>0.64600000000000002</v>
      </c>
      <c r="N135" s="5">
        <v>14.33</v>
      </c>
      <c r="O135" s="5">
        <v>56.59</v>
      </c>
      <c r="P135" s="5">
        <v>0.16500000000000001</v>
      </c>
      <c r="Q135" s="5">
        <v>0.17399999999999999</v>
      </c>
      <c r="R135" s="5">
        <v>0.13600000000000001</v>
      </c>
      <c r="S135" s="5">
        <v>0.32800000000000001</v>
      </c>
      <c r="T135" s="5">
        <v>0.76</v>
      </c>
      <c r="U135" s="5">
        <v>5.109</v>
      </c>
      <c r="V135" s="5">
        <v>37.58</v>
      </c>
      <c r="W135" s="5">
        <v>-0.17100000000000001</v>
      </c>
      <c r="X135" s="5">
        <v>-0.14699999999999999</v>
      </c>
      <c r="Y135" s="5">
        <v>-0.106</v>
      </c>
      <c r="Z135" s="5">
        <v>7.5999999999999998E-2</v>
      </c>
      <c r="AA135" s="5">
        <v>0.47099999999999997</v>
      </c>
      <c r="AB135" s="5" t="s">
        <v>99</v>
      </c>
      <c r="AC135" s="5">
        <v>0.222</v>
      </c>
      <c r="AD135" s="5">
        <v>1.0620000000000001</v>
      </c>
      <c r="AE135" s="5">
        <v>-0.13</v>
      </c>
      <c r="AF135" s="5">
        <v>16.079999999999998</v>
      </c>
      <c r="AG135" s="5">
        <v>4.4649999999999999</v>
      </c>
      <c r="AI135" s="5" t="s">
        <v>99</v>
      </c>
      <c r="AK135" s="1" t="s">
        <v>99</v>
      </c>
      <c r="AL135" s="8">
        <f t="shared" si="88"/>
        <v>0.1</v>
      </c>
      <c r="AN135" s="1">
        <f t="shared" ref="AN135:AN198" si="94">ROUND(O135*AO$1,1)</f>
        <v>56.6</v>
      </c>
      <c r="AO135" s="1">
        <f t="shared" ref="AO135:AO198" si="95">ROUND(H135*AO$1,1)</f>
        <v>48.1</v>
      </c>
      <c r="AP135" s="1">
        <f t="shared" ref="AP135:AP198" si="96">ROUND(V135*AO$1,1)</f>
        <v>37.6</v>
      </c>
      <c r="AQ135" s="17">
        <f t="shared" si="85"/>
        <v>0.61399999999999999</v>
      </c>
      <c r="AR135" s="22">
        <f t="shared" ref="AR135:AR198" si="97">ROUND(AQ135/AP135*(100-AP135),3)</f>
        <v>1.0189999999999999</v>
      </c>
      <c r="AT135" s="19">
        <f t="shared" si="89"/>
        <v>43595</v>
      </c>
      <c r="AU135" s="20">
        <f t="shared" si="90"/>
        <v>130</v>
      </c>
      <c r="AV135" s="1">
        <f t="shared" ref="AV135:AV198" si="98">ROUND(G135,1)</f>
        <v>9.9</v>
      </c>
      <c r="AW135" s="1">
        <f t="shared" ref="AW135:AW198" si="99">ROUND(N135,1)</f>
        <v>14.3</v>
      </c>
      <c r="AX135" s="1">
        <f t="shared" ref="AX135:AX198" si="100">ROUND(U135,1)</f>
        <v>5.0999999999999996</v>
      </c>
      <c r="AY135" s="1">
        <f t="shared" si="86"/>
        <v>48.1</v>
      </c>
      <c r="AZ135" s="1">
        <f t="shared" si="87"/>
        <v>37.6</v>
      </c>
      <c r="BA135" s="1" t="str">
        <f t="shared" ref="BA135:BA198" si="101">AK135</f>
        <v>NAN</v>
      </c>
      <c r="BB135" s="5">
        <f t="shared" ref="BB135:BB198" si="102">IF(AL135="","NAN",AL135)</f>
        <v>0.1</v>
      </c>
      <c r="BC135" s="1">
        <f t="shared" si="91"/>
        <v>0.2</v>
      </c>
      <c r="BD135" s="1">
        <f t="shared" si="92"/>
        <v>1.1000000000000001</v>
      </c>
      <c r="BE135" s="1">
        <f t="shared" si="93"/>
        <v>-0.1</v>
      </c>
      <c r="BF135" s="5">
        <f t="shared" ref="BF135:BF198" si="103">ROUND(K135,1)</f>
        <v>0.1</v>
      </c>
      <c r="BG135" s="5">
        <f t="shared" ref="BG135:BG198" si="104">ROUND(L135,1)</f>
        <v>0.2</v>
      </c>
      <c r="BH135" s="5">
        <f t="shared" ref="BH135:BH198" si="105">ROUND(M135,1)</f>
        <v>0.6</v>
      </c>
      <c r="BI135" s="5" t="str">
        <f t="shared" ref="BI135:BI198" si="106">IF(AI135="NAN","NAN",ROUND(AI135,3))</f>
        <v>NAN</v>
      </c>
      <c r="BJ135" s="10">
        <f t="shared" ref="BJ135:BJ198" si="107">AQ135</f>
        <v>0.61399999999999999</v>
      </c>
      <c r="BK135" s="10">
        <f t="shared" ref="BK135:BK198" si="108">AR135</f>
        <v>1.0189999999999999</v>
      </c>
      <c r="BM135" s="1">
        <f t="shared" ref="BM135:BM198" si="109">AD135-N135</f>
        <v>-13.268000000000001</v>
      </c>
      <c r="BN135" s="1">
        <f t="shared" ref="BN135:BN198" si="110">AE135-U135</f>
        <v>-5.2389999999999999</v>
      </c>
    </row>
    <row r="136" spans="1:66" x14ac:dyDescent="0.2">
      <c r="A136" s="4">
        <f t="shared" ref="A136:A199" si="111">A135+1</f>
        <v>43596</v>
      </c>
      <c r="B136" s="1">
        <v>131</v>
      </c>
      <c r="C136" s="1">
        <v>12</v>
      </c>
      <c r="D136" s="5">
        <v>13.28</v>
      </c>
      <c r="E136" s="5">
        <v>17.21</v>
      </c>
      <c r="F136" s="5">
        <v>6.5039999999999996</v>
      </c>
      <c r="G136" s="5">
        <v>11.63</v>
      </c>
      <c r="H136" s="5">
        <v>47.22</v>
      </c>
      <c r="I136" s="5">
        <v>6.0999999999999999E-2</v>
      </c>
      <c r="J136" s="5">
        <v>5.8000000000000003E-2</v>
      </c>
      <c r="K136" s="5">
        <v>5.2999999999999999E-2</v>
      </c>
      <c r="L136" s="5">
        <v>0.23200000000000001</v>
      </c>
      <c r="M136" s="5">
        <v>0.63200000000000001</v>
      </c>
      <c r="N136" s="5">
        <v>16.149999999999999</v>
      </c>
      <c r="O136" s="5">
        <v>60.34</v>
      </c>
      <c r="P136" s="5">
        <v>0.16900000000000001</v>
      </c>
      <c r="Q136" s="5">
        <v>0.16300000000000001</v>
      </c>
      <c r="R136" s="5">
        <v>0.14599999999999999</v>
      </c>
      <c r="S136" s="5">
        <v>0.32700000000000001</v>
      </c>
      <c r="T136" s="5">
        <v>0.749</v>
      </c>
      <c r="U136" s="5">
        <v>8.0399999999999991</v>
      </c>
      <c r="V136" s="5">
        <v>33.57</v>
      </c>
      <c r="W136" s="5">
        <v>-0.13300000000000001</v>
      </c>
      <c r="X136" s="5">
        <v>-0.11899999999999999</v>
      </c>
      <c r="Y136" s="5">
        <v>-0.105</v>
      </c>
      <c r="Z136" s="5">
        <v>8.1000000000000003E-2</v>
      </c>
      <c r="AA136" s="5">
        <v>0.47099999999999997</v>
      </c>
      <c r="AB136" s="5" t="s">
        <v>99</v>
      </c>
      <c r="AC136" s="5">
        <v>0.34</v>
      </c>
      <c r="AD136" s="5">
        <v>1.0309999999999999</v>
      </c>
      <c r="AE136" s="5">
        <v>8.4000000000000005E-2</v>
      </c>
      <c r="AF136" s="5">
        <v>16.989999999999998</v>
      </c>
      <c r="AG136" s="5">
        <v>7.1</v>
      </c>
      <c r="AI136" s="5" t="s">
        <v>99</v>
      </c>
      <c r="AK136" s="1" t="s">
        <v>99</v>
      </c>
      <c r="AL136" s="8">
        <f t="shared" si="88"/>
        <v>0.1</v>
      </c>
      <c r="AN136" s="1">
        <f t="shared" si="94"/>
        <v>60.3</v>
      </c>
      <c r="AO136" s="1">
        <f t="shared" si="95"/>
        <v>47.2</v>
      </c>
      <c r="AP136" s="1">
        <f t="shared" si="96"/>
        <v>33.6</v>
      </c>
      <c r="AQ136" s="17">
        <f t="shared" si="85"/>
        <v>0.61699999999999999</v>
      </c>
      <c r="AR136" s="22">
        <f t="shared" si="97"/>
        <v>1.2190000000000001</v>
      </c>
      <c r="AT136" s="19">
        <f t="shared" si="89"/>
        <v>43596</v>
      </c>
      <c r="AU136" s="20">
        <f t="shared" si="90"/>
        <v>131</v>
      </c>
      <c r="AV136" s="1">
        <f t="shared" si="98"/>
        <v>11.6</v>
      </c>
      <c r="AW136" s="1">
        <f t="shared" si="99"/>
        <v>16.2</v>
      </c>
      <c r="AX136" s="1">
        <f t="shared" si="100"/>
        <v>8</v>
      </c>
      <c r="AY136" s="1">
        <f t="shared" si="86"/>
        <v>47.2</v>
      </c>
      <c r="AZ136" s="1">
        <f t="shared" si="87"/>
        <v>33.6</v>
      </c>
      <c r="BA136" s="1" t="str">
        <f t="shared" si="101"/>
        <v>NAN</v>
      </c>
      <c r="BB136" s="5">
        <f t="shared" si="102"/>
        <v>0.1</v>
      </c>
      <c r="BC136" s="1">
        <f t="shared" si="91"/>
        <v>0.3</v>
      </c>
      <c r="BD136" s="1">
        <f t="shared" si="92"/>
        <v>1</v>
      </c>
      <c r="BE136" s="1">
        <f t="shared" si="93"/>
        <v>0.1</v>
      </c>
      <c r="BF136" s="5">
        <f t="shared" si="103"/>
        <v>0.1</v>
      </c>
      <c r="BG136" s="5">
        <f t="shared" si="104"/>
        <v>0.2</v>
      </c>
      <c r="BH136" s="5">
        <f t="shared" si="105"/>
        <v>0.6</v>
      </c>
      <c r="BI136" s="5" t="str">
        <f t="shared" si="106"/>
        <v>NAN</v>
      </c>
      <c r="BJ136" s="10">
        <f t="shared" si="107"/>
        <v>0.61699999999999999</v>
      </c>
      <c r="BK136" s="10">
        <f t="shared" si="108"/>
        <v>1.2190000000000001</v>
      </c>
      <c r="BM136" s="1">
        <f t="shared" si="109"/>
        <v>-15.118999999999998</v>
      </c>
      <c r="BN136" s="1">
        <f t="shared" si="110"/>
        <v>-7.9559999999999995</v>
      </c>
    </row>
    <row r="137" spans="1:66" x14ac:dyDescent="0.2">
      <c r="A137" s="4">
        <f t="shared" si="111"/>
        <v>43597</v>
      </c>
      <c r="B137" s="1">
        <v>132</v>
      </c>
      <c r="C137" s="1">
        <v>12</v>
      </c>
      <c r="D137" s="5">
        <v>13.27</v>
      </c>
      <c r="E137" s="5">
        <v>15.39</v>
      </c>
      <c r="F137" s="5">
        <v>5.4630000000000001</v>
      </c>
      <c r="G137" s="5">
        <v>9.3800000000000008</v>
      </c>
      <c r="H137" s="5">
        <v>40.22</v>
      </c>
      <c r="I137" s="5">
        <v>6.3E-2</v>
      </c>
      <c r="J137" s="5">
        <v>7.8E-2</v>
      </c>
      <c r="K137" s="5">
        <v>0.05</v>
      </c>
      <c r="L137" s="5">
        <v>0.22900000000000001</v>
      </c>
      <c r="M137" s="5">
        <v>0.621</v>
      </c>
      <c r="N137" s="5">
        <v>14.84</v>
      </c>
      <c r="O137" s="5">
        <v>57.85</v>
      </c>
      <c r="P137" s="5">
        <v>0.18099999999999999</v>
      </c>
      <c r="Q137" s="5">
        <v>0.28299999999999997</v>
      </c>
      <c r="R137" s="5">
        <v>0.14099999999999999</v>
      </c>
      <c r="S137" s="5">
        <v>0.317</v>
      </c>
      <c r="T137" s="5">
        <v>0.72399999999999998</v>
      </c>
      <c r="U137" s="5">
        <v>5.7510000000000003</v>
      </c>
      <c r="V137" s="5">
        <v>20.97</v>
      </c>
      <c r="W137" s="5">
        <v>-0.16400000000000001</v>
      </c>
      <c r="X137" s="5">
        <v>-0.13900000000000001</v>
      </c>
      <c r="Y137" s="5">
        <v>-0.13</v>
      </c>
      <c r="Z137" s="5">
        <v>7.6999999999999999E-2</v>
      </c>
      <c r="AA137" s="5">
        <v>0.42299999999999999</v>
      </c>
      <c r="AB137" s="5" t="s">
        <v>99</v>
      </c>
      <c r="AC137" s="5">
        <v>0.312</v>
      </c>
      <c r="AD137" s="5">
        <v>1.278</v>
      </c>
      <c r="AE137" s="5">
        <v>-0.05</v>
      </c>
      <c r="AF137" s="5">
        <v>15.46</v>
      </c>
      <c r="AG137" s="5">
        <v>5.1420000000000003</v>
      </c>
      <c r="AI137" s="5" t="s">
        <v>99</v>
      </c>
      <c r="AK137" s="1" t="s">
        <v>99</v>
      </c>
      <c r="AL137" s="8">
        <f t="shared" si="88"/>
        <v>0.1</v>
      </c>
      <c r="AN137" s="1">
        <f t="shared" si="94"/>
        <v>57.9</v>
      </c>
      <c r="AO137" s="1">
        <f t="shared" si="95"/>
        <v>40.200000000000003</v>
      </c>
      <c r="AP137" s="1">
        <f t="shared" si="96"/>
        <v>21</v>
      </c>
      <c r="AQ137" s="17">
        <f t="shared" si="85"/>
        <v>0.35399999999999998</v>
      </c>
      <c r="AR137" s="22">
        <f t="shared" si="97"/>
        <v>1.3320000000000001</v>
      </c>
      <c r="AT137" s="19">
        <f t="shared" si="89"/>
        <v>43597</v>
      </c>
      <c r="AU137" s="20">
        <f t="shared" si="90"/>
        <v>132</v>
      </c>
      <c r="AV137" s="1">
        <f t="shared" si="98"/>
        <v>9.4</v>
      </c>
      <c r="AW137" s="1">
        <f t="shared" si="99"/>
        <v>14.8</v>
      </c>
      <c r="AX137" s="1">
        <f t="shared" si="100"/>
        <v>5.8</v>
      </c>
      <c r="AY137" s="1">
        <f t="shared" si="86"/>
        <v>40.200000000000003</v>
      </c>
      <c r="AZ137" s="1">
        <f t="shared" si="87"/>
        <v>21</v>
      </c>
      <c r="BA137" s="1" t="str">
        <f t="shared" si="101"/>
        <v>NAN</v>
      </c>
      <c r="BB137" s="5">
        <f t="shared" si="102"/>
        <v>0.1</v>
      </c>
      <c r="BC137" s="1">
        <f t="shared" si="91"/>
        <v>0.3</v>
      </c>
      <c r="BD137" s="1">
        <f t="shared" si="92"/>
        <v>1.3</v>
      </c>
      <c r="BE137" s="1">
        <f t="shared" si="93"/>
        <v>-0.1</v>
      </c>
      <c r="BF137" s="5">
        <f t="shared" si="103"/>
        <v>0.1</v>
      </c>
      <c r="BG137" s="5">
        <f t="shared" si="104"/>
        <v>0.2</v>
      </c>
      <c r="BH137" s="5">
        <f t="shared" si="105"/>
        <v>0.6</v>
      </c>
      <c r="BI137" s="5" t="str">
        <f t="shared" si="106"/>
        <v>NAN</v>
      </c>
      <c r="BJ137" s="10">
        <f t="shared" si="107"/>
        <v>0.35399999999999998</v>
      </c>
      <c r="BK137" s="10">
        <f t="shared" si="108"/>
        <v>1.3320000000000001</v>
      </c>
      <c r="BM137" s="1">
        <f t="shared" si="109"/>
        <v>-13.561999999999999</v>
      </c>
      <c r="BN137" s="1">
        <f t="shared" si="110"/>
        <v>-5.8010000000000002</v>
      </c>
    </row>
    <row r="138" spans="1:66" x14ac:dyDescent="0.2">
      <c r="A138" s="4">
        <f t="shared" si="111"/>
        <v>43598</v>
      </c>
      <c r="B138" s="1">
        <v>133</v>
      </c>
      <c r="C138" s="1">
        <v>12</v>
      </c>
      <c r="D138" s="5">
        <v>13.17</v>
      </c>
      <c r="E138" s="5">
        <v>13.14</v>
      </c>
      <c r="F138" s="5">
        <v>3.3570000000000002</v>
      </c>
      <c r="G138" s="5">
        <v>7.6029999999999998</v>
      </c>
      <c r="H138" s="5">
        <v>43.35</v>
      </c>
      <c r="I138" s="5">
        <v>5.8999999999999997E-2</v>
      </c>
      <c r="J138" s="5">
        <v>0.39400000000000002</v>
      </c>
      <c r="K138" s="5">
        <v>4.8000000000000001E-2</v>
      </c>
      <c r="L138" s="5">
        <v>0.23200000000000001</v>
      </c>
      <c r="M138" s="5">
        <v>0.61299999999999999</v>
      </c>
      <c r="N138" s="5">
        <v>12.35</v>
      </c>
      <c r="O138" s="5">
        <v>56.36</v>
      </c>
      <c r="P138" s="5">
        <v>0.182</v>
      </c>
      <c r="Q138" s="5">
        <v>2.2709999999999999</v>
      </c>
      <c r="R138" s="5">
        <v>0.152</v>
      </c>
      <c r="S138" s="5">
        <v>0.33</v>
      </c>
      <c r="T138" s="5">
        <v>0.72399999999999998</v>
      </c>
      <c r="U138" s="5">
        <v>2.879</v>
      </c>
      <c r="V138" s="5">
        <v>31.09</v>
      </c>
      <c r="W138" s="5">
        <v>-0.13500000000000001</v>
      </c>
      <c r="X138" s="5">
        <v>-7.6999999999999999E-2</v>
      </c>
      <c r="Y138" s="5">
        <v>-0.1</v>
      </c>
      <c r="Z138" s="5">
        <v>8.4000000000000005E-2</v>
      </c>
      <c r="AA138" s="5">
        <v>0.40500000000000003</v>
      </c>
      <c r="AB138" s="5" t="s">
        <v>99</v>
      </c>
      <c r="AC138" s="5">
        <v>0.311</v>
      </c>
      <c r="AD138" s="5">
        <v>1.387</v>
      </c>
      <c r="AE138" s="5">
        <v>-0.34200000000000003</v>
      </c>
      <c r="AF138" s="5">
        <v>13.33</v>
      </c>
      <c r="AG138" s="5">
        <v>3.01</v>
      </c>
      <c r="AI138" s="5" t="s">
        <v>99</v>
      </c>
      <c r="AK138" s="1" t="s">
        <v>99</v>
      </c>
      <c r="AL138" s="8">
        <f t="shared" si="88"/>
        <v>0.2</v>
      </c>
      <c r="AN138" s="1">
        <f t="shared" si="94"/>
        <v>56.4</v>
      </c>
      <c r="AO138" s="1">
        <f t="shared" si="95"/>
        <v>43.4</v>
      </c>
      <c r="AP138" s="1">
        <f t="shared" si="96"/>
        <v>31.1</v>
      </c>
      <c r="AQ138" s="17">
        <f t="shared" si="85"/>
        <v>0.44600000000000001</v>
      </c>
      <c r="AR138" s="22">
        <f t="shared" si="97"/>
        <v>0.98799999999999999</v>
      </c>
      <c r="AT138" s="19">
        <f t="shared" si="89"/>
        <v>43598</v>
      </c>
      <c r="AU138" s="20">
        <f t="shared" si="90"/>
        <v>133</v>
      </c>
      <c r="AV138" s="1">
        <f t="shared" si="98"/>
        <v>7.6</v>
      </c>
      <c r="AW138" s="1">
        <f t="shared" si="99"/>
        <v>12.4</v>
      </c>
      <c r="AX138" s="1">
        <f t="shared" si="100"/>
        <v>2.9</v>
      </c>
      <c r="AY138" s="1">
        <f t="shared" si="86"/>
        <v>43.4</v>
      </c>
      <c r="AZ138" s="1">
        <f t="shared" si="87"/>
        <v>31.1</v>
      </c>
      <c r="BA138" s="1" t="str">
        <f t="shared" si="101"/>
        <v>NAN</v>
      </c>
      <c r="BB138" s="5">
        <f t="shared" si="102"/>
        <v>0.2</v>
      </c>
      <c r="BC138" s="1">
        <f t="shared" si="91"/>
        <v>0.3</v>
      </c>
      <c r="BD138" s="1">
        <f t="shared" si="92"/>
        <v>1.4</v>
      </c>
      <c r="BE138" s="1">
        <f t="shared" si="93"/>
        <v>-0.3</v>
      </c>
      <c r="BF138" s="5">
        <f t="shared" si="103"/>
        <v>0</v>
      </c>
      <c r="BG138" s="5">
        <f t="shared" si="104"/>
        <v>0.2</v>
      </c>
      <c r="BH138" s="5">
        <f t="shared" si="105"/>
        <v>0.6</v>
      </c>
      <c r="BI138" s="5" t="str">
        <f t="shared" si="106"/>
        <v>NAN</v>
      </c>
      <c r="BJ138" s="10">
        <f t="shared" si="107"/>
        <v>0.44600000000000001</v>
      </c>
      <c r="BK138" s="10">
        <f t="shared" si="108"/>
        <v>0.98799999999999999</v>
      </c>
      <c r="BM138" s="1">
        <f t="shared" si="109"/>
        <v>-10.962999999999999</v>
      </c>
      <c r="BN138" s="1">
        <f t="shared" si="110"/>
        <v>-3.2210000000000001</v>
      </c>
    </row>
    <row r="139" spans="1:66" x14ac:dyDescent="0.2">
      <c r="A139" s="4">
        <f t="shared" si="111"/>
        <v>43599</v>
      </c>
      <c r="B139" s="1">
        <v>134</v>
      </c>
      <c r="C139" s="1">
        <v>12</v>
      </c>
      <c r="D139" s="5">
        <v>12.85</v>
      </c>
      <c r="E139" s="5">
        <v>7.4640000000000004</v>
      </c>
      <c r="F139" s="5">
        <v>0.628</v>
      </c>
      <c r="G139" s="5">
        <v>4.2320000000000002</v>
      </c>
      <c r="H139" s="5">
        <v>72.7</v>
      </c>
      <c r="I139" s="5">
        <v>7.1999999999999995E-2</v>
      </c>
      <c r="J139" s="5">
        <v>1.6779999999999999</v>
      </c>
      <c r="K139" s="5">
        <v>5.5E-2</v>
      </c>
      <c r="L139" s="5">
        <v>0.246</v>
      </c>
      <c r="M139" s="5">
        <v>0.624</v>
      </c>
      <c r="N139" s="5">
        <v>8.07</v>
      </c>
      <c r="O139" s="5">
        <v>96.9</v>
      </c>
      <c r="P139" s="5">
        <v>0.157</v>
      </c>
      <c r="Q139" s="5">
        <v>4.51</v>
      </c>
      <c r="R139" s="5">
        <v>0.14699999999999999</v>
      </c>
      <c r="S139" s="5">
        <v>0.34499999999999997</v>
      </c>
      <c r="T139" s="5">
        <v>0.71499999999999997</v>
      </c>
      <c r="U139" s="5">
        <v>0.56100000000000005</v>
      </c>
      <c r="V139" s="5">
        <v>45.28</v>
      </c>
      <c r="W139" s="5">
        <v>-3.6999999999999998E-2</v>
      </c>
      <c r="X139" s="5">
        <v>-0.22500000000000001</v>
      </c>
      <c r="Y139" s="5">
        <v>-2.8000000000000001E-2</v>
      </c>
      <c r="Z139" s="5">
        <v>0.16700000000000001</v>
      </c>
      <c r="AA139" s="5">
        <v>0.51500000000000001</v>
      </c>
      <c r="AB139" s="5" t="s">
        <v>99</v>
      </c>
      <c r="AC139" s="5">
        <v>0.20699999999999999</v>
      </c>
      <c r="AD139" s="5">
        <v>0.7</v>
      </c>
      <c r="AE139" s="5">
        <v>-0.36699999999999999</v>
      </c>
      <c r="AF139" s="5">
        <v>7.8730000000000002</v>
      </c>
      <c r="AG139" s="5">
        <v>0.25800000000000001</v>
      </c>
      <c r="AI139" s="5" t="s">
        <v>99</v>
      </c>
      <c r="AK139" s="1" t="s">
        <v>99</v>
      </c>
      <c r="AL139" s="7">
        <f t="shared" ref="AL139:AL142" si="112">ROUND(K139,1)</f>
        <v>0.1</v>
      </c>
      <c r="AN139" s="1">
        <f t="shared" si="94"/>
        <v>96.9</v>
      </c>
      <c r="AO139" s="1">
        <f t="shared" si="95"/>
        <v>72.7</v>
      </c>
      <c r="AP139" s="1">
        <f t="shared" si="96"/>
        <v>45.3</v>
      </c>
      <c r="AQ139" s="17">
        <f t="shared" si="85"/>
        <v>0.48799999999999999</v>
      </c>
      <c r="AR139" s="22">
        <f t="shared" si="97"/>
        <v>0.58899999999999997</v>
      </c>
      <c r="AT139" s="19">
        <f t="shared" si="89"/>
        <v>43599</v>
      </c>
      <c r="AU139" s="20">
        <f t="shared" si="90"/>
        <v>134</v>
      </c>
      <c r="AV139" s="1">
        <f t="shared" si="98"/>
        <v>4.2</v>
      </c>
      <c r="AW139" s="1">
        <f t="shared" si="99"/>
        <v>8.1</v>
      </c>
      <c r="AX139" s="1">
        <f t="shared" si="100"/>
        <v>0.6</v>
      </c>
      <c r="AY139" s="1">
        <f t="shared" si="86"/>
        <v>72.7</v>
      </c>
      <c r="AZ139" s="1">
        <f t="shared" si="87"/>
        <v>45.3</v>
      </c>
      <c r="BA139" s="1" t="str">
        <f t="shared" si="101"/>
        <v>NAN</v>
      </c>
      <c r="BB139" s="5">
        <f t="shared" si="102"/>
        <v>0.1</v>
      </c>
      <c r="BC139" s="1">
        <f t="shared" si="91"/>
        <v>0.2</v>
      </c>
      <c r="BD139" s="1">
        <f t="shared" si="92"/>
        <v>0.7</v>
      </c>
      <c r="BE139" s="1">
        <f t="shared" si="93"/>
        <v>-0.4</v>
      </c>
      <c r="BF139" s="5">
        <f t="shared" si="103"/>
        <v>0.1</v>
      </c>
      <c r="BG139" s="5">
        <f t="shared" si="104"/>
        <v>0.2</v>
      </c>
      <c r="BH139" s="5">
        <f t="shared" si="105"/>
        <v>0.6</v>
      </c>
      <c r="BI139" s="5" t="str">
        <f t="shared" si="106"/>
        <v>NAN</v>
      </c>
      <c r="BJ139" s="10">
        <f t="shared" si="107"/>
        <v>0.48799999999999999</v>
      </c>
      <c r="BK139" s="10">
        <f t="shared" si="108"/>
        <v>0.58899999999999997</v>
      </c>
      <c r="BM139" s="1">
        <f t="shared" si="109"/>
        <v>-7.37</v>
      </c>
      <c r="BN139" s="1">
        <f t="shared" si="110"/>
        <v>-0.92800000000000005</v>
      </c>
    </row>
    <row r="140" spans="1:66" x14ac:dyDescent="0.2">
      <c r="A140" s="4">
        <f t="shared" si="111"/>
        <v>43600</v>
      </c>
      <c r="B140" s="1">
        <v>135</v>
      </c>
      <c r="C140" s="1">
        <v>12</v>
      </c>
      <c r="D140" s="5">
        <v>13.16</v>
      </c>
      <c r="E140" s="5">
        <v>11.27</v>
      </c>
      <c r="F140" s="5">
        <v>-0.39300000000000002</v>
      </c>
      <c r="G140" s="5">
        <v>4.3789999999999996</v>
      </c>
      <c r="H140" s="5">
        <v>74.680000000000007</v>
      </c>
      <c r="I140" s="5">
        <v>4.9000000000000002E-2</v>
      </c>
      <c r="J140" s="5">
        <v>2.9159999999999999</v>
      </c>
      <c r="K140" s="5">
        <v>3.5000000000000003E-2</v>
      </c>
      <c r="L140" s="5">
        <v>0.23200000000000001</v>
      </c>
      <c r="M140" s="5">
        <v>0.60599999999999998</v>
      </c>
      <c r="N140" s="5">
        <v>9.5500000000000007</v>
      </c>
      <c r="O140" s="5">
        <v>94.5</v>
      </c>
      <c r="P140" s="5">
        <v>0.15</v>
      </c>
      <c r="Q140" s="5">
        <v>10.29</v>
      </c>
      <c r="R140" s="5">
        <v>0.129</v>
      </c>
      <c r="S140" s="5">
        <v>0.32300000000000001</v>
      </c>
      <c r="T140" s="5">
        <v>0.72599999999999998</v>
      </c>
      <c r="U140" s="5">
        <v>-0.622</v>
      </c>
      <c r="V140" s="5">
        <v>46.52</v>
      </c>
      <c r="W140" s="5">
        <v>-0.114</v>
      </c>
      <c r="X140" s="5">
        <v>-0.88300000000000001</v>
      </c>
      <c r="Y140" s="5">
        <v>-9.8000000000000004E-2</v>
      </c>
      <c r="Z140" s="5">
        <v>9.7000000000000003E-2</v>
      </c>
      <c r="AA140" s="5">
        <v>0.44500000000000001</v>
      </c>
      <c r="AB140" s="5" t="s">
        <v>99</v>
      </c>
      <c r="AC140" s="5">
        <v>0.24399999999999999</v>
      </c>
      <c r="AD140" s="5">
        <v>1.923</v>
      </c>
      <c r="AE140" s="5">
        <v>-1.07</v>
      </c>
      <c r="AF140" s="5">
        <v>10.36</v>
      </c>
      <c r="AG140" s="5">
        <v>-0.81100000000000005</v>
      </c>
      <c r="AI140" s="5" t="s">
        <v>99</v>
      </c>
      <c r="AK140" s="1" t="s">
        <v>99</v>
      </c>
      <c r="AL140" s="7">
        <f t="shared" si="112"/>
        <v>0</v>
      </c>
      <c r="AN140" s="1">
        <f t="shared" si="94"/>
        <v>94.5</v>
      </c>
      <c r="AO140" s="1">
        <f t="shared" si="95"/>
        <v>74.7</v>
      </c>
      <c r="AP140" s="1">
        <f t="shared" si="96"/>
        <v>46.5</v>
      </c>
      <c r="AQ140" s="17">
        <f t="shared" si="85"/>
        <v>0.55400000000000005</v>
      </c>
      <c r="AR140" s="22">
        <f t="shared" si="97"/>
        <v>0.63700000000000001</v>
      </c>
      <c r="AT140" s="19">
        <f t="shared" si="89"/>
        <v>43600</v>
      </c>
      <c r="AU140" s="20">
        <f t="shared" si="90"/>
        <v>135</v>
      </c>
      <c r="AV140" s="1">
        <f t="shared" si="98"/>
        <v>4.4000000000000004</v>
      </c>
      <c r="AW140" s="1">
        <f t="shared" si="99"/>
        <v>9.6</v>
      </c>
      <c r="AX140" s="1">
        <f t="shared" si="100"/>
        <v>-0.6</v>
      </c>
      <c r="AY140" s="1">
        <f t="shared" si="86"/>
        <v>74.7</v>
      </c>
      <c r="AZ140" s="1">
        <f t="shared" si="87"/>
        <v>46.5</v>
      </c>
      <c r="BA140" s="1" t="str">
        <f t="shared" si="101"/>
        <v>NAN</v>
      </c>
      <c r="BB140" s="5">
        <f t="shared" si="102"/>
        <v>0</v>
      </c>
      <c r="BC140" s="1">
        <f t="shared" si="91"/>
        <v>0.2</v>
      </c>
      <c r="BD140" s="1">
        <f t="shared" si="92"/>
        <v>1.9</v>
      </c>
      <c r="BE140" s="1">
        <f t="shared" si="93"/>
        <v>-1.1000000000000001</v>
      </c>
      <c r="BF140" s="5">
        <f t="shared" si="103"/>
        <v>0</v>
      </c>
      <c r="BG140" s="5">
        <f t="shared" si="104"/>
        <v>0.2</v>
      </c>
      <c r="BH140" s="5">
        <f t="shared" si="105"/>
        <v>0.6</v>
      </c>
      <c r="BI140" s="5" t="str">
        <f t="shared" si="106"/>
        <v>NAN</v>
      </c>
      <c r="BJ140" s="10">
        <f t="shared" si="107"/>
        <v>0.55400000000000005</v>
      </c>
      <c r="BK140" s="10">
        <f t="shared" si="108"/>
        <v>0.63700000000000001</v>
      </c>
      <c r="BM140" s="1">
        <f t="shared" si="109"/>
        <v>-7.6270000000000007</v>
      </c>
      <c r="BN140" s="1">
        <f t="shared" si="110"/>
        <v>-0.44800000000000006</v>
      </c>
    </row>
    <row r="141" spans="1:66" x14ac:dyDescent="0.2">
      <c r="A141" s="4">
        <f t="shared" si="111"/>
        <v>43601</v>
      </c>
      <c r="B141" s="1">
        <v>136</v>
      </c>
      <c r="C141" s="1">
        <v>12</v>
      </c>
      <c r="D141" s="5">
        <v>12.93</v>
      </c>
      <c r="E141" s="5">
        <v>7.444</v>
      </c>
      <c r="F141" s="5">
        <v>3.0569999999999999</v>
      </c>
      <c r="G141" s="5">
        <v>4.5949999999999998</v>
      </c>
      <c r="H141" s="5">
        <v>97</v>
      </c>
      <c r="I141" s="5">
        <v>7.6999999999999999E-2</v>
      </c>
      <c r="J141" s="5">
        <v>3.4950000000000001</v>
      </c>
      <c r="K141" s="5">
        <v>5.8999999999999997E-2</v>
      </c>
      <c r="L141" s="5">
        <v>0.254</v>
      </c>
      <c r="M141" s="5">
        <v>0.63</v>
      </c>
      <c r="N141" s="5">
        <v>7.6040000000000001</v>
      </c>
      <c r="O141" s="5">
        <v>98.2</v>
      </c>
      <c r="P141" s="5">
        <v>0.16300000000000001</v>
      </c>
      <c r="Q141" s="5">
        <v>7.5830000000000002</v>
      </c>
      <c r="R141" s="5">
        <v>0.152</v>
      </c>
      <c r="S141" s="5">
        <v>0.34100000000000003</v>
      </c>
      <c r="T141" s="5">
        <v>0.72</v>
      </c>
      <c r="U141" s="5">
        <v>3.1150000000000002</v>
      </c>
      <c r="V141" s="5">
        <v>93.3</v>
      </c>
      <c r="W141" s="5">
        <v>-1.9E-2</v>
      </c>
      <c r="X141" s="5">
        <v>1.944</v>
      </c>
      <c r="Y141" s="5">
        <v>-3.5999999999999997E-2</v>
      </c>
      <c r="Z141" s="5">
        <v>0.159</v>
      </c>
      <c r="AA141" s="5">
        <v>0.51800000000000002</v>
      </c>
      <c r="AB141" s="5" t="s">
        <v>99</v>
      </c>
      <c r="AC141" s="5">
        <v>0.99199999999999999</v>
      </c>
      <c r="AD141" s="5">
        <v>2.5819999999999999</v>
      </c>
      <c r="AE141" s="5">
        <v>0.32200000000000001</v>
      </c>
      <c r="AF141" s="5">
        <v>7.6740000000000004</v>
      </c>
      <c r="AG141" s="5">
        <v>2.794</v>
      </c>
      <c r="AI141" s="5" t="s">
        <v>99</v>
      </c>
      <c r="AK141" s="1" t="s">
        <v>99</v>
      </c>
      <c r="AL141" s="7">
        <f t="shared" si="112"/>
        <v>0.1</v>
      </c>
      <c r="AN141" s="1">
        <f t="shared" si="94"/>
        <v>98.2</v>
      </c>
      <c r="AO141" s="1">
        <f t="shared" si="95"/>
        <v>97</v>
      </c>
      <c r="AP141" s="1">
        <f t="shared" si="96"/>
        <v>93.3</v>
      </c>
      <c r="AQ141" s="17">
        <f t="shared" si="85"/>
        <v>0.97399999999999998</v>
      </c>
      <c r="AR141" s="22">
        <f t="shared" si="97"/>
        <v>7.0000000000000007E-2</v>
      </c>
      <c r="AT141" s="19">
        <f t="shared" si="89"/>
        <v>43601</v>
      </c>
      <c r="AU141" s="20">
        <f t="shared" si="90"/>
        <v>136</v>
      </c>
      <c r="AV141" s="1">
        <f t="shared" si="98"/>
        <v>4.5999999999999996</v>
      </c>
      <c r="AW141" s="1">
        <f t="shared" si="99"/>
        <v>7.6</v>
      </c>
      <c r="AX141" s="1">
        <f t="shared" si="100"/>
        <v>3.1</v>
      </c>
      <c r="AY141" s="1">
        <f t="shared" si="86"/>
        <v>97</v>
      </c>
      <c r="AZ141" s="1">
        <f t="shared" si="87"/>
        <v>93.3</v>
      </c>
      <c r="BA141" s="1" t="str">
        <f t="shared" si="101"/>
        <v>NAN</v>
      </c>
      <c r="BB141" s="5">
        <f t="shared" si="102"/>
        <v>0.1</v>
      </c>
      <c r="BC141" s="1">
        <f t="shared" si="91"/>
        <v>1</v>
      </c>
      <c r="BD141" s="1">
        <f t="shared" si="92"/>
        <v>2.6</v>
      </c>
      <c r="BE141" s="1">
        <f t="shared" si="93"/>
        <v>0.3</v>
      </c>
      <c r="BF141" s="5">
        <f t="shared" si="103"/>
        <v>0.1</v>
      </c>
      <c r="BG141" s="5">
        <f t="shared" si="104"/>
        <v>0.3</v>
      </c>
      <c r="BH141" s="5">
        <f t="shared" si="105"/>
        <v>0.6</v>
      </c>
      <c r="BI141" s="5" t="str">
        <f t="shared" si="106"/>
        <v>NAN</v>
      </c>
      <c r="BJ141" s="10">
        <f t="shared" si="107"/>
        <v>0.97399999999999998</v>
      </c>
      <c r="BK141" s="10">
        <f t="shared" si="108"/>
        <v>7.0000000000000007E-2</v>
      </c>
      <c r="BM141" s="1">
        <f t="shared" si="109"/>
        <v>-5.0220000000000002</v>
      </c>
      <c r="BN141" s="1">
        <f t="shared" si="110"/>
        <v>-2.7930000000000001</v>
      </c>
    </row>
    <row r="142" spans="1:66" x14ac:dyDescent="0.2">
      <c r="A142" s="4">
        <f t="shared" si="111"/>
        <v>43602</v>
      </c>
      <c r="B142" s="1">
        <v>137</v>
      </c>
      <c r="C142" s="1">
        <v>12</v>
      </c>
      <c r="D142" s="5">
        <v>13</v>
      </c>
      <c r="E142" s="5">
        <v>4.2990000000000004</v>
      </c>
      <c r="F142" s="5">
        <v>5.3999999999999999E-2</v>
      </c>
      <c r="G142" s="5">
        <v>2.649</v>
      </c>
      <c r="H142" s="5">
        <v>91.6</v>
      </c>
      <c r="I142" s="5">
        <v>0.35599999999999998</v>
      </c>
      <c r="J142" s="5">
        <v>2.2909999999999999</v>
      </c>
      <c r="K142" s="5">
        <v>7.1999999999999995E-2</v>
      </c>
      <c r="L142" s="5">
        <v>0.28100000000000003</v>
      </c>
      <c r="M142" s="5">
        <v>0.64400000000000002</v>
      </c>
      <c r="N142" s="5">
        <v>4.298</v>
      </c>
      <c r="O142" s="5">
        <v>97.8</v>
      </c>
      <c r="P142" s="5">
        <v>2.4300000000000002</v>
      </c>
      <c r="Q142" s="5">
        <v>3.9020000000000001</v>
      </c>
      <c r="R142" s="5">
        <v>0.19500000000000001</v>
      </c>
      <c r="S142" s="5">
        <v>0.36699999999999999</v>
      </c>
      <c r="T142" s="5">
        <v>0.72</v>
      </c>
      <c r="U142" s="5">
        <v>-0.65600000000000003</v>
      </c>
      <c r="V142" s="5">
        <v>75.78</v>
      </c>
      <c r="W142" s="5">
        <v>-0.65600000000000003</v>
      </c>
      <c r="X142" s="5">
        <v>-0.92</v>
      </c>
      <c r="Y142" s="5">
        <v>-2.1999999999999999E-2</v>
      </c>
      <c r="Z142" s="5">
        <v>0.191</v>
      </c>
      <c r="AA142" s="5">
        <v>0.55700000000000005</v>
      </c>
      <c r="AB142" s="5" t="s">
        <v>99</v>
      </c>
      <c r="AC142" s="5">
        <v>0.751</v>
      </c>
      <c r="AD142" s="5">
        <v>1.5309999999999999</v>
      </c>
      <c r="AE142" s="5">
        <v>-0.57799999999999996</v>
      </c>
      <c r="AF142" s="5">
        <v>3.84</v>
      </c>
      <c r="AG142" s="5">
        <v>-0.83199999999999996</v>
      </c>
      <c r="AI142" s="5" t="s">
        <v>99</v>
      </c>
      <c r="AK142" s="1" t="s">
        <v>99</v>
      </c>
      <c r="AL142" s="7">
        <f t="shared" si="112"/>
        <v>0.1</v>
      </c>
      <c r="AN142" s="1">
        <f t="shared" si="94"/>
        <v>97.8</v>
      </c>
      <c r="AO142" s="1">
        <f t="shared" si="95"/>
        <v>91.6</v>
      </c>
      <c r="AP142" s="1">
        <f t="shared" si="96"/>
        <v>75.8</v>
      </c>
      <c r="AQ142" s="17">
        <f t="shared" si="85"/>
        <v>0.629</v>
      </c>
      <c r="AR142" s="22">
        <f t="shared" si="97"/>
        <v>0.20100000000000001</v>
      </c>
      <c r="AT142" s="19">
        <f t="shared" si="89"/>
        <v>43602</v>
      </c>
      <c r="AU142" s="20">
        <f t="shared" si="90"/>
        <v>137</v>
      </c>
      <c r="AV142" s="1">
        <f t="shared" si="98"/>
        <v>2.6</v>
      </c>
      <c r="AW142" s="1">
        <f t="shared" si="99"/>
        <v>4.3</v>
      </c>
      <c r="AX142" s="1">
        <f t="shared" si="100"/>
        <v>-0.7</v>
      </c>
      <c r="AY142" s="1">
        <f t="shared" si="86"/>
        <v>91.6</v>
      </c>
      <c r="AZ142" s="1">
        <f t="shared" si="87"/>
        <v>75.8</v>
      </c>
      <c r="BA142" s="1" t="str">
        <f t="shared" si="101"/>
        <v>NAN</v>
      </c>
      <c r="BB142" s="5">
        <f t="shared" si="102"/>
        <v>0.1</v>
      </c>
      <c r="BC142" s="1">
        <f t="shared" si="91"/>
        <v>0.8</v>
      </c>
      <c r="BD142" s="1">
        <f t="shared" si="92"/>
        <v>1.5</v>
      </c>
      <c r="BE142" s="1">
        <f t="shared" si="93"/>
        <v>-0.6</v>
      </c>
      <c r="BF142" s="5">
        <f t="shared" si="103"/>
        <v>0.1</v>
      </c>
      <c r="BG142" s="5">
        <f t="shared" si="104"/>
        <v>0.3</v>
      </c>
      <c r="BH142" s="5">
        <f t="shared" si="105"/>
        <v>0.6</v>
      </c>
      <c r="BI142" s="5" t="str">
        <f t="shared" si="106"/>
        <v>NAN</v>
      </c>
      <c r="BJ142" s="10">
        <f t="shared" si="107"/>
        <v>0.629</v>
      </c>
      <c r="BK142" s="10">
        <f t="shared" si="108"/>
        <v>0.20100000000000001</v>
      </c>
      <c r="BM142" s="1">
        <f t="shared" si="109"/>
        <v>-2.7670000000000003</v>
      </c>
      <c r="BN142" s="1">
        <f t="shared" si="110"/>
        <v>7.8000000000000069E-2</v>
      </c>
    </row>
    <row r="143" spans="1:66" x14ac:dyDescent="0.2">
      <c r="A143" s="4">
        <f t="shared" si="111"/>
        <v>43603</v>
      </c>
      <c r="B143" s="1">
        <v>138</v>
      </c>
      <c r="C143" s="1">
        <v>12</v>
      </c>
      <c r="D143" s="5">
        <v>13.02</v>
      </c>
      <c r="E143" s="5">
        <v>6.1559999999999997</v>
      </c>
      <c r="F143" s="5">
        <v>-7.4999999999999997E-2</v>
      </c>
      <c r="G143" s="5">
        <v>1.9390000000000001</v>
      </c>
      <c r="H143" s="5">
        <v>91</v>
      </c>
      <c r="I143" s="5">
        <v>2.1150000000000002</v>
      </c>
      <c r="J143" s="5">
        <v>1.7509999999999999</v>
      </c>
      <c r="K143" s="5">
        <v>0.23400000000000001</v>
      </c>
      <c r="L143" s="5">
        <v>0.34599999999999997</v>
      </c>
      <c r="M143" s="5">
        <v>0.67900000000000005</v>
      </c>
      <c r="N143" s="5">
        <v>6.0549999999999997</v>
      </c>
      <c r="O143" s="5">
        <v>97</v>
      </c>
      <c r="P143" s="5">
        <v>8.64</v>
      </c>
      <c r="Q143" s="5">
        <v>6.2060000000000004</v>
      </c>
      <c r="R143" s="5">
        <v>0.78100000000000003</v>
      </c>
      <c r="S143" s="5">
        <v>0.49099999999999999</v>
      </c>
      <c r="T143" s="5">
        <v>0.79300000000000004</v>
      </c>
      <c r="U143" s="5">
        <v>-0.38500000000000001</v>
      </c>
      <c r="V143" s="5">
        <v>79.260000000000005</v>
      </c>
      <c r="W143" s="5">
        <v>-0.35699999999999998</v>
      </c>
      <c r="X143" s="5">
        <v>-0.51200000000000001</v>
      </c>
      <c r="Y143" s="5">
        <v>-3.5000000000000003E-2</v>
      </c>
      <c r="Z143" s="5">
        <v>0.23499999999999999</v>
      </c>
      <c r="AA143" s="5">
        <v>0.57599999999999996</v>
      </c>
      <c r="AB143" s="5" t="s">
        <v>99</v>
      </c>
      <c r="AC143" s="5">
        <v>0.86899999999999999</v>
      </c>
      <c r="AD143" s="5">
        <v>3.5680000000000001</v>
      </c>
      <c r="AE143" s="5">
        <v>-0.44800000000000001</v>
      </c>
      <c r="AF143" s="5">
        <v>5.6239999999999997</v>
      </c>
      <c r="AG143" s="5">
        <v>-0.50800000000000001</v>
      </c>
      <c r="AI143" s="5" t="s">
        <v>99</v>
      </c>
      <c r="AK143" s="1" t="s">
        <v>99</v>
      </c>
      <c r="AL143" s="5"/>
      <c r="AN143" s="1">
        <f t="shared" si="94"/>
        <v>97</v>
      </c>
      <c r="AO143" s="1">
        <f t="shared" si="95"/>
        <v>91</v>
      </c>
      <c r="AP143" s="1">
        <f t="shared" si="96"/>
        <v>79.3</v>
      </c>
      <c r="AQ143" s="17">
        <f t="shared" si="85"/>
        <v>0.74399999999999999</v>
      </c>
      <c r="AR143" s="22">
        <f t="shared" si="97"/>
        <v>0.19400000000000001</v>
      </c>
      <c r="AT143" s="19">
        <f t="shared" si="89"/>
        <v>43603</v>
      </c>
      <c r="AU143" s="20">
        <f t="shared" si="90"/>
        <v>138</v>
      </c>
      <c r="AV143" s="1">
        <f t="shared" si="98"/>
        <v>1.9</v>
      </c>
      <c r="AW143" s="1">
        <f t="shared" si="99"/>
        <v>6.1</v>
      </c>
      <c r="AX143" s="1">
        <f t="shared" si="100"/>
        <v>-0.4</v>
      </c>
      <c r="AY143" s="1">
        <f t="shared" si="86"/>
        <v>91</v>
      </c>
      <c r="AZ143" s="1">
        <f t="shared" si="87"/>
        <v>79.3</v>
      </c>
      <c r="BA143" s="1" t="str">
        <f t="shared" si="101"/>
        <v>NAN</v>
      </c>
      <c r="BB143" s="5" t="str">
        <f t="shared" si="102"/>
        <v>NAN</v>
      </c>
      <c r="BC143" s="1">
        <f t="shared" si="91"/>
        <v>0.9</v>
      </c>
      <c r="BD143" s="1">
        <f t="shared" si="92"/>
        <v>3.6</v>
      </c>
      <c r="BE143" s="1">
        <f t="shared" si="93"/>
        <v>-0.4</v>
      </c>
      <c r="BF143" s="5">
        <f t="shared" si="103"/>
        <v>0.2</v>
      </c>
      <c r="BG143" s="5">
        <f t="shared" si="104"/>
        <v>0.3</v>
      </c>
      <c r="BH143" s="5">
        <f t="shared" si="105"/>
        <v>0.7</v>
      </c>
      <c r="BI143" s="5" t="str">
        <f t="shared" si="106"/>
        <v>NAN</v>
      </c>
      <c r="BJ143" s="10">
        <f t="shared" si="107"/>
        <v>0.74399999999999999</v>
      </c>
      <c r="BK143" s="10">
        <f t="shared" si="108"/>
        <v>0.19400000000000001</v>
      </c>
      <c r="BM143" s="1">
        <f t="shared" si="109"/>
        <v>-2.4869999999999997</v>
      </c>
      <c r="BN143" s="1">
        <f t="shared" si="110"/>
        <v>-6.3E-2</v>
      </c>
    </row>
    <row r="144" spans="1:66" x14ac:dyDescent="0.2">
      <c r="A144" s="4">
        <f t="shared" si="111"/>
        <v>43604</v>
      </c>
      <c r="B144" s="1">
        <v>139</v>
      </c>
      <c r="C144" s="1">
        <v>12</v>
      </c>
      <c r="D144" s="5">
        <v>12.98</v>
      </c>
      <c r="E144" s="5">
        <v>7.51</v>
      </c>
      <c r="F144" s="5">
        <v>0.69099999999999995</v>
      </c>
      <c r="G144" s="5">
        <v>3.6619999999999999</v>
      </c>
      <c r="H144" s="5">
        <v>81.900000000000006</v>
      </c>
      <c r="I144" s="5">
        <v>3.6760000000000002</v>
      </c>
      <c r="J144" s="5">
        <v>3.3039999999999998</v>
      </c>
      <c r="K144" s="5">
        <v>1.38</v>
      </c>
      <c r="L144" s="5">
        <v>0.69399999999999995</v>
      </c>
      <c r="M144" s="5">
        <v>0.746</v>
      </c>
      <c r="N144" s="5">
        <v>7.1020000000000003</v>
      </c>
      <c r="O144" s="5">
        <v>95.6</v>
      </c>
      <c r="P144" s="5">
        <v>9.0500000000000007</v>
      </c>
      <c r="Q144" s="5">
        <v>7.5629999999999997</v>
      </c>
      <c r="R144" s="5">
        <v>2.9350000000000001</v>
      </c>
      <c r="S144" s="5">
        <v>1.2470000000000001</v>
      </c>
      <c r="T144" s="5">
        <v>0.86099999999999999</v>
      </c>
      <c r="U144" s="5">
        <v>0.56100000000000005</v>
      </c>
      <c r="V144" s="5">
        <v>60.96</v>
      </c>
      <c r="W144" s="5">
        <v>0.223</v>
      </c>
      <c r="X144" s="5">
        <v>0.123</v>
      </c>
      <c r="Y144" s="5">
        <v>-2.1000000000000001E-2</v>
      </c>
      <c r="Z144" s="5">
        <v>0.36699999999999999</v>
      </c>
      <c r="AA144" s="5">
        <v>0.61699999999999999</v>
      </c>
      <c r="AB144" s="5" t="s">
        <v>99</v>
      </c>
      <c r="AC144" s="5">
        <v>2.5979999999999999</v>
      </c>
      <c r="AD144" s="5">
        <v>6.95</v>
      </c>
      <c r="AE144" s="5">
        <v>-2.7E-2</v>
      </c>
      <c r="AF144" s="5">
        <v>7.3209999999999997</v>
      </c>
      <c r="AG144" s="5">
        <v>0.25800000000000001</v>
      </c>
      <c r="AI144" s="5" t="s">
        <v>99</v>
      </c>
      <c r="AK144" s="5">
        <v>0</v>
      </c>
      <c r="AL144" s="5"/>
      <c r="AN144" s="1">
        <f t="shared" si="94"/>
        <v>95.6</v>
      </c>
      <c r="AO144" s="1">
        <f t="shared" si="95"/>
        <v>81.900000000000006</v>
      </c>
      <c r="AP144" s="1">
        <f t="shared" si="96"/>
        <v>61</v>
      </c>
      <c r="AQ144" s="17">
        <f t="shared" si="85"/>
        <v>0.61499999999999999</v>
      </c>
      <c r="AR144" s="22">
        <f t="shared" si="97"/>
        <v>0.39300000000000002</v>
      </c>
      <c r="AT144" s="19">
        <f t="shared" si="89"/>
        <v>43604</v>
      </c>
      <c r="AU144" s="20">
        <f t="shared" si="90"/>
        <v>139</v>
      </c>
      <c r="AV144" s="1">
        <f t="shared" si="98"/>
        <v>3.7</v>
      </c>
      <c r="AW144" s="1">
        <f t="shared" si="99"/>
        <v>7.1</v>
      </c>
      <c r="AX144" s="1">
        <f t="shared" si="100"/>
        <v>0.6</v>
      </c>
      <c r="AY144" s="1">
        <f t="shared" si="86"/>
        <v>81.900000000000006</v>
      </c>
      <c r="AZ144" s="1">
        <f t="shared" si="87"/>
        <v>61</v>
      </c>
      <c r="BA144" s="1">
        <f t="shared" si="101"/>
        <v>0</v>
      </c>
      <c r="BB144" s="5" t="str">
        <f t="shared" si="102"/>
        <v>NAN</v>
      </c>
      <c r="BC144" s="1">
        <f t="shared" si="91"/>
        <v>2.6</v>
      </c>
      <c r="BD144" s="1">
        <f t="shared" si="92"/>
        <v>7</v>
      </c>
      <c r="BE144" s="1">
        <f t="shared" si="93"/>
        <v>0</v>
      </c>
      <c r="BF144" s="5">
        <f t="shared" si="103"/>
        <v>1.4</v>
      </c>
      <c r="BG144" s="5">
        <f t="shared" si="104"/>
        <v>0.7</v>
      </c>
      <c r="BH144" s="5">
        <f t="shared" si="105"/>
        <v>0.7</v>
      </c>
      <c r="BI144" s="5" t="str">
        <f t="shared" si="106"/>
        <v>NAN</v>
      </c>
      <c r="BJ144" s="10">
        <f t="shared" si="107"/>
        <v>0.61499999999999999</v>
      </c>
      <c r="BK144" s="10">
        <f t="shared" si="108"/>
        <v>0.39300000000000002</v>
      </c>
      <c r="BM144" s="1">
        <f t="shared" si="109"/>
        <v>-0.15200000000000014</v>
      </c>
      <c r="BN144" s="1">
        <f t="shared" si="110"/>
        <v>-0.58800000000000008</v>
      </c>
    </row>
    <row r="145" spans="1:66" x14ac:dyDescent="0.2">
      <c r="A145" s="4">
        <f t="shared" si="111"/>
        <v>43605</v>
      </c>
      <c r="B145" s="1">
        <v>140</v>
      </c>
      <c r="C145" s="1">
        <v>12</v>
      </c>
      <c r="D145" s="5">
        <v>13.07</v>
      </c>
      <c r="E145" s="5">
        <v>8.3699999999999992</v>
      </c>
      <c r="F145" s="5">
        <v>-1.2E-2</v>
      </c>
      <c r="G145" s="5">
        <v>3.3370000000000002</v>
      </c>
      <c r="H145" s="5">
        <v>66.63</v>
      </c>
      <c r="I145" s="5">
        <v>3.4369999999999998</v>
      </c>
      <c r="J145" s="5">
        <v>3.1539999999999999</v>
      </c>
      <c r="K145" s="5">
        <v>2.4009999999999998</v>
      </c>
      <c r="L145" s="5">
        <v>1.4239999999999999</v>
      </c>
      <c r="M145" s="5">
        <v>0.85799999999999998</v>
      </c>
      <c r="N145" s="5">
        <v>7.77</v>
      </c>
      <c r="O145" s="5">
        <v>94.5</v>
      </c>
      <c r="P145" s="5">
        <v>10.91</v>
      </c>
      <c r="Q145" s="5">
        <v>9.8699999999999992</v>
      </c>
      <c r="R145" s="5">
        <v>4.5389999999999997</v>
      </c>
      <c r="S145" s="5">
        <v>2.089</v>
      </c>
      <c r="T145" s="5">
        <v>1.0049999999999999</v>
      </c>
      <c r="U145" s="5">
        <v>-0.38500000000000001</v>
      </c>
      <c r="V145" s="5">
        <v>46.16</v>
      </c>
      <c r="W145" s="5">
        <v>-0.24199999999999999</v>
      </c>
      <c r="X145" s="5">
        <v>-0.33900000000000002</v>
      </c>
      <c r="Y145" s="5">
        <v>0.52400000000000002</v>
      </c>
      <c r="Z145" s="5">
        <v>0.94799999999999995</v>
      </c>
      <c r="AA145" s="5">
        <v>0.70399999999999996</v>
      </c>
      <c r="AB145" s="5" t="s">
        <v>99</v>
      </c>
      <c r="AC145" s="5">
        <v>3.1309999999999998</v>
      </c>
      <c r="AD145" s="5">
        <v>10.41</v>
      </c>
      <c r="AE145" s="5">
        <v>-0.14099999999999999</v>
      </c>
      <c r="AF145" s="5">
        <v>7.8280000000000003</v>
      </c>
      <c r="AG145" s="5">
        <v>-0.627</v>
      </c>
      <c r="AI145" s="5" t="s">
        <v>99</v>
      </c>
      <c r="AK145" s="5">
        <v>0</v>
      </c>
      <c r="AL145" s="5"/>
      <c r="AN145" s="1">
        <f t="shared" si="94"/>
        <v>94.5</v>
      </c>
      <c r="AO145" s="1">
        <f t="shared" si="95"/>
        <v>66.599999999999994</v>
      </c>
      <c r="AP145" s="1">
        <f t="shared" si="96"/>
        <v>46.2</v>
      </c>
      <c r="AQ145" s="17">
        <f t="shared" si="85"/>
        <v>0.48799999999999999</v>
      </c>
      <c r="AR145" s="22">
        <f t="shared" si="97"/>
        <v>0.56799999999999995</v>
      </c>
      <c r="AT145" s="19">
        <f t="shared" si="89"/>
        <v>43605</v>
      </c>
      <c r="AU145" s="20">
        <f t="shared" si="90"/>
        <v>140</v>
      </c>
      <c r="AV145" s="1">
        <f t="shared" si="98"/>
        <v>3.3</v>
      </c>
      <c r="AW145" s="1">
        <f t="shared" si="99"/>
        <v>7.8</v>
      </c>
      <c r="AX145" s="1">
        <f t="shared" si="100"/>
        <v>-0.4</v>
      </c>
      <c r="AY145" s="1">
        <f t="shared" si="86"/>
        <v>66.599999999999994</v>
      </c>
      <c r="AZ145" s="1">
        <f t="shared" si="87"/>
        <v>46.2</v>
      </c>
      <c r="BA145" s="1">
        <f t="shared" si="101"/>
        <v>0</v>
      </c>
      <c r="BB145" s="5" t="str">
        <f t="shared" si="102"/>
        <v>NAN</v>
      </c>
      <c r="BC145" s="1">
        <f t="shared" si="91"/>
        <v>3.1</v>
      </c>
      <c r="BD145" s="1">
        <f t="shared" si="92"/>
        <v>10.4</v>
      </c>
      <c r="BE145" s="1">
        <f t="shared" si="93"/>
        <v>-0.1</v>
      </c>
      <c r="BF145" s="5">
        <f t="shared" si="103"/>
        <v>2.4</v>
      </c>
      <c r="BG145" s="5">
        <f t="shared" si="104"/>
        <v>1.4</v>
      </c>
      <c r="BH145" s="5">
        <f t="shared" si="105"/>
        <v>0.9</v>
      </c>
      <c r="BI145" s="5" t="str">
        <f t="shared" si="106"/>
        <v>NAN</v>
      </c>
      <c r="BJ145" s="10">
        <f t="shared" si="107"/>
        <v>0.48799999999999999</v>
      </c>
      <c r="BK145" s="10">
        <f t="shared" si="108"/>
        <v>0.56799999999999995</v>
      </c>
      <c r="BM145" s="1">
        <f t="shared" si="109"/>
        <v>2.6400000000000006</v>
      </c>
      <c r="BN145" s="1">
        <f t="shared" si="110"/>
        <v>0.24400000000000002</v>
      </c>
    </row>
    <row r="146" spans="1:66" x14ac:dyDescent="0.2">
      <c r="A146" s="4">
        <f t="shared" si="111"/>
        <v>43606</v>
      </c>
      <c r="B146" s="1">
        <v>141</v>
      </c>
      <c r="C146" s="1">
        <v>12</v>
      </c>
      <c r="D146" s="5">
        <v>12.93</v>
      </c>
      <c r="E146" s="5">
        <v>6.8970000000000002</v>
      </c>
      <c r="F146" s="5">
        <v>0.45800000000000002</v>
      </c>
      <c r="G146" s="5">
        <v>3.2629999999999999</v>
      </c>
      <c r="H146" s="5">
        <v>67.17</v>
      </c>
      <c r="I146" s="5">
        <v>3.3620000000000001</v>
      </c>
      <c r="J146" s="5">
        <v>3.0710000000000002</v>
      </c>
      <c r="K146" s="5">
        <v>2.5590000000000002</v>
      </c>
      <c r="L146" s="5">
        <v>1.83</v>
      </c>
      <c r="M146" s="5">
        <v>1.03</v>
      </c>
      <c r="N146" s="5">
        <v>5.9119999999999999</v>
      </c>
      <c r="O146" s="5">
        <v>76.12</v>
      </c>
      <c r="P146" s="5">
        <v>7.7169999999999996</v>
      </c>
      <c r="Q146" s="5">
        <v>6.5259999999999998</v>
      </c>
      <c r="R146" s="5">
        <v>4.4039999999999999</v>
      </c>
      <c r="S146" s="5">
        <v>2.3220000000000001</v>
      </c>
      <c r="T146" s="5">
        <v>1.1819999999999999</v>
      </c>
      <c r="U146" s="5">
        <v>0.32400000000000001</v>
      </c>
      <c r="V146" s="5">
        <v>56.43</v>
      </c>
      <c r="W146" s="5">
        <v>0.13100000000000001</v>
      </c>
      <c r="X146" s="5">
        <v>5.0999999999999997E-2</v>
      </c>
      <c r="Y146" s="5">
        <v>0.96299999999999997</v>
      </c>
      <c r="Z146" s="5">
        <v>1.425</v>
      </c>
      <c r="AA146" s="5">
        <v>0.88400000000000001</v>
      </c>
      <c r="AB146" s="5" t="s">
        <v>99</v>
      </c>
      <c r="AC146" s="5">
        <v>3.0670000000000002</v>
      </c>
      <c r="AD146" s="5">
        <v>7.4720000000000004</v>
      </c>
      <c r="AE146" s="5">
        <v>8.9999999999999993E-3</v>
      </c>
      <c r="AF146" s="5">
        <v>6.2770000000000001</v>
      </c>
      <c r="AG146" s="5">
        <v>0.107</v>
      </c>
      <c r="AI146" s="5" t="s">
        <v>99</v>
      </c>
      <c r="AK146" s="5">
        <v>0</v>
      </c>
      <c r="AL146" s="5"/>
      <c r="AN146" s="1">
        <f t="shared" si="94"/>
        <v>76.099999999999994</v>
      </c>
      <c r="AO146" s="1">
        <f t="shared" si="95"/>
        <v>67.2</v>
      </c>
      <c r="AP146" s="1">
        <f t="shared" si="96"/>
        <v>56.4</v>
      </c>
      <c r="AQ146" s="17">
        <f t="shared" si="85"/>
        <v>0.52400000000000002</v>
      </c>
      <c r="AR146" s="22">
        <f t="shared" si="97"/>
        <v>0.40500000000000003</v>
      </c>
      <c r="AT146" s="19">
        <f t="shared" si="89"/>
        <v>43606</v>
      </c>
      <c r="AU146" s="20">
        <f t="shared" si="90"/>
        <v>141</v>
      </c>
      <c r="AV146" s="1">
        <f t="shared" si="98"/>
        <v>3.3</v>
      </c>
      <c r="AW146" s="1">
        <f t="shared" si="99"/>
        <v>5.9</v>
      </c>
      <c r="AX146" s="1">
        <f t="shared" si="100"/>
        <v>0.3</v>
      </c>
      <c r="AY146" s="1">
        <f t="shared" si="86"/>
        <v>67.2</v>
      </c>
      <c r="AZ146" s="1">
        <f t="shared" si="87"/>
        <v>56.4</v>
      </c>
      <c r="BA146" s="1">
        <f t="shared" si="101"/>
        <v>0</v>
      </c>
      <c r="BB146" s="5" t="str">
        <f t="shared" si="102"/>
        <v>NAN</v>
      </c>
      <c r="BC146" s="1">
        <f t="shared" si="91"/>
        <v>3.1</v>
      </c>
      <c r="BD146" s="1">
        <f t="shared" si="92"/>
        <v>7.5</v>
      </c>
      <c r="BE146" s="1">
        <f t="shared" si="93"/>
        <v>0</v>
      </c>
      <c r="BF146" s="5">
        <f t="shared" si="103"/>
        <v>2.6</v>
      </c>
      <c r="BG146" s="5">
        <f t="shared" si="104"/>
        <v>1.8</v>
      </c>
      <c r="BH146" s="5">
        <f t="shared" si="105"/>
        <v>1</v>
      </c>
      <c r="BI146" s="5" t="str">
        <f t="shared" si="106"/>
        <v>NAN</v>
      </c>
      <c r="BJ146" s="10">
        <f t="shared" si="107"/>
        <v>0.52400000000000002</v>
      </c>
      <c r="BK146" s="10">
        <f t="shared" si="108"/>
        <v>0.40500000000000003</v>
      </c>
      <c r="BM146" s="1">
        <f t="shared" si="109"/>
        <v>1.5600000000000005</v>
      </c>
      <c r="BN146" s="1">
        <f t="shared" si="110"/>
        <v>-0.315</v>
      </c>
    </row>
    <row r="147" spans="1:66" x14ac:dyDescent="0.2">
      <c r="A147" s="4">
        <f t="shared" si="111"/>
        <v>43607</v>
      </c>
      <c r="B147" s="1">
        <v>142</v>
      </c>
      <c r="C147" s="1">
        <v>12</v>
      </c>
      <c r="D147" s="5">
        <v>13.07</v>
      </c>
      <c r="E147" s="5">
        <v>12.19</v>
      </c>
      <c r="F147" s="5">
        <v>1.97</v>
      </c>
      <c r="G147" s="5">
        <v>6.6429999999999998</v>
      </c>
      <c r="H147" s="5">
        <v>60.05</v>
      </c>
      <c r="I147" s="5">
        <v>6.359</v>
      </c>
      <c r="J147" s="5">
        <v>6.14</v>
      </c>
      <c r="K147" s="5">
        <v>4.2990000000000004</v>
      </c>
      <c r="L147" s="5">
        <v>2.5350000000000001</v>
      </c>
      <c r="M147" s="5">
        <v>1.2250000000000001</v>
      </c>
      <c r="N147" s="5">
        <v>10.87</v>
      </c>
      <c r="O147" s="5">
        <v>72.040000000000006</v>
      </c>
      <c r="P147" s="5">
        <v>14.75</v>
      </c>
      <c r="Q147" s="5">
        <v>13.13</v>
      </c>
      <c r="R147" s="5">
        <v>6.8170000000000002</v>
      </c>
      <c r="S147" s="5">
        <v>3.4790000000000001</v>
      </c>
      <c r="T147" s="5">
        <v>1.4259999999999999</v>
      </c>
      <c r="U147" s="5">
        <v>2.2090000000000001</v>
      </c>
      <c r="V147" s="5">
        <v>40.32</v>
      </c>
      <c r="W147" s="5">
        <v>0.78200000000000003</v>
      </c>
      <c r="X147" s="5">
        <v>1.1599999999999999</v>
      </c>
      <c r="Y147" s="5">
        <v>1.4890000000000001</v>
      </c>
      <c r="Z147" s="5">
        <v>1.8120000000000001</v>
      </c>
      <c r="AA147" s="5">
        <v>1.0609999999999999</v>
      </c>
      <c r="AB147" s="5" t="s">
        <v>99</v>
      </c>
      <c r="AC147" s="5">
        <v>5.8979999999999997</v>
      </c>
      <c r="AD147" s="5">
        <v>15.82</v>
      </c>
      <c r="AE147" s="5">
        <v>0.38500000000000001</v>
      </c>
      <c r="AF147" s="5">
        <v>12.3</v>
      </c>
      <c r="AG147" s="5">
        <v>1.7549999999999999</v>
      </c>
      <c r="AI147" s="5" t="s">
        <v>99</v>
      </c>
      <c r="AK147" s="5">
        <v>0</v>
      </c>
      <c r="AL147" s="5"/>
      <c r="AN147" s="1">
        <f t="shared" si="94"/>
        <v>72</v>
      </c>
      <c r="AO147" s="1">
        <f t="shared" si="95"/>
        <v>60.1</v>
      </c>
      <c r="AP147" s="1">
        <f t="shared" si="96"/>
        <v>40.299999999999997</v>
      </c>
      <c r="AQ147" s="17">
        <f t="shared" si="85"/>
        <v>0.52400000000000002</v>
      </c>
      <c r="AR147" s="22">
        <f t="shared" si="97"/>
        <v>0.77600000000000002</v>
      </c>
      <c r="AT147" s="19">
        <f t="shared" si="89"/>
        <v>43607</v>
      </c>
      <c r="AU147" s="20">
        <f t="shared" si="90"/>
        <v>142</v>
      </c>
      <c r="AV147" s="1">
        <f t="shared" si="98"/>
        <v>6.6</v>
      </c>
      <c r="AW147" s="1">
        <f t="shared" si="99"/>
        <v>10.9</v>
      </c>
      <c r="AX147" s="1">
        <f t="shared" si="100"/>
        <v>2.2000000000000002</v>
      </c>
      <c r="AY147" s="1">
        <f t="shared" si="86"/>
        <v>60.1</v>
      </c>
      <c r="AZ147" s="1">
        <f t="shared" si="87"/>
        <v>40.299999999999997</v>
      </c>
      <c r="BA147" s="1">
        <f t="shared" si="101"/>
        <v>0</v>
      </c>
      <c r="BB147" s="5" t="str">
        <f t="shared" si="102"/>
        <v>NAN</v>
      </c>
      <c r="BC147" s="1">
        <f t="shared" si="91"/>
        <v>5.9</v>
      </c>
      <c r="BD147" s="1">
        <f t="shared" si="92"/>
        <v>15.8</v>
      </c>
      <c r="BE147" s="1">
        <f t="shared" si="93"/>
        <v>0.4</v>
      </c>
      <c r="BF147" s="5">
        <f t="shared" si="103"/>
        <v>4.3</v>
      </c>
      <c r="BG147" s="5">
        <f t="shared" si="104"/>
        <v>2.5</v>
      </c>
      <c r="BH147" s="5">
        <f t="shared" si="105"/>
        <v>1.2</v>
      </c>
      <c r="BI147" s="5" t="str">
        <f t="shared" si="106"/>
        <v>NAN</v>
      </c>
      <c r="BJ147" s="10">
        <f t="shared" si="107"/>
        <v>0.52400000000000002</v>
      </c>
      <c r="BK147" s="10">
        <f t="shared" si="108"/>
        <v>0.77600000000000002</v>
      </c>
      <c r="BM147" s="1">
        <f t="shared" si="109"/>
        <v>4.9500000000000011</v>
      </c>
      <c r="BN147" s="1">
        <f t="shared" si="110"/>
        <v>-1.8240000000000001</v>
      </c>
    </row>
    <row r="148" spans="1:66" x14ac:dyDescent="0.2">
      <c r="A148" s="4">
        <f t="shared" si="111"/>
        <v>43608</v>
      </c>
      <c r="B148" s="1">
        <v>143</v>
      </c>
      <c r="C148" s="1">
        <v>12</v>
      </c>
      <c r="D148" s="5">
        <v>13.05</v>
      </c>
      <c r="E148" s="5">
        <v>14.85</v>
      </c>
      <c r="F148" s="5">
        <v>4.0419999999999998</v>
      </c>
      <c r="G148" s="5">
        <v>6.9989999999999997</v>
      </c>
      <c r="H148" s="5">
        <v>68.260000000000005</v>
      </c>
      <c r="I148" s="5">
        <v>7.5149999999999997</v>
      </c>
      <c r="J148" s="5">
        <v>6.97</v>
      </c>
      <c r="K148" s="5">
        <v>6.1539999999999999</v>
      </c>
      <c r="L148" s="5">
        <v>3.7360000000000002</v>
      </c>
      <c r="M148" s="5">
        <v>1.5409999999999999</v>
      </c>
      <c r="N148" s="5">
        <v>11.47</v>
      </c>
      <c r="O148" s="5">
        <v>84.5</v>
      </c>
      <c r="P148" s="5">
        <v>25.99</v>
      </c>
      <c r="Q148" s="5">
        <v>18.010000000000002</v>
      </c>
      <c r="R148" s="5">
        <v>13.49</v>
      </c>
      <c r="S148" s="5">
        <v>4.92</v>
      </c>
      <c r="T148" s="5">
        <v>1.7849999999999999</v>
      </c>
      <c r="U148" s="5">
        <v>3.419</v>
      </c>
      <c r="V148" s="5">
        <v>49.48</v>
      </c>
      <c r="W148" s="5">
        <v>2.6659999999999999</v>
      </c>
      <c r="X148" s="5">
        <v>2.78</v>
      </c>
      <c r="Y148" s="5">
        <v>3.65</v>
      </c>
      <c r="Z148" s="5">
        <v>2.9830000000000001</v>
      </c>
      <c r="AA148" s="5">
        <v>1.319</v>
      </c>
      <c r="AB148" s="5" t="s">
        <v>99</v>
      </c>
      <c r="AC148" s="5">
        <v>7.3449999999999998</v>
      </c>
      <c r="AD148" s="5">
        <v>22.99</v>
      </c>
      <c r="AE148" s="5">
        <v>2.4670000000000001</v>
      </c>
      <c r="AF148" s="5">
        <v>12.83</v>
      </c>
      <c r="AG148" s="5">
        <v>3.4860000000000002</v>
      </c>
      <c r="AI148" s="5" t="s">
        <v>99</v>
      </c>
      <c r="AK148" s="5">
        <v>0</v>
      </c>
      <c r="AL148" s="5"/>
      <c r="AN148" s="1">
        <f t="shared" si="94"/>
        <v>84.5</v>
      </c>
      <c r="AO148" s="1">
        <f t="shared" si="95"/>
        <v>68.3</v>
      </c>
      <c r="AP148" s="1">
        <f t="shared" si="96"/>
        <v>49.5</v>
      </c>
      <c r="AQ148" s="17">
        <f t="shared" si="85"/>
        <v>0.67</v>
      </c>
      <c r="AR148" s="22">
        <f t="shared" si="97"/>
        <v>0.68400000000000005</v>
      </c>
      <c r="AT148" s="19">
        <f t="shared" si="89"/>
        <v>43608</v>
      </c>
      <c r="AU148" s="20">
        <f t="shared" si="90"/>
        <v>143</v>
      </c>
      <c r="AV148" s="1">
        <f t="shared" si="98"/>
        <v>7</v>
      </c>
      <c r="AW148" s="1">
        <f t="shared" si="99"/>
        <v>11.5</v>
      </c>
      <c r="AX148" s="1">
        <f t="shared" si="100"/>
        <v>3.4</v>
      </c>
      <c r="AY148" s="1">
        <f t="shared" si="86"/>
        <v>68.3</v>
      </c>
      <c r="AZ148" s="1">
        <f t="shared" si="87"/>
        <v>49.5</v>
      </c>
      <c r="BA148" s="1">
        <f t="shared" si="101"/>
        <v>0</v>
      </c>
      <c r="BB148" s="5" t="str">
        <f t="shared" si="102"/>
        <v>NAN</v>
      </c>
      <c r="BC148" s="1">
        <f t="shared" si="91"/>
        <v>7.3</v>
      </c>
      <c r="BD148" s="1">
        <f t="shared" si="92"/>
        <v>23</v>
      </c>
      <c r="BE148" s="1">
        <f t="shared" si="93"/>
        <v>2.5</v>
      </c>
      <c r="BF148" s="5">
        <f t="shared" si="103"/>
        <v>6.2</v>
      </c>
      <c r="BG148" s="5">
        <f t="shared" si="104"/>
        <v>3.7</v>
      </c>
      <c r="BH148" s="5">
        <f t="shared" si="105"/>
        <v>1.5</v>
      </c>
      <c r="BI148" s="5" t="str">
        <f t="shared" si="106"/>
        <v>NAN</v>
      </c>
      <c r="BJ148" s="10">
        <f t="shared" si="107"/>
        <v>0.67</v>
      </c>
      <c r="BK148" s="10">
        <f t="shared" si="108"/>
        <v>0.68400000000000005</v>
      </c>
      <c r="BM148" s="1">
        <f t="shared" si="109"/>
        <v>11.519999999999998</v>
      </c>
      <c r="BN148" s="1">
        <f t="shared" si="110"/>
        <v>-0.95199999999999996</v>
      </c>
    </row>
    <row r="149" spans="1:66" x14ac:dyDescent="0.2">
      <c r="A149" s="4">
        <f t="shared" si="111"/>
        <v>43609</v>
      </c>
      <c r="B149" s="1">
        <v>144</v>
      </c>
      <c r="C149" s="1">
        <v>12</v>
      </c>
      <c r="D149" s="5">
        <v>13.05</v>
      </c>
      <c r="E149" s="5">
        <v>13.87</v>
      </c>
      <c r="F149" s="5">
        <v>3.7210000000000001</v>
      </c>
      <c r="G149" s="5">
        <v>5.5839999999999996</v>
      </c>
      <c r="H149" s="5">
        <v>83.5</v>
      </c>
      <c r="I149" s="5">
        <v>6.5679999999999996</v>
      </c>
      <c r="J149" s="5">
        <v>5.9349999999999996</v>
      </c>
      <c r="K149" s="5">
        <v>6.3639999999999999</v>
      </c>
      <c r="L149" s="5">
        <v>4.4359999999999999</v>
      </c>
      <c r="M149" s="5">
        <v>1.9259999999999999</v>
      </c>
      <c r="N149" s="5">
        <v>10.79</v>
      </c>
      <c r="O149" s="5">
        <v>96.8</v>
      </c>
      <c r="P149" s="5">
        <v>23.04</v>
      </c>
      <c r="Q149" s="5">
        <v>15.84</v>
      </c>
      <c r="R149" s="5">
        <v>13.31</v>
      </c>
      <c r="S149" s="5">
        <v>5.3070000000000004</v>
      </c>
      <c r="T149" s="5">
        <v>2.1549999999999998</v>
      </c>
      <c r="U149" s="5">
        <v>3.4529999999999998</v>
      </c>
      <c r="V149" s="5">
        <v>51.67</v>
      </c>
      <c r="W149" s="5">
        <v>3.0619999999999998</v>
      </c>
      <c r="X149" s="5">
        <v>3.1989999999999998</v>
      </c>
      <c r="Y149" s="5">
        <v>3.7639999999999998</v>
      </c>
      <c r="Z149" s="5">
        <v>3.6709999999999998</v>
      </c>
      <c r="AA149" s="5">
        <v>1.675</v>
      </c>
      <c r="AB149" s="5" t="s">
        <v>99</v>
      </c>
      <c r="AC149" s="5">
        <v>7.07</v>
      </c>
      <c r="AD149" s="5">
        <v>22.76</v>
      </c>
      <c r="AE149" s="5">
        <v>2.5449999999999999</v>
      </c>
      <c r="AF149" s="5">
        <v>11.84</v>
      </c>
      <c r="AG149" s="5">
        <v>3.27</v>
      </c>
      <c r="AI149" s="5" t="s">
        <v>99</v>
      </c>
      <c r="AK149" s="5">
        <v>0</v>
      </c>
      <c r="AL149" s="5"/>
      <c r="AN149" s="1">
        <f t="shared" si="94"/>
        <v>96.8</v>
      </c>
      <c r="AO149" s="1">
        <f t="shared" si="95"/>
        <v>83.5</v>
      </c>
      <c r="AP149" s="1">
        <f t="shared" si="96"/>
        <v>51.7</v>
      </c>
      <c r="AQ149" s="17">
        <f t="shared" si="85"/>
        <v>0.66900000000000004</v>
      </c>
      <c r="AR149" s="22">
        <f t="shared" si="97"/>
        <v>0.625</v>
      </c>
      <c r="AT149" s="19">
        <f t="shared" si="89"/>
        <v>43609</v>
      </c>
      <c r="AU149" s="20">
        <f t="shared" si="90"/>
        <v>144</v>
      </c>
      <c r="AV149" s="1">
        <f t="shared" si="98"/>
        <v>5.6</v>
      </c>
      <c r="AW149" s="1">
        <f t="shared" si="99"/>
        <v>10.8</v>
      </c>
      <c r="AX149" s="1">
        <f t="shared" si="100"/>
        <v>3.5</v>
      </c>
      <c r="AY149" s="1">
        <f t="shared" si="86"/>
        <v>83.5</v>
      </c>
      <c r="AZ149" s="1">
        <f t="shared" si="87"/>
        <v>51.7</v>
      </c>
      <c r="BA149" s="1">
        <f t="shared" si="101"/>
        <v>0</v>
      </c>
      <c r="BB149" s="5" t="str">
        <f t="shared" si="102"/>
        <v>NAN</v>
      </c>
      <c r="BC149" s="1">
        <f t="shared" si="91"/>
        <v>7.1</v>
      </c>
      <c r="BD149" s="1">
        <f t="shared" si="92"/>
        <v>22.8</v>
      </c>
      <c r="BE149" s="1">
        <f t="shared" si="93"/>
        <v>2.5</v>
      </c>
      <c r="BF149" s="5">
        <f t="shared" si="103"/>
        <v>6.4</v>
      </c>
      <c r="BG149" s="5">
        <f t="shared" si="104"/>
        <v>4.4000000000000004</v>
      </c>
      <c r="BH149" s="5">
        <f t="shared" si="105"/>
        <v>1.9</v>
      </c>
      <c r="BI149" s="5" t="str">
        <f t="shared" si="106"/>
        <v>NAN</v>
      </c>
      <c r="BJ149" s="10">
        <f t="shared" si="107"/>
        <v>0.66900000000000004</v>
      </c>
      <c r="BK149" s="10">
        <f t="shared" si="108"/>
        <v>0.625</v>
      </c>
      <c r="BM149" s="1">
        <f t="shared" si="109"/>
        <v>11.970000000000002</v>
      </c>
      <c r="BN149" s="1">
        <f t="shared" si="110"/>
        <v>-0.90799999999999992</v>
      </c>
    </row>
    <row r="150" spans="1:66" x14ac:dyDescent="0.2">
      <c r="A150" s="4">
        <f t="shared" si="111"/>
        <v>43610</v>
      </c>
      <c r="B150" s="1">
        <v>145</v>
      </c>
      <c r="C150" s="1">
        <v>12</v>
      </c>
      <c r="D150" s="5">
        <v>12.87</v>
      </c>
      <c r="E150" s="5">
        <v>6.4610000000000003</v>
      </c>
      <c r="F150" s="5">
        <v>3.4430000000000001</v>
      </c>
      <c r="G150" s="5">
        <v>4.2560000000000002</v>
      </c>
      <c r="H150" s="5">
        <v>95.9</v>
      </c>
      <c r="I150" s="5">
        <v>4.3540000000000001</v>
      </c>
      <c r="J150" s="5">
        <v>4.1529999999999996</v>
      </c>
      <c r="K150" s="5">
        <v>5.1079999999999997</v>
      </c>
      <c r="L150" s="5">
        <v>4.3949999999999996</v>
      </c>
      <c r="M150" s="5">
        <v>2.2930000000000001</v>
      </c>
      <c r="N150" s="5">
        <v>6.2210000000000001</v>
      </c>
      <c r="O150" s="5">
        <v>97.4</v>
      </c>
      <c r="P150" s="5">
        <v>7.8620000000000001</v>
      </c>
      <c r="Q150" s="5">
        <v>6.9989999999999997</v>
      </c>
      <c r="R150" s="5">
        <v>6.6429999999999998</v>
      </c>
      <c r="S150" s="5">
        <v>4.9880000000000004</v>
      </c>
      <c r="T150" s="5">
        <v>2.4700000000000002</v>
      </c>
      <c r="U150" s="5">
        <v>3.1150000000000002</v>
      </c>
      <c r="V150" s="5">
        <v>92.9</v>
      </c>
      <c r="W150" s="5">
        <v>1.526</v>
      </c>
      <c r="X150" s="5">
        <v>2.59</v>
      </c>
      <c r="Y150" s="5">
        <v>4.242</v>
      </c>
      <c r="Z150" s="5">
        <v>4.0810000000000004</v>
      </c>
      <c r="AA150" s="5">
        <v>2.0750000000000002</v>
      </c>
      <c r="AB150" s="5" t="s">
        <v>99</v>
      </c>
      <c r="AC150" s="5">
        <v>4.7169999999999996</v>
      </c>
      <c r="AD150" s="5">
        <v>9.58</v>
      </c>
      <c r="AE150" s="5">
        <v>1.0820000000000001</v>
      </c>
      <c r="AF150" s="5">
        <v>6.242</v>
      </c>
      <c r="AG150" s="5">
        <v>2.9889999999999999</v>
      </c>
      <c r="AI150" s="5" t="s">
        <v>99</v>
      </c>
      <c r="AK150" s="5">
        <v>0</v>
      </c>
      <c r="AL150" s="5"/>
      <c r="AN150" s="1">
        <f t="shared" si="94"/>
        <v>97.4</v>
      </c>
      <c r="AO150" s="1">
        <f t="shared" si="95"/>
        <v>95.9</v>
      </c>
      <c r="AP150" s="1">
        <f t="shared" si="96"/>
        <v>92.9</v>
      </c>
      <c r="AQ150" s="17">
        <f t="shared" ref="AQ150:AQ181" si="113">ROUND((0.6105*(EXP((17.273*N150)/(N150+237.3))))*AP150/100,3)</f>
        <v>0.88200000000000001</v>
      </c>
      <c r="AR150" s="22">
        <f t="shared" si="97"/>
        <v>6.7000000000000004E-2</v>
      </c>
      <c r="AT150" s="19">
        <f t="shared" si="89"/>
        <v>43610</v>
      </c>
      <c r="AU150" s="20">
        <f t="shared" si="90"/>
        <v>145</v>
      </c>
      <c r="AV150" s="1">
        <f t="shared" si="98"/>
        <v>4.3</v>
      </c>
      <c r="AW150" s="1">
        <f t="shared" si="99"/>
        <v>6.2</v>
      </c>
      <c r="AX150" s="1">
        <f t="shared" si="100"/>
        <v>3.1</v>
      </c>
      <c r="AY150" s="1">
        <f t="shared" si="86"/>
        <v>95.9</v>
      </c>
      <c r="AZ150" s="1">
        <f t="shared" si="87"/>
        <v>92.9</v>
      </c>
      <c r="BA150" s="1">
        <f t="shared" si="101"/>
        <v>0</v>
      </c>
      <c r="BB150" s="5" t="str">
        <f t="shared" si="102"/>
        <v>NAN</v>
      </c>
      <c r="BC150" s="1">
        <f t="shared" si="91"/>
        <v>4.7</v>
      </c>
      <c r="BD150" s="1">
        <f t="shared" si="92"/>
        <v>9.6</v>
      </c>
      <c r="BE150" s="1">
        <f t="shared" si="93"/>
        <v>1.1000000000000001</v>
      </c>
      <c r="BF150" s="5">
        <f t="shared" si="103"/>
        <v>5.0999999999999996</v>
      </c>
      <c r="BG150" s="5">
        <f t="shared" si="104"/>
        <v>4.4000000000000004</v>
      </c>
      <c r="BH150" s="5">
        <f t="shared" si="105"/>
        <v>2.2999999999999998</v>
      </c>
      <c r="BI150" s="5" t="str">
        <f t="shared" si="106"/>
        <v>NAN</v>
      </c>
      <c r="BJ150" s="10">
        <f t="shared" si="107"/>
        <v>0.88200000000000001</v>
      </c>
      <c r="BK150" s="10">
        <f t="shared" si="108"/>
        <v>6.7000000000000004E-2</v>
      </c>
      <c r="BM150" s="1">
        <f t="shared" si="109"/>
        <v>3.359</v>
      </c>
      <c r="BN150" s="1">
        <f t="shared" si="110"/>
        <v>-2.0330000000000004</v>
      </c>
    </row>
    <row r="151" spans="1:66" x14ac:dyDescent="0.2">
      <c r="A151" s="4">
        <f t="shared" si="111"/>
        <v>43611</v>
      </c>
      <c r="B151" s="1">
        <v>146</v>
      </c>
      <c r="C151" s="1">
        <v>12</v>
      </c>
      <c r="D151" s="5">
        <v>13.04</v>
      </c>
      <c r="E151" s="5">
        <v>12.21</v>
      </c>
      <c r="F151" s="5">
        <v>2.8439999999999999</v>
      </c>
      <c r="G151" s="5">
        <v>6.2350000000000003</v>
      </c>
      <c r="H151" s="5">
        <v>73.34</v>
      </c>
      <c r="I151" s="5">
        <v>5.9889999999999999</v>
      </c>
      <c r="J151" s="5">
        <v>5.8239999999999998</v>
      </c>
      <c r="K151" s="5">
        <v>5.62</v>
      </c>
      <c r="L151" s="5">
        <v>4.2450000000000001</v>
      </c>
      <c r="M151" s="5">
        <v>2.4670000000000001</v>
      </c>
      <c r="N151" s="5">
        <v>11.17</v>
      </c>
      <c r="O151" s="5">
        <v>95.1</v>
      </c>
      <c r="P151" s="5">
        <v>14.72</v>
      </c>
      <c r="Q151" s="5">
        <v>12.55</v>
      </c>
      <c r="R151" s="5">
        <v>8.48</v>
      </c>
      <c r="S151" s="5">
        <v>4.907</v>
      </c>
      <c r="T151" s="5">
        <v>2.6120000000000001</v>
      </c>
      <c r="U151" s="5">
        <v>2.8460000000000001</v>
      </c>
      <c r="V151" s="5">
        <v>52.62</v>
      </c>
      <c r="W151" s="5">
        <v>2.1640000000000001</v>
      </c>
      <c r="X151" s="5">
        <v>2.1749999999999998</v>
      </c>
      <c r="Y151" s="5">
        <v>3.472</v>
      </c>
      <c r="Z151" s="5">
        <v>3.6419999999999999</v>
      </c>
      <c r="AA151" s="5">
        <v>2.2570000000000001</v>
      </c>
      <c r="AB151" s="5" t="s">
        <v>99</v>
      </c>
      <c r="AC151" s="5">
        <v>6.1360000000000001</v>
      </c>
      <c r="AD151" s="5">
        <v>16.940000000000001</v>
      </c>
      <c r="AE151" s="5">
        <v>2.1379999999999999</v>
      </c>
      <c r="AF151" s="5">
        <v>11.15</v>
      </c>
      <c r="AG151" s="5">
        <v>2.3940000000000001</v>
      </c>
      <c r="AI151" s="5" t="s">
        <v>99</v>
      </c>
      <c r="AK151" s="5">
        <v>0</v>
      </c>
      <c r="AL151" s="5"/>
      <c r="AN151" s="1">
        <f t="shared" si="94"/>
        <v>95.1</v>
      </c>
      <c r="AO151" s="1">
        <f t="shared" si="95"/>
        <v>73.3</v>
      </c>
      <c r="AP151" s="1">
        <f t="shared" si="96"/>
        <v>52.6</v>
      </c>
      <c r="AQ151" s="17">
        <f t="shared" si="113"/>
        <v>0.69799999999999995</v>
      </c>
      <c r="AR151" s="22">
        <f t="shared" si="97"/>
        <v>0.629</v>
      </c>
      <c r="AT151" s="19">
        <f t="shared" si="89"/>
        <v>43611</v>
      </c>
      <c r="AU151" s="20">
        <f t="shared" si="90"/>
        <v>146</v>
      </c>
      <c r="AV151" s="1">
        <f t="shared" si="98"/>
        <v>6.2</v>
      </c>
      <c r="AW151" s="1">
        <f t="shared" si="99"/>
        <v>11.2</v>
      </c>
      <c r="AX151" s="1">
        <f t="shared" si="100"/>
        <v>2.8</v>
      </c>
      <c r="AY151" s="1">
        <f t="shared" si="86"/>
        <v>73.3</v>
      </c>
      <c r="AZ151" s="1">
        <f t="shared" si="87"/>
        <v>52.6</v>
      </c>
      <c r="BA151" s="1">
        <f t="shared" si="101"/>
        <v>0</v>
      </c>
      <c r="BB151" s="5" t="str">
        <f t="shared" si="102"/>
        <v>NAN</v>
      </c>
      <c r="BC151" s="1">
        <f t="shared" si="91"/>
        <v>6.1</v>
      </c>
      <c r="BD151" s="1">
        <f t="shared" si="92"/>
        <v>16.899999999999999</v>
      </c>
      <c r="BE151" s="1">
        <f t="shared" si="93"/>
        <v>2.1</v>
      </c>
      <c r="BF151" s="5">
        <f t="shared" si="103"/>
        <v>5.6</v>
      </c>
      <c r="BG151" s="5">
        <f t="shared" si="104"/>
        <v>4.2</v>
      </c>
      <c r="BH151" s="5">
        <f t="shared" si="105"/>
        <v>2.5</v>
      </c>
      <c r="BI151" s="5" t="str">
        <f t="shared" si="106"/>
        <v>NAN</v>
      </c>
      <c r="BJ151" s="10">
        <f t="shared" si="107"/>
        <v>0.69799999999999995</v>
      </c>
      <c r="BK151" s="10">
        <f t="shared" si="108"/>
        <v>0.629</v>
      </c>
      <c r="BM151" s="1">
        <f t="shared" si="109"/>
        <v>5.7700000000000014</v>
      </c>
      <c r="BN151" s="1">
        <f t="shared" si="110"/>
        <v>-0.70800000000000018</v>
      </c>
    </row>
    <row r="152" spans="1:66" x14ac:dyDescent="0.2">
      <c r="A152" s="4">
        <f t="shared" si="111"/>
        <v>43612</v>
      </c>
      <c r="B152" s="1">
        <v>147</v>
      </c>
      <c r="C152" s="1">
        <v>12</v>
      </c>
      <c r="D152" s="5">
        <v>13.05</v>
      </c>
      <c r="E152" s="5">
        <v>18.84</v>
      </c>
      <c r="F152" s="5">
        <v>3.5489999999999999</v>
      </c>
      <c r="G152" s="5">
        <v>9.73</v>
      </c>
      <c r="H152" s="5">
        <v>46.87</v>
      </c>
      <c r="I152" s="5">
        <v>9.56</v>
      </c>
      <c r="J152" s="5">
        <v>9.27</v>
      </c>
      <c r="K152" s="5">
        <v>7.0590000000000002</v>
      </c>
      <c r="L152" s="5">
        <v>4.79</v>
      </c>
      <c r="M152" s="5">
        <v>2.6139999999999999</v>
      </c>
      <c r="N152" s="5">
        <v>15.57</v>
      </c>
      <c r="O152" s="5">
        <v>70.650000000000006</v>
      </c>
      <c r="P152" s="5">
        <v>26.81</v>
      </c>
      <c r="Q152" s="5">
        <v>21.13</v>
      </c>
      <c r="R152" s="5">
        <v>15.03</v>
      </c>
      <c r="S152" s="5">
        <v>6.0570000000000004</v>
      </c>
      <c r="T152" s="5">
        <v>2.7930000000000001</v>
      </c>
      <c r="U152" s="5">
        <v>3.7909999999999999</v>
      </c>
      <c r="V152" s="5">
        <v>24.51</v>
      </c>
      <c r="W152" s="5">
        <v>2.5289999999999999</v>
      </c>
      <c r="X152" s="5">
        <v>2.7869999999999999</v>
      </c>
      <c r="Y152" s="5">
        <v>3.5329999999999999</v>
      </c>
      <c r="Z152" s="5">
        <v>3.8140000000000001</v>
      </c>
      <c r="AA152" s="5">
        <v>2.3820000000000001</v>
      </c>
      <c r="AB152" s="5" t="s">
        <v>99</v>
      </c>
      <c r="AC152" s="5">
        <v>8.81</v>
      </c>
      <c r="AD152" s="5">
        <v>25.55</v>
      </c>
      <c r="AE152" s="5">
        <v>2.0699999999999998</v>
      </c>
      <c r="AF152" s="5">
        <v>16.64</v>
      </c>
      <c r="AG152" s="5">
        <v>3.3140000000000001</v>
      </c>
      <c r="AI152" s="5" t="s">
        <v>99</v>
      </c>
      <c r="AK152" s="5">
        <v>0</v>
      </c>
      <c r="AL152" s="5"/>
      <c r="AN152" s="1">
        <f t="shared" si="94"/>
        <v>70.7</v>
      </c>
      <c r="AO152" s="1">
        <f t="shared" si="95"/>
        <v>46.9</v>
      </c>
      <c r="AP152" s="1">
        <f t="shared" si="96"/>
        <v>24.5</v>
      </c>
      <c r="AQ152" s="17">
        <f t="shared" si="113"/>
        <v>0.433</v>
      </c>
      <c r="AR152" s="22">
        <f t="shared" si="97"/>
        <v>1.3340000000000001</v>
      </c>
      <c r="AT152" s="19">
        <f t="shared" si="89"/>
        <v>43612</v>
      </c>
      <c r="AU152" s="20">
        <f t="shared" si="90"/>
        <v>147</v>
      </c>
      <c r="AV152" s="1">
        <f t="shared" si="98"/>
        <v>9.6999999999999993</v>
      </c>
      <c r="AW152" s="1">
        <f t="shared" si="99"/>
        <v>15.6</v>
      </c>
      <c r="AX152" s="1">
        <f t="shared" si="100"/>
        <v>3.8</v>
      </c>
      <c r="AY152" s="1">
        <f t="shared" si="86"/>
        <v>46.9</v>
      </c>
      <c r="AZ152" s="1">
        <f t="shared" si="87"/>
        <v>24.5</v>
      </c>
      <c r="BA152" s="1">
        <f t="shared" si="101"/>
        <v>0</v>
      </c>
      <c r="BB152" s="5" t="str">
        <f t="shared" si="102"/>
        <v>NAN</v>
      </c>
      <c r="BC152" s="1">
        <f t="shared" si="91"/>
        <v>8.8000000000000007</v>
      </c>
      <c r="BD152" s="1">
        <f t="shared" si="92"/>
        <v>25.6</v>
      </c>
      <c r="BE152" s="1">
        <f t="shared" si="93"/>
        <v>2.1</v>
      </c>
      <c r="BF152" s="5">
        <f t="shared" si="103"/>
        <v>7.1</v>
      </c>
      <c r="BG152" s="5">
        <f t="shared" si="104"/>
        <v>4.8</v>
      </c>
      <c r="BH152" s="5">
        <f t="shared" si="105"/>
        <v>2.6</v>
      </c>
      <c r="BI152" s="5" t="str">
        <f t="shared" si="106"/>
        <v>NAN</v>
      </c>
      <c r="BJ152" s="10">
        <f t="shared" si="107"/>
        <v>0.433</v>
      </c>
      <c r="BK152" s="10">
        <f t="shared" si="108"/>
        <v>1.3340000000000001</v>
      </c>
      <c r="BM152" s="1">
        <f t="shared" si="109"/>
        <v>9.98</v>
      </c>
      <c r="BN152" s="1">
        <f t="shared" si="110"/>
        <v>-1.7210000000000001</v>
      </c>
    </row>
    <row r="153" spans="1:66" x14ac:dyDescent="0.2">
      <c r="A153" s="4">
        <f t="shared" si="111"/>
        <v>43613</v>
      </c>
      <c r="B153" s="1">
        <v>148</v>
      </c>
      <c r="C153" s="1">
        <v>12</v>
      </c>
      <c r="D153" s="5">
        <v>13.05</v>
      </c>
      <c r="E153" s="5">
        <v>20.45</v>
      </c>
      <c r="F153" s="5">
        <v>7.1369999999999996</v>
      </c>
      <c r="G153" s="5">
        <v>12.92</v>
      </c>
      <c r="H153" s="5">
        <v>35.32</v>
      </c>
      <c r="I153" s="5">
        <v>12.27</v>
      </c>
      <c r="J153" s="5">
        <v>12.18</v>
      </c>
      <c r="K153" s="5">
        <v>8.0500000000000007</v>
      </c>
      <c r="L153" s="5">
        <v>5.657</v>
      </c>
      <c r="M153" s="5">
        <v>2.8919999999999999</v>
      </c>
      <c r="N153" s="5">
        <v>18.37</v>
      </c>
      <c r="O153" s="5">
        <v>60.2</v>
      </c>
      <c r="P153" s="5">
        <v>30.54</v>
      </c>
      <c r="Q153" s="5">
        <v>25.08</v>
      </c>
      <c r="R153" s="5">
        <v>12.98</v>
      </c>
      <c r="S153" s="5">
        <v>6.6219999999999999</v>
      </c>
      <c r="T153" s="5">
        <v>3.1190000000000002</v>
      </c>
      <c r="U153" s="5">
        <v>7.601</v>
      </c>
      <c r="V153" s="5">
        <v>20.36</v>
      </c>
      <c r="W153" s="5">
        <v>5.81</v>
      </c>
      <c r="X153" s="5">
        <v>6.2190000000000003</v>
      </c>
      <c r="Y153" s="5">
        <v>5.1689999999999996</v>
      </c>
      <c r="Z153" s="5">
        <v>4.8689999999999998</v>
      </c>
      <c r="AA153" s="5">
        <v>2.6659999999999999</v>
      </c>
      <c r="AB153" s="5" t="s">
        <v>99</v>
      </c>
      <c r="AC153" s="5">
        <v>11.13</v>
      </c>
      <c r="AD153" s="5">
        <v>30.24</v>
      </c>
      <c r="AE153" s="5">
        <v>4.7450000000000001</v>
      </c>
      <c r="AF153" s="5">
        <v>19.329999999999998</v>
      </c>
      <c r="AG153" s="5">
        <v>7.1719999999999997</v>
      </c>
      <c r="AI153" s="5" t="s">
        <v>99</v>
      </c>
      <c r="AK153" s="5">
        <v>0</v>
      </c>
      <c r="AL153" s="5"/>
      <c r="AN153" s="1">
        <f t="shared" si="94"/>
        <v>60.2</v>
      </c>
      <c r="AO153" s="1">
        <f t="shared" si="95"/>
        <v>35.299999999999997</v>
      </c>
      <c r="AP153" s="1">
        <f t="shared" si="96"/>
        <v>20.399999999999999</v>
      </c>
      <c r="AQ153" s="17">
        <f t="shared" si="113"/>
        <v>0.43099999999999999</v>
      </c>
      <c r="AR153" s="22">
        <f t="shared" si="97"/>
        <v>1.6819999999999999</v>
      </c>
      <c r="AT153" s="19">
        <f t="shared" si="89"/>
        <v>43613</v>
      </c>
      <c r="AU153" s="20">
        <f t="shared" si="90"/>
        <v>148</v>
      </c>
      <c r="AV153" s="1">
        <f t="shared" si="98"/>
        <v>12.9</v>
      </c>
      <c r="AW153" s="1">
        <f t="shared" si="99"/>
        <v>18.399999999999999</v>
      </c>
      <c r="AX153" s="1">
        <f t="shared" si="100"/>
        <v>7.6</v>
      </c>
      <c r="AY153" s="1">
        <f t="shared" si="86"/>
        <v>35.299999999999997</v>
      </c>
      <c r="AZ153" s="1">
        <f t="shared" si="87"/>
        <v>20.399999999999999</v>
      </c>
      <c r="BA153" s="1">
        <f t="shared" si="101"/>
        <v>0</v>
      </c>
      <c r="BB153" s="5" t="str">
        <f t="shared" si="102"/>
        <v>NAN</v>
      </c>
      <c r="BC153" s="1">
        <f t="shared" si="91"/>
        <v>11.1</v>
      </c>
      <c r="BD153" s="1">
        <f t="shared" si="92"/>
        <v>30.2</v>
      </c>
      <c r="BE153" s="1">
        <f t="shared" si="93"/>
        <v>4.7</v>
      </c>
      <c r="BF153" s="5">
        <f t="shared" si="103"/>
        <v>8.1</v>
      </c>
      <c r="BG153" s="5">
        <f t="shared" si="104"/>
        <v>5.7</v>
      </c>
      <c r="BH153" s="5">
        <f t="shared" si="105"/>
        <v>2.9</v>
      </c>
      <c r="BI153" s="5" t="str">
        <f t="shared" si="106"/>
        <v>NAN</v>
      </c>
      <c r="BJ153" s="10">
        <f t="shared" si="107"/>
        <v>0.43099999999999999</v>
      </c>
      <c r="BK153" s="10">
        <f t="shared" si="108"/>
        <v>1.6819999999999999</v>
      </c>
      <c r="BM153" s="1">
        <f t="shared" si="109"/>
        <v>11.869999999999997</v>
      </c>
      <c r="BN153" s="1">
        <f t="shared" si="110"/>
        <v>-2.8559999999999999</v>
      </c>
    </row>
    <row r="154" spans="1:66" x14ac:dyDescent="0.2">
      <c r="A154" s="4">
        <f t="shared" si="111"/>
        <v>43614</v>
      </c>
      <c r="B154" s="1">
        <v>149</v>
      </c>
      <c r="C154" s="1">
        <v>12</v>
      </c>
      <c r="D154" s="5">
        <v>13.05</v>
      </c>
      <c r="E154" s="5">
        <v>21.97</v>
      </c>
      <c r="F154" s="5">
        <v>9.3000000000000007</v>
      </c>
      <c r="G154" s="5">
        <v>13.48</v>
      </c>
      <c r="H154" s="5">
        <v>41.87</v>
      </c>
      <c r="I154" s="5">
        <v>13.45</v>
      </c>
      <c r="J154" s="5">
        <v>13.22</v>
      </c>
      <c r="K154" s="5">
        <v>9.36</v>
      </c>
      <c r="L154" s="5">
        <v>6.5449999999999999</v>
      </c>
      <c r="M154" s="5">
        <v>3.2480000000000002</v>
      </c>
      <c r="N154" s="5">
        <v>18.510000000000002</v>
      </c>
      <c r="O154" s="5">
        <v>55.45</v>
      </c>
      <c r="P154" s="5">
        <v>30.3</v>
      </c>
      <c r="Q154" s="5">
        <v>25.06</v>
      </c>
      <c r="R154" s="5">
        <v>15.36</v>
      </c>
      <c r="S154" s="5">
        <v>7.6440000000000001</v>
      </c>
      <c r="T154" s="5">
        <v>3.4990000000000001</v>
      </c>
      <c r="U154" s="5">
        <v>9.68</v>
      </c>
      <c r="V154" s="5">
        <v>22.21</v>
      </c>
      <c r="W154" s="5">
        <v>7.7679999999999998</v>
      </c>
      <c r="X154" s="5">
        <v>8.26</v>
      </c>
      <c r="Y154" s="5">
        <v>6.3710000000000004</v>
      </c>
      <c r="Z154" s="5">
        <v>5.702</v>
      </c>
      <c r="AA154" s="5">
        <v>3.0209999999999999</v>
      </c>
      <c r="AB154" s="5" t="s">
        <v>99</v>
      </c>
      <c r="AC154" s="5">
        <v>12.92</v>
      </c>
      <c r="AD154" s="5">
        <v>33.020000000000003</v>
      </c>
      <c r="AE154" s="5">
        <v>6.5439999999999996</v>
      </c>
      <c r="AF154" s="5">
        <v>20.23</v>
      </c>
      <c r="AG154" s="5">
        <v>9.39</v>
      </c>
      <c r="AI154" s="5" t="s">
        <v>99</v>
      </c>
      <c r="AK154" s="5">
        <v>0</v>
      </c>
      <c r="AL154" s="5"/>
      <c r="AN154" s="1">
        <f t="shared" si="94"/>
        <v>55.5</v>
      </c>
      <c r="AO154" s="1">
        <f t="shared" si="95"/>
        <v>41.9</v>
      </c>
      <c r="AP154" s="1">
        <f t="shared" si="96"/>
        <v>22.2</v>
      </c>
      <c r="AQ154" s="17">
        <f t="shared" si="113"/>
        <v>0.47299999999999998</v>
      </c>
      <c r="AR154" s="22">
        <f t="shared" si="97"/>
        <v>1.6579999999999999</v>
      </c>
      <c r="AT154" s="19">
        <f t="shared" si="89"/>
        <v>43614</v>
      </c>
      <c r="AU154" s="20">
        <f t="shared" si="90"/>
        <v>149</v>
      </c>
      <c r="AV154" s="1">
        <f t="shared" si="98"/>
        <v>13.5</v>
      </c>
      <c r="AW154" s="1">
        <f t="shared" si="99"/>
        <v>18.5</v>
      </c>
      <c r="AX154" s="1">
        <f t="shared" si="100"/>
        <v>9.6999999999999993</v>
      </c>
      <c r="AY154" s="1">
        <f t="shared" si="86"/>
        <v>41.9</v>
      </c>
      <c r="AZ154" s="1">
        <f t="shared" si="87"/>
        <v>22.2</v>
      </c>
      <c r="BA154" s="1">
        <f t="shared" si="101"/>
        <v>0</v>
      </c>
      <c r="BB154" s="5" t="str">
        <f t="shared" si="102"/>
        <v>NAN</v>
      </c>
      <c r="BC154" s="1">
        <f t="shared" si="91"/>
        <v>12.9</v>
      </c>
      <c r="BD154" s="1">
        <f t="shared" si="92"/>
        <v>33</v>
      </c>
      <c r="BE154" s="1">
        <f t="shared" si="93"/>
        <v>6.5</v>
      </c>
      <c r="BF154" s="5">
        <f t="shared" si="103"/>
        <v>9.4</v>
      </c>
      <c r="BG154" s="5">
        <f t="shared" si="104"/>
        <v>6.5</v>
      </c>
      <c r="BH154" s="5">
        <f t="shared" si="105"/>
        <v>3.2</v>
      </c>
      <c r="BI154" s="5" t="str">
        <f t="shared" si="106"/>
        <v>NAN</v>
      </c>
      <c r="BJ154" s="10">
        <f t="shared" si="107"/>
        <v>0.47299999999999998</v>
      </c>
      <c r="BK154" s="10">
        <f t="shared" si="108"/>
        <v>1.6579999999999999</v>
      </c>
      <c r="BM154" s="1">
        <f t="shared" si="109"/>
        <v>14.510000000000002</v>
      </c>
      <c r="BN154" s="1">
        <f t="shared" si="110"/>
        <v>-3.1360000000000001</v>
      </c>
    </row>
    <row r="155" spans="1:66" x14ac:dyDescent="0.2">
      <c r="A155" s="4">
        <f t="shared" si="111"/>
        <v>43615</v>
      </c>
      <c r="B155" s="1">
        <v>150</v>
      </c>
      <c r="C155" s="1">
        <v>12</v>
      </c>
      <c r="D155" s="5">
        <v>13.01</v>
      </c>
      <c r="E155" s="5">
        <v>17.36</v>
      </c>
      <c r="F155" s="5">
        <v>9.64</v>
      </c>
      <c r="G155" s="5">
        <v>12.29</v>
      </c>
      <c r="H155" s="5">
        <v>55.74</v>
      </c>
      <c r="I155" s="5">
        <v>11.23</v>
      </c>
      <c r="J155" s="5">
        <v>11.43</v>
      </c>
      <c r="K155" s="5">
        <v>8.94</v>
      </c>
      <c r="L155" s="5">
        <v>7.0179999999999998</v>
      </c>
      <c r="M155" s="5">
        <v>3.6579999999999999</v>
      </c>
      <c r="N155" s="5">
        <v>17.47</v>
      </c>
      <c r="O155" s="5">
        <v>91.4</v>
      </c>
      <c r="P155" s="5">
        <v>20.2</v>
      </c>
      <c r="Q155" s="5">
        <v>19.489999999999998</v>
      </c>
      <c r="R155" s="5">
        <v>11.1</v>
      </c>
      <c r="S155" s="5">
        <v>7.4379999999999997</v>
      </c>
      <c r="T155" s="5">
        <v>3.91</v>
      </c>
      <c r="U155" s="5">
        <v>9.16</v>
      </c>
      <c r="V155" s="5">
        <v>33.46</v>
      </c>
      <c r="W155" s="5">
        <v>5.0659999999999998</v>
      </c>
      <c r="X155" s="5">
        <v>7.7009999999999996</v>
      </c>
      <c r="Y155" s="5">
        <v>7.3460000000000001</v>
      </c>
      <c r="Z155" s="5">
        <v>6.5289999999999999</v>
      </c>
      <c r="AA155" s="5">
        <v>3.3929999999999998</v>
      </c>
      <c r="AB155" s="5" t="s">
        <v>99</v>
      </c>
      <c r="AC155" s="5">
        <v>10.75</v>
      </c>
      <c r="AD155" s="5">
        <v>23.87</v>
      </c>
      <c r="AE155" s="5">
        <v>3.1850000000000001</v>
      </c>
      <c r="AF155" s="5">
        <v>17.899999999999999</v>
      </c>
      <c r="AG155" s="5">
        <v>9.4600000000000009</v>
      </c>
      <c r="AI155" s="5" t="s">
        <v>99</v>
      </c>
      <c r="AK155" s="5">
        <v>0</v>
      </c>
      <c r="AL155" s="5"/>
      <c r="AN155" s="1">
        <f t="shared" si="94"/>
        <v>91.4</v>
      </c>
      <c r="AO155" s="1">
        <f t="shared" si="95"/>
        <v>55.7</v>
      </c>
      <c r="AP155" s="1">
        <f t="shared" si="96"/>
        <v>33.5</v>
      </c>
      <c r="AQ155" s="17">
        <f t="shared" si="113"/>
        <v>0.66900000000000004</v>
      </c>
      <c r="AR155" s="22">
        <f t="shared" si="97"/>
        <v>1.3280000000000001</v>
      </c>
      <c r="AT155" s="19">
        <f t="shared" si="89"/>
        <v>43615</v>
      </c>
      <c r="AU155" s="20">
        <f t="shared" si="90"/>
        <v>150</v>
      </c>
      <c r="AV155" s="1">
        <f t="shared" si="98"/>
        <v>12.3</v>
      </c>
      <c r="AW155" s="1">
        <f t="shared" si="99"/>
        <v>17.5</v>
      </c>
      <c r="AX155" s="1">
        <f t="shared" si="100"/>
        <v>9.1999999999999993</v>
      </c>
      <c r="AY155" s="1">
        <f t="shared" si="86"/>
        <v>55.7</v>
      </c>
      <c r="AZ155" s="1">
        <f t="shared" si="87"/>
        <v>33.5</v>
      </c>
      <c r="BA155" s="1">
        <f t="shared" si="101"/>
        <v>0</v>
      </c>
      <c r="BB155" s="5" t="str">
        <f t="shared" si="102"/>
        <v>NAN</v>
      </c>
      <c r="BC155" s="1">
        <f t="shared" si="91"/>
        <v>10.8</v>
      </c>
      <c r="BD155" s="1">
        <f t="shared" si="92"/>
        <v>23.9</v>
      </c>
      <c r="BE155" s="1">
        <f t="shared" si="93"/>
        <v>3.2</v>
      </c>
      <c r="BF155" s="5">
        <f t="shared" si="103"/>
        <v>8.9</v>
      </c>
      <c r="BG155" s="5">
        <f t="shared" si="104"/>
        <v>7</v>
      </c>
      <c r="BH155" s="5">
        <f t="shared" si="105"/>
        <v>3.7</v>
      </c>
      <c r="BI155" s="5" t="str">
        <f t="shared" si="106"/>
        <v>NAN</v>
      </c>
      <c r="BJ155" s="10">
        <f t="shared" si="107"/>
        <v>0.66900000000000004</v>
      </c>
      <c r="BK155" s="10">
        <f t="shared" si="108"/>
        <v>1.3280000000000001</v>
      </c>
      <c r="BM155" s="1">
        <f t="shared" si="109"/>
        <v>6.4000000000000021</v>
      </c>
      <c r="BN155" s="1">
        <f t="shared" si="110"/>
        <v>-5.9749999999999996</v>
      </c>
    </row>
    <row r="156" spans="1:66" x14ac:dyDescent="0.2">
      <c r="A156" s="4">
        <f t="shared" si="111"/>
        <v>43616</v>
      </c>
      <c r="B156" s="1">
        <v>151</v>
      </c>
      <c r="C156" s="1">
        <v>12</v>
      </c>
      <c r="D156" s="5">
        <v>13.03</v>
      </c>
      <c r="E156" s="5">
        <v>18.559999999999999</v>
      </c>
      <c r="F156" s="5">
        <v>8.39</v>
      </c>
      <c r="G156" s="5">
        <v>12</v>
      </c>
      <c r="H156" s="5">
        <v>63.58</v>
      </c>
      <c r="I156" s="5">
        <v>10.62</v>
      </c>
      <c r="J156" s="5">
        <v>10.8</v>
      </c>
      <c r="K156" s="5">
        <v>8.98</v>
      </c>
      <c r="L156" s="5">
        <v>7.0529999999999999</v>
      </c>
      <c r="M156" s="5">
        <v>3.9660000000000002</v>
      </c>
      <c r="N156" s="5">
        <v>18.62</v>
      </c>
      <c r="O156" s="5">
        <v>96</v>
      </c>
      <c r="P156" s="5">
        <v>24.92</v>
      </c>
      <c r="Q156" s="5">
        <v>21.14</v>
      </c>
      <c r="R156" s="5">
        <v>11.35</v>
      </c>
      <c r="S156" s="5">
        <v>7.6689999999999996</v>
      </c>
      <c r="T156" s="5">
        <v>4.1840000000000002</v>
      </c>
      <c r="U156" s="5">
        <v>8.7799999999999994</v>
      </c>
      <c r="V156" s="5">
        <v>41.54</v>
      </c>
      <c r="W156" s="5">
        <v>6.9530000000000003</v>
      </c>
      <c r="X156" s="5">
        <v>7.3840000000000003</v>
      </c>
      <c r="Y156" s="5">
        <v>6.9039999999999999</v>
      </c>
      <c r="Z156" s="5">
        <v>6.4269999999999996</v>
      </c>
      <c r="AA156" s="5">
        <v>3.738</v>
      </c>
      <c r="AB156" s="5" t="s">
        <v>99</v>
      </c>
      <c r="AC156" s="5">
        <v>10.26</v>
      </c>
      <c r="AD156" s="5">
        <v>24.68</v>
      </c>
      <c r="AE156" s="5">
        <v>6.1660000000000004</v>
      </c>
      <c r="AF156" s="5">
        <v>20.59</v>
      </c>
      <c r="AG156" s="5">
        <v>8.34</v>
      </c>
      <c r="AI156" s="5" t="s">
        <v>99</v>
      </c>
      <c r="AK156" s="5">
        <v>0</v>
      </c>
      <c r="AL156" s="5"/>
      <c r="AN156" s="1">
        <f t="shared" si="94"/>
        <v>96</v>
      </c>
      <c r="AO156" s="1">
        <f t="shared" si="95"/>
        <v>63.6</v>
      </c>
      <c r="AP156" s="1">
        <f t="shared" si="96"/>
        <v>41.5</v>
      </c>
      <c r="AQ156" s="17">
        <f t="shared" si="113"/>
        <v>0.89</v>
      </c>
      <c r="AR156" s="22">
        <f t="shared" si="97"/>
        <v>1.2549999999999999</v>
      </c>
      <c r="AT156" s="19">
        <f t="shared" si="89"/>
        <v>43616</v>
      </c>
      <c r="AU156" s="20">
        <f t="shared" si="90"/>
        <v>151</v>
      </c>
      <c r="AV156" s="1">
        <f t="shared" si="98"/>
        <v>12</v>
      </c>
      <c r="AW156" s="1">
        <f t="shared" si="99"/>
        <v>18.600000000000001</v>
      </c>
      <c r="AX156" s="1">
        <f t="shared" si="100"/>
        <v>8.8000000000000007</v>
      </c>
      <c r="AY156" s="1">
        <f t="shared" si="86"/>
        <v>63.6</v>
      </c>
      <c r="AZ156" s="1">
        <f t="shared" si="87"/>
        <v>41.5</v>
      </c>
      <c r="BA156" s="1">
        <f t="shared" si="101"/>
        <v>0</v>
      </c>
      <c r="BB156" s="5" t="str">
        <f t="shared" si="102"/>
        <v>NAN</v>
      </c>
      <c r="BC156" s="1">
        <f t="shared" si="91"/>
        <v>10.3</v>
      </c>
      <c r="BD156" s="1">
        <f t="shared" si="92"/>
        <v>24.7</v>
      </c>
      <c r="BE156" s="1">
        <f t="shared" si="93"/>
        <v>6.2</v>
      </c>
      <c r="BF156" s="5">
        <f t="shared" si="103"/>
        <v>9</v>
      </c>
      <c r="BG156" s="5">
        <f t="shared" si="104"/>
        <v>7.1</v>
      </c>
      <c r="BH156" s="5">
        <f t="shared" si="105"/>
        <v>4</v>
      </c>
      <c r="BI156" s="5" t="str">
        <f t="shared" si="106"/>
        <v>NAN</v>
      </c>
      <c r="BJ156" s="10">
        <f t="shared" si="107"/>
        <v>0.89</v>
      </c>
      <c r="BK156" s="10">
        <f t="shared" si="108"/>
        <v>1.2549999999999999</v>
      </c>
      <c r="BM156" s="1">
        <f t="shared" si="109"/>
        <v>6.0599999999999987</v>
      </c>
      <c r="BN156" s="1">
        <f t="shared" si="110"/>
        <v>-2.613999999999999</v>
      </c>
    </row>
    <row r="157" spans="1:66" x14ac:dyDescent="0.2">
      <c r="A157" s="4">
        <f t="shared" si="111"/>
        <v>43617</v>
      </c>
      <c r="B157" s="1">
        <v>152</v>
      </c>
      <c r="C157" s="1">
        <v>12</v>
      </c>
      <c r="D157" s="5">
        <v>13.02</v>
      </c>
      <c r="E157" s="5">
        <v>22.67</v>
      </c>
      <c r="F157" s="5">
        <v>7.444</v>
      </c>
      <c r="G157" s="5">
        <v>13.32</v>
      </c>
      <c r="H157" s="5">
        <v>41.91</v>
      </c>
      <c r="I157" s="5">
        <v>12.97</v>
      </c>
      <c r="J157" s="5">
        <v>12.93</v>
      </c>
      <c r="K157" s="5">
        <v>9.66</v>
      </c>
      <c r="L157" s="5">
        <v>7.34</v>
      </c>
      <c r="M157" s="5">
        <v>4.202</v>
      </c>
      <c r="N157" s="5">
        <v>19.86</v>
      </c>
      <c r="O157" s="5">
        <v>58.95</v>
      </c>
      <c r="P157" s="5">
        <v>27.88</v>
      </c>
      <c r="Q157" s="5">
        <v>24.22</v>
      </c>
      <c r="R157" s="5">
        <v>16.309999999999999</v>
      </c>
      <c r="S157" s="5">
        <v>8.3699999999999992</v>
      </c>
      <c r="T157" s="5">
        <v>4.3840000000000003</v>
      </c>
      <c r="U157" s="5">
        <v>7.4660000000000002</v>
      </c>
      <c r="V157" s="5">
        <v>20.53</v>
      </c>
      <c r="W157" s="5">
        <v>5.782</v>
      </c>
      <c r="X157" s="5">
        <v>6.1470000000000002</v>
      </c>
      <c r="Y157" s="5">
        <v>6.3650000000000002</v>
      </c>
      <c r="Z157" s="5">
        <v>6.4119999999999999</v>
      </c>
      <c r="AA157" s="5">
        <v>3.988</v>
      </c>
      <c r="AB157" s="5" t="s">
        <v>99</v>
      </c>
      <c r="AC157" s="5">
        <v>12.13</v>
      </c>
      <c r="AD157" s="5">
        <v>29.19</v>
      </c>
      <c r="AE157" s="5">
        <v>4.9870000000000001</v>
      </c>
      <c r="AF157" s="5">
        <v>20.149999999999999</v>
      </c>
      <c r="AG157" s="5">
        <v>7.05</v>
      </c>
      <c r="AI157" s="5" t="s">
        <v>99</v>
      </c>
      <c r="AK157" s="5">
        <v>0</v>
      </c>
      <c r="AL157" s="5"/>
      <c r="AN157" s="1">
        <f t="shared" si="94"/>
        <v>59</v>
      </c>
      <c r="AO157" s="1">
        <f t="shared" si="95"/>
        <v>41.9</v>
      </c>
      <c r="AP157" s="1">
        <f t="shared" si="96"/>
        <v>20.5</v>
      </c>
      <c r="AQ157" s="17">
        <f t="shared" si="113"/>
        <v>0.47499999999999998</v>
      </c>
      <c r="AR157" s="22">
        <f t="shared" si="97"/>
        <v>1.8420000000000001</v>
      </c>
      <c r="AT157" s="19">
        <f t="shared" si="89"/>
        <v>43617</v>
      </c>
      <c r="AU157" s="20">
        <f t="shared" si="90"/>
        <v>152</v>
      </c>
      <c r="AV157" s="1">
        <f t="shared" si="98"/>
        <v>13.3</v>
      </c>
      <c r="AW157" s="1">
        <f t="shared" si="99"/>
        <v>19.899999999999999</v>
      </c>
      <c r="AX157" s="1">
        <f t="shared" si="100"/>
        <v>7.5</v>
      </c>
      <c r="AY157" s="1">
        <f t="shared" si="86"/>
        <v>41.9</v>
      </c>
      <c r="AZ157" s="1">
        <f t="shared" si="87"/>
        <v>20.5</v>
      </c>
      <c r="BA157" s="1">
        <f t="shared" si="101"/>
        <v>0</v>
      </c>
      <c r="BB157" s="5" t="str">
        <f t="shared" si="102"/>
        <v>NAN</v>
      </c>
      <c r="BC157" s="1">
        <f t="shared" si="91"/>
        <v>12.1</v>
      </c>
      <c r="BD157" s="1">
        <f t="shared" si="92"/>
        <v>29.2</v>
      </c>
      <c r="BE157" s="1">
        <f t="shared" si="93"/>
        <v>5</v>
      </c>
      <c r="BF157" s="5">
        <f t="shared" si="103"/>
        <v>9.6999999999999993</v>
      </c>
      <c r="BG157" s="5">
        <f t="shared" si="104"/>
        <v>7.3</v>
      </c>
      <c r="BH157" s="5">
        <f t="shared" si="105"/>
        <v>4.2</v>
      </c>
      <c r="BI157" s="5" t="str">
        <f t="shared" si="106"/>
        <v>NAN</v>
      </c>
      <c r="BJ157" s="10">
        <f t="shared" si="107"/>
        <v>0.47499999999999998</v>
      </c>
      <c r="BK157" s="10">
        <f t="shared" si="108"/>
        <v>1.8420000000000001</v>
      </c>
      <c r="BM157" s="1">
        <f t="shared" si="109"/>
        <v>9.3300000000000018</v>
      </c>
      <c r="BN157" s="1">
        <f t="shared" si="110"/>
        <v>-2.4790000000000001</v>
      </c>
    </row>
    <row r="158" spans="1:66" x14ac:dyDescent="0.2">
      <c r="A158" s="4">
        <f t="shared" si="111"/>
        <v>43618</v>
      </c>
      <c r="B158" s="1">
        <v>153</v>
      </c>
      <c r="C158" s="1">
        <v>12</v>
      </c>
      <c r="D158" s="5">
        <v>13.01</v>
      </c>
      <c r="E158" s="5">
        <v>23.61</v>
      </c>
      <c r="F158" s="5">
        <v>7.2450000000000001</v>
      </c>
      <c r="G158" s="5">
        <v>13.14</v>
      </c>
      <c r="H158" s="5">
        <v>42.59</v>
      </c>
      <c r="I158" s="5">
        <v>13.33</v>
      </c>
      <c r="J158" s="5">
        <v>13.13</v>
      </c>
      <c r="K158" s="5">
        <v>9.98</v>
      </c>
      <c r="L158" s="5">
        <v>7.7380000000000004</v>
      </c>
      <c r="M158" s="5">
        <v>4.45</v>
      </c>
      <c r="N158" s="5">
        <v>20.03</v>
      </c>
      <c r="O158" s="5">
        <v>70.02</v>
      </c>
      <c r="P158" s="5">
        <v>31.15</v>
      </c>
      <c r="Q158" s="5">
        <v>25.91</v>
      </c>
      <c r="R158" s="5">
        <v>16.95</v>
      </c>
      <c r="S158" s="5">
        <v>8.65</v>
      </c>
      <c r="T158" s="5">
        <v>4.6390000000000002</v>
      </c>
      <c r="U158" s="5">
        <v>7.0270000000000001</v>
      </c>
      <c r="V158" s="5">
        <v>13.85</v>
      </c>
      <c r="W158" s="5">
        <v>5.5330000000000004</v>
      </c>
      <c r="X158" s="5">
        <v>5.9089999999999998</v>
      </c>
      <c r="Y158" s="5">
        <v>6.6040000000000001</v>
      </c>
      <c r="Z158" s="5">
        <v>6.798</v>
      </c>
      <c r="AA158" s="5">
        <v>4.24</v>
      </c>
      <c r="AB158" s="5" t="s">
        <v>99</v>
      </c>
      <c r="AC158" s="5">
        <v>13.16</v>
      </c>
      <c r="AD158" s="5">
        <v>34.06</v>
      </c>
      <c r="AE158" s="5">
        <v>4.8600000000000003</v>
      </c>
      <c r="AF158" s="5">
        <v>21.18</v>
      </c>
      <c r="AG158" s="5">
        <v>6.9059999999999997</v>
      </c>
      <c r="AI158" s="5" t="s">
        <v>99</v>
      </c>
      <c r="AK158" s="5">
        <v>0</v>
      </c>
      <c r="AL158" s="5"/>
      <c r="AN158" s="1">
        <f t="shared" si="94"/>
        <v>70</v>
      </c>
      <c r="AO158" s="1">
        <f t="shared" si="95"/>
        <v>42.6</v>
      </c>
      <c r="AP158" s="1">
        <f t="shared" si="96"/>
        <v>13.9</v>
      </c>
      <c r="AQ158" s="17">
        <f t="shared" si="113"/>
        <v>0.32600000000000001</v>
      </c>
      <c r="AR158" s="22">
        <f t="shared" si="97"/>
        <v>2.0190000000000001</v>
      </c>
      <c r="AT158" s="19">
        <f t="shared" si="89"/>
        <v>43618</v>
      </c>
      <c r="AU158" s="20">
        <f t="shared" si="90"/>
        <v>153</v>
      </c>
      <c r="AV158" s="1">
        <f t="shared" si="98"/>
        <v>13.1</v>
      </c>
      <c r="AW158" s="1">
        <f t="shared" si="99"/>
        <v>20</v>
      </c>
      <c r="AX158" s="1">
        <f t="shared" si="100"/>
        <v>7</v>
      </c>
      <c r="AY158" s="1">
        <f t="shared" si="86"/>
        <v>42.6</v>
      </c>
      <c r="AZ158" s="1">
        <f t="shared" si="87"/>
        <v>13.9</v>
      </c>
      <c r="BA158" s="1">
        <f t="shared" si="101"/>
        <v>0</v>
      </c>
      <c r="BB158" s="5" t="str">
        <f t="shared" si="102"/>
        <v>NAN</v>
      </c>
      <c r="BC158" s="1">
        <f t="shared" si="91"/>
        <v>13.2</v>
      </c>
      <c r="BD158" s="1">
        <f t="shared" si="92"/>
        <v>34.1</v>
      </c>
      <c r="BE158" s="1">
        <f t="shared" si="93"/>
        <v>4.9000000000000004</v>
      </c>
      <c r="BF158" s="5">
        <f t="shared" si="103"/>
        <v>10</v>
      </c>
      <c r="BG158" s="5">
        <f t="shared" si="104"/>
        <v>7.7</v>
      </c>
      <c r="BH158" s="5">
        <f t="shared" si="105"/>
        <v>4.5</v>
      </c>
      <c r="BI158" s="5" t="str">
        <f t="shared" si="106"/>
        <v>NAN</v>
      </c>
      <c r="BJ158" s="10">
        <f t="shared" si="107"/>
        <v>0.32600000000000001</v>
      </c>
      <c r="BK158" s="10">
        <f t="shared" si="108"/>
        <v>2.0190000000000001</v>
      </c>
      <c r="BM158" s="1">
        <f t="shared" si="109"/>
        <v>14.030000000000001</v>
      </c>
      <c r="BN158" s="1">
        <f t="shared" si="110"/>
        <v>-2.1669999999999998</v>
      </c>
    </row>
    <row r="159" spans="1:66" x14ac:dyDescent="0.2">
      <c r="A159" s="4">
        <f t="shared" si="111"/>
        <v>43619</v>
      </c>
      <c r="B159" s="1">
        <v>154</v>
      </c>
      <c r="C159" s="1">
        <v>12</v>
      </c>
      <c r="D159" s="5">
        <v>13.06</v>
      </c>
      <c r="E159" s="5">
        <v>16.09</v>
      </c>
      <c r="F159" s="5">
        <v>4.8369999999999997</v>
      </c>
      <c r="G159" s="5">
        <v>8.16</v>
      </c>
      <c r="H159" s="5">
        <v>44.73</v>
      </c>
      <c r="I159" s="5">
        <v>9</v>
      </c>
      <c r="J159" s="5">
        <v>8.6999999999999993</v>
      </c>
      <c r="K159" s="5">
        <v>8.6300000000000008</v>
      </c>
      <c r="L159" s="5">
        <v>7.6340000000000003</v>
      </c>
      <c r="M159" s="5">
        <v>4.6989999999999998</v>
      </c>
      <c r="N159" s="5">
        <v>12.58</v>
      </c>
      <c r="O159" s="5">
        <v>79.430000000000007</v>
      </c>
      <c r="P159" s="5">
        <v>23.14</v>
      </c>
      <c r="Q159" s="5">
        <v>18.93</v>
      </c>
      <c r="R159" s="5">
        <v>14.68</v>
      </c>
      <c r="S159" s="5">
        <v>8.3699999999999992</v>
      </c>
      <c r="T159" s="5">
        <v>4.8789999999999996</v>
      </c>
      <c r="U159" s="5">
        <v>3.9260000000000002</v>
      </c>
      <c r="V159" s="5">
        <v>20.16</v>
      </c>
      <c r="W159" s="5">
        <v>3.125</v>
      </c>
      <c r="X159" s="5">
        <v>3.2280000000000002</v>
      </c>
      <c r="Y159" s="5">
        <v>5.8250000000000002</v>
      </c>
      <c r="Z159" s="5">
        <v>6.9589999999999996</v>
      </c>
      <c r="AA159" s="5">
        <v>4.4530000000000003</v>
      </c>
      <c r="AB159" s="5" t="s">
        <v>99</v>
      </c>
      <c r="AC159" s="5">
        <v>9.77</v>
      </c>
      <c r="AD159" s="5">
        <v>29.13</v>
      </c>
      <c r="AE159" s="5">
        <v>2.3730000000000002</v>
      </c>
      <c r="AF159" s="5">
        <v>13.08</v>
      </c>
      <c r="AG159" s="5">
        <v>3.78</v>
      </c>
      <c r="AI159" s="5" t="s">
        <v>99</v>
      </c>
      <c r="AK159" s="5">
        <v>0</v>
      </c>
      <c r="AL159" s="5"/>
      <c r="AN159" s="1">
        <f t="shared" si="94"/>
        <v>79.400000000000006</v>
      </c>
      <c r="AO159" s="1">
        <f t="shared" si="95"/>
        <v>44.7</v>
      </c>
      <c r="AP159" s="1">
        <f t="shared" si="96"/>
        <v>20.2</v>
      </c>
      <c r="AQ159" s="17">
        <f t="shared" si="113"/>
        <v>0.29399999999999998</v>
      </c>
      <c r="AR159" s="22">
        <f t="shared" si="97"/>
        <v>1.161</v>
      </c>
      <c r="AT159" s="19">
        <f t="shared" si="89"/>
        <v>43619</v>
      </c>
      <c r="AU159" s="20">
        <f t="shared" si="90"/>
        <v>154</v>
      </c>
      <c r="AV159" s="1">
        <f t="shared" si="98"/>
        <v>8.1999999999999993</v>
      </c>
      <c r="AW159" s="1">
        <f t="shared" si="99"/>
        <v>12.6</v>
      </c>
      <c r="AX159" s="1">
        <f t="shared" si="100"/>
        <v>3.9</v>
      </c>
      <c r="AY159" s="1">
        <f t="shared" si="86"/>
        <v>44.7</v>
      </c>
      <c r="AZ159" s="1">
        <f t="shared" si="87"/>
        <v>20.2</v>
      </c>
      <c r="BA159" s="1">
        <f t="shared" si="101"/>
        <v>0</v>
      </c>
      <c r="BB159" s="5" t="str">
        <f t="shared" si="102"/>
        <v>NAN</v>
      </c>
      <c r="BC159" s="1">
        <f t="shared" si="91"/>
        <v>9.8000000000000007</v>
      </c>
      <c r="BD159" s="1">
        <f t="shared" si="92"/>
        <v>29.1</v>
      </c>
      <c r="BE159" s="1">
        <f t="shared" si="93"/>
        <v>2.4</v>
      </c>
      <c r="BF159" s="5">
        <f t="shared" si="103"/>
        <v>8.6</v>
      </c>
      <c r="BG159" s="5">
        <f t="shared" si="104"/>
        <v>7.6</v>
      </c>
      <c r="BH159" s="5">
        <f t="shared" si="105"/>
        <v>4.7</v>
      </c>
      <c r="BI159" s="5" t="str">
        <f t="shared" si="106"/>
        <v>NAN</v>
      </c>
      <c r="BJ159" s="10">
        <f t="shared" si="107"/>
        <v>0.29399999999999998</v>
      </c>
      <c r="BK159" s="10">
        <f t="shared" si="108"/>
        <v>1.161</v>
      </c>
      <c r="BM159" s="1">
        <f t="shared" si="109"/>
        <v>16.549999999999997</v>
      </c>
      <c r="BN159" s="1">
        <f t="shared" si="110"/>
        <v>-1.5529999999999999</v>
      </c>
    </row>
    <row r="160" spans="1:66" x14ac:dyDescent="0.2">
      <c r="A160" s="4">
        <f t="shared" si="111"/>
        <v>43620</v>
      </c>
      <c r="B160" s="1">
        <v>155</v>
      </c>
      <c r="C160" s="1">
        <v>12</v>
      </c>
      <c r="D160" s="5">
        <v>13.06</v>
      </c>
      <c r="E160" s="5">
        <v>16.12</v>
      </c>
      <c r="F160" s="5">
        <v>1.821</v>
      </c>
      <c r="G160" s="5">
        <v>6.7590000000000003</v>
      </c>
      <c r="H160" s="5">
        <v>44.5</v>
      </c>
      <c r="I160" s="5">
        <v>7.56</v>
      </c>
      <c r="J160" s="5">
        <v>7.2110000000000003</v>
      </c>
      <c r="K160" s="5">
        <v>7.1070000000000002</v>
      </c>
      <c r="L160" s="5">
        <v>6.5010000000000003</v>
      </c>
      <c r="M160" s="5">
        <v>4.7750000000000004</v>
      </c>
      <c r="N160" s="5">
        <v>13.09</v>
      </c>
      <c r="O160" s="5">
        <v>71.72</v>
      </c>
      <c r="P160" s="5">
        <v>22.65</v>
      </c>
      <c r="Q160" s="5">
        <v>18.440000000000001</v>
      </c>
      <c r="R160" s="5">
        <v>13.41</v>
      </c>
      <c r="S160" s="5">
        <v>7.3789999999999996</v>
      </c>
      <c r="T160" s="5">
        <v>4.8959999999999999</v>
      </c>
      <c r="U160" s="5">
        <v>1.57</v>
      </c>
      <c r="V160" s="5">
        <v>24.25</v>
      </c>
      <c r="W160" s="5">
        <v>1.0680000000000001</v>
      </c>
      <c r="X160" s="5">
        <v>1.125</v>
      </c>
      <c r="Y160" s="5">
        <v>4.2430000000000003</v>
      </c>
      <c r="Z160" s="5">
        <v>5.6740000000000004</v>
      </c>
      <c r="AA160" s="5">
        <v>4.516</v>
      </c>
      <c r="AB160" s="5" t="s">
        <v>99</v>
      </c>
      <c r="AC160" s="5">
        <v>8.3800000000000008</v>
      </c>
      <c r="AD160" s="5">
        <v>30.45</v>
      </c>
      <c r="AE160" s="5">
        <v>1.0169999999999999</v>
      </c>
      <c r="AF160" s="5">
        <v>13.32</v>
      </c>
      <c r="AG160" s="5">
        <v>1.4950000000000001</v>
      </c>
      <c r="AI160" s="5" t="s">
        <v>99</v>
      </c>
      <c r="AK160" s="5">
        <v>0</v>
      </c>
      <c r="AL160" s="5"/>
      <c r="AN160" s="1">
        <f t="shared" si="94"/>
        <v>71.7</v>
      </c>
      <c r="AO160" s="1">
        <f t="shared" si="95"/>
        <v>44.5</v>
      </c>
      <c r="AP160" s="1">
        <f t="shared" si="96"/>
        <v>24.3</v>
      </c>
      <c r="AQ160" s="17">
        <f t="shared" si="113"/>
        <v>0.36599999999999999</v>
      </c>
      <c r="AR160" s="22">
        <f t="shared" si="97"/>
        <v>1.1399999999999999</v>
      </c>
      <c r="AT160" s="19">
        <f t="shared" si="89"/>
        <v>43620</v>
      </c>
      <c r="AU160" s="20">
        <f t="shared" si="90"/>
        <v>155</v>
      </c>
      <c r="AV160" s="1">
        <f t="shared" si="98"/>
        <v>6.8</v>
      </c>
      <c r="AW160" s="1">
        <f t="shared" si="99"/>
        <v>13.1</v>
      </c>
      <c r="AX160" s="1">
        <f t="shared" si="100"/>
        <v>1.6</v>
      </c>
      <c r="AY160" s="1">
        <f t="shared" si="86"/>
        <v>44.5</v>
      </c>
      <c r="AZ160" s="1">
        <f t="shared" si="87"/>
        <v>24.3</v>
      </c>
      <c r="BA160" s="1">
        <f t="shared" si="101"/>
        <v>0</v>
      </c>
      <c r="BB160" s="5" t="str">
        <f t="shared" si="102"/>
        <v>NAN</v>
      </c>
      <c r="BC160" s="1">
        <f t="shared" si="91"/>
        <v>8.4</v>
      </c>
      <c r="BD160" s="1">
        <f t="shared" si="92"/>
        <v>30.5</v>
      </c>
      <c r="BE160" s="1">
        <f t="shared" si="93"/>
        <v>1</v>
      </c>
      <c r="BF160" s="5">
        <f t="shared" si="103"/>
        <v>7.1</v>
      </c>
      <c r="BG160" s="5">
        <f t="shared" si="104"/>
        <v>6.5</v>
      </c>
      <c r="BH160" s="5">
        <f t="shared" si="105"/>
        <v>4.8</v>
      </c>
      <c r="BI160" s="5" t="str">
        <f t="shared" si="106"/>
        <v>NAN</v>
      </c>
      <c r="BJ160" s="10">
        <f t="shared" si="107"/>
        <v>0.36599999999999999</v>
      </c>
      <c r="BK160" s="10">
        <f t="shared" si="108"/>
        <v>1.1399999999999999</v>
      </c>
      <c r="BM160" s="1">
        <f t="shared" si="109"/>
        <v>17.36</v>
      </c>
      <c r="BN160" s="1">
        <f t="shared" si="110"/>
        <v>-0.55300000000000016</v>
      </c>
    </row>
    <row r="161" spans="1:66" x14ac:dyDescent="0.2">
      <c r="A161" s="4">
        <f t="shared" si="111"/>
        <v>43621</v>
      </c>
      <c r="B161" s="1">
        <v>156</v>
      </c>
      <c r="C161" s="1">
        <v>12</v>
      </c>
      <c r="D161" s="5">
        <v>12.99</v>
      </c>
      <c r="E161" s="5">
        <v>11.63</v>
      </c>
      <c r="F161" s="5">
        <v>2.395</v>
      </c>
      <c r="G161" s="5">
        <v>5.27</v>
      </c>
      <c r="H161" s="5">
        <v>69.599999999999994</v>
      </c>
      <c r="I161" s="5">
        <v>5.7770000000000001</v>
      </c>
      <c r="J161" s="5">
        <v>5.444</v>
      </c>
      <c r="K161" s="5">
        <v>6.4779999999999998</v>
      </c>
      <c r="L161" s="5">
        <v>6.1689999999999996</v>
      </c>
      <c r="M161" s="5">
        <v>4.7300000000000004</v>
      </c>
      <c r="N161" s="5">
        <v>11.41</v>
      </c>
      <c r="O161" s="5">
        <v>96.2</v>
      </c>
      <c r="P161" s="5">
        <v>22.28</v>
      </c>
      <c r="Q161" s="5">
        <v>17.82</v>
      </c>
      <c r="R161" s="5">
        <v>10.97</v>
      </c>
      <c r="S161" s="5">
        <v>6.7590000000000003</v>
      </c>
      <c r="T161" s="5">
        <v>4.8360000000000003</v>
      </c>
      <c r="U161" s="5">
        <v>1.4930000000000001</v>
      </c>
      <c r="V161" s="5">
        <v>36.96</v>
      </c>
      <c r="W161" s="5">
        <v>0.93600000000000005</v>
      </c>
      <c r="X161" s="5">
        <v>0.94499999999999995</v>
      </c>
      <c r="Y161" s="5">
        <v>4.9180000000000001</v>
      </c>
      <c r="Z161" s="5">
        <v>5.7220000000000004</v>
      </c>
      <c r="AA161" s="5">
        <v>4.6029999999999998</v>
      </c>
      <c r="AB161" s="5" t="s">
        <v>99</v>
      </c>
      <c r="AC161" s="5">
        <v>6.5590000000000002</v>
      </c>
      <c r="AD161" s="5">
        <v>28.88</v>
      </c>
      <c r="AE161" s="5">
        <v>0.17100000000000001</v>
      </c>
      <c r="AF161" s="5">
        <v>13.06</v>
      </c>
      <c r="AG161" s="5">
        <v>1.5349999999999999</v>
      </c>
      <c r="AI161" s="5" t="s">
        <v>99</v>
      </c>
      <c r="AK161" s="5">
        <v>0</v>
      </c>
      <c r="AL161" s="5"/>
      <c r="AN161" s="1">
        <f t="shared" si="94"/>
        <v>96.2</v>
      </c>
      <c r="AO161" s="1">
        <f t="shared" si="95"/>
        <v>69.599999999999994</v>
      </c>
      <c r="AP161" s="1">
        <f t="shared" si="96"/>
        <v>37</v>
      </c>
      <c r="AQ161" s="17">
        <f t="shared" si="113"/>
        <v>0.499</v>
      </c>
      <c r="AR161" s="22">
        <f t="shared" si="97"/>
        <v>0.85</v>
      </c>
      <c r="AT161" s="19">
        <f t="shared" si="89"/>
        <v>43621</v>
      </c>
      <c r="AU161" s="20">
        <f t="shared" si="90"/>
        <v>156</v>
      </c>
      <c r="AV161" s="1">
        <f t="shared" si="98"/>
        <v>5.3</v>
      </c>
      <c r="AW161" s="1">
        <f t="shared" si="99"/>
        <v>11.4</v>
      </c>
      <c r="AX161" s="1">
        <f t="shared" si="100"/>
        <v>1.5</v>
      </c>
      <c r="AY161" s="1">
        <f t="shared" si="86"/>
        <v>69.599999999999994</v>
      </c>
      <c r="AZ161" s="1">
        <f t="shared" si="87"/>
        <v>37</v>
      </c>
      <c r="BA161" s="1">
        <f t="shared" si="101"/>
        <v>0</v>
      </c>
      <c r="BB161" s="5" t="str">
        <f t="shared" si="102"/>
        <v>NAN</v>
      </c>
      <c r="BC161" s="1">
        <f t="shared" si="91"/>
        <v>6.6</v>
      </c>
      <c r="BD161" s="1">
        <f t="shared" si="92"/>
        <v>28.9</v>
      </c>
      <c r="BE161" s="1">
        <f t="shared" si="93"/>
        <v>0.2</v>
      </c>
      <c r="BF161" s="5">
        <f t="shared" si="103"/>
        <v>6.5</v>
      </c>
      <c r="BG161" s="5">
        <f t="shared" si="104"/>
        <v>6.2</v>
      </c>
      <c r="BH161" s="5">
        <f t="shared" si="105"/>
        <v>4.7</v>
      </c>
      <c r="BI161" s="5" t="str">
        <f t="shared" si="106"/>
        <v>NAN</v>
      </c>
      <c r="BJ161" s="10">
        <f t="shared" si="107"/>
        <v>0.499</v>
      </c>
      <c r="BK161" s="10">
        <f t="shared" si="108"/>
        <v>0.85</v>
      </c>
      <c r="BM161" s="1">
        <f t="shared" si="109"/>
        <v>17.47</v>
      </c>
      <c r="BN161" s="1">
        <f t="shared" si="110"/>
        <v>-1.3220000000000001</v>
      </c>
    </row>
    <row r="162" spans="1:66" x14ac:dyDescent="0.2">
      <c r="A162" s="4">
        <f t="shared" si="111"/>
        <v>43622</v>
      </c>
      <c r="B162" s="1">
        <v>157</v>
      </c>
      <c r="C162" s="1">
        <v>12</v>
      </c>
      <c r="D162" s="5">
        <v>13.04</v>
      </c>
      <c r="E162" s="5">
        <v>6.7210000000000001</v>
      </c>
      <c r="F162" s="5">
        <v>-0.71199999999999997</v>
      </c>
      <c r="G162" s="5">
        <v>1.528</v>
      </c>
      <c r="H162" s="5">
        <v>79.790000000000006</v>
      </c>
      <c r="I162" s="5">
        <v>1.9990000000000001</v>
      </c>
      <c r="J162" s="5">
        <v>1.7130000000000001</v>
      </c>
      <c r="K162" s="5">
        <v>4.7370000000000001</v>
      </c>
      <c r="L162" s="5">
        <v>5.3029999999999999</v>
      </c>
      <c r="M162" s="5">
        <v>4.6319999999999997</v>
      </c>
      <c r="N162" s="5">
        <v>6.258</v>
      </c>
      <c r="O162" s="5">
        <v>96</v>
      </c>
      <c r="P162" s="5">
        <v>10.45</v>
      </c>
      <c r="Q162" s="5">
        <v>8.08</v>
      </c>
      <c r="R162" s="5">
        <v>7.5460000000000003</v>
      </c>
      <c r="S162" s="5">
        <v>6.048</v>
      </c>
      <c r="T162" s="5">
        <v>4.7569999999999997</v>
      </c>
      <c r="U162" s="5">
        <v>-1.7370000000000001</v>
      </c>
      <c r="V162" s="5">
        <v>48.32</v>
      </c>
      <c r="W162" s="5">
        <v>-1.9950000000000001</v>
      </c>
      <c r="X162" s="5">
        <v>-1.9950000000000001</v>
      </c>
      <c r="Y162" s="5">
        <v>2.67</v>
      </c>
      <c r="Z162" s="5">
        <v>4.8739999999999997</v>
      </c>
      <c r="AA162" s="5">
        <v>4.4880000000000004</v>
      </c>
      <c r="AB162" s="5" t="s">
        <v>99</v>
      </c>
      <c r="AC162" s="5">
        <v>3.0430000000000001</v>
      </c>
      <c r="AD162" s="5">
        <v>11.35</v>
      </c>
      <c r="AE162" s="5">
        <v>-1.625</v>
      </c>
      <c r="AF162" s="5">
        <v>6.1219999999999999</v>
      </c>
      <c r="AG162" s="5">
        <v>-1.7509999999999999</v>
      </c>
      <c r="AI162" s="5" t="s">
        <v>99</v>
      </c>
      <c r="AK162" s="5">
        <v>0</v>
      </c>
      <c r="AL162" s="5"/>
      <c r="AN162" s="1">
        <f t="shared" si="94"/>
        <v>96</v>
      </c>
      <c r="AO162" s="1">
        <f t="shared" si="95"/>
        <v>79.8</v>
      </c>
      <c r="AP162" s="1">
        <f t="shared" si="96"/>
        <v>48.3</v>
      </c>
      <c r="AQ162" s="17">
        <f t="shared" si="113"/>
        <v>0.46</v>
      </c>
      <c r="AR162" s="22">
        <f t="shared" si="97"/>
        <v>0.49199999999999999</v>
      </c>
      <c r="AT162" s="19">
        <f t="shared" si="89"/>
        <v>43622</v>
      </c>
      <c r="AU162" s="20">
        <f t="shared" si="90"/>
        <v>157</v>
      </c>
      <c r="AV162" s="1">
        <f t="shared" si="98"/>
        <v>1.5</v>
      </c>
      <c r="AW162" s="1">
        <f t="shared" si="99"/>
        <v>6.3</v>
      </c>
      <c r="AX162" s="1">
        <f t="shared" si="100"/>
        <v>-1.7</v>
      </c>
      <c r="AY162" s="1">
        <f t="shared" si="86"/>
        <v>79.8</v>
      </c>
      <c r="AZ162" s="1">
        <f t="shared" si="87"/>
        <v>48.3</v>
      </c>
      <c r="BA162" s="1">
        <f t="shared" si="101"/>
        <v>0</v>
      </c>
      <c r="BB162" s="5" t="str">
        <f t="shared" si="102"/>
        <v>NAN</v>
      </c>
      <c r="BC162" s="1">
        <f t="shared" si="91"/>
        <v>3</v>
      </c>
      <c r="BD162" s="1">
        <f t="shared" si="92"/>
        <v>11.4</v>
      </c>
      <c r="BE162" s="1">
        <f t="shared" si="93"/>
        <v>-1.6</v>
      </c>
      <c r="BF162" s="5">
        <f t="shared" si="103"/>
        <v>4.7</v>
      </c>
      <c r="BG162" s="5">
        <f t="shared" si="104"/>
        <v>5.3</v>
      </c>
      <c r="BH162" s="5">
        <f t="shared" si="105"/>
        <v>4.5999999999999996</v>
      </c>
      <c r="BI162" s="5" t="str">
        <f t="shared" si="106"/>
        <v>NAN</v>
      </c>
      <c r="BJ162" s="10">
        <f t="shared" si="107"/>
        <v>0.46</v>
      </c>
      <c r="BK162" s="10">
        <f t="shared" si="108"/>
        <v>0.49199999999999999</v>
      </c>
      <c r="BM162" s="1">
        <f t="shared" si="109"/>
        <v>5.0919999999999996</v>
      </c>
      <c r="BN162" s="1">
        <f t="shared" si="110"/>
        <v>0.1120000000000001</v>
      </c>
    </row>
    <row r="163" spans="1:66" x14ac:dyDescent="0.2">
      <c r="A163" s="4">
        <f t="shared" si="111"/>
        <v>43623</v>
      </c>
      <c r="B163" s="1">
        <v>158</v>
      </c>
      <c r="C163" s="1">
        <v>12</v>
      </c>
      <c r="D163" s="5">
        <v>13.18</v>
      </c>
      <c r="E163" s="5">
        <v>4.1070000000000002</v>
      </c>
      <c r="F163" s="5">
        <v>-1.8009999999999999</v>
      </c>
      <c r="G163" s="5">
        <v>0.10100000000000001</v>
      </c>
      <c r="H163" s="5">
        <v>84.3</v>
      </c>
      <c r="I163" s="5">
        <v>0.68200000000000005</v>
      </c>
      <c r="J163" s="5">
        <v>0.44600000000000001</v>
      </c>
      <c r="K163" s="5">
        <v>3.18</v>
      </c>
      <c r="L163" s="5">
        <v>4.1660000000000004</v>
      </c>
      <c r="M163" s="5">
        <v>4.41</v>
      </c>
      <c r="N163" s="5">
        <v>4.3019999999999996</v>
      </c>
      <c r="O163" s="5">
        <v>96.3</v>
      </c>
      <c r="P163" s="5">
        <v>11.1</v>
      </c>
      <c r="Q163" s="5">
        <v>8.85</v>
      </c>
      <c r="R163" s="5">
        <v>7.3470000000000004</v>
      </c>
      <c r="S163" s="5">
        <v>4.976</v>
      </c>
      <c r="T163" s="5">
        <v>4.5890000000000004</v>
      </c>
      <c r="U163" s="5">
        <v>-2.3460000000000001</v>
      </c>
      <c r="V163" s="5">
        <v>60.08</v>
      </c>
      <c r="W163" s="5">
        <v>-2.266</v>
      </c>
      <c r="X163" s="5">
        <v>-2.3580000000000001</v>
      </c>
      <c r="Y163" s="5">
        <v>1.8839999999999999</v>
      </c>
      <c r="Z163" s="5">
        <v>3.6549999999999998</v>
      </c>
      <c r="AA163" s="5">
        <v>4.2169999999999996</v>
      </c>
      <c r="AB163" s="5" t="s">
        <v>99</v>
      </c>
      <c r="AC163" s="5">
        <v>1.3560000000000001</v>
      </c>
      <c r="AD163" s="5">
        <v>13.02</v>
      </c>
      <c r="AE163" s="5">
        <v>-1.5940000000000001</v>
      </c>
      <c r="AF163" s="5">
        <v>4.6740000000000004</v>
      </c>
      <c r="AG163" s="5">
        <v>-2.2389999999999999</v>
      </c>
      <c r="AI163" s="5" t="s">
        <v>99</v>
      </c>
      <c r="AK163" s="5">
        <v>0</v>
      </c>
      <c r="AL163" s="5"/>
      <c r="AN163" s="1">
        <f t="shared" si="94"/>
        <v>96.3</v>
      </c>
      <c r="AO163" s="1">
        <f t="shared" si="95"/>
        <v>84.3</v>
      </c>
      <c r="AP163" s="1">
        <f t="shared" si="96"/>
        <v>60.1</v>
      </c>
      <c r="AQ163" s="17">
        <f t="shared" si="113"/>
        <v>0.499</v>
      </c>
      <c r="AR163" s="22">
        <f t="shared" si="97"/>
        <v>0.33100000000000002</v>
      </c>
      <c r="AT163" s="19">
        <f t="shared" si="89"/>
        <v>43623</v>
      </c>
      <c r="AU163" s="20">
        <f t="shared" si="90"/>
        <v>158</v>
      </c>
      <c r="AV163" s="1">
        <f t="shared" si="98"/>
        <v>0.1</v>
      </c>
      <c r="AW163" s="1">
        <f t="shared" si="99"/>
        <v>4.3</v>
      </c>
      <c r="AX163" s="1">
        <f t="shared" si="100"/>
        <v>-2.2999999999999998</v>
      </c>
      <c r="AY163" s="1">
        <f t="shared" si="86"/>
        <v>84.3</v>
      </c>
      <c r="AZ163" s="1">
        <f t="shared" si="87"/>
        <v>60.1</v>
      </c>
      <c r="BA163" s="1">
        <f t="shared" si="101"/>
        <v>0</v>
      </c>
      <c r="BB163" s="5" t="str">
        <f t="shared" si="102"/>
        <v>NAN</v>
      </c>
      <c r="BC163" s="1">
        <f t="shared" si="91"/>
        <v>1.4</v>
      </c>
      <c r="BD163" s="1">
        <f t="shared" si="92"/>
        <v>13</v>
      </c>
      <c r="BE163" s="1">
        <f t="shared" si="93"/>
        <v>-1.6</v>
      </c>
      <c r="BF163" s="5">
        <f t="shared" si="103"/>
        <v>3.2</v>
      </c>
      <c r="BG163" s="5">
        <f t="shared" si="104"/>
        <v>4.2</v>
      </c>
      <c r="BH163" s="5">
        <f t="shared" si="105"/>
        <v>4.4000000000000004</v>
      </c>
      <c r="BI163" s="5" t="str">
        <f t="shared" si="106"/>
        <v>NAN</v>
      </c>
      <c r="BJ163" s="10">
        <f t="shared" si="107"/>
        <v>0.499</v>
      </c>
      <c r="BK163" s="10">
        <f t="shared" si="108"/>
        <v>0.33100000000000002</v>
      </c>
      <c r="BM163" s="1">
        <f t="shared" si="109"/>
        <v>8.718</v>
      </c>
      <c r="BN163" s="1">
        <f t="shared" si="110"/>
        <v>0.752</v>
      </c>
    </row>
    <row r="164" spans="1:66" x14ac:dyDescent="0.2">
      <c r="A164" s="4">
        <f t="shared" si="111"/>
        <v>43624</v>
      </c>
      <c r="B164" s="1">
        <v>159</v>
      </c>
      <c r="C164" s="1">
        <v>12</v>
      </c>
      <c r="D164" s="5">
        <v>13.16</v>
      </c>
      <c r="E164" s="5">
        <v>5.68</v>
      </c>
      <c r="F164" s="5">
        <v>-0.5</v>
      </c>
      <c r="G164" s="5">
        <v>1.6459999999999999</v>
      </c>
      <c r="H164" s="5">
        <v>88.6</v>
      </c>
      <c r="I164" s="5">
        <v>1.552</v>
      </c>
      <c r="J164" s="5">
        <v>1.385</v>
      </c>
      <c r="K164" s="5">
        <v>2.85</v>
      </c>
      <c r="L164" s="5">
        <v>3.5760000000000001</v>
      </c>
      <c r="M164" s="5">
        <v>4.141</v>
      </c>
      <c r="N164" s="5">
        <v>6.4269999999999996</v>
      </c>
      <c r="O164" s="5">
        <v>97.2</v>
      </c>
      <c r="P164" s="5">
        <v>8.06</v>
      </c>
      <c r="Q164" s="5">
        <v>7.08</v>
      </c>
      <c r="R164" s="5">
        <v>4.9219999999999997</v>
      </c>
      <c r="S164" s="5">
        <v>4.0540000000000003</v>
      </c>
      <c r="T164" s="5">
        <v>4.3289999999999997</v>
      </c>
      <c r="U164" s="5">
        <v>-0.85899999999999999</v>
      </c>
      <c r="V164" s="5">
        <v>59.67</v>
      </c>
      <c r="W164" s="5">
        <v>-0.79600000000000004</v>
      </c>
      <c r="X164" s="5">
        <v>-0.85299999999999998</v>
      </c>
      <c r="Y164" s="5">
        <v>1.851</v>
      </c>
      <c r="Z164" s="5">
        <v>3.1749999999999998</v>
      </c>
      <c r="AA164" s="5">
        <v>3.9660000000000002</v>
      </c>
      <c r="AB164" s="5" t="s">
        <v>99</v>
      </c>
      <c r="AC164" s="5">
        <v>1.5489999999999999</v>
      </c>
      <c r="AD164" s="5">
        <v>9.42</v>
      </c>
      <c r="AE164" s="5">
        <v>-0.74</v>
      </c>
      <c r="AF164" s="5">
        <v>5.9749999999999996</v>
      </c>
      <c r="AG164" s="5">
        <v>-0.96199999999999997</v>
      </c>
      <c r="AI164" s="5" t="s">
        <v>99</v>
      </c>
      <c r="AK164" s="5">
        <v>0</v>
      </c>
      <c r="AL164" s="5"/>
      <c r="AN164" s="1">
        <f t="shared" si="94"/>
        <v>97.2</v>
      </c>
      <c r="AO164" s="1">
        <f t="shared" si="95"/>
        <v>88.6</v>
      </c>
      <c r="AP164" s="1">
        <f t="shared" si="96"/>
        <v>59.7</v>
      </c>
      <c r="AQ164" s="17">
        <f t="shared" si="113"/>
        <v>0.57499999999999996</v>
      </c>
      <c r="AR164" s="22">
        <f t="shared" si="97"/>
        <v>0.38800000000000001</v>
      </c>
      <c r="AT164" s="19">
        <f t="shared" si="89"/>
        <v>43624</v>
      </c>
      <c r="AU164" s="20">
        <f t="shared" si="90"/>
        <v>159</v>
      </c>
      <c r="AV164" s="1">
        <f t="shared" si="98"/>
        <v>1.6</v>
      </c>
      <c r="AW164" s="1">
        <f t="shared" si="99"/>
        <v>6.4</v>
      </c>
      <c r="AX164" s="1">
        <f t="shared" si="100"/>
        <v>-0.9</v>
      </c>
      <c r="AY164" s="1">
        <f t="shared" si="86"/>
        <v>88.6</v>
      </c>
      <c r="AZ164" s="1">
        <f t="shared" si="87"/>
        <v>59.7</v>
      </c>
      <c r="BA164" s="1">
        <f t="shared" si="101"/>
        <v>0</v>
      </c>
      <c r="BB164" s="5" t="str">
        <f t="shared" si="102"/>
        <v>NAN</v>
      </c>
      <c r="BC164" s="1">
        <f t="shared" si="91"/>
        <v>1.5</v>
      </c>
      <c r="BD164" s="1">
        <f t="shared" si="92"/>
        <v>9.4</v>
      </c>
      <c r="BE164" s="1">
        <f t="shared" si="93"/>
        <v>-0.7</v>
      </c>
      <c r="BF164" s="5">
        <f t="shared" si="103"/>
        <v>2.9</v>
      </c>
      <c r="BG164" s="5">
        <f t="shared" si="104"/>
        <v>3.6</v>
      </c>
      <c r="BH164" s="5">
        <f t="shared" si="105"/>
        <v>4.0999999999999996</v>
      </c>
      <c r="BI164" s="5" t="str">
        <f t="shared" si="106"/>
        <v>NAN</v>
      </c>
      <c r="BJ164" s="10">
        <f t="shared" si="107"/>
        <v>0.57499999999999996</v>
      </c>
      <c r="BK164" s="10">
        <f t="shared" si="108"/>
        <v>0.38800000000000001</v>
      </c>
      <c r="BM164" s="1">
        <f t="shared" si="109"/>
        <v>2.9930000000000003</v>
      </c>
      <c r="BN164" s="1">
        <f t="shared" si="110"/>
        <v>0.11899999999999999</v>
      </c>
    </row>
    <row r="165" spans="1:66" x14ac:dyDescent="0.2">
      <c r="A165" s="4">
        <f t="shared" si="111"/>
        <v>43625</v>
      </c>
      <c r="B165" s="1">
        <v>160</v>
      </c>
      <c r="C165" s="1">
        <v>12</v>
      </c>
      <c r="D165" s="5">
        <v>13.05</v>
      </c>
      <c r="E165" s="5">
        <v>13.73</v>
      </c>
      <c r="F165" s="5">
        <v>-0.33</v>
      </c>
      <c r="G165" s="5">
        <v>5.1230000000000002</v>
      </c>
      <c r="H165" s="5">
        <v>66.709999999999994</v>
      </c>
      <c r="I165" s="5">
        <v>5.319</v>
      </c>
      <c r="J165" s="5">
        <v>5.0640000000000001</v>
      </c>
      <c r="K165" s="5">
        <v>4.8689999999999998</v>
      </c>
      <c r="L165" s="5">
        <v>3.8849999999999998</v>
      </c>
      <c r="M165" s="5">
        <v>3.899</v>
      </c>
      <c r="N165" s="5">
        <v>12.55</v>
      </c>
      <c r="O165" s="5">
        <v>88.2</v>
      </c>
      <c r="P165" s="5">
        <v>19.920000000000002</v>
      </c>
      <c r="Q165" s="5">
        <v>15.95</v>
      </c>
      <c r="R165" s="5">
        <v>11.23</v>
      </c>
      <c r="S165" s="5">
        <v>5.0629999999999997</v>
      </c>
      <c r="T165" s="5">
        <v>4.0679999999999996</v>
      </c>
      <c r="U165" s="5">
        <v>-0.38600000000000001</v>
      </c>
      <c r="V165" s="5">
        <v>25.46</v>
      </c>
      <c r="W165" s="5">
        <v>-0.81299999999999994</v>
      </c>
      <c r="X165" s="5">
        <v>-0.72499999999999998</v>
      </c>
      <c r="Y165" s="5">
        <v>1.573</v>
      </c>
      <c r="Z165" s="5">
        <v>2.9689999999999999</v>
      </c>
      <c r="AA165" s="5">
        <v>3.72</v>
      </c>
      <c r="AB165" s="5" t="s">
        <v>99</v>
      </c>
      <c r="AC165" s="5">
        <v>5.1879999999999997</v>
      </c>
      <c r="AD165" s="5">
        <v>18</v>
      </c>
      <c r="AE165" s="5">
        <v>-0.60199999999999998</v>
      </c>
      <c r="AF165" s="5">
        <v>13.01</v>
      </c>
      <c r="AG165" s="5">
        <v>-0.59499999999999997</v>
      </c>
      <c r="AI165" s="5" t="s">
        <v>99</v>
      </c>
      <c r="AK165" s="5">
        <v>0</v>
      </c>
      <c r="AL165" s="5"/>
      <c r="AN165" s="1">
        <f t="shared" si="94"/>
        <v>88.2</v>
      </c>
      <c r="AO165" s="1">
        <f t="shared" si="95"/>
        <v>66.7</v>
      </c>
      <c r="AP165" s="1">
        <f t="shared" si="96"/>
        <v>25.5</v>
      </c>
      <c r="AQ165" s="17">
        <f t="shared" si="113"/>
        <v>0.371</v>
      </c>
      <c r="AR165" s="22">
        <f t="shared" si="97"/>
        <v>1.0840000000000001</v>
      </c>
      <c r="AT165" s="19">
        <f t="shared" si="89"/>
        <v>43625</v>
      </c>
      <c r="AU165" s="20">
        <f t="shared" si="90"/>
        <v>160</v>
      </c>
      <c r="AV165" s="1">
        <f t="shared" si="98"/>
        <v>5.0999999999999996</v>
      </c>
      <c r="AW165" s="1">
        <f t="shared" si="99"/>
        <v>12.6</v>
      </c>
      <c r="AX165" s="1">
        <f t="shared" si="100"/>
        <v>-0.4</v>
      </c>
      <c r="AY165" s="1">
        <f t="shared" si="86"/>
        <v>66.7</v>
      </c>
      <c r="AZ165" s="1">
        <f t="shared" si="87"/>
        <v>25.5</v>
      </c>
      <c r="BA165" s="1">
        <f t="shared" si="101"/>
        <v>0</v>
      </c>
      <c r="BB165" s="5" t="str">
        <f t="shared" si="102"/>
        <v>NAN</v>
      </c>
      <c r="BC165" s="1">
        <f t="shared" si="91"/>
        <v>5.2</v>
      </c>
      <c r="BD165" s="1">
        <f t="shared" si="92"/>
        <v>18</v>
      </c>
      <c r="BE165" s="1">
        <f t="shared" si="93"/>
        <v>-0.6</v>
      </c>
      <c r="BF165" s="5">
        <f t="shared" si="103"/>
        <v>4.9000000000000004</v>
      </c>
      <c r="BG165" s="5">
        <f t="shared" si="104"/>
        <v>3.9</v>
      </c>
      <c r="BH165" s="5">
        <f t="shared" si="105"/>
        <v>3.9</v>
      </c>
      <c r="BI165" s="5" t="str">
        <f t="shared" si="106"/>
        <v>NAN</v>
      </c>
      <c r="BJ165" s="10">
        <f t="shared" si="107"/>
        <v>0.371</v>
      </c>
      <c r="BK165" s="10">
        <f t="shared" si="108"/>
        <v>1.0840000000000001</v>
      </c>
      <c r="BM165" s="1">
        <f t="shared" si="109"/>
        <v>5.4499999999999993</v>
      </c>
      <c r="BN165" s="1">
        <f t="shared" si="110"/>
        <v>-0.21599999999999997</v>
      </c>
    </row>
    <row r="166" spans="1:66" x14ac:dyDescent="0.2">
      <c r="A166" s="4">
        <f t="shared" si="111"/>
        <v>43626</v>
      </c>
      <c r="B166" s="1">
        <v>161</v>
      </c>
      <c r="C166" s="1">
        <v>12</v>
      </c>
      <c r="D166" s="5">
        <v>13.09</v>
      </c>
      <c r="E166" s="5">
        <v>11.08</v>
      </c>
      <c r="F166" s="5">
        <v>2.758</v>
      </c>
      <c r="G166" s="5">
        <v>6.524</v>
      </c>
      <c r="H166" s="5">
        <v>72.489999999999995</v>
      </c>
      <c r="I166" s="5">
        <v>6.5739999999999998</v>
      </c>
      <c r="J166" s="5">
        <v>6.4660000000000002</v>
      </c>
      <c r="K166" s="5">
        <v>5.6340000000000003</v>
      </c>
      <c r="L166" s="5">
        <v>4.7380000000000004</v>
      </c>
      <c r="M166" s="5">
        <v>3.8809999999999998</v>
      </c>
      <c r="N166" s="5">
        <v>9.69</v>
      </c>
      <c r="O166" s="5">
        <v>84.4</v>
      </c>
      <c r="P166" s="5">
        <v>13.94</v>
      </c>
      <c r="Q166" s="5">
        <v>12.29</v>
      </c>
      <c r="R166" s="5">
        <v>8.24</v>
      </c>
      <c r="S166" s="5">
        <v>5.4210000000000003</v>
      </c>
      <c r="T166" s="5">
        <v>4.01</v>
      </c>
      <c r="U166" s="5">
        <v>2.7789999999999999</v>
      </c>
      <c r="V166" s="5">
        <v>64.94</v>
      </c>
      <c r="W166" s="5">
        <v>1.9950000000000001</v>
      </c>
      <c r="X166" s="5">
        <v>2.0750000000000002</v>
      </c>
      <c r="Y166" s="5">
        <v>3.3719999999999999</v>
      </c>
      <c r="Z166" s="5">
        <v>4.1760000000000002</v>
      </c>
      <c r="AA166" s="5">
        <v>3.77</v>
      </c>
      <c r="AB166" s="5" t="s">
        <v>99</v>
      </c>
      <c r="AC166" s="5">
        <v>6.5220000000000002</v>
      </c>
      <c r="AD166" s="5">
        <v>17.37</v>
      </c>
      <c r="AE166" s="5">
        <v>1.3819999999999999</v>
      </c>
      <c r="AF166" s="5">
        <v>10.29</v>
      </c>
      <c r="AG166" s="5">
        <v>2.5350000000000001</v>
      </c>
      <c r="AI166" s="5" t="s">
        <v>99</v>
      </c>
      <c r="AK166" s="5">
        <v>0</v>
      </c>
      <c r="AL166" s="5"/>
      <c r="AN166" s="1">
        <f t="shared" si="94"/>
        <v>84.4</v>
      </c>
      <c r="AO166" s="1">
        <f t="shared" si="95"/>
        <v>72.5</v>
      </c>
      <c r="AP166" s="1">
        <f t="shared" si="96"/>
        <v>64.900000000000006</v>
      </c>
      <c r="AQ166" s="17">
        <f t="shared" si="113"/>
        <v>0.78</v>
      </c>
      <c r="AR166" s="22">
        <f t="shared" si="97"/>
        <v>0.42199999999999999</v>
      </c>
      <c r="AT166" s="19">
        <f t="shared" si="89"/>
        <v>43626</v>
      </c>
      <c r="AU166" s="20">
        <f t="shared" si="90"/>
        <v>161</v>
      </c>
      <c r="AV166" s="1">
        <f t="shared" si="98"/>
        <v>6.5</v>
      </c>
      <c r="AW166" s="1">
        <f t="shared" si="99"/>
        <v>9.6999999999999993</v>
      </c>
      <c r="AX166" s="1">
        <f t="shared" si="100"/>
        <v>2.8</v>
      </c>
      <c r="AY166" s="1">
        <f t="shared" si="86"/>
        <v>72.5</v>
      </c>
      <c r="AZ166" s="1">
        <f t="shared" si="87"/>
        <v>64.900000000000006</v>
      </c>
      <c r="BA166" s="1">
        <f t="shared" si="101"/>
        <v>0</v>
      </c>
      <c r="BB166" s="5" t="str">
        <f t="shared" si="102"/>
        <v>NAN</v>
      </c>
      <c r="BC166" s="1">
        <f t="shared" si="91"/>
        <v>6.5</v>
      </c>
      <c r="BD166" s="1">
        <f t="shared" si="92"/>
        <v>17.399999999999999</v>
      </c>
      <c r="BE166" s="1">
        <f t="shared" si="93"/>
        <v>1.4</v>
      </c>
      <c r="BF166" s="5">
        <f t="shared" si="103"/>
        <v>5.6</v>
      </c>
      <c r="BG166" s="5">
        <f t="shared" si="104"/>
        <v>4.7</v>
      </c>
      <c r="BH166" s="5">
        <f t="shared" si="105"/>
        <v>3.9</v>
      </c>
      <c r="BI166" s="5" t="str">
        <f t="shared" si="106"/>
        <v>NAN</v>
      </c>
      <c r="BJ166" s="10">
        <f t="shared" si="107"/>
        <v>0.78</v>
      </c>
      <c r="BK166" s="10">
        <f t="shared" si="108"/>
        <v>0.42199999999999999</v>
      </c>
      <c r="BM166" s="1">
        <f t="shared" si="109"/>
        <v>7.6800000000000015</v>
      </c>
      <c r="BN166" s="1">
        <f t="shared" si="110"/>
        <v>-1.397</v>
      </c>
    </row>
    <row r="167" spans="1:66" x14ac:dyDescent="0.2">
      <c r="A167" s="4">
        <f t="shared" si="111"/>
        <v>43627</v>
      </c>
      <c r="B167" s="1">
        <v>162</v>
      </c>
      <c r="C167" s="1">
        <v>12</v>
      </c>
      <c r="D167" s="5">
        <v>13.04</v>
      </c>
      <c r="E167" s="5">
        <v>20.34</v>
      </c>
      <c r="F167" s="5">
        <v>5.8959999999999999</v>
      </c>
      <c r="G167" s="5">
        <v>10.97</v>
      </c>
      <c r="H167" s="5">
        <v>68.36</v>
      </c>
      <c r="I167" s="5">
        <v>11.42</v>
      </c>
      <c r="J167" s="5">
        <v>11.12</v>
      </c>
      <c r="K167" s="5">
        <v>8.65</v>
      </c>
      <c r="L167" s="5">
        <v>5.9359999999999999</v>
      </c>
      <c r="M167" s="5">
        <v>3.9870000000000001</v>
      </c>
      <c r="N167" s="5">
        <v>16.38</v>
      </c>
      <c r="O167" s="5">
        <v>86.7</v>
      </c>
      <c r="P167" s="5">
        <v>26.11</v>
      </c>
      <c r="Q167" s="5">
        <v>22.28</v>
      </c>
      <c r="R167" s="5">
        <v>16.420000000000002</v>
      </c>
      <c r="S167" s="5">
        <v>7.41</v>
      </c>
      <c r="T167" s="5">
        <v>4.1609999999999996</v>
      </c>
      <c r="U167" s="5">
        <v>5.92</v>
      </c>
      <c r="V167" s="5">
        <v>46.22</v>
      </c>
      <c r="W167" s="5">
        <v>5.1849999999999996</v>
      </c>
      <c r="X167" s="5">
        <v>5.4020000000000001</v>
      </c>
      <c r="Y167" s="5">
        <v>5.3019999999999996</v>
      </c>
      <c r="Z167" s="5">
        <v>4.9870000000000001</v>
      </c>
      <c r="AA167" s="5">
        <v>3.6560000000000001</v>
      </c>
      <c r="AB167" s="5" t="s">
        <v>99</v>
      </c>
      <c r="AC167" s="5">
        <v>11.52</v>
      </c>
      <c r="AD167" s="5">
        <v>29.14</v>
      </c>
      <c r="AE167" s="5">
        <v>4.8680000000000003</v>
      </c>
      <c r="AF167" s="5">
        <v>17.170000000000002</v>
      </c>
      <c r="AG167" s="5">
        <v>5.5579999999999998</v>
      </c>
      <c r="AI167" s="5" t="s">
        <v>99</v>
      </c>
      <c r="AK167" s="5">
        <v>0</v>
      </c>
      <c r="AL167" s="5"/>
      <c r="AN167" s="1">
        <f t="shared" si="94"/>
        <v>86.7</v>
      </c>
      <c r="AO167" s="1">
        <f t="shared" si="95"/>
        <v>68.400000000000006</v>
      </c>
      <c r="AP167" s="1">
        <f t="shared" si="96"/>
        <v>46.2</v>
      </c>
      <c r="AQ167" s="17">
        <f t="shared" si="113"/>
        <v>0.86</v>
      </c>
      <c r="AR167" s="22">
        <f t="shared" si="97"/>
        <v>1.0009999999999999</v>
      </c>
      <c r="AT167" s="19">
        <f t="shared" si="89"/>
        <v>43627</v>
      </c>
      <c r="AU167" s="20">
        <f t="shared" si="90"/>
        <v>162</v>
      </c>
      <c r="AV167" s="1">
        <f t="shared" si="98"/>
        <v>11</v>
      </c>
      <c r="AW167" s="1">
        <f t="shared" si="99"/>
        <v>16.399999999999999</v>
      </c>
      <c r="AX167" s="1">
        <f t="shared" si="100"/>
        <v>5.9</v>
      </c>
      <c r="AY167" s="1">
        <f t="shared" si="86"/>
        <v>68.400000000000006</v>
      </c>
      <c r="AZ167" s="1">
        <f t="shared" si="87"/>
        <v>46.2</v>
      </c>
      <c r="BA167" s="1">
        <f t="shared" si="101"/>
        <v>0</v>
      </c>
      <c r="BB167" s="5" t="str">
        <f t="shared" si="102"/>
        <v>NAN</v>
      </c>
      <c r="BC167" s="1">
        <f t="shared" si="91"/>
        <v>11.5</v>
      </c>
      <c r="BD167" s="1">
        <f t="shared" si="92"/>
        <v>29.1</v>
      </c>
      <c r="BE167" s="1">
        <f t="shared" si="93"/>
        <v>4.9000000000000004</v>
      </c>
      <c r="BF167" s="5">
        <f t="shared" si="103"/>
        <v>8.6999999999999993</v>
      </c>
      <c r="BG167" s="5">
        <f t="shared" si="104"/>
        <v>5.9</v>
      </c>
      <c r="BH167" s="5">
        <f t="shared" si="105"/>
        <v>4</v>
      </c>
      <c r="BI167" s="5" t="str">
        <f t="shared" si="106"/>
        <v>NAN</v>
      </c>
      <c r="BJ167" s="10">
        <f t="shared" si="107"/>
        <v>0.86</v>
      </c>
      <c r="BK167" s="10">
        <f t="shared" si="108"/>
        <v>1.0009999999999999</v>
      </c>
      <c r="BM167" s="1">
        <f t="shared" si="109"/>
        <v>12.760000000000002</v>
      </c>
      <c r="BN167" s="1">
        <f t="shared" si="110"/>
        <v>-1.0519999999999996</v>
      </c>
    </row>
    <row r="168" spans="1:66" x14ac:dyDescent="0.2">
      <c r="A168" s="4">
        <f t="shared" si="111"/>
        <v>43628</v>
      </c>
      <c r="B168" s="1">
        <v>163</v>
      </c>
      <c r="C168" s="1">
        <v>12</v>
      </c>
      <c r="D168" s="5">
        <v>13.01</v>
      </c>
      <c r="E168" s="5">
        <v>23.12</v>
      </c>
      <c r="F168" s="5">
        <v>8.2799999999999994</v>
      </c>
      <c r="G168" s="5">
        <v>14.74</v>
      </c>
      <c r="H168" s="5">
        <v>55.09</v>
      </c>
      <c r="I168" s="5">
        <v>14.44</v>
      </c>
      <c r="J168" s="5">
        <v>14.33</v>
      </c>
      <c r="K168" s="5">
        <v>10.29</v>
      </c>
      <c r="L168" s="5">
        <v>7.4089999999999998</v>
      </c>
      <c r="M168" s="5">
        <v>4.3040000000000003</v>
      </c>
      <c r="N168" s="5">
        <v>20.63</v>
      </c>
      <c r="O168" s="5">
        <v>77.13</v>
      </c>
      <c r="P168" s="5">
        <v>29.12</v>
      </c>
      <c r="Q168" s="5">
        <v>25.33</v>
      </c>
      <c r="R168" s="5">
        <v>16.38</v>
      </c>
      <c r="S168" s="5">
        <v>8.6300000000000008</v>
      </c>
      <c r="T168" s="5">
        <v>4.59</v>
      </c>
      <c r="U168" s="5">
        <v>8.65</v>
      </c>
      <c r="V168" s="5">
        <v>29.3</v>
      </c>
      <c r="W168" s="5">
        <v>7.0830000000000002</v>
      </c>
      <c r="X168" s="5">
        <v>7.3869999999999996</v>
      </c>
      <c r="Y168" s="5">
        <v>7.02</v>
      </c>
      <c r="Z168" s="5">
        <v>6.4580000000000002</v>
      </c>
      <c r="AA168" s="5">
        <v>4.0590000000000002</v>
      </c>
      <c r="AB168" s="5" t="s">
        <v>99</v>
      </c>
      <c r="AC168" s="5">
        <v>14.32</v>
      </c>
      <c r="AD168" s="5">
        <v>32.619999999999997</v>
      </c>
      <c r="AE168" s="5">
        <v>6.3949999999999996</v>
      </c>
      <c r="AF168" s="5">
        <v>22.65</v>
      </c>
      <c r="AG168" s="5">
        <v>8.25</v>
      </c>
      <c r="AI168" s="5" t="s">
        <v>99</v>
      </c>
      <c r="AK168" s="5">
        <v>0</v>
      </c>
      <c r="AL168" s="5"/>
      <c r="AN168" s="1">
        <f t="shared" si="94"/>
        <v>77.099999999999994</v>
      </c>
      <c r="AO168" s="1">
        <f t="shared" si="95"/>
        <v>55.1</v>
      </c>
      <c r="AP168" s="1">
        <f t="shared" si="96"/>
        <v>29.3</v>
      </c>
      <c r="AQ168" s="17">
        <f t="shared" si="113"/>
        <v>0.71199999999999997</v>
      </c>
      <c r="AR168" s="22">
        <f t="shared" si="97"/>
        <v>1.718</v>
      </c>
      <c r="AT168" s="19">
        <f t="shared" si="89"/>
        <v>43628</v>
      </c>
      <c r="AU168" s="20">
        <f t="shared" si="90"/>
        <v>163</v>
      </c>
      <c r="AV168" s="1">
        <f t="shared" si="98"/>
        <v>14.7</v>
      </c>
      <c r="AW168" s="1">
        <f t="shared" si="99"/>
        <v>20.6</v>
      </c>
      <c r="AX168" s="1">
        <f t="shared" si="100"/>
        <v>8.6999999999999993</v>
      </c>
      <c r="AY168" s="1">
        <f t="shared" si="86"/>
        <v>55.1</v>
      </c>
      <c r="AZ168" s="1">
        <f t="shared" si="87"/>
        <v>29.3</v>
      </c>
      <c r="BA168" s="1">
        <f t="shared" si="101"/>
        <v>0</v>
      </c>
      <c r="BB168" s="5" t="str">
        <f t="shared" si="102"/>
        <v>NAN</v>
      </c>
      <c r="BC168" s="1">
        <f t="shared" si="91"/>
        <v>14.3</v>
      </c>
      <c r="BD168" s="1">
        <f t="shared" si="92"/>
        <v>32.6</v>
      </c>
      <c r="BE168" s="1">
        <f t="shared" si="93"/>
        <v>6.4</v>
      </c>
      <c r="BF168" s="5">
        <f t="shared" si="103"/>
        <v>10.3</v>
      </c>
      <c r="BG168" s="5">
        <f t="shared" si="104"/>
        <v>7.4</v>
      </c>
      <c r="BH168" s="5">
        <f t="shared" si="105"/>
        <v>4.3</v>
      </c>
      <c r="BI168" s="5" t="str">
        <f t="shared" si="106"/>
        <v>NAN</v>
      </c>
      <c r="BJ168" s="10">
        <f t="shared" si="107"/>
        <v>0.71199999999999997</v>
      </c>
      <c r="BK168" s="10">
        <f t="shared" si="108"/>
        <v>1.718</v>
      </c>
      <c r="BM168" s="1">
        <f t="shared" si="109"/>
        <v>11.989999999999998</v>
      </c>
      <c r="BN168" s="1">
        <f t="shared" si="110"/>
        <v>-2.2550000000000008</v>
      </c>
    </row>
    <row r="169" spans="1:66" x14ac:dyDescent="0.2">
      <c r="A169" s="4">
        <f t="shared" si="111"/>
        <v>43629</v>
      </c>
      <c r="B169" s="1">
        <v>164</v>
      </c>
      <c r="C169" s="1">
        <v>12</v>
      </c>
      <c r="D169" s="5">
        <v>13.01</v>
      </c>
      <c r="E169" s="5">
        <v>21.29</v>
      </c>
      <c r="F169" s="5">
        <v>9.59</v>
      </c>
      <c r="G169" s="5">
        <v>14.49</v>
      </c>
      <c r="H169" s="5">
        <v>48.1</v>
      </c>
      <c r="I169" s="5">
        <v>14.54</v>
      </c>
      <c r="J169" s="5">
        <v>14.43</v>
      </c>
      <c r="K169" s="5">
        <v>10.53</v>
      </c>
      <c r="L169" s="5">
        <v>8.35</v>
      </c>
      <c r="M169" s="5">
        <v>4.7510000000000003</v>
      </c>
      <c r="N169" s="5">
        <v>20.23</v>
      </c>
      <c r="O169" s="5">
        <v>64.27</v>
      </c>
      <c r="P169" s="5">
        <v>31.04</v>
      </c>
      <c r="Q169" s="5">
        <v>26.59</v>
      </c>
      <c r="R169" s="5">
        <v>14.59</v>
      </c>
      <c r="S169" s="5">
        <v>8.9700000000000006</v>
      </c>
      <c r="T169" s="5">
        <v>5.05</v>
      </c>
      <c r="U169" s="5">
        <v>8.61</v>
      </c>
      <c r="V169" s="5">
        <v>32.979999999999997</v>
      </c>
      <c r="W169" s="5">
        <v>7.8819999999999997</v>
      </c>
      <c r="X169" s="5">
        <v>8.0399999999999991</v>
      </c>
      <c r="Y169" s="5">
        <v>8.26</v>
      </c>
      <c r="Z169" s="5">
        <v>7.8319999999999999</v>
      </c>
      <c r="AA169" s="5">
        <v>4.444</v>
      </c>
      <c r="AB169" s="5" t="s">
        <v>99</v>
      </c>
      <c r="AC169" s="5">
        <v>14.09</v>
      </c>
      <c r="AD169" s="5">
        <v>35.29</v>
      </c>
      <c r="AE169" s="5">
        <v>6.7859999999999996</v>
      </c>
      <c r="AF169" s="5">
        <v>21.18</v>
      </c>
      <c r="AG169" s="5">
        <v>8.58</v>
      </c>
      <c r="AI169" s="5" t="s">
        <v>99</v>
      </c>
      <c r="AK169" s="5">
        <v>0</v>
      </c>
      <c r="AL169" s="5"/>
      <c r="AN169" s="1">
        <f t="shared" si="94"/>
        <v>64.3</v>
      </c>
      <c r="AO169" s="1">
        <f t="shared" si="95"/>
        <v>48.1</v>
      </c>
      <c r="AP169" s="1">
        <f t="shared" si="96"/>
        <v>33</v>
      </c>
      <c r="AQ169" s="17">
        <f t="shared" si="113"/>
        <v>0.78200000000000003</v>
      </c>
      <c r="AR169" s="22">
        <f t="shared" si="97"/>
        <v>1.5880000000000001</v>
      </c>
      <c r="AT169" s="19">
        <f t="shared" si="89"/>
        <v>43629</v>
      </c>
      <c r="AU169" s="20">
        <f t="shared" si="90"/>
        <v>164</v>
      </c>
      <c r="AV169" s="1">
        <f t="shared" si="98"/>
        <v>14.5</v>
      </c>
      <c r="AW169" s="1">
        <f t="shared" si="99"/>
        <v>20.2</v>
      </c>
      <c r="AX169" s="1">
        <f t="shared" si="100"/>
        <v>8.6</v>
      </c>
      <c r="AY169" s="1">
        <f t="shared" si="86"/>
        <v>48.1</v>
      </c>
      <c r="AZ169" s="1">
        <f t="shared" si="87"/>
        <v>33</v>
      </c>
      <c r="BA169" s="1">
        <f t="shared" si="101"/>
        <v>0</v>
      </c>
      <c r="BB169" s="5" t="str">
        <f t="shared" si="102"/>
        <v>NAN</v>
      </c>
      <c r="BC169" s="1">
        <f t="shared" si="91"/>
        <v>14.1</v>
      </c>
      <c r="BD169" s="1">
        <f t="shared" si="92"/>
        <v>35.299999999999997</v>
      </c>
      <c r="BE169" s="1">
        <f t="shared" si="93"/>
        <v>6.8</v>
      </c>
      <c r="BF169" s="5">
        <f t="shared" si="103"/>
        <v>10.5</v>
      </c>
      <c r="BG169" s="5">
        <f t="shared" si="104"/>
        <v>8.4</v>
      </c>
      <c r="BH169" s="5">
        <f t="shared" si="105"/>
        <v>4.8</v>
      </c>
      <c r="BI169" s="5" t="str">
        <f t="shared" si="106"/>
        <v>NAN</v>
      </c>
      <c r="BJ169" s="10">
        <f t="shared" si="107"/>
        <v>0.78200000000000003</v>
      </c>
      <c r="BK169" s="10">
        <f t="shared" si="108"/>
        <v>1.5880000000000001</v>
      </c>
      <c r="BM169" s="1">
        <f t="shared" si="109"/>
        <v>15.059999999999999</v>
      </c>
      <c r="BN169" s="1">
        <f t="shared" si="110"/>
        <v>-1.8239999999999998</v>
      </c>
    </row>
    <row r="170" spans="1:66" x14ac:dyDescent="0.2">
      <c r="A170" s="4">
        <f t="shared" si="111"/>
        <v>43630</v>
      </c>
      <c r="B170" s="1">
        <v>165</v>
      </c>
      <c r="C170" s="1">
        <v>12</v>
      </c>
      <c r="D170" s="5">
        <v>13.02</v>
      </c>
      <c r="E170" s="5">
        <v>20.72</v>
      </c>
      <c r="F170" s="5">
        <v>6.9630000000000001</v>
      </c>
      <c r="G170" s="5">
        <v>11.58</v>
      </c>
      <c r="H170" s="5">
        <v>53.29</v>
      </c>
      <c r="I170" s="5">
        <v>11.96</v>
      </c>
      <c r="J170" s="5">
        <v>11.75</v>
      </c>
      <c r="K170" s="5">
        <v>9.83</v>
      </c>
      <c r="L170" s="5">
        <v>8.0500000000000007</v>
      </c>
      <c r="M170" s="5">
        <v>5.109</v>
      </c>
      <c r="N170" s="5">
        <v>16.82</v>
      </c>
      <c r="O170" s="5">
        <v>70.709999999999994</v>
      </c>
      <c r="P170" s="5">
        <v>28.36</v>
      </c>
      <c r="Q170" s="5">
        <v>24.2</v>
      </c>
      <c r="R170" s="5">
        <v>17.21</v>
      </c>
      <c r="S170" s="5">
        <v>8.8699999999999992</v>
      </c>
      <c r="T170" s="5">
        <v>5.2869999999999999</v>
      </c>
      <c r="U170" s="5">
        <v>6.9930000000000003</v>
      </c>
      <c r="V170" s="5">
        <v>33.46</v>
      </c>
      <c r="W170" s="5">
        <v>6.1050000000000004</v>
      </c>
      <c r="X170" s="5">
        <v>6.2629999999999999</v>
      </c>
      <c r="Y170" s="5">
        <v>6.9610000000000003</v>
      </c>
      <c r="Z170" s="5">
        <v>7.1550000000000002</v>
      </c>
      <c r="AA170" s="5">
        <v>4.8860000000000001</v>
      </c>
      <c r="AB170" s="5" t="s">
        <v>99</v>
      </c>
      <c r="AC170" s="5">
        <v>12.55</v>
      </c>
      <c r="AD170" s="5">
        <v>34.619999999999997</v>
      </c>
      <c r="AE170" s="5">
        <v>5.4269999999999996</v>
      </c>
      <c r="AF170" s="5">
        <v>18.760000000000002</v>
      </c>
      <c r="AG170" s="5">
        <v>6.6509999999999998</v>
      </c>
      <c r="AI170" s="5" t="s">
        <v>99</v>
      </c>
      <c r="AK170" s="5">
        <v>0</v>
      </c>
      <c r="AL170" s="5"/>
      <c r="AN170" s="1">
        <f t="shared" si="94"/>
        <v>70.7</v>
      </c>
      <c r="AO170" s="1">
        <f t="shared" si="95"/>
        <v>53.3</v>
      </c>
      <c r="AP170" s="1">
        <f t="shared" si="96"/>
        <v>33.5</v>
      </c>
      <c r="AQ170" s="17">
        <f t="shared" si="113"/>
        <v>0.64200000000000002</v>
      </c>
      <c r="AR170" s="22">
        <f t="shared" si="97"/>
        <v>1.274</v>
      </c>
      <c r="AT170" s="19">
        <f t="shared" si="89"/>
        <v>43630</v>
      </c>
      <c r="AU170" s="20">
        <f t="shared" si="90"/>
        <v>165</v>
      </c>
      <c r="AV170" s="1">
        <f t="shared" si="98"/>
        <v>11.6</v>
      </c>
      <c r="AW170" s="1">
        <f t="shared" si="99"/>
        <v>16.8</v>
      </c>
      <c r="AX170" s="1">
        <f t="shared" si="100"/>
        <v>7</v>
      </c>
      <c r="AY170" s="1">
        <f t="shared" si="86"/>
        <v>53.3</v>
      </c>
      <c r="AZ170" s="1">
        <f t="shared" si="87"/>
        <v>33.5</v>
      </c>
      <c r="BA170" s="1">
        <f t="shared" si="101"/>
        <v>0</v>
      </c>
      <c r="BB170" s="5" t="str">
        <f t="shared" si="102"/>
        <v>NAN</v>
      </c>
      <c r="BC170" s="1">
        <f t="shared" si="91"/>
        <v>12.6</v>
      </c>
      <c r="BD170" s="1">
        <f t="shared" si="92"/>
        <v>34.6</v>
      </c>
      <c r="BE170" s="1">
        <f t="shared" si="93"/>
        <v>5.4</v>
      </c>
      <c r="BF170" s="5">
        <f t="shared" si="103"/>
        <v>9.8000000000000007</v>
      </c>
      <c r="BG170" s="5">
        <f t="shared" si="104"/>
        <v>8.1</v>
      </c>
      <c r="BH170" s="5">
        <f t="shared" si="105"/>
        <v>5.0999999999999996</v>
      </c>
      <c r="BI170" s="5" t="str">
        <f t="shared" si="106"/>
        <v>NAN</v>
      </c>
      <c r="BJ170" s="10">
        <f t="shared" si="107"/>
        <v>0.64200000000000002</v>
      </c>
      <c r="BK170" s="10">
        <f t="shared" si="108"/>
        <v>1.274</v>
      </c>
      <c r="BM170" s="1">
        <f t="shared" si="109"/>
        <v>17.799999999999997</v>
      </c>
      <c r="BN170" s="1">
        <f t="shared" si="110"/>
        <v>-1.5660000000000007</v>
      </c>
    </row>
    <row r="171" spans="1:66" x14ac:dyDescent="0.2">
      <c r="A171" s="4">
        <f t="shared" si="111"/>
        <v>43631</v>
      </c>
      <c r="B171" s="1">
        <v>166</v>
      </c>
      <c r="C171" s="1">
        <v>12</v>
      </c>
      <c r="D171" s="5">
        <v>13.01</v>
      </c>
      <c r="E171" s="5">
        <v>23.15</v>
      </c>
      <c r="F171" s="5">
        <v>9.1</v>
      </c>
      <c r="G171" s="5">
        <v>13.19</v>
      </c>
      <c r="H171" s="5">
        <v>46.59</v>
      </c>
      <c r="I171" s="5">
        <v>13.43</v>
      </c>
      <c r="J171" s="5">
        <v>13.22</v>
      </c>
      <c r="K171" s="5">
        <v>10.48</v>
      </c>
      <c r="L171" s="5">
        <v>8.4</v>
      </c>
      <c r="M171" s="5">
        <v>5.319</v>
      </c>
      <c r="N171" s="5">
        <v>18.41</v>
      </c>
      <c r="O171" s="5">
        <v>69.319999999999993</v>
      </c>
      <c r="P171" s="5">
        <v>28.99</v>
      </c>
      <c r="Q171" s="5">
        <v>24.43</v>
      </c>
      <c r="R171" s="5">
        <v>17.77</v>
      </c>
      <c r="S171" s="5">
        <v>9.2899999999999991</v>
      </c>
      <c r="T171" s="5">
        <v>5.5069999999999997</v>
      </c>
      <c r="U171" s="5">
        <v>9.16</v>
      </c>
      <c r="V171" s="5">
        <v>24.05</v>
      </c>
      <c r="W171" s="5">
        <v>8.15</v>
      </c>
      <c r="X171" s="5">
        <v>8.43</v>
      </c>
      <c r="Y171" s="5">
        <v>8.11</v>
      </c>
      <c r="Z171" s="5">
        <v>7.6040000000000001</v>
      </c>
      <c r="AA171" s="5">
        <v>4.9530000000000003</v>
      </c>
      <c r="AB171" s="5" t="s">
        <v>99</v>
      </c>
      <c r="AC171" s="5">
        <v>13.98</v>
      </c>
      <c r="AD171" s="5">
        <v>35.869999999999997</v>
      </c>
      <c r="AE171" s="5">
        <v>7.5940000000000003</v>
      </c>
      <c r="AF171" s="5">
        <v>19.920000000000002</v>
      </c>
      <c r="AG171" s="5">
        <v>8.9</v>
      </c>
      <c r="AI171" s="5" t="s">
        <v>99</v>
      </c>
      <c r="AK171" s="5">
        <v>0</v>
      </c>
      <c r="AL171" s="5"/>
      <c r="AN171" s="1">
        <f t="shared" si="94"/>
        <v>69.3</v>
      </c>
      <c r="AO171" s="1">
        <f t="shared" si="95"/>
        <v>46.6</v>
      </c>
      <c r="AP171" s="1">
        <f t="shared" si="96"/>
        <v>24.1</v>
      </c>
      <c r="AQ171" s="17">
        <f t="shared" si="113"/>
        <v>0.51</v>
      </c>
      <c r="AR171" s="22">
        <f t="shared" si="97"/>
        <v>1.6060000000000001</v>
      </c>
      <c r="AT171" s="19">
        <f t="shared" si="89"/>
        <v>43631</v>
      </c>
      <c r="AU171" s="20">
        <f t="shared" si="90"/>
        <v>166</v>
      </c>
      <c r="AV171" s="1">
        <f t="shared" si="98"/>
        <v>13.2</v>
      </c>
      <c r="AW171" s="1">
        <f t="shared" si="99"/>
        <v>18.399999999999999</v>
      </c>
      <c r="AX171" s="1">
        <f t="shared" si="100"/>
        <v>9.1999999999999993</v>
      </c>
      <c r="AY171" s="1">
        <f t="shared" si="86"/>
        <v>46.6</v>
      </c>
      <c r="AZ171" s="1">
        <f t="shared" si="87"/>
        <v>24.1</v>
      </c>
      <c r="BA171" s="1">
        <f t="shared" si="101"/>
        <v>0</v>
      </c>
      <c r="BB171" s="5" t="str">
        <f t="shared" si="102"/>
        <v>NAN</v>
      </c>
      <c r="BC171" s="1">
        <f t="shared" si="91"/>
        <v>14</v>
      </c>
      <c r="BD171" s="1">
        <f t="shared" si="92"/>
        <v>35.9</v>
      </c>
      <c r="BE171" s="1">
        <f t="shared" si="93"/>
        <v>7.6</v>
      </c>
      <c r="BF171" s="5">
        <f t="shared" si="103"/>
        <v>10.5</v>
      </c>
      <c r="BG171" s="5">
        <f t="shared" si="104"/>
        <v>8.4</v>
      </c>
      <c r="BH171" s="5">
        <f t="shared" si="105"/>
        <v>5.3</v>
      </c>
      <c r="BI171" s="5" t="str">
        <f t="shared" si="106"/>
        <v>NAN</v>
      </c>
      <c r="BJ171" s="10">
        <f t="shared" si="107"/>
        <v>0.51</v>
      </c>
      <c r="BK171" s="10">
        <f t="shared" si="108"/>
        <v>1.6060000000000001</v>
      </c>
      <c r="BM171" s="1">
        <f t="shared" si="109"/>
        <v>17.459999999999997</v>
      </c>
      <c r="BN171" s="1">
        <f t="shared" si="110"/>
        <v>-1.5659999999999998</v>
      </c>
    </row>
    <row r="172" spans="1:66" x14ac:dyDescent="0.2">
      <c r="A172" s="4">
        <f t="shared" si="111"/>
        <v>43632</v>
      </c>
      <c r="B172" s="1">
        <v>167</v>
      </c>
      <c r="C172" s="1">
        <v>12</v>
      </c>
      <c r="D172" s="5">
        <v>12.92</v>
      </c>
      <c r="E172" s="5">
        <v>18.2</v>
      </c>
      <c r="F172" s="5">
        <v>10.039999999999999</v>
      </c>
      <c r="G172" s="5">
        <v>13.34</v>
      </c>
      <c r="H172" s="5">
        <v>51.73</v>
      </c>
      <c r="I172" s="5">
        <v>12.83</v>
      </c>
      <c r="J172" s="5">
        <v>12.87</v>
      </c>
      <c r="K172" s="5">
        <v>9.8800000000000008</v>
      </c>
      <c r="L172" s="5">
        <v>8.4600000000000009</v>
      </c>
      <c r="M172" s="5">
        <v>5.55</v>
      </c>
      <c r="N172" s="5">
        <v>18.25</v>
      </c>
      <c r="O172" s="5">
        <v>70.52</v>
      </c>
      <c r="P172" s="5">
        <v>21.4</v>
      </c>
      <c r="Q172" s="5">
        <v>21.03</v>
      </c>
      <c r="R172" s="5">
        <v>11.74</v>
      </c>
      <c r="S172" s="5">
        <v>8.94</v>
      </c>
      <c r="T172" s="5">
        <v>5.7030000000000003</v>
      </c>
      <c r="U172" s="5">
        <v>10.47</v>
      </c>
      <c r="V172" s="5">
        <v>31.23</v>
      </c>
      <c r="W172" s="5">
        <v>8.86</v>
      </c>
      <c r="X172" s="5">
        <v>9.24</v>
      </c>
      <c r="Y172" s="5">
        <v>8.26</v>
      </c>
      <c r="Z172" s="5">
        <v>7.9740000000000002</v>
      </c>
      <c r="AA172" s="5">
        <v>5.3769999999999998</v>
      </c>
      <c r="AB172" s="5" t="s">
        <v>99</v>
      </c>
      <c r="AC172" s="5">
        <v>12.75</v>
      </c>
      <c r="AD172" s="5">
        <v>28.32</v>
      </c>
      <c r="AE172" s="5">
        <v>8.11</v>
      </c>
      <c r="AF172" s="5">
        <v>19.12</v>
      </c>
      <c r="AG172" s="5">
        <v>10.039999999999999</v>
      </c>
      <c r="AI172" s="5" t="s">
        <v>99</v>
      </c>
      <c r="AK172" s="5">
        <v>0</v>
      </c>
      <c r="AL172" s="5"/>
      <c r="AN172" s="1">
        <f t="shared" si="94"/>
        <v>70.5</v>
      </c>
      <c r="AO172" s="1">
        <f t="shared" si="95"/>
        <v>51.7</v>
      </c>
      <c r="AP172" s="1">
        <f t="shared" si="96"/>
        <v>31.2</v>
      </c>
      <c r="AQ172" s="17">
        <f t="shared" si="113"/>
        <v>0.65400000000000003</v>
      </c>
      <c r="AR172" s="22">
        <f t="shared" si="97"/>
        <v>1.4419999999999999</v>
      </c>
      <c r="AT172" s="19">
        <f t="shared" si="89"/>
        <v>43632</v>
      </c>
      <c r="AU172" s="20">
        <f t="shared" si="90"/>
        <v>167</v>
      </c>
      <c r="AV172" s="1">
        <f t="shared" si="98"/>
        <v>13.3</v>
      </c>
      <c r="AW172" s="1">
        <f t="shared" si="99"/>
        <v>18.3</v>
      </c>
      <c r="AX172" s="1">
        <f t="shared" si="100"/>
        <v>10.5</v>
      </c>
      <c r="AY172" s="1">
        <f t="shared" si="86"/>
        <v>51.7</v>
      </c>
      <c r="AZ172" s="1">
        <f t="shared" si="87"/>
        <v>31.2</v>
      </c>
      <c r="BA172" s="1">
        <f t="shared" si="101"/>
        <v>0</v>
      </c>
      <c r="BB172" s="5" t="str">
        <f t="shared" si="102"/>
        <v>NAN</v>
      </c>
      <c r="BC172" s="1">
        <f t="shared" si="91"/>
        <v>12.8</v>
      </c>
      <c r="BD172" s="1">
        <f t="shared" si="92"/>
        <v>28.3</v>
      </c>
      <c r="BE172" s="1">
        <f t="shared" si="93"/>
        <v>8.1</v>
      </c>
      <c r="BF172" s="5">
        <f t="shared" si="103"/>
        <v>9.9</v>
      </c>
      <c r="BG172" s="5">
        <f t="shared" si="104"/>
        <v>8.5</v>
      </c>
      <c r="BH172" s="5">
        <f t="shared" si="105"/>
        <v>5.6</v>
      </c>
      <c r="BI172" s="5" t="str">
        <f t="shared" si="106"/>
        <v>NAN</v>
      </c>
      <c r="BJ172" s="10">
        <f t="shared" si="107"/>
        <v>0.65400000000000003</v>
      </c>
      <c r="BK172" s="10">
        <f t="shared" si="108"/>
        <v>1.4419999999999999</v>
      </c>
      <c r="BM172" s="1">
        <f t="shared" si="109"/>
        <v>10.07</v>
      </c>
      <c r="BN172" s="1">
        <f t="shared" si="110"/>
        <v>-2.3600000000000012</v>
      </c>
    </row>
    <row r="173" spans="1:66" x14ac:dyDescent="0.2">
      <c r="A173" s="4">
        <f t="shared" si="111"/>
        <v>43633</v>
      </c>
      <c r="B173" s="1">
        <v>168</v>
      </c>
      <c r="C173" s="1">
        <v>12</v>
      </c>
      <c r="D173" s="5">
        <v>13.01</v>
      </c>
      <c r="E173" s="5">
        <v>23.78</v>
      </c>
      <c r="F173" s="5">
        <v>8.0399999999999991</v>
      </c>
      <c r="G173" s="5">
        <v>13.03</v>
      </c>
      <c r="H173" s="5">
        <v>55.63</v>
      </c>
      <c r="I173" s="5">
        <v>13.44</v>
      </c>
      <c r="J173" s="5">
        <v>13.18</v>
      </c>
      <c r="K173" s="5">
        <v>10.68</v>
      </c>
      <c r="L173" s="5">
        <v>8.61</v>
      </c>
      <c r="M173" s="5">
        <v>5.7050000000000001</v>
      </c>
      <c r="N173" s="5">
        <v>20.260000000000002</v>
      </c>
      <c r="O173" s="5">
        <v>76.489999999999995</v>
      </c>
      <c r="P173" s="5">
        <v>31.98</v>
      </c>
      <c r="Q173" s="5">
        <v>26.58</v>
      </c>
      <c r="R173" s="5">
        <v>18.12</v>
      </c>
      <c r="S173" s="5">
        <v>9.6300000000000008</v>
      </c>
      <c r="T173" s="5">
        <v>5.851</v>
      </c>
      <c r="U173" s="5">
        <v>8.01</v>
      </c>
      <c r="V173" s="5">
        <v>29.3</v>
      </c>
      <c r="W173" s="5">
        <v>6.8310000000000004</v>
      </c>
      <c r="X173" s="5">
        <v>7.1150000000000002</v>
      </c>
      <c r="Y173" s="5">
        <v>7.7069999999999999</v>
      </c>
      <c r="Z173" s="5">
        <v>7.7779999999999996</v>
      </c>
      <c r="AA173" s="5">
        <v>5.4109999999999996</v>
      </c>
      <c r="AB173" s="5" t="s">
        <v>99</v>
      </c>
      <c r="AC173" s="5">
        <v>13.73</v>
      </c>
      <c r="AD173" s="5">
        <v>37.46</v>
      </c>
      <c r="AE173" s="5">
        <v>6.43</v>
      </c>
      <c r="AF173" s="5">
        <v>20.89</v>
      </c>
      <c r="AG173" s="5">
        <v>7.7050000000000001</v>
      </c>
      <c r="AI173" s="5" t="s">
        <v>99</v>
      </c>
      <c r="AK173" s="5">
        <v>0</v>
      </c>
      <c r="AL173" s="5"/>
      <c r="AN173" s="1">
        <f t="shared" si="94"/>
        <v>76.5</v>
      </c>
      <c r="AO173" s="1">
        <f t="shared" si="95"/>
        <v>55.6</v>
      </c>
      <c r="AP173" s="1">
        <f t="shared" si="96"/>
        <v>29.3</v>
      </c>
      <c r="AQ173" s="17">
        <f t="shared" si="113"/>
        <v>0.69599999999999995</v>
      </c>
      <c r="AR173" s="22">
        <f t="shared" si="97"/>
        <v>1.679</v>
      </c>
      <c r="AT173" s="19">
        <f t="shared" si="89"/>
        <v>43633</v>
      </c>
      <c r="AU173" s="20">
        <f t="shared" si="90"/>
        <v>168</v>
      </c>
      <c r="AV173" s="1">
        <f t="shared" si="98"/>
        <v>13</v>
      </c>
      <c r="AW173" s="1">
        <f t="shared" si="99"/>
        <v>20.3</v>
      </c>
      <c r="AX173" s="1">
        <f t="shared" si="100"/>
        <v>8</v>
      </c>
      <c r="AY173" s="1">
        <f t="shared" si="86"/>
        <v>55.6</v>
      </c>
      <c r="AZ173" s="1">
        <f t="shared" si="87"/>
        <v>29.3</v>
      </c>
      <c r="BA173" s="1">
        <f t="shared" si="101"/>
        <v>0</v>
      </c>
      <c r="BB173" s="5" t="str">
        <f t="shared" si="102"/>
        <v>NAN</v>
      </c>
      <c r="BC173" s="1">
        <f t="shared" si="91"/>
        <v>13.7</v>
      </c>
      <c r="BD173" s="1">
        <f t="shared" si="92"/>
        <v>37.5</v>
      </c>
      <c r="BE173" s="1">
        <f t="shared" si="93"/>
        <v>6.4</v>
      </c>
      <c r="BF173" s="5">
        <f t="shared" si="103"/>
        <v>10.7</v>
      </c>
      <c r="BG173" s="5">
        <f t="shared" si="104"/>
        <v>8.6</v>
      </c>
      <c r="BH173" s="5">
        <f t="shared" si="105"/>
        <v>5.7</v>
      </c>
      <c r="BI173" s="5" t="str">
        <f t="shared" si="106"/>
        <v>NAN</v>
      </c>
      <c r="BJ173" s="10">
        <f t="shared" si="107"/>
        <v>0.69599999999999995</v>
      </c>
      <c r="BK173" s="10">
        <f t="shared" si="108"/>
        <v>1.679</v>
      </c>
      <c r="BM173" s="1">
        <f t="shared" si="109"/>
        <v>17.2</v>
      </c>
      <c r="BN173" s="1">
        <f t="shared" si="110"/>
        <v>-1.58</v>
      </c>
    </row>
    <row r="174" spans="1:66" x14ac:dyDescent="0.2">
      <c r="A174" s="4">
        <f t="shared" si="111"/>
        <v>43634</v>
      </c>
      <c r="B174" s="1">
        <v>169</v>
      </c>
      <c r="C174" s="1">
        <v>12</v>
      </c>
      <c r="D174" s="5">
        <v>13.04</v>
      </c>
      <c r="E174" s="5">
        <v>18.97</v>
      </c>
      <c r="F174" s="5">
        <v>4.5999999999999996</v>
      </c>
      <c r="G174" s="5">
        <v>9.4600000000000009</v>
      </c>
      <c r="H174" s="5">
        <v>57.97</v>
      </c>
      <c r="I174" s="5">
        <v>10.07</v>
      </c>
      <c r="J174" s="5">
        <v>9.84</v>
      </c>
      <c r="K174" s="5">
        <v>9.4700000000000006</v>
      </c>
      <c r="L174" s="5">
        <v>8.57</v>
      </c>
      <c r="M174" s="5">
        <v>5.8680000000000003</v>
      </c>
      <c r="N174" s="5">
        <v>15.78</v>
      </c>
      <c r="O174" s="5">
        <v>84.2</v>
      </c>
      <c r="P174" s="5">
        <v>26.2</v>
      </c>
      <c r="Q174" s="5">
        <v>21.43</v>
      </c>
      <c r="R174" s="5">
        <v>14.39</v>
      </c>
      <c r="S174" s="5">
        <v>9.25</v>
      </c>
      <c r="T174" s="5">
        <v>6.0229999999999997</v>
      </c>
      <c r="U174" s="5">
        <v>3.6560000000000001</v>
      </c>
      <c r="V174" s="5">
        <v>30.26</v>
      </c>
      <c r="W174" s="5">
        <v>3.3210000000000002</v>
      </c>
      <c r="X174" s="5">
        <v>3.33</v>
      </c>
      <c r="Y174" s="5">
        <v>6.7850000000000001</v>
      </c>
      <c r="Z174" s="5">
        <v>7.952</v>
      </c>
      <c r="AA174" s="5">
        <v>5.5979999999999999</v>
      </c>
      <c r="AB174" s="5" t="s">
        <v>99</v>
      </c>
      <c r="AC174" s="5">
        <v>10.8</v>
      </c>
      <c r="AD174" s="5">
        <v>30.8</v>
      </c>
      <c r="AE174" s="5">
        <v>3.048</v>
      </c>
      <c r="AF174" s="5">
        <v>15.97</v>
      </c>
      <c r="AG174" s="5">
        <v>3.5960000000000001</v>
      </c>
      <c r="AI174" s="5" t="s">
        <v>99</v>
      </c>
      <c r="AK174" s="5">
        <v>0</v>
      </c>
      <c r="AL174" s="5"/>
      <c r="AN174" s="1">
        <f t="shared" si="94"/>
        <v>84.2</v>
      </c>
      <c r="AO174" s="1">
        <f t="shared" si="95"/>
        <v>58</v>
      </c>
      <c r="AP174" s="1">
        <f t="shared" si="96"/>
        <v>30.3</v>
      </c>
      <c r="AQ174" s="17">
        <f t="shared" si="113"/>
        <v>0.54300000000000004</v>
      </c>
      <c r="AR174" s="22">
        <f t="shared" si="97"/>
        <v>1.2490000000000001</v>
      </c>
      <c r="AT174" s="19">
        <f t="shared" si="89"/>
        <v>43634</v>
      </c>
      <c r="AU174" s="20">
        <f t="shared" si="90"/>
        <v>169</v>
      </c>
      <c r="AV174" s="1">
        <f t="shared" si="98"/>
        <v>9.5</v>
      </c>
      <c r="AW174" s="1">
        <f t="shared" si="99"/>
        <v>15.8</v>
      </c>
      <c r="AX174" s="1">
        <f t="shared" si="100"/>
        <v>3.7</v>
      </c>
      <c r="AY174" s="1">
        <f t="shared" si="86"/>
        <v>58</v>
      </c>
      <c r="AZ174" s="1">
        <f t="shared" si="87"/>
        <v>30.3</v>
      </c>
      <c r="BA174" s="1">
        <f t="shared" si="101"/>
        <v>0</v>
      </c>
      <c r="BB174" s="5" t="str">
        <f t="shared" si="102"/>
        <v>NAN</v>
      </c>
      <c r="BC174" s="1">
        <f t="shared" si="91"/>
        <v>10.8</v>
      </c>
      <c r="BD174" s="1">
        <f t="shared" si="92"/>
        <v>30.8</v>
      </c>
      <c r="BE174" s="1">
        <f t="shared" si="93"/>
        <v>3</v>
      </c>
      <c r="BF174" s="5">
        <f t="shared" si="103"/>
        <v>9.5</v>
      </c>
      <c r="BG174" s="5">
        <f t="shared" si="104"/>
        <v>8.6</v>
      </c>
      <c r="BH174" s="5">
        <f t="shared" si="105"/>
        <v>5.9</v>
      </c>
      <c r="BI174" s="5" t="str">
        <f t="shared" si="106"/>
        <v>NAN</v>
      </c>
      <c r="BJ174" s="10">
        <f t="shared" si="107"/>
        <v>0.54300000000000004</v>
      </c>
      <c r="BK174" s="10">
        <f t="shared" si="108"/>
        <v>1.2490000000000001</v>
      </c>
      <c r="BM174" s="1">
        <f t="shared" si="109"/>
        <v>15.020000000000001</v>
      </c>
      <c r="BN174" s="1">
        <f t="shared" si="110"/>
        <v>-0.6080000000000001</v>
      </c>
    </row>
    <row r="175" spans="1:66" x14ac:dyDescent="0.2">
      <c r="A175" s="4">
        <f t="shared" si="111"/>
        <v>43635</v>
      </c>
      <c r="B175" s="1">
        <v>170</v>
      </c>
      <c r="C175" s="1">
        <v>12</v>
      </c>
      <c r="D175" s="5">
        <v>13.13</v>
      </c>
      <c r="E175" s="5">
        <v>4.6429999999999998</v>
      </c>
      <c r="F175" s="5">
        <v>9.7000000000000003E-2</v>
      </c>
      <c r="G175" s="5">
        <v>1.3169999999999999</v>
      </c>
      <c r="H175" s="5">
        <v>88.4</v>
      </c>
      <c r="I175" s="5">
        <v>1.5549999999999999</v>
      </c>
      <c r="J175" s="5">
        <v>1.375</v>
      </c>
      <c r="K175" s="5">
        <v>5.1509999999999998</v>
      </c>
      <c r="L175" s="5">
        <v>6.8049999999999997</v>
      </c>
      <c r="M175" s="5">
        <v>5.8810000000000002</v>
      </c>
      <c r="N175" s="5">
        <v>4.4329999999999998</v>
      </c>
      <c r="O175" s="5">
        <v>96.6</v>
      </c>
      <c r="P175" s="5">
        <v>7.1040000000000001</v>
      </c>
      <c r="Q175" s="5">
        <v>4.9790000000000001</v>
      </c>
      <c r="R175" s="5">
        <v>6.8449999999999998</v>
      </c>
      <c r="S175" s="5">
        <v>8.4499999999999993</v>
      </c>
      <c r="T175" s="5">
        <v>6.0090000000000003</v>
      </c>
      <c r="U175" s="5">
        <v>-0.72399999999999998</v>
      </c>
      <c r="V175" s="5">
        <v>59.17</v>
      </c>
      <c r="W175" s="5">
        <v>-0.58599999999999997</v>
      </c>
      <c r="X175" s="5">
        <v>-0.66600000000000004</v>
      </c>
      <c r="Y175" s="5">
        <v>3.452</v>
      </c>
      <c r="Z175" s="5">
        <v>5.6639999999999997</v>
      </c>
      <c r="AA175" s="5">
        <v>5.6980000000000004</v>
      </c>
      <c r="AB175" s="5" t="s">
        <v>99</v>
      </c>
      <c r="AC175" s="5">
        <v>1.8380000000000001</v>
      </c>
      <c r="AD175" s="5">
        <v>9.83</v>
      </c>
      <c r="AE175" s="5">
        <v>-0.64200000000000002</v>
      </c>
      <c r="AF175" s="5">
        <v>4.7489999999999997</v>
      </c>
      <c r="AG175" s="5">
        <v>-0.64900000000000002</v>
      </c>
      <c r="AI175" s="5" t="s">
        <v>99</v>
      </c>
      <c r="AK175" s="5">
        <v>0</v>
      </c>
      <c r="AN175" s="1">
        <f t="shared" si="94"/>
        <v>96.6</v>
      </c>
      <c r="AO175" s="1">
        <f t="shared" si="95"/>
        <v>88.4</v>
      </c>
      <c r="AP175" s="1">
        <f t="shared" si="96"/>
        <v>59.2</v>
      </c>
      <c r="AQ175" s="17">
        <f t="shared" si="113"/>
        <v>0.496</v>
      </c>
      <c r="AR175" s="22">
        <f t="shared" si="97"/>
        <v>0.34200000000000003</v>
      </c>
      <c r="AT175" s="19">
        <f t="shared" si="89"/>
        <v>43635</v>
      </c>
      <c r="AU175" s="20">
        <f t="shared" si="90"/>
        <v>170</v>
      </c>
      <c r="AV175" s="1">
        <f t="shared" si="98"/>
        <v>1.3</v>
      </c>
      <c r="AW175" s="1">
        <f t="shared" si="99"/>
        <v>4.4000000000000004</v>
      </c>
      <c r="AX175" s="1">
        <f t="shared" si="100"/>
        <v>-0.7</v>
      </c>
      <c r="AY175" s="1">
        <f t="shared" si="86"/>
        <v>88.4</v>
      </c>
      <c r="AZ175" s="1">
        <f t="shared" si="87"/>
        <v>59.2</v>
      </c>
      <c r="BA175" s="1">
        <f t="shared" si="101"/>
        <v>0</v>
      </c>
      <c r="BB175" s="5" t="str">
        <f t="shared" si="102"/>
        <v>NAN</v>
      </c>
      <c r="BC175" s="1">
        <f t="shared" si="91"/>
        <v>1.8</v>
      </c>
      <c r="BD175" s="1">
        <f t="shared" si="92"/>
        <v>9.8000000000000007</v>
      </c>
      <c r="BE175" s="1">
        <f t="shared" si="93"/>
        <v>-0.6</v>
      </c>
      <c r="BF175" s="5">
        <f t="shared" si="103"/>
        <v>5.2</v>
      </c>
      <c r="BG175" s="5">
        <f t="shared" si="104"/>
        <v>6.8</v>
      </c>
      <c r="BH175" s="5">
        <f t="shared" si="105"/>
        <v>5.9</v>
      </c>
      <c r="BI175" s="5" t="str">
        <f t="shared" si="106"/>
        <v>NAN</v>
      </c>
      <c r="BJ175" s="10">
        <f t="shared" si="107"/>
        <v>0.496</v>
      </c>
      <c r="BK175" s="10">
        <f t="shared" si="108"/>
        <v>0.34200000000000003</v>
      </c>
      <c r="BM175" s="1">
        <f t="shared" si="109"/>
        <v>5.3970000000000002</v>
      </c>
      <c r="BN175" s="1">
        <f t="shared" si="110"/>
        <v>8.1999999999999962E-2</v>
      </c>
    </row>
    <row r="176" spans="1:66" x14ac:dyDescent="0.2">
      <c r="A176" s="4">
        <f t="shared" si="111"/>
        <v>43636</v>
      </c>
      <c r="B176" s="1">
        <v>171</v>
      </c>
      <c r="C176" s="1">
        <v>12</v>
      </c>
      <c r="D176" s="5">
        <v>12.8</v>
      </c>
      <c r="E176" s="5">
        <v>0.35199999999999998</v>
      </c>
      <c r="F176" s="5">
        <v>-0.39300000000000002</v>
      </c>
      <c r="G176" s="5">
        <v>-0.124</v>
      </c>
      <c r="H176" s="5">
        <v>96.7</v>
      </c>
      <c r="I176" s="5">
        <v>-6.9000000000000006E-2</v>
      </c>
      <c r="J176" s="5">
        <v>-0.16</v>
      </c>
      <c r="K176" s="5">
        <v>2.7570000000000001</v>
      </c>
      <c r="L176" s="5">
        <v>4.7539999999999996</v>
      </c>
      <c r="M176" s="5">
        <v>5.5519999999999996</v>
      </c>
      <c r="N176" s="5">
        <v>0.83199999999999996</v>
      </c>
      <c r="O176" s="5">
        <v>97.2</v>
      </c>
      <c r="P176" s="5">
        <v>0.53</v>
      </c>
      <c r="Q176" s="5">
        <v>0.33200000000000002</v>
      </c>
      <c r="R176" s="5">
        <v>3.5209999999999999</v>
      </c>
      <c r="S176" s="5">
        <v>5.7439999999999998</v>
      </c>
      <c r="T176" s="5">
        <v>5.8230000000000004</v>
      </c>
      <c r="U176" s="5">
        <v>-0.79100000000000004</v>
      </c>
      <c r="V176" s="5">
        <v>96.3</v>
      </c>
      <c r="W176" s="5">
        <v>-0.54300000000000004</v>
      </c>
      <c r="X176" s="5">
        <v>-0.63500000000000001</v>
      </c>
      <c r="Y176" s="5">
        <v>2.1419999999999999</v>
      </c>
      <c r="Z176" s="5">
        <v>3.9710000000000001</v>
      </c>
      <c r="AA176" s="5">
        <v>5.282</v>
      </c>
      <c r="AB176" s="5" t="s">
        <v>99</v>
      </c>
      <c r="AC176" s="5">
        <v>-0.122</v>
      </c>
      <c r="AD176" s="5">
        <v>0.79200000000000004</v>
      </c>
      <c r="AE176" s="5">
        <v>-0.77900000000000003</v>
      </c>
      <c r="AF176" s="5">
        <v>0.26800000000000002</v>
      </c>
      <c r="AG176" s="5">
        <v>-0.82199999999999995</v>
      </c>
      <c r="AI176" s="5" t="s">
        <v>99</v>
      </c>
      <c r="AK176" s="5">
        <v>0</v>
      </c>
      <c r="AN176" s="1">
        <f t="shared" si="94"/>
        <v>97.2</v>
      </c>
      <c r="AO176" s="1">
        <f t="shared" si="95"/>
        <v>96.7</v>
      </c>
      <c r="AP176" s="1">
        <f t="shared" si="96"/>
        <v>96.3</v>
      </c>
      <c r="AQ176" s="17">
        <f t="shared" si="113"/>
        <v>0.624</v>
      </c>
      <c r="AR176" s="22">
        <f t="shared" si="97"/>
        <v>2.4E-2</v>
      </c>
      <c r="AT176" s="19">
        <f t="shared" si="89"/>
        <v>43636</v>
      </c>
      <c r="AU176" s="20">
        <f t="shared" si="90"/>
        <v>171</v>
      </c>
      <c r="AV176" s="1">
        <f t="shared" si="98"/>
        <v>-0.1</v>
      </c>
      <c r="AW176" s="1">
        <f t="shared" si="99"/>
        <v>0.8</v>
      </c>
      <c r="AX176" s="1">
        <f t="shared" si="100"/>
        <v>-0.8</v>
      </c>
      <c r="AY176" s="1">
        <f t="shared" si="86"/>
        <v>96.7</v>
      </c>
      <c r="AZ176" s="1">
        <f t="shared" si="87"/>
        <v>96.3</v>
      </c>
      <c r="BA176" s="1">
        <f t="shared" si="101"/>
        <v>0</v>
      </c>
      <c r="BB176" s="5" t="str">
        <f t="shared" si="102"/>
        <v>NAN</v>
      </c>
      <c r="BC176" s="1">
        <f t="shared" si="91"/>
        <v>-0.1</v>
      </c>
      <c r="BD176" s="1">
        <f t="shared" si="92"/>
        <v>0.8</v>
      </c>
      <c r="BE176" s="1">
        <f t="shared" si="93"/>
        <v>-0.8</v>
      </c>
      <c r="BF176" s="5">
        <f t="shared" si="103"/>
        <v>2.8</v>
      </c>
      <c r="BG176" s="5">
        <f t="shared" si="104"/>
        <v>4.8</v>
      </c>
      <c r="BH176" s="5">
        <f t="shared" si="105"/>
        <v>5.6</v>
      </c>
      <c r="BI176" s="5" t="str">
        <f t="shared" si="106"/>
        <v>NAN</v>
      </c>
      <c r="BJ176" s="10">
        <f t="shared" si="107"/>
        <v>0.624</v>
      </c>
      <c r="BK176" s="10">
        <f t="shared" si="108"/>
        <v>2.4E-2</v>
      </c>
      <c r="BM176" s="1">
        <f t="shared" si="109"/>
        <v>-3.9999999999999925E-2</v>
      </c>
      <c r="BN176" s="1">
        <f t="shared" si="110"/>
        <v>1.2000000000000011E-2</v>
      </c>
    </row>
    <row r="177" spans="1:66" x14ac:dyDescent="0.2">
      <c r="A177" s="4">
        <f t="shared" si="111"/>
        <v>43637</v>
      </c>
      <c r="B177" s="1">
        <v>172</v>
      </c>
      <c r="C177" s="1">
        <v>12</v>
      </c>
      <c r="D177" s="5">
        <v>13.13</v>
      </c>
      <c r="E177" s="5">
        <v>14.21</v>
      </c>
      <c r="F177" s="5">
        <v>0.309</v>
      </c>
      <c r="G177" s="5">
        <v>5.907</v>
      </c>
      <c r="H177" s="5">
        <v>83.6</v>
      </c>
      <c r="I177" s="5">
        <v>4.0759999999999996</v>
      </c>
      <c r="J177" s="5">
        <v>5.0720000000000001</v>
      </c>
      <c r="K177" s="5">
        <v>3.2360000000000002</v>
      </c>
      <c r="L177" s="5">
        <v>3.681</v>
      </c>
      <c r="M177" s="5">
        <v>4.99</v>
      </c>
      <c r="N177" s="5">
        <v>11.27</v>
      </c>
      <c r="O177" s="5">
        <v>97.9</v>
      </c>
      <c r="P177" s="5">
        <v>12.67</v>
      </c>
      <c r="Q177" s="5">
        <v>11.32</v>
      </c>
      <c r="R177" s="5">
        <v>5.61</v>
      </c>
      <c r="S177" s="5">
        <v>4.3010000000000002</v>
      </c>
      <c r="T177" s="5">
        <v>5.3819999999999997</v>
      </c>
      <c r="U177" s="5">
        <v>0.629</v>
      </c>
      <c r="V177" s="5">
        <v>58.16</v>
      </c>
      <c r="W177" s="5">
        <v>-3.4000000000000002E-2</v>
      </c>
      <c r="X177" s="5">
        <v>0.217</v>
      </c>
      <c r="Y177" s="5">
        <v>1.5720000000000001</v>
      </c>
      <c r="Z177" s="5">
        <v>2.93</v>
      </c>
      <c r="AA177" s="5">
        <v>4.5170000000000003</v>
      </c>
      <c r="AB177" s="5" t="s">
        <v>99</v>
      </c>
      <c r="AC177" s="5">
        <v>3.512</v>
      </c>
      <c r="AD177" s="5">
        <v>12.1</v>
      </c>
      <c r="AE177" s="5">
        <v>-7.6999999999999999E-2</v>
      </c>
      <c r="AF177" s="5">
        <v>11.73</v>
      </c>
      <c r="AG177" s="5">
        <v>0.27400000000000002</v>
      </c>
      <c r="AI177" s="5" t="s">
        <v>99</v>
      </c>
      <c r="AK177" s="5">
        <v>0</v>
      </c>
      <c r="AN177" s="1">
        <f t="shared" si="94"/>
        <v>97.9</v>
      </c>
      <c r="AO177" s="1">
        <f t="shared" si="95"/>
        <v>83.6</v>
      </c>
      <c r="AP177" s="1">
        <f t="shared" si="96"/>
        <v>58.2</v>
      </c>
      <c r="AQ177" s="17">
        <f t="shared" si="113"/>
        <v>0.77800000000000002</v>
      </c>
      <c r="AR177" s="22">
        <f t="shared" si="97"/>
        <v>0.55900000000000005</v>
      </c>
      <c r="AT177" s="19">
        <f t="shared" si="89"/>
        <v>43637</v>
      </c>
      <c r="AU177" s="20">
        <f t="shared" si="90"/>
        <v>172</v>
      </c>
      <c r="AV177" s="1">
        <f t="shared" si="98"/>
        <v>5.9</v>
      </c>
      <c r="AW177" s="1">
        <f t="shared" si="99"/>
        <v>11.3</v>
      </c>
      <c r="AX177" s="1">
        <f t="shared" si="100"/>
        <v>0.6</v>
      </c>
      <c r="AY177" s="1">
        <f t="shared" si="86"/>
        <v>83.6</v>
      </c>
      <c r="AZ177" s="1">
        <f t="shared" si="87"/>
        <v>58.2</v>
      </c>
      <c r="BA177" s="1">
        <f t="shared" si="101"/>
        <v>0</v>
      </c>
      <c r="BB177" s="5" t="str">
        <f t="shared" si="102"/>
        <v>NAN</v>
      </c>
      <c r="BC177" s="1">
        <f t="shared" si="91"/>
        <v>3.5</v>
      </c>
      <c r="BD177" s="1">
        <f t="shared" si="92"/>
        <v>12.1</v>
      </c>
      <c r="BE177" s="1">
        <f t="shared" si="93"/>
        <v>-0.1</v>
      </c>
      <c r="BF177" s="5">
        <f t="shared" si="103"/>
        <v>3.2</v>
      </c>
      <c r="BG177" s="5">
        <f t="shared" si="104"/>
        <v>3.7</v>
      </c>
      <c r="BH177" s="5">
        <f t="shared" si="105"/>
        <v>5</v>
      </c>
      <c r="BI177" s="5" t="str">
        <f t="shared" si="106"/>
        <v>NAN</v>
      </c>
      <c r="BJ177" s="10">
        <f t="shared" si="107"/>
        <v>0.77800000000000002</v>
      </c>
      <c r="BK177" s="10">
        <f t="shared" si="108"/>
        <v>0.55900000000000005</v>
      </c>
      <c r="BM177" s="1">
        <f t="shared" si="109"/>
        <v>0.83000000000000007</v>
      </c>
      <c r="BN177" s="1">
        <f t="shared" si="110"/>
        <v>-0.70599999999999996</v>
      </c>
    </row>
    <row r="178" spans="1:66" x14ac:dyDescent="0.2">
      <c r="A178" s="4">
        <f t="shared" si="111"/>
        <v>43638</v>
      </c>
      <c r="B178" s="1">
        <v>173</v>
      </c>
      <c r="C178" s="1">
        <v>12</v>
      </c>
      <c r="D178" s="5">
        <v>13.11</v>
      </c>
      <c r="E178" s="5">
        <v>13.8</v>
      </c>
      <c r="F178" s="5">
        <v>4.8159999999999998</v>
      </c>
      <c r="G178" s="5">
        <v>7.9160000000000004</v>
      </c>
      <c r="H178" s="5">
        <v>77.209999999999994</v>
      </c>
      <c r="I178" s="5">
        <v>8.07</v>
      </c>
      <c r="J178" s="5">
        <v>7.9139999999999997</v>
      </c>
      <c r="K178" s="5">
        <v>6.6280000000000001</v>
      </c>
      <c r="L178" s="5">
        <v>5.1040000000000001</v>
      </c>
      <c r="M178" s="5">
        <v>4.6509999999999998</v>
      </c>
      <c r="N178" s="5">
        <v>12.52</v>
      </c>
      <c r="O178" s="5">
        <v>92</v>
      </c>
      <c r="P178" s="5">
        <v>18.010000000000002</v>
      </c>
      <c r="Q178" s="5">
        <v>15.37</v>
      </c>
      <c r="R178" s="5">
        <v>10.89</v>
      </c>
      <c r="S178" s="5">
        <v>6.2370000000000001</v>
      </c>
      <c r="T178" s="5">
        <v>4.7779999999999996</v>
      </c>
      <c r="U178" s="5">
        <v>4.0609999999999999</v>
      </c>
      <c r="V178" s="5">
        <v>54.88</v>
      </c>
      <c r="W178" s="5">
        <v>3.7480000000000002</v>
      </c>
      <c r="X178" s="5">
        <v>3.7730000000000001</v>
      </c>
      <c r="Y178" s="5">
        <v>4.3410000000000002</v>
      </c>
      <c r="Z178" s="5">
        <v>4.2229999999999999</v>
      </c>
      <c r="AA178" s="5">
        <v>4.484</v>
      </c>
      <c r="AB178" s="5" t="s">
        <v>99</v>
      </c>
      <c r="AC178" s="5">
        <v>7.9649999999999999</v>
      </c>
      <c r="AD178" s="5">
        <v>18.97</v>
      </c>
      <c r="AE178" s="5">
        <v>3.7509999999999999</v>
      </c>
      <c r="AF178" s="5">
        <v>13.48</v>
      </c>
      <c r="AG178" s="5">
        <v>3.9969999999999999</v>
      </c>
      <c r="AI178" s="5" t="s">
        <v>99</v>
      </c>
      <c r="AK178" s="5">
        <v>0</v>
      </c>
      <c r="AN178" s="1">
        <f t="shared" si="94"/>
        <v>92</v>
      </c>
      <c r="AO178" s="1">
        <f t="shared" si="95"/>
        <v>77.2</v>
      </c>
      <c r="AP178" s="1">
        <f t="shared" si="96"/>
        <v>54.9</v>
      </c>
      <c r="AQ178" s="17">
        <f t="shared" si="113"/>
        <v>0.79700000000000004</v>
      </c>
      <c r="AR178" s="22">
        <f t="shared" si="97"/>
        <v>0.65500000000000003</v>
      </c>
      <c r="AT178" s="19">
        <f t="shared" si="89"/>
        <v>43638</v>
      </c>
      <c r="AU178" s="20">
        <f t="shared" si="90"/>
        <v>173</v>
      </c>
      <c r="AV178" s="1">
        <f t="shared" si="98"/>
        <v>7.9</v>
      </c>
      <c r="AW178" s="1">
        <f t="shared" si="99"/>
        <v>12.5</v>
      </c>
      <c r="AX178" s="1">
        <f t="shared" si="100"/>
        <v>4.0999999999999996</v>
      </c>
      <c r="AY178" s="1">
        <f t="shared" si="86"/>
        <v>77.2</v>
      </c>
      <c r="AZ178" s="1">
        <f t="shared" si="87"/>
        <v>54.9</v>
      </c>
      <c r="BA178" s="1">
        <f t="shared" si="101"/>
        <v>0</v>
      </c>
      <c r="BB178" s="5" t="str">
        <f t="shared" si="102"/>
        <v>NAN</v>
      </c>
      <c r="BC178" s="1">
        <f t="shared" si="91"/>
        <v>8</v>
      </c>
      <c r="BD178" s="1">
        <f t="shared" si="92"/>
        <v>19</v>
      </c>
      <c r="BE178" s="1">
        <f t="shared" si="93"/>
        <v>3.8</v>
      </c>
      <c r="BF178" s="5">
        <f t="shared" si="103"/>
        <v>6.6</v>
      </c>
      <c r="BG178" s="5">
        <f t="shared" si="104"/>
        <v>5.0999999999999996</v>
      </c>
      <c r="BH178" s="5">
        <f t="shared" si="105"/>
        <v>4.7</v>
      </c>
      <c r="BI178" s="5" t="str">
        <f t="shared" si="106"/>
        <v>NAN</v>
      </c>
      <c r="BJ178" s="10">
        <f t="shared" si="107"/>
        <v>0.79700000000000004</v>
      </c>
      <c r="BK178" s="10">
        <f t="shared" si="108"/>
        <v>0.65500000000000003</v>
      </c>
      <c r="BM178" s="1">
        <f t="shared" si="109"/>
        <v>6.4499999999999993</v>
      </c>
      <c r="BN178" s="1">
        <f t="shared" si="110"/>
        <v>-0.31000000000000005</v>
      </c>
    </row>
    <row r="179" spans="1:66" x14ac:dyDescent="0.2">
      <c r="A179" s="4">
        <f t="shared" si="111"/>
        <v>43639</v>
      </c>
      <c r="B179" s="1">
        <v>174</v>
      </c>
      <c r="C179" s="1">
        <v>12</v>
      </c>
      <c r="D179" s="5">
        <v>13.12</v>
      </c>
      <c r="E179" s="5">
        <v>10.74</v>
      </c>
      <c r="F179" s="5">
        <v>3.3570000000000002</v>
      </c>
      <c r="G179" s="5">
        <v>5.2990000000000004</v>
      </c>
      <c r="H179" s="5">
        <v>81.5</v>
      </c>
      <c r="I179" s="5">
        <v>5.5209999999999999</v>
      </c>
      <c r="J179" s="5">
        <v>5.282</v>
      </c>
      <c r="K179" s="5">
        <v>6.0229999999999997</v>
      </c>
      <c r="L179" s="5">
        <v>5.6849999999999996</v>
      </c>
      <c r="M179" s="5">
        <v>4.8</v>
      </c>
      <c r="N179" s="5">
        <v>9.83</v>
      </c>
      <c r="O179" s="5">
        <v>97.7</v>
      </c>
      <c r="P179" s="5">
        <v>13.07</v>
      </c>
      <c r="Q179" s="5">
        <v>10.63</v>
      </c>
      <c r="R179" s="5">
        <v>8.48</v>
      </c>
      <c r="S179" s="5">
        <v>6.0739999999999998</v>
      </c>
      <c r="T179" s="5">
        <v>4.9649999999999999</v>
      </c>
      <c r="U179" s="5">
        <v>2.3039999999999998</v>
      </c>
      <c r="V179" s="5">
        <v>39.76</v>
      </c>
      <c r="W179" s="5">
        <v>2.4740000000000002</v>
      </c>
      <c r="X179" s="5">
        <v>2.4060000000000001</v>
      </c>
      <c r="Y179" s="5">
        <v>4.8970000000000002</v>
      </c>
      <c r="Z179" s="5">
        <v>5.3019999999999996</v>
      </c>
      <c r="AA179" s="5">
        <v>4.617</v>
      </c>
      <c r="AB179" s="5" t="s">
        <v>99</v>
      </c>
      <c r="AC179" s="5">
        <v>5.649</v>
      </c>
      <c r="AD179" s="5">
        <v>14.82</v>
      </c>
      <c r="AE179" s="5">
        <v>2.8039999999999998</v>
      </c>
      <c r="AF179" s="5">
        <v>9.42</v>
      </c>
      <c r="AG179" s="5">
        <v>2.3079999999999998</v>
      </c>
      <c r="AI179" s="5" t="s">
        <v>99</v>
      </c>
      <c r="AK179" s="5">
        <v>0</v>
      </c>
      <c r="AN179" s="1">
        <f t="shared" si="94"/>
        <v>97.7</v>
      </c>
      <c r="AO179" s="1">
        <f t="shared" si="95"/>
        <v>81.5</v>
      </c>
      <c r="AP179" s="1">
        <f t="shared" si="96"/>
        <v>39.799999999999997</v>
      </c>
      <c r="AQ179" s="17">
        <f t="shared" si="113"/>
        <v>0.48299999999999998</v>
      </c>
      <c r="AR179" s="22">
        <f t="shared" si="97"/>
        <v>0.73099999999999998</v>
      </c>
      <c r="AT179" s="19">
        <f t="shared" si="89"/>
        <v>43639</v>
      </c>
      <c r="AU179" s="20">
        <f t="shared" si="90"/>
        <v>174</v>
      </c>
      <c r="AV179" s="1">
        <f t="shared" si="98"/>
        <v>5.3</v>
      </c>
      <c r="AW179" s="1">
        <f t="shared" si="99"/>
        <v>9.8000000000000007</v>
      </c>
      <c r="AX179" s="1">
        <f t="shared" si="100"/>
        <v>2.2999999999999998</v>
      </c>
      <c r="AY179" s="1">
        <f t="shared" si="86"/>
        <v>81.5</v>
      </c>
      <c r="AZ179" s="1">
        <f t="shared" si="87"/>
        <v>39.799999999999997</v>
      </c>
      <c r="BA179" s="1">
        <f t="shared" si="101"/>
        <v>0</v>
      </c>
      <c r="BB179" s="5" t="str">
        <f t="shared" si="102"/>
        <v>NAN</v>
      </c>
      <c r="BC179" s="1">
        <f t="shared" si="91"/>
        <v>5.6</v>
      </c>
      <c r="BD179" s="1">
        <f t="shared" si="92"/>
        <v>14.8</v>
      </c>
      <c r="BE179" s="1">
        <f t="shared" si="93"/>
        <v>2.8</v>
      </c>
      <c r="BF179" s="5">
        <f t="shared" si="103"/>
        <v>6</v>
      </c>
      <c r="BG179" s="5">
        <f t="shared" si="104"/>
        <v>5.7</v>
      </c>
      <c r="BH179" s="5">
        <f t="shared" si="105"/>
        <v>4.8</v>
      </c>
      <c r="BI179" s="5" t="str">
        <f t="shared" si="106"/>
        <v>NAN</v>
      </c>
      <c r="BJ179" s="10">
        <f t="shared" si="107"/>
        <v>0.48299999999999998</v>
      </c>
      <c r="BK179" s="10">
        <f t="shared" si="108"/>
        <v>0.73099999999999998</v>
      </c>
      <c r="BM179" s="1">
        <f t="shared" si="109"/>
        <v>4.99</v>
      </c>
      <c r="BN179" s="1">
        <f t="shared" si="110"/>
        <v>0.5</v>
      </c>
    </row>
    <row r="180" spans="1:66" x14ac:dyDescent="0.2">
      <c r="A180" s="4">
        <f t="shared" si="111"/>
        <v>43640</v>
      </c>
      <c r="B180" s="1">
        <v>175</v>
      </c>
      <c r="C180" s="1">
        <v>12</v>
      </c>
      <c r="D180" s="5">
        <v>13.09</v>
      </c>
      <c r="E180" s="5">
        <v>9.3000000000000007</v>
      </c>
      <c r="F180" s="5">
        <v>1.48</v>
      </c>
      <c r="G180" s="5">
        <v>4.1369999999999996</v>
      </c>
      <c r="H180" s="5">
        <v>87.9</v>
      </c>
      <c r="I180" s="5">
        <v>4.4160000000000004</v>
      </c>
      <c r="J180" s="5">
        <v>4.101</v>
      </c>
      <c r="K180" s="5">
        <v>5.7670000000000003</v>
      </c>
      <c r="L180" s="5">
        <v>5.468</v>
      </c>
      <c r="M180" s="5">
        <v>4.8780000000000001</v>
      </c>
      <c r="N180" s="5">
        <v>8.2799999999999994</v>
      </c>
      <c r="O180" s="5">
        <v>97.4</v>
      </c>
      <c r="P180" s="5">
        <v>15.4</v>
      </c>
      <c r="Q180" s="5">
        <v>12.33</v>
      </c>
      <c r="R180" s="5">
        <v>9.7899999999999991</v>
      </c>
      <c r="S180" s="5">
        <v>5.9489999999999998</v>
      </c>
      <c r="T180" s="5">
        <v>4.984</v>
      </c>
      <c r="U180" s="5">
        <v>1.0269999999999999</v>
      </c>
      <c r="V180" s="5">
        <v>65</v>
      </c>
      <c r="W180" s="5">
        <v>0.34200000000000003</v>
      </c>
      <c r="X180" s="5">
        <v>0.54600000000000004</v>
      </c>
      <c r="Y180" s="5">
        <v>3.5470000000000002</v>
      </c>
      <c r="Z180" s="5">
        <v>4.8940000000000001</v>
      </c>
      <c r="AA180" s="5">
        <v>4.7290000000000001</v>
      </c>
      <c r="AB180" s="5" t="s">
        <v>99</v>
      </c>
      <c r="AC180" s="5">
        <v>5.2190000000000003</v>
      </c>
      <c r="AD180" s="5">
        <v>15.94</v>
      </c>
      <c r="AE180" s="5">
        <v>0.28399999999999997</v>
      </c>
      <c r="AF180" s="5">
        <v>8.93</v>
      </c>
      <c r="AG180" s="5">
        <v>0.68500000000000005</v>
      </c>
      <c r="AI180" s="5" t="s">
        <v>99</v>
      </c>
      <c r="AK180" s="5">
        <v>0</v>
      </c>
      <c r="AN180" s="1">
        <f t="shared" si="94"/>
        <v>97.4</v>
      </c>
      <c r="AO180" s="1">
        <f t="shared" si="95"/>
        <v>87.9</v>
      </c>
      <c r="AP180" s="1">
        <f t="shared" si="96"/>
        <v>65</v>
      </c>
      <c r="AQ180" s="17">
        <f t="shared" si="113"/>
        <v>0.71</v>
      </c>
      <c r="AR180" s="22">
        <f t="shared" si="97"/>
        <v>0.38200000000000001</v>
      </c>
      <c r="AT180" s="19">
        <f t="shared" si="89"/>
        <v>43640</v>
      </c>
      <c r="AU180" s="20">
        <f t="shared" si="90"/>
        <v>175</v>
      </c>
      <c r="AV180" s="1">
        <f t="shared" si="98"/>
        <v>4.0999999999999996</v>
      </c>
      <c r="AW180" s="1">
        <f t="shared" si="99"/>
        <v>8.3000000000000007</v>
      </c>
      <c r="AX180" s="1">
        <f t="shared" si="100"/>
        <v>1</v>
      </c>
      <c r="AY180" s="1">
        <f t="shared" si="86"/>
        <v>87.9</v>
      </c>
      <c r="AZ180" s="1">
        <f t="shared" si="87"/>
        <v>65</v>
      </c>
      <c r="BA180" s="1">
        <f t="shared" si="101"/>
        <v>0</v>
      </c>
      <c r="BB180" s="5" t="str">
        <f t="shared" si="102"/>
        <v>NAN</v>
      </c>
      <c r="BC180" s="1">
        <f t="shared" si="91"/>
        <v>5.2</v>
      </c>
      <c r="BD180" s="1">
        <f t="shared" si="92"/>
        <v>15.9</v>
      </c>
      <c r="BE180" s="1">
        <f t="shared" si="93"/>
        <v>0.3</v>
      </c>
      <c r="BF180" s="5">
        <f t="shared" si="103"/>
        <v>5.8</v>
      </c>
      <c r="BG180" s="5">
        <f t="shared" si="104"/>
        <v>5.5</v>
      </c>
      <c r="BH180" s="5">
        <f t="shared" si="105"/>
        <v>4.9000000000000004</v>
      </c>
      <c r="BI180" s="5" t="str">
        <f t="shared" si="106"/>
        <v>NAN</v>
      </c>
      <c r="BJ180" s="10">
        <f t="shared" si="107"/>
        <v>0.71</v>
      </c>
      <c r="BK180" s="10">
        <f t="shared" si="108"/>
        <v>0.38200000000000001</v>
      </c>
      <c r="BM180" s="1">
        <f t="shared" si="109"/>
        <v>7.66</v>
      </c>
      <c r="BN180" s="1">
        <f t="shared" si="110"/>
        <v>-0.74299999999999988</v>
      </c>
    </row>
    <row r="181" spans="1:66" x14ac:dyDescent="0.2">
      <c r="A181" s="4">
        <f t="shared" si="111"/>
        <v>43641</v>
      </c>
      <c r="B181" s="1">
        <v>176</v>
      </c>
      <c r="C181" s="1">
        <v>12</v>
      </c>
      <c r="D181" s="5">
        <v>13.1</v>
      </c>
      <c r="E181" s="5">
        <v>11.38</v>
      </c>
      <c r="F181" s="5">
        <v>2.4169999999999998</v>
      </c>
      <c r="G181" s="5">
        <v>6.11</v>
      </c>
      <c r="H181" s="5">
        <v>75.05</v>
      </c>
      <c r="I181" s="5">
        <v>6.335</v>
      </c>
      <c r="J181" s="5">
        <v>5.9950000000000001</v>
      </c>
      <c r="K181" s="5">
        <v>6.3029999999999999</v>
      </c>
      <c r="L181" s="5">
        <v>5.5910000000000002</v>
      </c>
      <c r="M181" s="5">
        <v>4.8710000000000004</v>
      </c>
      <c r="N181" s="5">
        <v>12.7</v>
      </c>
      <c r="O181" s="5">
        <v>91.8</v>
      </c>
      <c r="P181" s="5">
        <v>23.96</v>
      </c>
      <c r="Q181" s="5">
        <v>19.39</v>
      </c>
      <c r="R181" s="5">
        <v>11.43</v>
      </c>
      <c r="S181" s="5">
        <v>6.3129999999999997</v>
      </c>
      <c r="T181" s="5">
        <v>4.9930000000000003</v>
      </c>
      <c r="U181" s="5">
        <v>2.3410000000000002</v>
      </c>
      <c r="V181" s="5">
        <v>40.369999999999997</v>
      </c>
      <c r="W181" s="5">
        <v>1.774</v>
      </c>
      <c r="X181" s="5">
        <v>2.008</v>
      </c>
      <c r="Y181" s="5">
        <v>3.8919999999999999</v>
      </c>
      <c r="Z181" s="5">
        <v>4.9640000000000004</v>
      </c>
      <c r="AA181" s="5">
        <v>4.734</v>
      </c>
      <c r="AB181" s="5" t="s">
        <v>99</v>
      </c>
      <c r="AC181" s="5">
        <v>6.1909999999999998</v>
      </c>
      <c r="AD181" s="5">
        <v>20.71</v>
      </c>
      <c r="AE181" s="5">
        <v>1.804</v>
      </c>
      <c r="AF181" s="5">
        <v>13.25</v>
      </c>
      <c r="AG181" s="5">
        <v>2.2000000000000002</v>
      </c>
      <c r="AI181" s="5" t="s">
        <v>99</v>
      </c>
      <c r="AK181" s="5">
        <v>0</v>
      </c>
      <c r="AN181" s="1">
        <f t="shared" si="94"/>
        <v>91.8</v>
      </c>
      <c r="AO181" s="1">
        <f t="shared" si="95"/>
        <v>75.099999999999994</v>
      </c>
      <c r="AP181" s="1">
        <f t="shared" si="96"/>
        <v>40.4</v>
      </c>
      <c r="AQ181" s="17">
        <f t="shared" si="113"/>
        <v>0.59299999999999997</v>
      </c>
      <c r="AR181" s="22">
        <f t="shared" si="97"/>
        <v>0.875</v>
      </c>
      <c r="AT181" s="19">
        <f t="shared" si="89"/>
        <v>43641</v>
      </c>
      <c r="AU181" s="20">
        <f t="shared" si="90"/>
        <v>176</v>
      </c>
      <c r="AV181" s="1">
        <f t="shared" si="98"/>
        <v>6.1</v>
      </c>
      <c r="AW181" s="1">
        <f t="shared" si="99"/>
        <v>12.7</v>
      </c>
      <c r="AX181" s="1">
        <f t="shared" si="100"/>
        <v>2.2999999999999998</v>
      </c>
      <c r="AY181" s="1">
        <f t="shared" si="86"/>
        <v>75.099999999999994</v>
      </c>
      <c r="AZ181" s="1">
        <f t="shared" si="87"/>
        <v>40.4</v>
      </c>
      <c r="BA181" s="1">
        <f t="shared" si="101"/>
        <v>0</v>
      </c>
      <c r="BB181" s="5" t="str">
        <f t="shared" si="102"/>
        <v>NAN</v>
      </c>
      <c r="BC181" s="1">
        <f t="shared" si="91"/>
        <v>6.2</v>
      </c>
      <c r="BD181" s="1">
        <f t="shared" si="92"/>
        <v>20.7</v>
      </c>
      <c r="BE181" s="1">
        <f t="shared" si="93"/>
        <v>1.8</v>
      </c>
      <c r="BF181" s="5">
        <f t="shared" si="103"/>
        <v>6.3</v>
      </c>
      <c r="BG181" s="5">
        <f t="shared" si="104"/>
        <v>5.6</v>
      </c>
      <c r="BH181" s="5">
        <f t="shared" si="105"/>
        <v>4.9000000000000004</v>
      </c>
      <c r="BI181" s="5" t="str">
        <f t="shared" si="106"/>
        <v>NAN</v>
      </c>
      <c r="BJ181" s="10">
        <f t="shared" si="107"/>
        <v>0.59299999999999997</v>
      </c>
      <c r="BK181" s="10">
        <f t="shared" si="108"/>
        <v>0.875</v>
      </c>
      <c r="BM181" s="1">
        <f t="shared" si="109"/>
        <v>8.0100000000000016</v>
      </c>
      <c r="BN181" s="1">
        <f t="shared" si="110"/>
        <v>-0.53700000000000014</v>
      </c>
    </row>
    <row r="182" spans="1:66" x14ac:dyDescent="0.2">
      <c r="A182" s="4">
        <f t="shared" si="111"/>
        <v>43642</v>
      </c>
      <c r="B182" s="1">
        <v>177</v>
      </c>
      <c r="C182" s="1">
        <v>12</v>
      </c>
      <c r="D182" s="5">
        <v>13.07</v>
      </c>
      <c r="E182" s="5">
        <v>16.86</v>
      </c>
      <c r="F182" s="5">
        <v>3.956</v>
      </c>
      <c r="G182" s="5">
        <v>8.69</v>
      </c>
      <c r="H182" s="5">
        <v>64.25</v>
      </c>
      <c r="I182" s="5">
        <v>8.4</v>
      </c>
      <c r="J182" s="5">
        <v>8.3800000000000008</v>
      </c>
      <c r="K182" s="5">
        <v>7.13</v>
      </c>
      <c r="L182" s="5">
        <v>6.0270000000000001</v>
      </c>
      <c r="M182" s="5">
        <v>4.9119999999999999</v>
      </c>
      <c r="N182" s="5">
        <v>14.27</v>
      </c>
      <c r="O182" s="5">
        <v>95.2</v>
      </c>
      <c r="P182" s="5">
        <v>20.55</v>
      </c>
      <c r="Q182" s="5">
        <v>16.53</v>
      </c>
      <c r="R182" s="5">
        <v>9.81</v>
      </c>
      <c r="S182" s="5">
        <v>6.8090000000000002</v>
      </c>
      <c r="T182" s="5">
        <v>5.0670000000000002</v>
      </c>
      <c r="U182" s="5">
        <v>4.1289999999999996</v>
      </c>
      <c r="V182" s="5">
        <v>35.659999999999997</v>
      </c>
      <c r="W182" s="5">
        <v>3.028</v>
      </c>
      <c r="X182" s="5">
        <v>3.266</v>
      </c>
      <c r="Y182" s="5">
        <v>4.766</v>
      </c>
      <c r="Z182" s="5">
        <v>5.3659999999999997</v>
      </c>
      <c r="AA182" s="5">
        <v>4.55</v>
      </c>
      <c r="AB182" s="5" t="s">
        <v>99</v>
      </c>
      <c r="AC182" s="5">
        <v>8.27</v>
      </c>
      <c r="AD182" s="5">
        <v>21.18</v>
      </c>
      <c r="AE182" s="5">
        <v>2.488</v>
      </c>
      <c r="AF182" s="5">
        <v>15.5</v>
      </c>
      <c r="AG182" s="5">
        <v>3.7040000000000002</v>
      </c>
      <c r="AI182" s="5" t="s">
        <v>99</v>
      </c>
      <c r="AK182" s="5">
        <v>0</v>
      </c>
      <c r="AN182" s="1">
        <f t="shared" si="94"/>
        <v>95.2</v>
      </c>
      <c r="AO182" s="1">
        <f t="shared" si="95"/>
        <v>64.3</v>
      </c>
      <c r="AP182" s="1">
        <f t="shared" si="96"/>
        <v>35.700000000000003</v>
      </c>
      <c r="AQ182" s="17">
        <f t="shared" ref="AQ182:AQ213" si="114">ROUND((0.6105*(EXP((17.273*N182)/(N182+237.3))))*AP182/100,3)</f>
        <v>0.58099999999999996</v>
      </c>
      <c r="AR182" s="22">
        <f t="shared" si="97"/>
        <v>1.046</v>
      </c>
      <c r="AT182" s="19">
        <f t="shared" si="89"/>
        <v>43642</v>
      </c>
      <c r="AU182" s="20">
        <f t="shared" si="90"/>
        <v>177</v>
      </c>
      <c r="AV182" s="1">
        <f t="shared" si="98"/>
        <v>8.6999999999999993</v>
      </c>
      <c r="AW182" s="1">
        <f t="shared" si="99"/>
        <v>14.3</v>
      </c>
      <c r="AX182" s="1">
        <f t="shared" si="100"/>
        <v>4.0999999999999996</v>
      </c>
      <c r="AY182" s="1">
        <f t="shared" si="86"/>
        <v>64.3</v>
      </c>
      <c r="AZ182" s="1">
        <f t="shared" si="87"/>
        <v>35.700000000000003</v>
      </c>
      <c r="BA182" s="1">
        <f t="shared" si="101"/>
        <v>0</v>
      </c>
      <c r="BB182" s="5" t="str">
        <f t="shared" si="102"/>
        <v>NAN</v>
      </c>
      <c r="BC182" s="1">
        <f t="shared" si="91"/>
        <v>8.3000000000000007</v>
      </c>
      <c r="BD182" s="1">
        <f t="shared" si="92"/>
        <v>21.2</v>
      </c>
      <c r="BE182" s="1">
        <f t="shared" si="93"/>
        <v>2.5</v>
      </c>
      <c r="BF182" s="5">
        <f t="shared" si="103"/>
        <v>7.1</v>
      </c>
      <c r="BG182" s="5">
        <f t="shared" si="104"/>
        <v>6</v>
      </c>
      <c r="BH182" s="5">
        <f t="shared" si="105"/>
        <v>4.9000000000000004</v>
      </c>
      <c r="BI182" s="5" t="str">
        <f t="shared" si="106"/>
        <v>NAN</v>
      </c>
      <c r="BJ182" s="10">
        <f t="shared" si="107"/>
        <v>0.58099999999999996</v>
      </c>
      <c r="BK182" s="10">
        <f t="shared" si="108"/>
        <v>1.046</v>
      </c>
      <c r="BM182" s="1">
        <f t="shared" si="109"/>
        <v>6.91</v>
      </c>
      <c r="BN182" s="1">
        <f t="shared" si="110"/>
        <v>-1.6409999999999996</v>
      </c>
    </row>
    <row r="183" spans="1:66" x14ac:dyDescent="0.2">
      <c r="A183" s="4">
        <f t="shared" si="111"/>
        <v>43643</v>
      </c>
      <c r="B183" s="1">
        <v>178</v>
      </c>
      <c r="C183" s="1">
        <v>12</v>
      </c>
      <c r="D183" s="5">
        <v>13.04</v>
      </c>
      <c r="E183" s="5">
        <v>11.84</v>
      </c>
      <c r="F183" s="5">
        <v>3.0139999999999998</v>
      </c>
      <c r="G183" s="5">
        <v>6.01</v>
      </c>
      <c r="H183" s="5">
        <v>85.6</v>
      </c>
      <c r="I183" s="5">
        <v>6.2</v>
      </c>
      <c r="J183" s="5">
        <v>6.024</v>
      </c>
      <c r="K183" s="5">
        <v>7.3550000000000004</v>
      </c>
      <c r="L183" s="5">
        <v>6.5330000000000004</v>
      </c>
      <c r="M183" s="5">
        <v>5.0460000000000003</v>
      </c>
      <c r="N183" s="5">
        <v>11.82</v>
      </c>
      <c r="O183" s="5">
        <v>96.9</v>
      </c>
      <c r="P183" s="5">
        <v>18.68</v>
      </c>
      <c r="Q183" s="5">
        <v>15.86</v>
      </c>
      <c r="R183" s="5">
        <v>12.46</v>
      </c>
      <c r="S183" s="5">
        <v>7.11</v>
      </c>
      <c r="T183" s="5">
        <v>5.2030000000000003</v>
      </c>
      <c r="U183" s="5">
        <v>2.3719999999999999</v>
      </c>
      <c r="V183" s="5">
        <v>47.09</v>
      </c>
      <c r="W183" s="5">
        <v>2.169</v>
      </c>
      <c r="X183" s="5">
        <v>2.089</v>
      </c>
      <c r="Y183" s="5">
        <v>5.6479999999999997</v>
      </c>
      <c r="Z183" s="5">
        <v>6.0629999999999997</v>
      </c>
      <c r="AA183" s="5">
        <v>4.9210000000000003</v>
      </c>
      <c r="AB183" s="5" t="s">
        <v>99</v>
      </c>
      <c r="AC183" s="5">
        <v>6.7210000000000001</v>
      </c>
      <c r="AD183" s="5">
        <v>17.690000000000001</v>
      </c>
      <c r="AE183" s="5">
        <v>3.21</v>
      </c>
      <c r="AF183" s="5">
        <v>11.99</v>
      </c>
      <c r="AG183" s="5">
        <v>2.242</v>
      </c>
      <c r="AI183" s="5" t="s">
        <v>99</v>
      </c>
      <c r="AK183" s="5">
        <v>0</v>
      </c>
      <c r="AN183" s="1">
        <f t="shared" si="94"/>
        <v>96.9</v>
      </c>
      <c r="AO183" s="1">
        <f t="shared" si="95"/>
        <v>85.6</v>
      </c>
      <c r="AP183" s="1">
        <f t="shared" si="96"/>
        <v>47.1</v>
      </c>
      <c r="AQ183" s="17">
        <f t="shared" si="114"/>
        <v>0.65300000000000002</v>
      </c>
      <c r="AR183" s="22">
        <f t="shared" si="97"/>
        <v>0.73299999999999998</v>
      </c>
      <c r="AT183" s="19">
        <f t="shared" si="89"/>
        <v>43643</v>
      </c>
      <c r="AU183" s="20">
        <f t="shared" si="90"/>
        <v>178</v>
      </c>
      <c r="AV183" s="1">
        <f t="shared" si="98"/>
        <v>6</v>
      </c>
      <c r="AW183" s="1">
        <f t="shared" si="99"/>
        <v>11.8</v>
      </c>
      <c r="AX183" s="1">
        <f t="shared" si="100"/>
        <v>2.4</v>
      </c>
      <c r="AY183" s="1">
        <f t="shared" si="86"/>
        <v>85.6</v>
      </c>
      <c r="AZ183" s="1">
        <f t="shared" si="87"/>
        <v>47.1</v>
      </c>
      <c r="BA183" s="1">
        <f t="shared" si="101"/>
        <v>0</v>
      </c>
      <c r="BB183" s="5" t="str">
        <f t="shared" si="102"/>
        <v>NAN</v>
      </c>
      <c r="BC183" s="1">
        <f t="shared" si="91"/>
        <v>6.7</v>
      </c>
      <c r="BD183" s="1">
        <f t="shared" si="92"/>
        <v>17.7</v>
      </c>
      <c r="BE183" s="1">
        <f t="shared" si="93"/>
        <v>3.2</v>
      </c>
      <c r="BF183" s="5">
        <f t="shared" si="103"/>
        <v>7.4</v>
      </c>
      <c r="BG183" s="5">
        <f t="shared" si="104"/>
        <v>6.5</v>
      </c>
      <c r="BH183" s="5">
        <f t="shared" si="105"/>
        <v>5</v>
      </c>
      <c r="BI183" s="5" t="str">
        <f t="shared" si="106"/>
        <v>NAN</v>
      </c>
      <c r="BJ183" s="10">
        <f t="shared" si="107"/>
        <v>0.65300000000000002</v>
      </c>
      <c r="BK183" s="10">
        <f t="shared" si="108"/>
        <v>0.73299999999999998</v>
      </c>
      <c r="BM183" s="1">
        <f t="shared" si="109"/>
        <v>5.870000000000001</v>
      </c>
      <c r="BN183" s="1">
        <f t="shared" si="110"/>
        <v>0.83800000000000008</v>
      </c>
    </row>
    <row r="184" spans="1:66" x14ac:dyDescent="0.2">
      <c r="A184" s="4">
        <f t="shared" si="111"/>
        <v>43644</v>
      </c>
      <c r="B184" s="1">
        <v>179</v>
      </c>
      <c r="C184" s="1">
        <v>12</v>
      </c>
      <c r="D184" s="5">
        <v>13.1</v>
      </c>
      <c r="E184" s="5">
        <v>12.21</v>
      </c>
      <c r="F184" s="5">
        <v>2.2679999999999998</v>
      </c>
      <c r="G184" s="5">
        <v>4.46</v>
      </c>
      <c r="H184" s="5">
        <v>85.5</v>
      </c>
      <c r="I184" s="5">
        <v>4.9669999999999996</v>
      </c>
      <c r="J184" s="5">
        <v>4.72</v>
      </c>
      <c r="K184" s="5">
        <v>6.8769999999999998</v>
      </c>
      <c r="L184" s="5">
        <v>6.319</v>
      </c>
      <c r="M184" s="5">
        <v>5.1349999999999998</v>
      </c>
      <c r="N184" s="5">
        <v>10.29</v>
      </c>
      <c r="O184" s="5">
        <v>97.5</v>
      </c>
      <c r="P184" s="5">
        <v>15.52</v>
      </c>
      <c r="Q184" s="5">
        <v>13.49</v>
      </c>
      <c r="R184" s="5">
        <v>12.3</v>
      </c>
      <c r="S184" s="5">
        <v>7.0119999999999996</v>
      </c>
      <c r="T184" s="5">
        <v>5.2809999999999997</v>
      </c>
      <c r="U184" s="5">
        <v>1.635</v>
      </c>
      <c r="V184" s="5">
        <v>51.51</v>
      </c>
      <c r="W184" s="5">
        <v>1.2030000000000001</v>
      </c>
      <c r="X184" s="5">
        <v>1.329</v>
      </c>
      <c r="Y184" s="5">
        <v>4.8230000000000004</v>
      </c>
      <c r="Z184" s="5">
        <v>5.7149999999999999</v>
      </c>
      <c r="AA184" s="5">
        <v>4.9870000000000001</v>
      </c>
      <c r="AB184" s="5" t="s">
        <v>99</v>
      </c>
      <c r="AC184" s="5">
        <v>5.9980000000000002</v>
      </c>
      <c r="AD184" s="5">
        <v>18.2</v>
      </c>
      <c r="AE184" s="5">
        <v>1.4970000000000001</v>
      </c>
      <c r="AF184" s="5">
        <v>10.76</v>
      </c>
      <c r="AG184" s="5">
        <v>1.5029999999999999</v>
      </c>
      <c r="AI184" s="5" t="s">
        <v>99</v>
      </c>
      <c r="AK184" s="5">
        <v>0</v>
      </c>
      <c r="AN184" s="1">
        <f t="shared" si="94"/>
        <v>97.5</v>
      </c>
      <c r="AO184" s="1">
        <f t="shared" si="95"/>
        <v>85.5</v>
      </c>
      <c r="AP184" s="1">
        <f t="shared" si="96"/>
        <v>51.5</v>
      </c>
      <c r="AQ184" s="17">
        <f t="shared" si="114"/>
        <v>0.64500000000000002</v>
      </c>
      <c r="AR184" s="22">
        <f t="shared" si="97"/>
        <v>0.60699999999999998</v>
      </c>
      <c r="AT184" s="19">
        <f t="shared" si="89"/>
        <v>43644</v>
      </c>
      <c r="AU184" s="20">
        <f t="shared" si="90"/>
        <v>179</v>
      </c>
      <c r="AV184" s="1">
        <f t="shared" si="98"/>
        <v>4.5</v>
      </c>
      <c r="AW184" s="1">
        <f t="shared" si="99"/>
        <v>10.3</v>
      </c>
      <c r="AX184" s="1">
        <f t="shared" si="100"/>
        <v>1.6</v>
      </c>
      <c r="AY184" s="1">
        <f t="shared" si="86"/>
        <v>85.5</v>
      </c>
      <c r="AZ184" s="1">
        <f t="shared" si="87"/>
        <v>51.5</v>
      </c>
      <c r="BA184" s="1">
        <f t="shared" si="101"/>
        <v>0</v>
      </c>
      <c r="BB184" s="5" t="str">
        <f t="shared" si="102"/>
        <v>NAN</v>
      </c>
      <c r="BC184" s="1">
        <f t="shared" si="91"/>
        <v>6</v>
      </c>
      <c r="BD184" s="1">
        <f t="shared" si="92"/>
        <v>18.2</v>
      </c>
      <c r="BE184" s="1">
        <f t="shared" si="93"/>
        <v>1.5</v>
      </c>
      <c r="BF184" s="5">
        <f t="shared" si="103"/>
        <v>6.9</v>
      </c>
      <c r="BG184" s="5">
        <f t="shared" si="104"/>
        <v>6.3</v>
      </c>
      <c r="BH184" s="5">
        <f t="shared" si="105"/>
        <v>5.0999999999999996</v>
      </c>
      <c r="BI184" s="5" t="str">
        <f t="shared" si="106"/>
        <v>NAN</v>
      </c>
      <c r="BJ184" s="10">
        <f t="shared" si="107"/>
        <v>0.64500000000000002</v>
      </c>
      <c r="BK184" s="10">
        <f t="shared" si="108"/>
        <v>0.60699999999999998</v>
      </c>
      <c r="BM184" s="1">
        <f t="shared" si="109"/>
        <v>7.91</v>
      </c>
      <c r="BN184" s="1">
        <f t="shared" si="110"/>
        <v>-0.1379999999999999</v>
      </c>
    </row>
    <row r="185" spans="1:66" x14ac:dyDescent="0.2">
      <c r="A185" s="4">
        <f t="shared" si="111"/>
        <v>43645</v>
      </c>
      <c r="B185" s="1">
        <v>180</v>
      </c>
      <c r="C185" s="1">
        <v>12</v>
      </c>
      <c r="D185" s="5">
        <v>13.05</v>
      </c>
      <c r="E185" s="5">
        <v>10.45</v>
      </c>
      <c r="F185" s="5">
        <v>1.032</v>
      </c>
      <c r="G185" s="5">
        <v>5.6790000000000003</v>
      </c>
      <c r="H185" s="5">
        <v>75.98</v>
      </c>
      <c r="I185" s="5">
        <v>5.5860000000000003</v>
      </c>
      <c r="J185" s="5">
        <v>5.5679999999999996</v>
      </c>
      <c r="K185" s="5">
        <v>6.0060000000000002</v>
      </c>
      <c r="L185" s="5">
        <v>5.9290000000000003</v>
      </c>
      <c r="M185" s="5">
        <v>5.17</v>
      </c>
      <c r="N185" s="5">
        <v>9.86</v>
      </c>
      <c r="O185" s="5">
        <v>92.3</v>
      </c>
      <c r="P185" s="5">
        <v>10.7</v>
      </c>
      <c r="Q185" s="5">
        <v>11.69</v>
      </c>
      <c r="R185" s="5">
        <v>7.6660000000000004</v>
      </c>
      <c r="S185" s="5">
        <v>6.585</v>
      </c>
      <c r="T185" s="5">
        <v>5.2690000000000001</v>
      </c>
      <c r="U185" s="5">
        <v>0.76300000000000001</v>
      </c>
      <c r="V185" s="5">
        <v>56.55</v>
      </c>
      <c r="W185" s="5">
        <v>0.33300000000000002</v>
      </c>
      <c r="X185" s="5">
        <v>0.36699999999999999</v>
      </c>
      <c r="Y185" s="5">
        <v>4.0739999999999998</v>
      </c>
      <c r="Z185" s="5">
        <v>5.4509999999999996</v>
      </c>
      <c r="AA185" s="5">
        <v>5.0359999999999996</v>
      </c>
      <c r="AB185" s="5" t="s">
        <v>99</v>
      </c>
      <c r="AC185" s="5">
        <v>5.7460000000000004</v>
      </c>
      <c r="AD185" s="5">
        <v>14.96</v>
      </c>
      <c r="AE185" s="5">
        <v>0.65500000000000003</v>
      </c>
      <c r="AF185" s="5">
        <v>10.17</v>
      </c>
      <c r="AG185" s="5">
        <v>0.53300000000000003</v>
      </c>
      <c r="AI185" s="5" t="s">
        <v>99</v>
      </c>
      <c r="AK185" s="5">
        <v>0</v>
      </c>
      <c r="AN185" s="1">
        <f t="shared" si="94"/>
        <v>92.3</v>
      </c>
      <c r="AO185" s="1">
        <f t="shared" si="95"/>
        <v>76</v>
      </c>
      <c r="AP185" s="1">
        <f t="shared" si="96"/>
        <v>56.6</v>
      </c>
      <c r="AQ185" s="17">
        <f t="shared" si="114"/>
        <v>0.68799999999999994</v>
      </c>
      <c r="AR185" s="22">
        <f t="shared" si="97"/>
        <v>0.52800000000000002</v>
      </c>
      <c r="AT185" s="19">
        <f t="shared" si="89"/>
        <v>43645</v>
      </c>
      <c r="AU185" s="20">
        <f t="shared" si="90"/>
        <v>180</v>
      </c>
      <c r="AV185" s="1">
        <f t="shared" si="98"/>
        <v>5.7</v>
      </c>
      <c r="AW185" s="1">
        <f t="shared" si="99"/>
        <v>9.9</v>
      </c>
      <c r="AX185" s="1">
        <f t="shared" si="100"/>
        <v>0.8</v>
      </c>
      <c r="AY185" s="1">
        <f t="shared" si="86"/>
        <v>76</v>
      </c>
      <c r="AZ185" s="1">
        <f t="shared" si="87"/>
        <v>56.6</v>
      </c>
      <c r="BA185" s="1">
        <f t="shared" si="101"/>
        <v>0</v>
      </c>
      <c r="BB185" s="5" t="str">
        <f t="shared" si="102"/>
        <v>NAN</v>
      </c>
      <c r="BC185" s="1">
        <f t="shared" si="91"/>
        <v>5.7</v>
      </c>
      <c r="BD185" s="1">
        <f t="shared" si="92"/>
        <v>15</v>
      </c>
      <c r="BE185" s="1">
        <f t="shared" si="93"/>
        <v>0.7</v>
      </c>
      <c r="BF185" s="5">
        <f t="shared" si="103"/>
        <v>6</v>
      </c>
      <c r="BG185" s="5">
        <f t="shared" si="104"/>
        <v>5.9</v>
      </c>
      <c r="BH185" s="5">
        <f t="shared" si="105"/>
        <v>5.2</v>
      </c>
      <c r="BI185" s="5" t="str">
        <f t="shared" si="106"/>
        <v>NAN</v>
      </c>
      <c r="BJ185" s="10">
        <f t="shared" si="107"/>
        <v>0.68799999999999994</v>
      </c>
      <c r="BK185" s="10">
        <f t="shared" si="108"/>
        <v>0.52800000000000002</v>
      </c>
      <c r="BM185" s="1">
        <f t="shared" si="109"/>
        <v>5.1000000000000014</v>
      </c>
      <c r="BN185" s="1">
        <f t="shared" si="110"/>
        <v>-0.10799999999999998</v>
      </c>
    </row>
    <row r="186" spans="1:66" x14ac:dyDescent="0.2">
      <c r="A186" s="4">
        <f t="shared" si="111"/>
        <v>43646</v>
      </c>
      <c r="B186" s="1">
        <v>181</v>
      </c>
      <c r="C186" s="1">
        <v>12</v>
      </c>
      <c r="D186" s="5">
        <v>13.1</v>
      </c>
      <c r="E186" s="5">
        <v>16.22</v>
      </c>
      <c r="F186" s="5">
        <v>4.3220000000000001</v>
      </c>
      <c r="G186" s="5">
        <v>9.17</v>
      </c>
      <c r="H186" s="5">
        <v>64.2</v>
      </c>
      <c r="I186" s="5">
        <v>8.52</v>
      </c>
      <c r="J186" s="5">
        <v>8.65</v>
      </c>
      <c r="K186" s="5">
        <v>7.19</v>
      </c>
      <c r="L186" s="5">
        <v>6.0869999999999997</v>
      </c>
      <c r="M186" s="5">
        <v>5.13</v>
      </c>
      <c r="N186" s="5">
        <v>15.69</v>
      </c>
      <c r="O186" s="5">
        <v>82.4</v>
      </c>
      <c r="P186" s="5">
        <v>18.21</v>
      </c>
      <c r="Q186" s="5">
        <v>17.260000000000002</v>
      </c>
      <c r="R186" s="5">
        <v>10.14</v>
      </c>
      <c r="S186" s="5">
        <v>6.8769999999999998</v>
      </c>
      <c r="T186" s="5">
        <v>5.2460000000000004</v>
      </c>
      <c r="U186" s="5">
        <v>4.5339999999999998</v>
      </c>
      <c r="V186" s="5">
        <v>37.96</v>
      </c>
      <c r="W186" s="5">
        <v>3.395</v>
      </c>
      <c r="X186" s="5">
        <v>3.669</v>
      </c>
      <c r="Y186" s="5">
        <v>4.7729999999999997</v>
      </c>
      <c r="Z186" s="5">
        <v>5.4939999999999998</v>
      </c>
      <c r="AA186" s="5">
        <v>4.7930000000000001</v>
      </c>
      <c r="AB186" s="5" t="s">
        <v>99</v>
      </c>
      <c r="AC186" s="5">
        <v>8.1199999999999992</v>
      </c>
      <c r="AD186" s="5">
        <v>18.59</v>
      </c>
      <c r="AE186" s="5">
        <v>3.0750000000000002</v>
      </c>
      <c r="AF186" s="5">
        <v>15.88</v>
      </c>
      <c r="AG186" s="5">
        <v>4.2480000000000002</v>
      </c>
      <c r="AI186" s="5" t="s">
        <v>99</v>
      </c>
      <c r="AK186" s="5">
        <v>0</v>
      </c>
      <c r="AN186" s="1">
        <f t="shared" si="94"/>
        <v>82.4</v>
      </c>
      <c r="AO186" s="1">
        <f t="shared" si="95"/>
        <v>64.2</v>
      </c>
      <c r="AP186" s="1">
        <f t="shared" si="96"/>
        <v>38</v>
      </c>
      <c r="AQ186" s="17">
        <f t="shared" si="114"/>
        <v>0.67700000000000005</v>
      </c>
      <c r="AR186" s="22">
        <f t="shared" si="97"/>
        <v>1.105</v>
      </c>
      <c r="AT186" s="19">
        <f t="shared" si="89"/>
        <v>43646</v>
      </c>
      <c r="AU186" s="20">
        <f t="shared" si="90"/>
        <v>181</v>
      </c>
      <c r="AV186" s="1">
        <f t="shared" si="98"/>
        <v>9.1999999999999993</v>
      </c>
      <c r="AW186" s="1">
        <f t="shared" si="99"/>
        <v>15.7</v>
      </c>
      <c r="AX186" s="1">
        <f t="shared" si="100"/>
        <v>4.5</v>
      </c>
      <c r="AY186" s="1">
        <f t="shared" si="86"/>
        <v>64.2</v>
      </c>
      <c r="AZ186" s="1">
        <f t="shared" si="87"/>
        <v>38</v>
      </c>
      <c r="BA186" s="1">
        <f t="shared" si="101"/>
        <v>0</v>
      </c>
      <c r="BB186" s="5" t="str">
        <f t="shared" si="102"/>
        <v>NAN</v>
      </c>
      <c r="BC186" s="1">
        <f t="shared" si="91"/>
        <v>8.1</v>
      </c>
      <c r="BD186" s="1">
        <f t="shared" si="92"/>
        <v>18.600000000000001</v>
      </c>
      <c r="BE186" s="1">
        <f t="shared" si="93"/>
        <v>3.1</v>
      </c>
      <c r="BF186" s="5">
        <f t="shared" si="103"/>
        <v>7.2</v>
      </c>
      <c r="BG186" s="5">
        <f t="shared" si="104"/>
        <v>6.1</v>
      </c>
      <c r="BH186" s="5">
        <f t="shared" si="105"/>
        <v>5.0999999999999996</v>
      </c>
      <c r="BI186" s="5" t="str">
        <f t="shared" si="106"/>
        <v>NAN</v>
      </c>
      <c r="BJ186" s="10">
        <f t="shared" si="107"/>
        <v>0.67700000000000005</v>
      </c>
      <c r="BK186" s="10">
        <f t="shared" si="108"/>
        <v>1.105</v>
      </c>
      <c r="BM186" s="1">
        <f t="shared" si="109"/>
        <v>2.9000000000000004</v>
      </c>
      <c r="BN186" s="1">
        <f t="shared" si="110"/>
        <v>-1.4589999999999996</v>
      </c>
    </row>
    <row r="187" spans="1:66" x14ac:dyDescent="0.2">
      <c r="A187" s="4">
        <f t="shared" si="111"/>
        <v>43647</v>
      </c>
      <c r="B187" s="1">
        <v>182</v>
      </c>
      <c r="C187" s="1">
        <v>12</v>
      </c>
      <c r="D187" s="5">
        <v>13.03</v>
      </c>
      <c r="E187" s="5">
        <v>19.36</v>
      </c>
      <c r="F187" s="5">
        <v>7.2249999999999996</v>
      </c>
      <c r="G187" s="5">
        <v>12.02</v>
      </c>
      <c r="H187" s="5">
        <v>54.89</v>
      </c>
      <c r="I187" s="5">
        <v>11.7</v>
      </c>
      <c r="J187" s="5">
        <v>11.74</v>
      </c>
      <c r="K187" s="5">
        <v>8.89</v>
      </c>
      <c r="L187" s="5">
        <v>6.952</v>
      </c>
      <c r="M187" s="5">
        <v>5.194</v>
      </c>
      <c r="N187" s="5">
        <v>17.97</v>
      </c>
      <c r="O187" s="5">
        <v>78.17</v>
      </c>
      <c r="P187" s="5">
        <v>27.33</v>
      </c>
      <c r="Q187" s="5">
        <v>24.68</v>
      </c>
      <c r="R187" s="5">
        <v>14.71</v>
      </c>
      <c r="S187" s="5">
        <v>8.01</v>
      </c>
      <c r="T187" s="5">
        <v>5.3470000000000004</v>
      </c>
      <c r="U187" s="5">
        <v>7.7030000000000003</v>
      </c>
      <c r="V187" s="5">
        <v>29.21</v>
      </c>
      <c r="W187" s="5">
        <v>6.0149999999999997</v>
      </c>
      <c r="X187" s="5">
        <v>6.3449999999999998</v>
      </c>
      <c r="Y187" s="5">
        <v>6.0609999999999999</v>
      </c>
      <c r="Z187" s="5">
        <v>6.1550000000000002</v>
      </c>
      <c r="AA187" s="5">
        <v>4.9820000000000002</v>
      </c>
      <c r="AB187" s="5" t="s">
        <v>99</v>
      </c>
      <c r="AC187" s="5">
        <v>11.43</v>
      </c>
      <c r="AD187" s="5">
        <v>32.22</v>
      </c>
      <c r="AE187" s="5">
        <v>5.2670000000000003</v>
      </c>
      <c r="AF187" s="5">
        <v>19.72</v>
      </c>
      <c r="AG187" s="5">
        <v>7.3049999999999997</v>
      </c>
      <c r="AI187" s="5" t="s">
        <v>99</v>
      </c>
      <c r="AK187" s="5">
        <v>0</v>
      </c>
      <c r="AN187" s="1">
        <f t="shared" si="94"/>
        <v>78.2</v>
      </c>
      <c r="AO187" s="1">
        <f t="shared" si="95"/>
        <v>54.9</v>
      </c>
      <c r="AP187" s="1">
        <f t="shared" si="96"/>
        <v>29.2</v>
      </c>
      <c r="AQ187" s="17">
        <f t="shared" si="114"/>
        <v>0.60099999999999998</v>
      </c>
      <c r="AR187" s="22">
        <f t="shared" si="97"/>
        <v>1.4570000000000001</v>
      </c>
      <c r="AT187" s="19">
        <f t="shared" si="89"/>
        <v>43647</v>
      </c>
      <c r="AU187" s="20">
        <f t="shared" si="90"/>
        <v>182</v>
      </c>
      <c r="AV187" s="1">
        <f t="shared" si="98"/>
        <v>12</v>
      </c>
      <c r="AW187" s="1">
        <f t="shared" si="99"/>
        <v>18</v>
      </c>
      <c r="AX187" s="1">
        <f t="shared" si="100"/>
        <v>7.7</v>
      </c>
      <c r="AY187" s="1">
        <f t="shared" si="86"/>
        <v>54.9</v>
      </c>
      <c r="AZ187" s="1">
        <f t="shared" si="87"/>
        <v>29.2</v>
      </c>
      <c r="BA187" s="1">
        <f t="shared" si="101"/>
        <v>0</v>
      </c>
      <c r="BB187" s="5" t="str">
        <f t="shared" si="102"/>
        <v>NAN</v>
      </c>
      <c r="BC187" s="1">
        <f t="shared" si="91"/>
        <v>11.4</v>
      </c>
      <c r="BD187" s="1">
        <f t="shared" si="92"/>
        <v>32.200000000000003</v>
      </c>
      <c r="BE187" s="1">
        <f t="shared" si="93"/>
        <v>5.3</v>
      </c>
      <c r="BF187" s="5">
        <f t="shared" si="103"/>
        <v>8.9</v>
      </c>
      <c r="BG187" s="5">
        <f t="shared" si="104"/>
        <v>7</v>
      </c>
      <c r="BH187" s="5">
        <f t="shared" si="105"/>
        <v>5.2</v>
      </c>
      <c r="BI187" s="5" t="str">
        <f t="shared" si="106"/>
        <v>NAN</v>
      </c>
      <c r="BJ187" s="10">
        <f t="shared" si="107"/>
        <v>0.60099999999999998</v>
      </c>
      <c r="BK187" s="10">
        <f t="shared" si="108"/>
        <v>1.4570000000000001</v>
      </c>
      <c r="BM187" s="1">
        <f t="shared" si="109"/>
        <v>14.25</v>
      </c>
      <c r="BN187" s="1">
        <f t="shared" si="110"/>
        <v>-2.4359999999999999</v>
      </c>
    </row>
    <row r="188" spans="1:66" x14ac:dyDescent="0.2">
      <c r="A188" s="4">
        <f t="shared" si="111"/>
        <v>43648</v>
      </c>
      <c r="B188" s="1">
        <v>183</v>
      </c>
      <c r="C188" s="1">
        <v>12</v>
      </c>
      <c r="D188" s="5">
        <v>13.07</v>
      </c>
      <c r="E188" s="5">
        <v>12.79</v>
      </c>
      <c r="F188" s="5">
        <v>7.532</v>
      </c>
      <c r="G188" s="5">
        <v>9</v>
      </c>
      <c r="H188" s="5">
        <v>77.209999999999994</v>
      </c>
      <c r="I188" s="5">
        <v>9.01</v>
      </c>
      <c r="J188" s="5">
        <v>9.01</v>
      </c>
      <c r="K188" s="5">
        <v>8.4499999999999993</v>
      </c>
      <c r="L188" s="5">
        <v>7.4390000000000001</v>
      </c>
      <c r="M188" s="5">
        <v>5.415</v>
      </c>
      <c r="N188" s="5">
        <v>12.52</v>
      </c>
      <c r="O188" s="5">
        <v>93.4</v>
      </c>
      <c r="P188" s="5">
        <v>13.54</v>
      </c>
      <c r="Q188" s="5">
        <v>13.41</v>
      </c>
      <c r="R188" s="5">
        <v>9.84</v>
      </c>
      <c r="S188" s="5">
        <v>7.8250000000000002</v>
      </c>
      <c r="T188" s="5">
        <v>5.6059999999999999</v>
      </c>
      <c r="U188" s="5">
        <v>6.7910000000000004</v>
      </c>
      <c r="V188" s="5">
        <v>52.25</v>
      </c>
      <c r="W188" s="5">
        <v>6.508</v>
      </c>
      <c r="X188" s="5">
        <v>6.702</v>
      </c>
      <c r="Y188" s="5">
        <v>7.4969999999999999</v>
      </c>
      <c r="Z188" s="5">
        <v>7.1029999999999998</v>
      </c>
      <c r="AA188" s="5">
        <v>5.2350000000000003</v>
      </c>
      <c r="AB188" s="5" t="s">
        <v>99</v>
      </c>
      <c r="AC188" s="5">
        <v>9.31</v>
      </c>
      <c r="AD188" s="5">
        <v>19.190000000000001</v>
      </c>
      <c r="AE188" s="5">
        <v>6.1820000000000004</v>
      </c>
      <c r="AF188" s="5">
        <v>12.15</v>
      </c>
      <c r="AG188" s="5">
        <v>6.9059999999999997</v>
      </c>
      <c r="AI188" s="5" t="s">
        <v>99</v>
      </c>
      <c r="AK188" s="5">
        <v>0</v>
      </c>
      <c r="AN188" s="1">
        <f t="shared" si="94"/>
        <v>93.4</v>
      </c>
      <c r="AO188" s="1">
        <f t="shared" si="95"/>
        <v>77.2</v>
      </c>
      <c r="AP188" s="1">
        <f t="shared" si="96"/>
        <v>52.3</v>
      </c>
      <c r="AQ188" s="17">
        <f t="shared" si="114"/>
        <v>0.75900000000000001</v>
      </c>
      <c r="AR188" s="22">
        <f t="shared" si="97"/>
        <v>0.69199999999999995</v>
      </c>
      <c r="AT188" s="19">
        <f t="shared" si="89"/>
        <v>43648</v>
      </c>
      <c r="AU188" s="20">
        <f t="shared" si="90"/>
        <v>183</v>
      </c>
      <c r="AV188" s="1">
        <f t="shared" si="98"/>
        <v>9</v>
      </c>
      <c r="AW188" s="1">
        <f t="shared" si="99"/>
        <v>12.5</v>
      </c>
      <c r="AX188" s="1">
        <f t="shared" si="100"/>
        <v>6.8</v>
      </c>
      <c r="AY188" s="1">
        <f t="shared" si="86"/>
        <v>77.2</v>
      </c>
      <c r="AZ188" s="1">
        <f t="shared" si="87"/>
        <v>52.3</v>
      </c>
      <c r="BA188" s="1">
        <f t="shared" si="101"/>
        <v>0</v>
      </c>
      <c r="BB188" s="5" t="str">
        <f t="shared" si="102"/>
        <v>NAN</v>
      </c>
      <c r="BC188" s="1">
        <f t="shared" si="91"/>
        <v>9.3000000000000007</v>
      </c>
      <c r="BD188" s="1">
        <f t="shared" si="92"/>
        <v>19.2</v>
      </c>
      <c r="BE188" s="1">
        <f t="shared" si="93"/>
        <v>6.2</v>
      </c>
      <c r="BF188" s="5">
        <f t="shared" si="103"/>
        <v>8.5</v>
      </c>
      <c r="BG188" s="5">
        <f t="shared" si="104"/>
        <v>7.4</v>
      </c>
      <c r="BH188" s="5">
        <f t="shared" si="105"/>
        <v>5.4</v>
      </c>
      <c r="BI188" s="5" t="str">
        <f t="shared" si="106"/>
        <v>NAN</v>
      </c>
      <c r="BJ188" s="10">
        <f t="shared" si="107"/>
        <v>0.75900000000000001</v>
      </c>
      <c r="BK188" s="10">
        <f t="shared" si="108"/>
        <v>0.69199999999999995</v>
      </c>
      <c r="BM188" s="1">
        <f t="shared" si="109"/>
        <v>6.6700000000000017</v>
      </c>
      <c r="BN188" s="1">
        <f t="shared" si="110"/>
        <v>-0.60899999999999999</v>
      </c>
    </row>
    <row r="189" spans="1:66" x14ac:dyDescent="0.2">
      <c r="A189" s="4">
        <f t="shared" si="111"/>
        <v>43649</v>
      </c>
      <c r="B189" s="1">
        <v>184</v>
      </c>
      <c r="C189" s="1">
        <v>12</v>
      </c>
      <c r="D189" s="5">
        <v>13.04</v>
      </c>
      <c r="E189" s="5">
        <v>17.66</v>
      </c>
      <c r="F189" s="5">
        <v>5.7649999999999997</v>
      </c>
      <c r="G189" s="5">
        <v>10.58</v>
      </c>
      <c r="H189" s="5">
        <v>63.37</v>
      </c>
      <c r="I189" s="5">
        <v>10.67</v>
      </c>
      <c r="J189" s="5">
        <v>10.62</v>
      </c>
      <c r="K189" s="5">
        <v>9.11</v>
      </c>
      <c r="L189" s="5">
        <v>7.4889999999999999</v>
      </c>
      <c r="M189" s="5">
        <v>5.5750000000000002</v>
      </c>
      <c r="N189" s="5">
        <v>15.68</v>
      </c>
      <c r="O189" s="5">
        <v>86.7</v>
      </c>
      <c r="P189" s="5">
        <v>24.42</v>
      </c>
      <c r="Q189" s="5">
        <v>22.04</v>
      </c>
      <c r="R189" s="5">
        <v>15.94</v>
      </c>
      <c r="S189" s="5">
        <v>8.39</v>
      </c>
      <c r="T189" s="5">
        <v>5.7110000000000003</v>
      </c>
      <c r="U189" s="5">
        <v>5.8860000000000001</v>
      </c>
      <c r="V189" s="5">
        <v>32.75</v>
      </c>
      <c r="W189" s="5">
        <v>4.9459999999999997</v>
      </c>
      <c r="X189" s="5">
        <v>5.165</v>
      </c>
      <c r="Y189" s="5">
        <v>6.3319999999999999</v>
      </c>
      <c r="Z189" s="5">
        <v>6.7640000000000002</v>
      </c>
      <c r="AA189" s="5">
        <v>5.4279999999999999</v>
      </c>
      <c r="AB189" s="5" t="s">
        <v>99</v>
      </c>
      <c r="AC189" s="5">
        <v>10.92</v>
      </c>
      <c r="AD189" s="5">
        <v>29.78</v>
      </c>
      <c r="AE189" s="5">
        <v>4.6740000000000004</v>
      </c>
      <c r="AF189" s="5">
        <v>16.989999999999998</v>
      </c>
      <c r="AG189" s="5">
        <v>5.5579999999999998</v>
      </c>
      <c r="AI189" s="5" t="s">
        <v>99</v>
      </c>
      <c r="AK189" s="5">
        <v>0</v>
      </c>
      <c r="AN189" s="1">
        <f t="shared" si="94"/>
        <v>86.7</v>
      </c>
      <c r="AO189" s="1">
        <f t="shared" si="95"/>
        <v>63.4</v>
      </c>
      <c r="AP189" s="1">
        <f t="shared" si="96"/>
        <v>32.799999999999997</v>
      </c>
      <c r="AQ189" s="17">
        <f t="shared" si="114"/>
        <v>0.58399999999999996</v>
      </c>
      <c r="AR189" s="22">
        <f t="shared" si="97"/>
        <v>1.196</v>
      </c>
      <c r="AT189" s="19">
        <f t="shared" si="89"/>
        <v>43649</v>
      </c>
      <c r="AU189" s="20">
        <f t="shared" si="90"/>
        <v>184</v>
      </c>
      <c r="AV189" s="1">
        <f t="shared" si="98"/>
        <v>10.6</v>
      </c>
      <c r="AW189" s="1">
        <f t="shared" si="99"/>
        <v>15.7</v>
      </c>
      <c r="AX189" s="1">
        <f t="shared" si="100"/>
        <v>5.9</v>
      </c>
      <c r="AY189" s="1">
        <f t="shared" si="86"/>
        <v>63.4</v>
      </c>
      <c r="AZ189" s="1">
        <f t="shared" si="87"/>
        <v>32.799999999999997</v>
      </c>
      <c r="BA189" s="1">
        <f t="shared" si="101"/>
        <v>0</v>
      </c>
      <c r="BB189" s="5" t="str">
        <f t="shared" si="102"/>
        <v>NAN</v>
      </c>
      <c r="BC189" s="1">
        <f t="shared" si="91"/>
        <v>10.9</v>
      </c>
      <c r="BD189" s="1">
        <f t="shared" si="92"/>
        <v>29.8</v>
      </c>
      <c r="BE189" s="1">
        <f t="shared" si="93"/>
        <v>4.7</v>
      </c>
      <c r="BF189" s="5">
        <f t="shared" si="103"/>
        <v>9.1</v>
      </c>
      <c r="BG189" s="5">
        <f t="shared" si="104"/>
        <v>7.5</v>
      </c>
      <c r="BH189" s="5">
        <f t="shared" si="105"/>
        <v>5.6</v>
      </c>
      <c r="BI189" s="5" t="str">
        <f t="shared" si="106"/>
        <v>NAN</v>
      </c>
      <c r="BJ189" s="10">
        <f t="shared" si="107"/>
        <v>0.58399999999999996</v>
      </c>
      <c r="BK189" s="10">
        <f t="shared" si="108"/>
        <v>1.196</v>
      </c>
      <c r="BM189" s="1">
        <f t="shared" si="109"/>
        <v>14.100000000000001</v>
      </c>
      <c r="BN189" s="1">
        <f t="shared" si="110"/>
        <v>-1.2119999999999997</v>
      </c>
    </row>
    <row r="190" spans="1:66" x14ac:dyDescent="0.2">
      <c r="A190" s="4">
        <f t="shared" si="111"/>
        <v>43650</v>
      </c>
      <c r="B190" s="1">
        <v>185</v>
      </c>
      <c r="C190" s="1">
        <v>12</v>
      </c>
      <c r="D190" s="5">
        <v>12.97</v>
      </c>
      <c r="E190" s="5">
        <v>12.16</v>
      </c>
      <c r="F190" s="5">
        <v>7.3559999999999999</v>
      </c>
      <c r="G190" s="5">
        <v>8.76</v>
      </c>
      <c r="H190" s="5">
        <v>85</v>
      </c>
      <c r="I190" s="5">
        <v>8.89</v>
      </c>
      <c r="J190" s="5">
        <v>8.8699999999999992</v>
      </c>
      <c r="K190" s="5">
        <v>8.8000000000000007</v>
      </c>
      <c r="L190" s="5">
        <v>7.8410000000000002</v>
      </c>
      <c r="M190" s="5">
        <v>5.7389999999999999</v>
      </c>
      <c r="N190" s="5">
        <v>11.57</v>
      </c>
      <c r="O190" s="5">
        <v>93.9</v>
      </c>
      <c r="P190" s="5">
        <v>14.55</v>
      </c>
      <c r="Q190" s="5">
        <v>14.37</v>
      </c>
      <c r="R190" s="5">
        <v>10.33</v>
      </c>
      <c r="S190" s="5">
        <v>8.25</v>
      </c>
      <c r="T190" s="5">
        <v>5.89</v>
      </c>
      <c r="U190" s="5">
        <v>6.8579999999999997</v>
      </c>
      <c r="V190" s="5">
        <v>69.64</v>
      </c>
      <c r="W190" s="5">
        <v>6.5039999999999996</v>
      </c>
      <c r="X190" s="5">
        <v>6.5830000000000002</v>
      </c>
      <c r="Y190" s="5">
        <v>7.8559999999999999</v>
      </c>
      <c r="Z190" s="5">
        <v>7.524</v>
      </c>
      <c r="AA190" s="5">
        <v>5.5819999999999999</v>
      </c>
      <c r="AB190" s="5" t="s">
        <v>99</v>
      </c>
      <c r="AC190" s="5">
        <v>9.24</v>
      </c>
      <c r="AD190" s="5">
        <v>16.739999999999998</v>
      </c>
      <c r="AE190" s="5">
        <v>6.36</v>
      </c>
      <c r="AF190" s="5">
        <v>11.83</v>
      </c>
      <c r="AG190" s="5">
        <v>6.6959999999999997</v>
      </c>
      <c r="AI190" s="5" t="s">
        <v>99</v>
      </c>
      <c r="AK190" s="5">
        <v>0</v>
      </c>
      <c r="AN190" s="1">
        <f t="shared" si="94"/>
        <v>93.9</v>
      </c>
      <c r="AO190" s="1">
        <f t="shared" si="95"/>
        <v>85</v>
      </c>
      <c r="AP190" s="1">
        <f t="shared" si="96"/>
        <v>69.599999999999994</v>
      </c>
      <c r="AQ190" s="17">
        <f t="shared" si="114"/>
        <v>0.94899999999999995</v>
      </c>
      <c r="AR190" s="22">
        <f t="shared" si="97"/>
        <v>0.41499999999999998</v>
      </c>
      <c r="AT190" s="19">
        <f t="shared" si="89"/>
        <v>43650</v>
      </c>
      <c r="AU190" s="20">
        <f t="shared" si="90"/>
        <v>185</v>
      </c>
      <c r="AV190" s="1">
        <f t="shared" si="98"/>
        <v>8.8000000000000007</v>
      </c>
      <c r="AW190" s="1">
        <f t="shared" si="99"/>
        <v>11.6</v>
      </c>
      <c r="AX190" s="1">
        <f t="shared" si="100"/>
        <v>6.9</v>
      </c>
      <c r="AY190" s="1">
        <f t="shared" si="86"/>
        <v>85</v>
      </c>
      <c r="AZ190" s="1">
        <f t="shared" si="87"/>
        <v>69.599999999999994</v>
      </c>
      <c r="BA190" s="1">
        <f t="shared" si="101"/>
        <v>0</v>
      </c>
      <c r="BB190" s="5" t="str">
        <f t="shared" si="102"/>
        <v>NAN</v>
      </c>
      <c r="BC190" s="1">
        <f t="shared" si="91"/>
        <v>9.1999999999999993</v>
      </c>
      <c r="BD190" s="1">
        <f t="shared" si="92"/>
        <v>16.7</v>
      </c>
      <c r="BE190" s="1">
        <f t="shared" si="93"/>
        <v>6.4</v>
      </c>
      <c r="BF190" s="5">
        <f t="shared" si="103"/>
        <v>8.8000000000000007</v>
      </c>
      <c r="BG190" s="5">
        <f t="shared" si="104"/>
        <v>7.8</v>
      </c>
      <c r="BH190" s="5">
        <f t="shared" si="105"/>
        <v>5.7</v>
      </c>
      <c r="BI190" s="5" t="str">
        <f t="shared" si="106"/>
        <v>NAN</v>
      </c>
      <c r="BJ190" s="10">
        <f t="shared" si="107"/>
        <v>0.94899999999999995</v>
      </c>
      <c r="BK190" s="10">
        <f t="shared" si="108"/>
        <v>0.41499999999999998</v>
      </c>
      <c r="BM190" s="1">
        <f t="shared" si="109"/>
        <v>5.1699999999999982</v>
      </c>
      <c r="BN190" s="1">
        <f t="shared" si="110"/>
        <v>-0.49799999999999933</v>
      </c>
    </row>
    <row r="191" spans="1:66" x14ac:dyDescent="0.2">
      <c r="A191" s="4">
        <f t="shared" si="111"/>
        <v>43651</v>
      </c>
      <c r="B191" s="1">
        <v>186</v>
      </c>
      <c r="C191" s="1">
        <v>12</v>
      </c>
      <c r="D191" s="5">
        <v>12.86</v>
      </c>
      <c r="E191" s="5">
        <v>12.19</v>
      </c>
      <c r="F191" s="5">
        <v>5.9820000000000002</v>
      </c>
      <c r="G191" s="5">
        <v>7.63</v>
      </c>
      <c r="H191" s="5">
        <v>89.6</v>
      </c>
      <c r="I191" s="5">
        <v>7.6980000000000004</v>
      </c>
      <c r="J191" s="5">
        <v>7.5869999999999997</v>
      </c>
      <c r="K191" s="5">
        <v>8.35</v>
      </c>
      <c r="L191" s="5">
        <v>7.6379999999999999</v>
      </c>
      <c r="M191" s="5">
        <v>5.8970000000000002</v>
      </c>
      <c r="N191" s="5">
        <v>12.66</v>
      </c>
      <c r="O191" s="5">
        <v>97.6</v>
      </c>
      <c r="P191" s="5">
        <v>13.8</v>
      </c>
      <c r="Q191" s="5">
        <v>13.47</v>
      </c>
      <c r="R191" s="5">
        <v>11.57</v>
      </c>
      <c r="S191" s="5">
        <v>8.02</v>
      </c>
      <c r="T191" s="5">
        <v>6.1870000000000003</v>
      </c>
      <c r="U191" s="5">
        <v>5.6159999999999997</v>
      </c>
      <c r="V191" s="5">
        <v>59.66</v>
      </c>
      <c r="W191" s="5">
        <v>5.4820000000000002</v>
      </c>
      <c r="X191" s="5">
        <v>5.47</v>
      </c>
      <c r="Y191" s="5">
        <v>7.0979999999999999</v>
      </c>
      <c r="Z191" s="5">
        <v>7.2089999999999996</v>
      </c>
      <c r="AA191" s="5">
        <v>5.7460000000000004</v>
      </c>
      <c r="AB191" s="5" t="s">
        <v>99</v>
      </c>
      <c r="AC191" s="5">
        <v>8.07</v>
      </c>
      <c r="AD191" s="5">
        <v>15.63</v>
      </c>
      <c r="AE191" s="5">
        <v>5.7080000000000002</v>
      </c>
      <c r="AF191" s="5">
        <v>12.81</v>
      </c>
      <c r="AG191" s="5">
        <v>5.52</v>
      </c>
      <c r="AI191" s="5" t="s">
        <v>99</v>
      </c>
      <c r="AK191" s="5">
        <v>0</v>
      </c>
      <c r="AN191" s="1">
        <f t="shared" si="94"/>
        <v>97.6</v>
      </c>
      <c r="AO191" s="1">
        <f t="shared" si="95"/>
        <v>89.6</v>
      </c>
      <c r="AP191" s="1">
        <f t="shared" si="96"/>
        <v>59.7</v>
      </c>
      <c r="AQ191" s="17">
        <f t="shared" si="114"/>
        <v>0.874</v>
      </c>
      <c r="AR191" s="22">
        <f t="shared" si="97"/>
        <v>0.59</v>
      </c>
      <c r="AT191" s="19">
        <f t="shared" si="89"/>
        <v>43651</v>
      </c>
      <c r="AU191" s="20">
        <f t="shared" si="90"/>
        <v>186</v>
      </c>
      <c r="AV191" s="1">
        <f t="shared" si="98"/>
        <v>7.6</v>
      </c>
      <c r="AW191" s="1">
        <f t="shared" si="99"/>
        <v>12.7</v>
      </c>
      <c r="AX191" s="1">
        <f t="shared" si="100"/>
        <v>5.6</v>
      </c>
      <c r="AY191" s="1">
        <f t="shared" si="86"/>
        <v>89.6</v>
      </c>
      <c r="AZ191" s="1">
        <f t="shared" si="87"/>
        <v>59.7</v>
      </c>
      <c r="BA191" s="1">
        <f t="shared" si="101"/>
        <v>0</v>
      </c>
      <c r="BB191" s="5" t="str">
        <f t="shared" si="102"/>
        <v>NAN</v>
      </c>
      <c r="BC191" s="1">
        <f t="shared" si="91"/>
        <v>8.1</v>
      </c>
      <c r="BD191" s="1">
        <f t="shared" si="92"/>
        <v>15.6</v>
      </c>
      <c r="BE191" s="1">
        <f t="shared" si="93"/>
        <v>5.7</v>
      </c>
      <c r="BF191" s="5">
        <f t="shared" si="103"/>
        <v>8.4</v>
      </c>
      <c r="BG191" s="5">
        <f t="shared" si="104"/>
        <v>7.6</v>
      </c>
      <c r="BH191" s="5">
        <f t="shared" si="105"/>
        <v>5.9</v>
      </c>
      <c r="BI191" s="5" t="str">
        <f t="shared" si="106"/>
        <v>NAN</v>
      </c>
      <c r="BJ191" s="10">
        <f t="shared" si="107"/>
        <v>0.874</v>
      </c>
      <c r="BK191" s="10">
        <f t="shared" si="108"/>
        <v>0.59</v>
      </c>
      <c r="BM191" s="1">
        <f t="shared" si="109"/>
        <v>2.9700000000000006</v>
      </c>
      <c r="BN191" s="1">
        <f t="shared" si="110"/>
        <v>9.2000000000000526E-2</v>
      </c>
    </row>
    <row r="192" spans="1:66" x14ac:dyDescent="0.2">
      <c r="A192" s="4">
        <f t="shared" si="111"/>
        <v>43652</v>
      </c>
      <c r="B192" s="1">
        <v>187</v>
      </c>
      <c r="C192" s="1">
        <v>12</v>
      </c>
      <c r="D192" s="5">
        <v>13</v>
      </c>
      <c r="E192" s="5">
        <v>12.07</v>
      </c>
      <c r="F192" s="5">
        <v>5.2249999999999996</v>
      </c>
      <c r="G192" s="5">
        <v>7.4329999999999998</v>
      </c>
      <c r="H192" s="5">
        <v>87.5</v>
      </c>
      <c r="I192" s="5">
        <v>7.5389999999999997</v>
      </c>
      <c r="J192" s="5">
        <v>7.2880000000000003</v>
      </c>
      <c r="K192" s="5">
        <v>8.2899999999999991</v>
      </c>
      <c r="L192" s="5">
        <v>7.4539999999999997</v>
      </c>
      <c r="M192" s="5">
        <v>6.0880000000000001</v>
      </c>
      <c r="N192" s="5">
        <v>10.97</v>
      </c>
      <c r="O192" s="5">
        <v>97.4</v>
      </c>
      <c r="P192" s="5">
        <v>18.79</v>
      </c>
      <c r="Q192" s="5">
        <v>15.14</v>
      </c>
      <c r="R192" s="5">
        <v>11.78</v>
      </c>
      <c r="S192" s="5">
        <v>8</v>
      </c>
      <c r="T192" s="5">
        <v>6.2320000000000002</v>
      </c>
      <c r="U192" s="5">
        <v>4.5350000000000001</v>
      </c>
      <c r="V192" s="5">
        <v>70.53</v>
      </c>
      <c r="W192" s="5">
        <v>4.1660000000000004</v>
      </c>
      <c r="X192" s="5">
        <v>4.1980000000000004</v>
      </c>
      <c r="Y192" s="5">
        <v>6.6429999999999998</v>
      </c>
      <c r="Z192" s="5">
        <v>6.9359999999999999</v>
      </c>
      <c r="AA192" s="5">
        <v>5.94</v>
      </c>
      <c r="AB192" s="5" t="s">
        <v>99</v>
      </c>
      <c r="AC192" s="5">
        <v>8.07</v>
      </c>
      <c r="AD192" s="5">
        <v>19.93</v>
      </c>
      <c r="AE192" s="5">
        <v>4.1440000000000001</v>
      </c>
      <c r="AF192" s="5">
        <v>11.4</v>
      </c>
      <c r="AG192" s="5">
        <v>4.4000000000000004</v>
      </c>
      <c r="AI192" s="5" t="s">
        <v>99</v>
      </c>
      <c r="AK192" s="5">
        <v>0</v>
      </c>
      <c r="AN192" s="1">
        <f t="shared" si="94"/>
        <v>97.4</v>
      </c>
      <c r="AO192" s="1">
        <f t="shared" si="95"/>
        <v>87.5</v>
      </c>
      <c r="AP192" s="1">
        <f t="shared" si="96"/>
        <v>70.5</v>
      </c>
      <c r="AQ192" s="17">
        <f t="shared" si="114"/>
        <v>0.92300000000000004</v>
      </c>
      <c r="AR192" s="22">
        <f t="shared" si="97"/>
        <v>0.38600000000000001</v>
      </c>
      <c r="AT192" s="19">
        <f t="shared" si="89"/>
        <v>43652</v>
      </c>
      <c r="AU192" s="20">
        <f t="shared" si="90"/>
        <v>187</v>
      </c>
      <c r="AV192" s="1">
        <f t="shared" si="98"/>
        <v>7.4</v>
      </c>
      <c r="AW192" s="1">
        <f t="shared" si="99"/>
        <v>11</v>
      </c>
      <c r="AX192" s="1">
        <f t="shared" si="100"/>
        <v>4.5</v>
      </c>
      <c r="AY192" s="1">
        <f t="shared" si="86"/>
        <v>87.5</v>
      </c>
      <c r="AZ192" s="1">
        <f t="shared" si="87"/>
        <v>70.5</v>
      </c>
      <c r="BA192" s="1">
        <f t="shared" si="101"/>
        <v>0</v>
      </c>
      <c r="BB192" s="5" t="str">
        <f t="shared" si="102"/>
        <v>NAN</v>
      </c>
      <c r="BC192" s="1">
        <f t="shared" si="91"/>
        <v>8.1</v>
      </c>
      <c r="BD192" s="1">
        <f t="shared" si="92"/>
        <v>19.899999999999999</v>
      </c>
      <c r="BE192" s="1">
        <f t="shared" si="93"/>
        <v>4.0999999999999996</v>
      </c>
      <c r="BF192" s="5">
        <f t="shared" si="103"/>
        <v>8.3000000000000007</v>
      </c>
      <c r="BG192" s="5">
        <f t="shared" si="104"/>
        <v>7.5</v>
      </c>
      <c r="BH192" s="5">
        <f t="shared" si="105"/>
        <v>6.1</v>
      </c>
      <c r="BI192" s="5" t="str">
        <f t="shared" si="106"/>
        <v>NAN</v>
      </c>
      <c r="BJ192" s="10">
        <f t="shared" si="107"/>
        <v>0.92300000000000004</v>
      </c>
      <c r="BK192" s="10">
        <f t="shared" si="108"/>
        <v>0.38600000000000001</v>
      </c>
      <c r="BM192" s="1">
        <f t="shared" si="109"/>
        <v>8.9599999999999991</v>
      </c>
      <c r="BN192" s="1">
        <f t="shared" si="110"/>
        <v>-0.39100000000000001</v>
      </c>
    </row>
    <row r="193" spans="1:66" x14ac:dyDescent="0.2">
      <c r="A193" s="4">
        <f t="shared" si="111"/>
        <v>43653</v>
      </c>
      <c r="B193" s="1">
        <v>188</v>
      </c>
      <c r="C193" s="1">
        <v>12</v>
      </c>
      <c r="D193" s="5">
        <v>13.06</v>
      </c>
      <c r="E193" s="5">
        <v>13.56</v>
      </c>
      <c r="F193" s="5">
        <v>4.4509999999999996</v>
      </c>
      <c r="G193" s="5">
        <v>7.1929999999999996</v>
      </c>
      <c r="H193" s="5">
        <v>81.3</v>
      </c>
      <c r="I193" s="5">
        <v>7.3890000000000002</v>
      </c>
      <c r="J193" s="5">
        <v>7.3109999999999999</v>
      </c>
      <c r="K193" s="5">
        <v>7.9870000000000001</v>
      </c>
      <c r="L193" s="5">
        <v>7.306</v>
      </c>
      <c r="M193" s="5">
        <v>5.9779999999999998</v>
      </c>
      <c r="N193" s="5">
        <v>11.91</v>
      </c>
      <c r="O193" s="5">
        <v>92.9</v>
      </c>
      <c r="P193" s="5">
        <v>17.91</v>
      </c>
      <c r="Q193" s="5">
        <v>15.67</v>
      </c>
      <c r="R193" s="5">
        <v>11.04</v>
      </c>
      <c r="S193" s="5">
        <v>7.859</v>
      </c>
      <c r="T193" s="5">
        <v>6.0780000000000003</v>
      </c>
      <c r="U193" s="5">
        <v>4.2640000000000002</v>
      </c>
      <c r="V193" s="5">
        <v>56.81</v>
      </c>
      <c r="W193" s="5">
        <v>3.9889999999999999</v>
      </c>
      <c r="X193" s="5">
        <v>4.0209999999999999</v>
      </c>
      <c r="Y193" s="5">
        <v>6.1719999999999997</v>
      </c>
      <c r="Z193" s="5">
        <v>6.8029999999999999</v>
      </c>
      <c r="AA193" s="5">
        <v>5.7670000000000003</v>
      </c>
      <c r="AB193" s="5" t="s">
        <v>99</v>
      </c>
      <c r="AC193" s="5">
        <v>7.8460000000000001</v>
      </c>
      <c r="AD193" s="5">
        <v>19.48</v>
      </c>
      <c r="AE193" s="5">
        <v>4.1040000000000001</v>
      </c>
      <c r="AF193" s="5">
        <v>11.84</v>
      </c>
      <c r="AG193" s="5">
        <v>4.117</v>
      </c>
      <c r="AI193" s="5" t="s">
        <v>99</v>
      </c>
      <c r="AK193" s="5">
        <v>0</v>
      </c>
      <c r="AN193" s="1">
        <f t="shared" si="94"/>
        <v>92.9</v>
      </c>
      <c r="AO193" s="1">
        <f t="shared" si="95"/>
        <v>81.3</v>
      </c>
      <c r="AP193" s="1">
        <f t="shared" si="96"/>
        <v>56.8</v>
      </c>
      <c r="AQ193" s="17">
        <f t="shared" si="114"/>
        <v>0.79200000000000004</v>
      </c>
      <c r="AR193" s="22">
        <f t="shared" si="97"/>
        <v>0.60199999999999998</v>
      </c>
      <c r="AT193" s="19">
        <f t="shared" si="89"/>
        <v>43653</v>
      </c>
      <c r="AU193" s="20">
        <f t="shared" si="90"/>
        <v>188</v>
      </c>
      <c r="AV193" s="1">
        <f t="shared" si="98"/>
        <v>7.2</v>
      </c>
      <c r="AW193" s="1">
        <f t="shared" si="99"/>
        <v>11.9</v>
      </c>
      <c r="AX193" s="1">
        <f t="shared" si="100"/>
        <v>4.3</v>
      </c>
      <c r="AY193" s="1">
        <f t="shared" si="86"/>
        <v>81.3</v>
      </c>
      <c r="AZ193" s="1">
        <f t="shared" si="87"/>
        <v>56.8</v>
      </c>
      <c r="BA193" s="1">
        <f t="shared" si="101"/>
        <v>0</v>
      </c>
      <c r="BB193" s="5" t="str">
        <f t="shared" si="102"/>
        <v>NAN</v>
      </c>
      <c r="BC193" s="1">
        <f t="shared" si="91"/>
        <v>7.8</v>
      </c>
      <c r="BD193" s="1">
        <f t="shared" si="92"/>
        <v>19.5</v>
      </c>
      <c r="BE193" s="1">
        <f t="shared" si="93"/>
        <v>4.0999999999999996</v>
      </c>
      <c r="BF193" s="5">
        <f t="shared" si="103"/>
        <v>8</v>
      </c>
      <c r="BG193" s="5">
        <f t="shared" si="104"/>
        <v>7.3</v>
      </c>
      <c r="BH193" s="5">
        <f t="shared" si="105"/>
        <v>6</v>
      </c>
      <c r="BI193" s="5" t="str">
        <f t="shared" si="106"/>
        <v>NAN</v>
      </c>
      <c r="BJ193" s="10">
        <f t="shared" si="107"/>
        <v>0.79200000000000004</v>
      </c>
      <c r="BK193" s="10">
        <f t="shared" si="108"/>
        <v>0.60199999999999998</v>
      </c>
      <c r="BM193" s="1">
        <f t="shared" si="109"/>
        <v>7.57</v>
      </c>
      <c r="BN193" s="1">
        <f t="shared" si="110"/>
        <v>-0.16000000000000014</v>
      </c>
    </row>
    <row r="194" spans="1:66" x14ac:dyDescent="0.2">
      <c r="A194" s="4">
        <f t="shared" si="111"/>
        <v>43654</v>
      </c>
      <c r="B194" s="1">
        <v>189</v>
      </c>
      <c r="C194" s="1">
        <v>12</v>
      </c>
      <c r="D194" s="5">
        <v>13.06</v>
      </c>
      <c r="E194" s="5">
        <v>13.33</v>
      </c>
      <c r="F194" s="5">
        <v>4.5789999999999997</v>
      </c>
      <c r="G194" s="5">
        <v>8.26</v>
      </c>
      <c r="H194" s="5">
        <v>80.2</v>
      </c>
      <c r="I194" s="5">
        <v>7.69</v>
      </c>
      <c r="J194" s="5">
        <v>7.6849999999999996</v>
      </c>
      <c r="K194" s="5">
        <v>7.8840000000000003</v>
      </c>
      <c r="L194" s="5">
        <v>7.1680000000000001</v>
      </c>
      <c r="M194" s="5">
        <v>5.9710000000000001</v>
      </c>
      <c r="N194" s="5">
        <v>13.06</v>
      </c>
      <c r="O194" s="5">
        <v>95.5</v>
      </c>
      <c r="P194" s="5">
        <v>14.88</v>
      </c>
      <c r="Q194" s="5">
        <v>14.53</v>
      </c>
      <c r="R194" s="5">
        <v>12.02</v>
      </c>
      <c r="S194" s="5">
        <v>7.694</v>
      </c>
      <c r="T194" s="5">
        <v>6.1059999999999999</v>
      </c>
      <c r="U194" s="5">
        <v>4.5</v>
      </c>
      <c r="V194" s="5">
        <v>54.65</v>
      </c>
      <c r="W194" s="5">
        <v>3.8359999999999999</v>
      </c>
      <c r="X194" s="5">
        <v>3.9750000000000001</v>
      </c>
      <c r="Y194" s="5">
        <v>5.9160000000000004</v>
      </c>
      <c r="Z194" s="5">
        <v>6.6790000000000003</v>
      </c>
      <c r="AA194" s="5">
        <v>5.7939999999999996</v>
      </c>
      <c r="AB194" s="5" t="s">
        <v>99</v>
      </c>
      <c r="AC194" s="5">
        <v>7.7110000000000003</v>
      </c>
      <c r="AD194" s="5">
        <v>15.64</v>
      </c>
      <c r="AE194" s="5">
        <v>1.135</v>
      </c>
      <c r="AF194" s="5">
        <v>12.8</v>
      </c>
      <c r="AG194" s="5">
        <v>4.29</v>
      </c>
      <c r="AI194" s="5" t="s">
        <v>99</v>
      </c>
      <c r="AK194" s="5">
        <v>0</v>
      </c>
      <c r="AN194" s="1">
        <f t="shared" si="94"/>
        <v>95.5</v>
      </c>
      <c r="AO194" s="1">
        <f t="shared" si="95"/>
        <v>80.2</v>
      </c>
      <c r="AP194" s="1">
        <f t="shared" si="96"/>
        <v>54.7</v>
      </c>
      <c r="AQ194" s="17">
        <f t="shared" si="114"/>
        <v>0.82199999999999995</v>
      </c>
      <c r="AR194" s="22">
        <f t="shared" si="97"/>
        <v>0.68100000000000005</v>
      </c>
      <c r="AT194" s="19">
        <f t="shared" si="89"/>
        <v>43654</v>
      </c>
      <c r="AU194" s="20">
        <f t="shared" si="90"/>
        <v>189</v>
      </c>
      <c r="AV194" s="1">
        <f t="shared" si="98"/>
        <v>8.3000000000000007</v>
      </c>
      <c r="AW194" s="1">
        <f t="shared" si="99"/>
        <v>13.1</v>
      </c>
      <c r="AX194" s="1">
        <f t="shared" si="100"/>
        <v>4.5</v>
      </c>
      <c r="AY194" s="1">
        <f t="shared" si="86"/>
        <v>80.2</v>
      </c>
      <c r="AZ194" s="1">
        <f t="shared" si="87"/>
        <v>54.7</v>
      </c>
      <c r="BA194" s="1">
        <f t="shared" si="101"/>
        <v>0</v>
      </c>
      <c r="BB194" s="5" t="str">
        <f t="shared" si="102"/>
        <v>NAN</v>
      </c>
      <c r="BC194" s="1">
        <f t="shared" si="91"/>
        <v>7.7</v>
      </c>
      <c r="BD194" s="1">
        <f t="shared" si="92"/>
        <v>15.6</v>
      </c>
      <c r="BE194" s="1">
        <f t="shared" si="93"/>
        <v>1.1000000000000001</v>
      </c>
      <c r="BF194" s="5">
        <f t="shared" si="103"/>
        <v>7.9</v>
      </c>
      <c r="BG194" s="5">
        <f t="shared" si="104"/>
        <v>7.2</v>
      </c>
      <c r="BH194" s="5">
        <f t="shared" si="105"/>
        <v>6</v>
      </c>
      <c r="BI194" s="5" t="str">
        <f t="shared" si="106"/>
        <v>NAN</v>
      </c>
      <c r="BJ194" s="10">
        <f t="shared" si="107"/>
        <v>0.82199999999999995</v>
      </c>
      <c r="BK194" s="10">
        <f t="shared" si="108"/>
        <v>0.68100000000000005</v>
      </c>
      <c r="BM194" s="1">
        <f t="shared" si="109"/>
        <v>2.58</v>
      </c>
      <c r="BN194" s="1">
        <f t="shared" si="110"/>
        <v>-3.3650000000000002</v>
      </c>
    </row>
    <row r="195" spans="1:66" x14ac:dyDescent="0.2">
      <c r="A195" s="4">
        <f t="shared" si="111"/>
        <v>43655</v>
      </c>
      <c r="B195" s="1">
        <v>190</v>
      </c>
      <c r="C195" s="1">
        <v>12</v>
      </c>
      <c r="D195" s="5">
        <v>13.01</v>
      </c>
      <c r="E195" s="5">
        <v>16.41</v>
      </c>
      <c r="F195" s="5">
        <v>6.94</v>
      </c>
      <c r="G195" s="5">
        <v>11.64</v>
      </c>
      <c r="H195" s="5">
        <v>67.260000000000005</v>
      </c>
      <c r="I195" s="5">
        <v>10.74</v>
      </c>
      <c r="J195" s="5">
        <v>10.88</v>
      </c>
      <c r="K195" s="5">
        <v>8.91</v>
      </c>
      <c r="L195" s="5">
        <v>7.5019999999999998</v>
      </c>
      <c r="M195" s="5">
        <v>5.9740000000000002</v>
      </c>
      <c r="N195" s="5">
        <v>15.99</v>
      </c>
      <c r="O195" s="5">
        <v>82.8</v>
      </c>
      <c r="P195" s="5">
        <v>19.18</v>
      </c>
      <c r="Q195" s="5">
        <v>18.170000000000002</v>
      </c>
      <c r="R195" s="5">
        <v>11.33</v>
      </c>
      <c r="S195" s="5">
        <v>8.2799999999999994</v>
      </c>
      <c r="T195" s="5">
        <v>6.0839999999999996</v>
      </c>
      <c r="U195" s="5">
        <v>7.298</v>
      </c>
      <c r="V195" s="5">
        <v>50.48</v>
      </c>
      <c r="W195" s="5">
        <v>5.9139999999999997</v>
      </c>
      <c r="X195" s="5">
        <v>6.1760000000000002</v>
      </c>
      <c r="Y195" s="5">
        <v>6.5990000000000002</v>
      </c>
      <c r="Z195" s="5">
        <v>6.8680000000000003</v>
      </c>
      <c r="AA195" s="5">
        <v>5.8319999999999999</v>
      </c>
      <c r="AB195" s="5" t="s">
        <v>99</v>
      </c>
      <c r="AC195" s="5">
        <v>9.94</v>
      </c>
      <c r="AD195" s="5">
        <v>19.57</v>
      </c>
      <c r="AE195" s="5">
        <v>5.5019999999999998</v>
      </c>
      <c r="AF195" s="5">
        <v>16</v>
      </c>
      <c r="AG195" s="5">
        <v>6.9829999999999997</v>
      </c>
      <c r="AI195" s="5" t="s">
        <v>99</v>
      </c>
      <c r="AK195" s="5">
        <v>0</v>
      </c>
      <c r="AN195" s="1">
        <f t="shared" si="94"/>
        <v>82.8</v>
      </c>
      <c r="AO195" s="1">
        <f t="shared" si="95"/>
        <v>67.3</v>
      </c>
      <c r="AP195" s="1">
        <f t="shared" si="96"/>
        <v>50.5</v>
      </c>
      <c r="AQ195" s="17">
        <f t="shared" si="114"/>
        <v>0.91700000000000004</v>
      </c>
      <c r="AR195" s="22">
        <f t="shared" si="97"/>
        <v>0.89900000000000002</v>
      </c>
      <c r="AT195" s="19">
        <f t="shared" si="89"/>
        <v>43655</v>
      </c>
      <c r="AU195" s="20">
        <f t="shared" si="90"/>
        <v>190</v>
      </c>
      <c r="AV195" s="1">
        <f t="shared" si="98"/>
        <v>11.6</v>
      </c>
      <c r="AW195" s="1">
        <f t="shared" si="99"/>
        <v>16</v>
      </c>
      <c r="AX195" s="1">
        <f t="shared" si="100"/>
        <v>7.3</v>
      </c>
      <c r="AY195" s="1">
        <f t="shared" si="86"/>
        <v>67.3</v>
      </c>
      <c r="AZ195" s="1">
        <f t="shared" si="87"/>
        <v>50.5</v>
      </c>
      <c r="BA195" s="1">
        <f t="shared" si="101"/>
        <v>0</v>
      </c>
      <c r="BB195" s="5" t="str">
        <f t="shared" si="102"/>
        <v>NAN</v>
      </c>
      <c r="BC195" s="1">
        <f t="shared" si="91"/>
        <v>9.9</v>
      </c>
      <c r="BD195" s="1">
        <f t="shared" si="92"/>
        <v>19.600000000000001</v>
      </c>
      <c r="BE195" s="1">
        <f t="shared" si="93"/>
        <v>5.5</v>
      </c>
      <c r="BF195" s="5">
        <f t="shared" si="103"/>
        <v>8.9</v>
      </c>
      <c r="BG195" s="5">
        <f t="shared" si="104"/>
        <v>7.5</v>
      </c>
      <c r="BH195" s="5">
        <f t="shared" si="105"/>
        <v>6</v>
      </c>
      <c r="BI195" s="5" t="str">
        <f t="shared" si="106"/>
        <v>NAN</v>
      </c>
      <c r="BJ195" s="10">
        <f t="shared" si="107"/>
        <v>0.91700000000000004</v>
      </c>
      <c r="BK195" s="10">
        <f t="shared" si="108"/>
        <v>0.89900000000000002</v>
      </c>
      <c r="BM195" s="1">
        <f t="shared" si="109"/>
        <v>3.58</v>
      </c>
      <c r="BN195" s="1">
        <f t="shared" si="110"/>
        <v>-1.7960000000000003</v>
      </c>
    </row>
    <row r="196" spans="1:66" x14ac:dyDescent="0.2">
      <c r="A196" s="4">
        <f t="shared" si="111"/>
        <v>43656</v>
      </c>
      <c r="B196" s="1">
        <v>191</v>
      </c>
      <c r="C196" s="1">
        <v>12</v>
      </c>
      <c r="D196" s="5">
        <v>12.95</v>
      </c>
      <c r="E196" s="5">
        <v>15.77</v>
      </c>
      <c r="F196" s="5">
        <v>7.7939999999999996</v>
      </c>
      <c r="G196" s="5">
        <v>10.029999999999999</v>
      </c>
      <c r="H196" s="5">
        <v>86</v>
      </c>
      <c r="I196" s="5">
        <v>9.86</v>
      </c>
      <c r="J196" s="5">
        <v>9.84</v>
      </c>
      <c r="K196" s="5">
        <v>9.65</v>
      </c>
      <c r="L196" s="5">
        <v>8.1999999999999993</v>
      </c>
      <c r="M196" s="5">
        <v>6.085</v>
      </c>
      <c r="N196" s="5">
        <v>15.39</v>
      </c>
      <c r="O196" s="5">
        <v>96.6</v>
      </c>
      <c r="P196" s="5">
        <v>21.12</v>
      </c>
      <c r="Q196" s="5">
        <v>19.28</v>
      </c>
      <c r="R196" s="5">
        <v>13.35</v>
      </c>
      <c r="S196" s="5">
        <v>8.74</v>
      </c>
      <c r="T196" s="5">
        <v>6.2270000000000003</v>
      </c>
      <c r="U196" s="5">
        <v>7.601</v>
      </c>
      <c r="V196" s="5">
        <v>60.15</v>
      </c>
      <c r="W196" s="5">
        <v>6.8860000000000001</v>
      </c>
      <c r="X196" s="5">
        <v>6.84</v>
      </c>
      <c r="Y196" s="5">
        <v>8.33</v>
      </c>
      <c r="Z196" s="5">
        <v>7.7370000000000001</v>
      </c>
      <c r="AA196" s="5">
        <v>5.9080000000000004</v>
      </c>
      <c r="AB196" s="5" t="s">
        <v>99</v>
      </c>
      <c r="AC196" s="5">
        <v>10.07</v>
      </c>
      <c r="AD196" s="5">
        <v>22.69</v>
      </c>
      <c r="AE196" s="5">
        <v>6.827</v>
      </c>
      <c r="AF196" s="5">
        <v>16.22</v>
      </c>
      <c r="AG196" s="5">
        <v>7.2939999999999996</v>
      </c>
      <c r="AI196" s="5" t="s">
        <v>99</v>
      </c>
      <c r="AK196" s="5">
        <v>0</v>
      </c>
      <c r="AN196" s="1">
        <f t="shared" si="94"/>
        <v>96.6</v>
      </c>
      <c r="AO196" s="1">
        <f t="shared" si="95"/>
        <v>86</v>
      </c>
      <c r="AP196" s="1">
        <f t="shared" si="96"/>
        <v>60.2</v>
      </c>
      <c r="AQ196" s="17">
        <f t="shared" si="114"/>
        <v>1.052</v>
      </c>
      <c r="AR196" s="22">
        <f t="shared" si="97"/>
        <v>0.69599999999999995</v>
      </c>
      <c r="AT196" s="19">
        <f t="shared" si="89"/>
        <v>43656</v>
      </c>
      <c r="AU196" s="20">
        <f t="shared" si="90"/>
        <v>191</v>
      </c>
      <c r="AV196" s="1">
        <f t="shared" si="98"/>
        <v>10</v>
      </c>
      <c r="AW196" s="1">
        <f t="shared" si="99"/>
        <v>15.4</v>
      </c>
      <c r="AX196" s="1">
        <f t="shared" si="100"/>
        <v>7.6</v>
      </c>
      <c r="AY196" s="1">
        <f t="shared" si="86"/>
        <v>86</v>
      </c>
      <c r="AZ196" s="1">
        <f t="shared" si="87"/>
        <v>60.2</v>
      </c>
      <c r="BA196" s="1">
        <f t="shared" si="101"/>
        <v>0</v>
      </c>
      <c r="BB196" s="5" t="str">
        <f t="shared" si="102"/>
        <v>NAN</v>
      </c>
      <c r="BC196" s="1">
        <f t="shared" si="91"/>
        <v>10.1</v>
      </c>
      <c r="BD196" s="1">
        <f t="shared" si="92"/>
        <v>22.7</v>
      </c>
      <c r="BE196" s="1">
        <f t="shared" si="93"/>
        <v>6.8</v>
      </c>
      <c r="BF196" s="5">
        <f t="shared" si="103"/>
        <v>9.6999999999999993</v>
      </c>
      <c r="BG196" s="5">
        <f t="shared" si="104"/>
        <v>8.1999999999999993</v>
      </c>
      <c r="BH196" s="5">
        <f t="shared" si="105"/>
        <v>6.1</v>
      </c>
      <c r="BI196" s="5" t="str">
        <f t="shared" si="106"/>
        <v>NAN</v>
      </c>
      <c r="BJ196" s="10">
        <f t="shared" si="107"/>
        <v>1.052</v>
      </c>
      <c r="BK196" s="10">
        <f t="shared" si="108"/>
        <v>0.69599999999999995</v>
      </c>
      <c r="BM196" s="1">
        <f t="shared" si="109"/>
        <v>7.3000000000000007</v>
      </c>
      <c r="BN196" s="1">
        <f t="shared" si="110"/>
        <v>-0.77400000000000002</v>
      </c>
    </row>
    <row r="197" spans="1:66" x14ac:dyDescent="0.2">
      <c r="A197" s="4">
        <f t="shared" si="111"/>
        <v>43657</v>
      </c>
      <c r="B197" s="1">
        <v>192</v>
      </c>
      <c r="C197" s="1">
        <v>12</v>
      </c>
      <c r="D197" s="5">
        <v>12.95</v>
      </c>
      <c r="E197" s="5">
        <v>14.25</v>
      </c>
      <c r="F197" s="5">
        <v>6.8970000000000002</v>
      </c>
      <c r="G197" s="5">
        <v>9.9600000000000009</v>
      </c>
      <c r="H197" s="5">
        <v>81.2</v>
      </c>
      <c r="I197" s="5">
        <v>9.68</v>
      </c>
      <c r="J197" s="5">
        <v>9.57</v>
      </c>
      <c r="K197" s="5">
        <v>9.5</v>
      </c>
      <c r="L197" s="5">
        <v>8.24</v>
      </c>
      <c r="M197" s="5">
        <v>6.2569999999999997</v>
      </c>
      <c r="N197" s="5">
        <v>14.24</v>
      </c>
      <c r="O197" s="5">
        <v>96.1</v>
      </c>
      <c r="P197" s="5">
        <v>18.38</v>
      </c>
      <c r="Q197" s="5">
        <v>16.649999999999999</v>
      </c>
      <c r="R197" s="5">
        <v>11.66</v>
      </c>
      <c r="S197" s="5">
        <v>8.73</v>
      </c>
      <c r="T197" s="5">
        <v>6.4</v>
      </c>
      <c r="U197" s="5">
        <v>6.7569999999999997</v>
      </c>
      <c r="V197" s="5">
        <v>56.53</v>
      </c>
      <c r="W197" s="5">
        <v>6.27</v>
      </c>
      <c r="X197" s="5">
        <v>6.27</v>
      </c>
      <c r="Y197" s="5">
        <v>7.7469999999999999</v>
      </c>
      <c r="Z197" s="5">
        <v>7.7169999999999996</v>
      </c>
      <c r="AA197" s="5">
        <v>6.1040000000000001</v>
      </c>
      <c r="AB197" s="5" t="s">
        <v>99</v>
      </c>
      <c r="AC197" s="5">
        <v>9.7899999999999991</v>
      </c>
      <c r="AD197" s="5">
        <v>17.45</v>
      </c>
      <c r="AE197" s="5">
        <v>6.359</v>
      </c>
      <c r="AF197" s="5">
        <v>14.02</v>
      </c>
      <c r="AG197" s="5">
        <v>6.3869999999999996</v>
      </c>
      <c r="AI197" s="5" t="s">
        <v>99</v>
      </c>
      <c r="AK197" s="5">
        <v>0</v>
      </c>
      <c r="AN197" s="1">
        <f t="shared" si="94"/>
        <v>96.1</v>
      </c>
      <c r="AO197" s="1">
        <f t="shared" si="95"/>
        <v>81.2</v>
      </c>
      <c r="AP197" s="1">
        <f t="shared" si="96"/>
        <v>56.5</v>
      </c>
      <c r="AQ197" s="17">
        <f t="shared" si="114"/>
        <v>0.91700000000000004</v>
      </c>
      <c r="AR197" s="22">
        <f t="shared" si="97"/>
        <v>0.70599999999999996</v>
      </c>
      <c r="AT197" s="19">
        <f t="shared" si="89"/>
        <v>43657</v>
      </c>
      <c r="AU197" s="20">
        <f t="shared" si="90"/>
        <v>192</v>
      </c>
      <c r="AV197" s="1">
        <f t="shared" si="98"/>
        <v>10</v>
      </c>
      <c r="AW197" s="1">
        <f t="shared" si="99"/>
        <v>14.2</v>
      </c>
      <c r="AX197" s="1">
        <f t="shared" si="100"/>
        <v>6.8</v>
      </c>
      <c r="AY197" s="1">
        <f t="shared" ref="AY197:AY260" si="115">AO197</f>
        <v>81.2</v>
      </c>
      <c r="AZ197" s="1">
        <f t="shared" ref="AZ197:AZ260" si="116">AP197</f>
        <v>56.5</v>
      </c>
      <c r="BA197" s="1">
        <f t="shared" si="101"/>
        <v>0</v>
      </c>
      <c r="BB197" s="5" t="str">
        <f t="shared" si="102"/>
        <v>NAN</v>
      </c>
      <c r="BC197" s="1">
        <f t="shared" si="91"/>
        <v>9.8000000000000007</v>
      </c>
      <c r="BD197" s="1">
        <f t="shared" si="92"/>
        <v>17.5</v>
      </c>
      <c r="BE197" s="1">
        <f t="shared" si="93"/>
        <v>6.4</v>
      </c>
      <c r="BF197" s="5">
        <f t="shared" si="103"/>
        <v>9.5</v>
      </c>
      <c r="BG197" s="5">
        <f t="shared" si="104"/>
        <v>8.1999999999999993</v>
      </c>
      <c r="BH197" s="5">
        <f t="shared" si="105"/>
        <v>6.3</v>
      </c>
      <c r="BI197" s="5" t="str">
        <f t="shared" si="106"/>
        <v>NAN</v>
      </c>
      <c r="BJ197" s="10">
        <f t="shared" si="107"/>
        <v>0.91700000000000004</v>
      </c>
      <c r="BK197" s="10">
        <f t="shared" si="108"/>
        <v>0.70599999999999996</v>
      </c>
      <c r="BM197" s="1">
        <f t="shared" si="109"/>
        <v>3.2099999999999991</v>
      </c>
      <c r="BN197" s="1">
        <f t="shared" si="110"/>
        <v>-0.39799999999999969</v>
      </c>
    </row>
    <row r="198" spans="1:66" x14ac:dyDescent="0.2">
      <c r="A198" s="4">
        <f t="shared" si="111"/>
        <v>43658</v>
      </c>
      <c r="B198" s="1">
        <v>193</v>
      </c>
      <c r="C198" s="1">
        <v>12</v>
      </c>
      <c r="D198" s="5">
        <v>13.02</v>
      </c>
      <c r="E198" s="5">
        <v>17.64</v>
      </c>
      <c r="F198" s="5">
        <v>6.1130000000000004</v>
      </c>
      <c r="G198" s="5">
        <v>11.26</v>
      </c>
      <c r="H198" s="5">
        <v>72.55</v>
      </c>
      <c r="I198" s="5">
        <v>11.05</v>
      </c>
      <c r="J198" s="5">
        <v>11.06</v>
      </c>
      <c r="K198" s="5">
        <v>10.1</v>
      </c>
      <c r="L198" s="5">
        <v>8.5</v>
      </c>
      <c r="M198" s="5">
        <v>6.3689999999999998</v>
      </c>
      <c r="N198" s="5">
        <v>16.260000000000002</v>
      </c>
      <c r="O198" s="5">
        <v>88.8</v>
      </c>
      <c r="P198" s="5">
        <v>21.88</v>
      </c>
      <c r="Q198" s="5">
        <v>20.3</v>
      </c>
      <c r="R198" s="5">
        <v>13.56</v>
      </c>
      <c r="S198" s="5">
        <v>9.2899999999999991</v>
      </c>
      <c r="T198" s="5">
        <v>6.5069999999999997</v>
      </c>
      <c r="U198" s="5">
        <v>5.7430000000000003</v>
      </c>
      <c r="V198" s="5">
        <v>55.85</v>
      </c>
      <c r="W198" s="5">
        <v>5.2249999999999996</v>
      </c>
      <c r="X198" s="5">
        <v>5.3819999999999997</v>
      </c>
      <c r="Y198" s="5">
        <v>7.3520000000000003</v>
      </c>
      <c r="Z198" s="5">
        <v>7.7759999999999998</v>
      </c>
      <c r="AA198" s="5">
        <v>6.242</v>
      </c>
      <c r="AB198" s="5" t="s">
        <v>99</v>
      </c>
      <c r="AC198" s="5">
        <v>10.95</v>
      </c>
      <c r="AD198" s="5">
        <v>22.72</v>
      </c>
      <c r="AE198" s="5">
        <v>5.2279999999999998</v>
      </c>
      <c r="AF198" s="5">
        <v>16.5</v>
      </c>
      <c r="AG198" s="5">
        <v>5.62</v>
      </c>
      <c r="AI198" s="5" t="s">
        <v>99</v>
      </c>
      <c r="AK198" s="5">
        <v>0</v>
      </c>
      <c r="AN198" s="1">
        <f t="shared" si="94"/>
        <v>88.8</v>
      </c>
      <c r="AO198" s="1">
        <f t="shared" si="95"/>
        <v>72.599999999999994</v>
      </c>
      <c r="AP198" s="1">
        <f t="shared" si="96"/>
        <v>55.9</v>
      </c>
      <c r="AQ198" s="17">
        <f t="shared" si="114"/>
        <v>1.0329999999999999</v>
      </c>
      <c r="AR198" s="22">
        <f t="shared" si="97"/>
        <v>0.81499999999999995</v>
      </c>
      <c r="AT198" s="19">
        <f t="shared" ref="AT198:AT261" si="117">A198</f>
        <v>43658</v>
      </c>
      <c r="AU198" s="20">
        <f t="shared" ref="AU198:AU261" si="118">B198</f>
        <v>193</v>
      </c>
      <c r="AV198" s="1">
        <f t="shared" si="98"/>
        <v>11.3</v>
      </c>
      <c r="AW198" s="1">
        <f t="shared" si="99"/>
        <v>16.3</v>
      </c>
      <c r="AX198" s="1">
        <f t="shared" si="100"/>
        <v>5.7</v>
      </c>
      <c r="AY198" s="1">
        <f t="shared" si="115"/>
        <v>72.599999999999994</v>
      </c>
      <c r="AZ198" s="1">
        <f t="shared" si="116"/>
        <v>55.9</v>
      </c>
      <c r="BA198" s="1">
        <f t="shared" si="101"/>
        <v>0</v>
      </c>
      <c r="BB198" s="5" t="str">
        <f t="shared" si="102"/>
        <v>NAN</v>
      </c>
      <c r="BC198" s="1">
        <f t="shared" ref="BC198:BC261" si="119">ROUND(AC198,1)</f>
        <v>11</v>
      </c>
      <c r="BD198" s="1">
        <f t="shared" ref="BD198:BD261" si="120">ROUND(AD198,1)</f>
        <v>22.7</v>
      </c>
      <c r="BE198" s="1">
        <f t="shared" ref="BE198:BE261" si="121">ROUND(AE198,1)</f>
        <v>5.2</v>
      </c>
      <c r="BF198" s="5">
        <f t="shared" si="103"/>
        <v>10.1</v>
      </c>
      <c r="BG198" s="5">
        <f t="shared" si="104"/>
        <v>8.5</v>
      </c>
      <c r="BH198" s="5">
        <f t="shared" si="105"/>
        <v>6.4</v>
      </c>
      <c r="BI198" s="5" t="str">
        <f t="shared" si="106"/>
        <v>NAN</v>
      </c>
      <c r="BJ198" s="10">
        <f t="shared" si="107"/>
        <v>1.0329999999999999</v>
      </c>
      <c r="BK198" s="10">
        <f t="shared" si="108"/>
        <v>0.81499999999999995</v>
      </c>
      <c r="BM198" s="1">
        <f t="shared" si="109"/>
        <v>6.4599999999999973</v>
      </c>
      <c r="BN198" s="1">
        <f t="shared" si="110"/>
        <v>-0.51500000000000057</v>
      </c>
    </row>
    <row r="199" spans="1:66" x14ac:dyDescent="0.2">
      <c r="A199" s="4">
        <f t="shared" si="111"/>
        <v>43659</v>
      </c>
      <c r="B199" s="1">
        <v>194</v>
      </c>
      <c r="C199" s="1">
        <v>12</v>
      </c>
      <c r="D199" s="5">
        <v>13.05</v>
      </c>
      <c r="E199" s="5">
        <v>18.43</v>
      </c>
      <c r="F199" s="5">
        <v>7.4210000000000003</v>
      </c>
      <c r="G199" s="5">
        <v>11.2</v>
      </c>
      <c r="H199" s="5">
        <v>63.66</v>
      </c>
      <c r="I199" s="5">
        <v>11.03</v>
      </c>
      <c r="J199" s="5">
        <v>11.08</v>
      </c>
      <c r="K199" s="5">
        <v>9.98</v>
      </c>
      <c r="L199" s="5">
        <v>8.73</v>
      </c>
      <c r="M199" s="5">
        <v>6.5090000000000003</v>
      </c>
      <c r="N199" s="5">
        <v>16.62</v>
      </c>
      <c r="O199" s="5">
        <v>78.11</v>
      </c>
      <c r="P199" s="5">
        <v>19.53</v>
      </c>
      <c r="Q199" s="5">
        <v>18.809999999999999</v>
      </c>
      <c r="R199" s="5">
        <v>12.84</v>
      </c>
      <c r="S199" s="5">
        <v>9.2799999999999994</v>
      </c>
      <c r="T199" s="5">
        <v>6.6790000000000003</v>
      </c>
      <c r="U199" s="5">
        <v>7.3650000000000002</v>
      </c>
      <c r="V199" s="5">
        <v>44.84</v>
      </c>
      <c r="W199" s="5">
        <v>6.5049999999999999</v>
      </c>
      <c r="X199" s="5">
        <v>6.6870000000000003</v>
      </c>
      <c r="Y199" s="5">
        <v>7.9660000000000002</v>
      </c>
      <c r="Z199" s="5">
        <v>8.16</v>
      </c>
      <c r="AA199" s="5">
        <v>6.2919999999999998</v>
      </c>
      <c r="AB199" s="5" t="s">
        <v>99</v>
      </c>
      <c r="AC199" s="5">
        <v>11.08</v>
      </c>
      <c r="AD199" s="5">
        <v>22.79</v>
      </c>
      <c r="AE199" s="5">
        <v>6.2430000000000003</v>
      </c>
      <c r="AF199" s="5">
        <v>17.559999999999999</v>
      </c>
      <c r="AG199" s="5">
        <v>7.0389999999999997</v>
      </c>
      <c r="AI199" s="5" t="s">
        <v>99</v>
      </c>
      <c r="AK199" s="5">
        <v>0</v>
      </c>
      <c r="AN199" s="1">
        <f t="shared" ref="AN199:AN262" si="122">ROUND(O199*AO$1,1)</f>
        <v>78.099999999999994</v>
      </c>
      <c r="AO199" s="1">
        <f t="shared" ref="AO199:AO262" si="123">ROUND(H199*AO$1,1)</f>
        <v>63.7</v>
      </c>
      <c r="AP199" s="1">
        <f t="shared" ref="AP199:AP262" si="124">ROUND(V199*AO$1,1)</f>
        <v>44.8</v>
      </c>
      <c r="AQ199" s="17">
        <f t="shared" si="114"/>
        <v>0.84699999999999998</v>
      </c>
      <c r="AR199" s="22">
        <f t="shared" ref="AR199:AR262" si="125">ROUND(AQ199/AP199*(100-AP199),3)</f>
        <v>1.044</v>
      </c>
      <c r="AT199" s="19">
        <f t="shared" si="117"/>
        <v>43659</v>
      </c>
      <c r="AU199" s="20">
        <f t="shared" si="118"/>
        <v>194</v>
      </c>
      <c r="AV199" s="1">
        <f t="shared" ref="AV199:AV262" si="126">ROUND(G199,1)</f>
        <v>11.2</v>
      </c>
      <c r="AW199" s="1">
        <f t="shared" ref="AW199:AW262" si="127">ROUND(N199,1)</f>
        <v>16.600000000000001</v>
      </c>
      <c r="AX199" s="1">
        <f t="shared" ref="AX199:AX262" si="128">ROUND(U199,1)</f>
        <v>7.4</v>
      </c>
      <c r="AY199" s="1">
        <f t="shared" si="115"/>
        <v>63.7</v>
      </c>
      <c r="AZ199" s="1">
        <f t="shared" si="116"/>
        <v>44.8</v>
      </c>
      <c r="BA199" s="1">
        <f t="shared" ref="BA199:BA262" si="129">AK199</f>
        <v>0</v>
      </c>
      <c r="BB199" s="5" t="str">
        <f t="shared" ref="BB199:BB262" si="130">IF(AL199="","NAN",AL199)</f>
        <v>NAN</v>
      </c>
      <c r="BC199" s="1">
        <f t="shared" si="119"/>
        <v>11.1</v>
      </c>
      <c r="BD199" s="1">
        <f t="shared" si="120"/>
        <v>22.8</v>
      </c>
      <c r="BE199" s="1">
        <f t="shared" si="121"/>
        <v>6.2</v>
      </c>
      <c r="BF199" s="5">
        <f t="shared" ref="BF199:BF262" si="131">ROUND(K199,1)</f>
        <v>10</v>
      </c>
      <c r="BG199" s="5">
        <f t="shared" ref="BG199:BG262" si="132">ROUND(L199,1)</f>
        <v>8.6999999999999993</v>
      </c>
      <c r="BH199" s="5">
        <f t="shared" ref="BH199:BH262" si="133">ROUND(M199,1)</f>
        <v>6.5</v>
      </c>
      <c r="BI199" s="5" t="str">
        <f t="shared" ref="BI199:BI262" si="134">IF(AI199="NAN","NAN",ROUND(AI199,3))</f>
        <v>NAN</v>
      </c>
      <c r="BJ199" s="10">
        <f t="shared" ref="BJ199:BJ262" si="135">AQ199</f>
        <v>0.84699999999999998</v>
      </c>
      <c r="BK199" s="10">
        <f t="shared" ref="BK199:BK262" si="136">AR199</f>
        <v>1.044</v>
      </c>
      <c r="BM199" s="1">
        <f t="shared" ref="BM199:BM262" si="137">AD199-N199</f>
        <v>6.1699999999999982</v>
      </c>
      <c r="BN199" s="1">
        <f t="shared" ref="BN199:BN262" si="138">AE199-U199</f>
        <v>-1.1219999999999999</v>
      </c>
    </row>
    <row r="200" spans="1:66" x14ac:dyDescent="0.2">
      <c r="A200" s="4">
        <f t="shared" ref="A200:A263" si="139">A199+1</f>
        <v>43660</v>
      </c>
      <c r="B200" s="1">
        <v>195</v>
      </c>
      <c r="C200" s="1">
        <v>12</v>
      </c>
      <c r="D200" s="5">
        <v>13.05</v>
      </c>
      <c r="E200" s="5">
        <v>15.46</v>
      </c>
      <c r="F200" s="5">
        <v>7.0940000000000003</v>
      </c>
      <c r="G200" s="5">
        <v>9.4700000000000006</v>
      </c>
      <c r="H200" s="5">
        <v>63.63</v>
      </c>
      <c r="I200" s="5">
        <v>9.57</v>
      </c>
      <c r="J200" s="5">
        <v>9.57</v>
      </c>
      <c r="K200" s="5">
        <v>9.23</v>
      </c>
      <c r="L200" s="5">
        <v>8.52</v>
      </c>
      <c r="M200" s="5">
        <v>6.64</v>
      </c>
      <c r="N200" s="5">
        <v>14.3</v>
      </c>
      <c r="O200" s="5">
        <v>74.930000000000007</v>
      </c>
      <c r="P200" s="5">
        <v>18.010000000000002</v>
      </c>
      <c r="Q200" s="5">
        <v>16.739999999999998</v>
      </c>
      <c r="R200" s="5">
        <v>11.72</v>
      </c>
      <c r="S200" s="5">
        <v>9.09</v>
      </c>
      <c r="T200" s="5">
        <v>6.7709999999999999</v>
      </c>
      <c r="U200" s="5">
        <v>6.0810000000000004</v>
      </c>
      <c r="V200" s="5">
        <v>47.41</v>
      </c>
      <c r="W200" s="5">
        <v>5.4539999999999997</v>
      </c>
      <c r="X200" s="5">
        <v>5.6219999999999999</v>
      </c>
      <c r="Y200" s="5">
        <v>7.6769999999999996</v>
      </c>
      <c r="Z200" s="5">
        <v>8.02</v>
      </c>
      <c r="AA200" s="5">
        <v>6.48</v>
      </c>
      <c r="AB200" s="5" t="s">
        <v>99</v>
      </c>
      <c r="AC200" s="5">
        <v>9.9</v>
      </c>
      <c r="AD200" s="5">
        <v>22.11</v>
      </c>
      <c r="AE200" s="5">
        <v>5.3109999999999999</v>
      </c>
      <c r="AF200" s="5">
        <v>14</v>
      </c>
      <c r="AG200" s="5">
        <v>5.8860000000000001</v>
      </c>
      <c r="AI200" s="5" t="s">
        <v>99</v>
      </c>
      <c r="AK200" s="5">
        <v>0</v>
      </c>
      <c r="AN200" s="1">
        <f t="shared" si="122"/>
        <v>74.900000000000006</v>
      </c>
      <c r="AO200" s="1">
        <f t="shared" si="123"/>
        <v>63.6</v>
      </c>
      <c r="AP200" s="1">
        <f t="shared" si="124"/>
        <v>47.4</v>
      </c>
      <c r="AQ200" s="17">
        <f t="shared" si="114"/>
        <v>0.77200000000000002</v>
      </c>
      <c r="AR200" s="22">
        <f t="shared" si="125"/>
        <v>0.85699999999999998</v>
      </c>
      <c r="AT200" s="19">
        <f t="shared" si="117"/>
        <v>43660</v>
      </c>
      <c r="AU200" s="20">
        <f t="shared" si="118"/>
        <v>195</v>
      </c>
      <c r="AV200" s="1">
        <f t="shared" si="126"/>
        <v>9.5</v>
      </c>
      <c r="AW200" s="1">
        <f t="shared" si="127"/>
        <v>14.3</v>
      </c>
      <c r="AX200" s="1">
        <f t="shared" si="128"/>
        <v>6.1</v>
      </c>
      <c r="AY200" s="1">
        <f t="shared" si="115"/>
        <v>63.6</v>
      </c>
      <c r="AZ200" s="1">
        <f t="shared" si="116"/>
        <v>47.4</v>
      </c>
      <c r="BA200" s="1">
        <f t="shared" si="129"/>
        <v>0</v>
      </c>
      <c r="BB200" s="5" t="str">
        <f t="shared" si="130"/>
        <v>NAN</v>
      </c>
      <c r="BC200" s="1">
        <f t="shared" si="119"/>
        <v>9.9</v>
      </c>
      <c r="BD200" s="1">
        <f t="shared" si="120"/>
        <v>22.1</v>
      </c>
      <c r="BE200" s="1">
        <f t="shared" si="121"/>
        <v>5.3</v>
      </c>
      <c r="BF200" s="5">
        <f t="shared" si="131"/>
        <v>9.1999999999999993</v>
      </c>
      <c r="BG200" s="5">
        <f t="shared" si="132"/>
        <v>8.5</v>
      </c>
      <c r="BH200" s="5">
        <f t="shared" si="133"/>
        <v>6.6</v>
      </c>
      <c r="BI200" s="5" t="str">
        <f t="shared" si="134"/>
        <v>NAN</v>
      </c>
      <c r="BJ200" s="10">
        <f t="shared" si="135"/>
        <v>0.77200000000000002</v>
      </c>
      <c r="BK200" s="10">
        <f t="shared" si="136"/>
        <v>0.85699999999999998</v>
      </c>
      <c r="BM200" s="1">
        <f t="shared" si="137"/>
        <v>7.8099999999999987</v>
      </c>
      <c r="BN200" s="1">
        <f t="shared" si="138"/>
        <v>-0.77000000000000046</v>
      </c>
    </row>
    <row r="201" spans="1:66" x14ac:dyDescent="0.2">
      <c r="A201" s="4">
        <f t="shared" si="139"/>
        <v>43661</v>
      </c>
      <c r="B201" s="1">
        <v>196</v>
      </c>
      <c r="C201" s="1">
        <v>12</v>
      </c>
      <c r="D201" s="5">
        <v>13.02</v>
      </c>
      <c r="E201" s="5">
        <v>15.8</v>
      </c>
      <c r="F201" s="5">
        <v>6.1559999999999997</v>
      </c>
      <c r="G201" s="5">
        <v>9.33</v>
      </c>
      <c r="H201" s="5">
        <v>66.48</v>
      </c>
      <c r="I201" s="5">
        <v>9.58</v>
      </c>
      <c r="J201" s="5">
        <v>9.51</v>
      </c>
      <c r="K201" s="5">
        <v>9.16</v>
      </c>
      <c r="L201" s="5">
        <v>8.23</v>
      </c>
      <c r="M201" s="5">
        <v>6.6710000000000003</v>
      </c>
      <c r="N201" s="5">
        <v>14.71</v>
      </c>
      <c r="O201" s="5">
        <v>92</v>
      </c>
      <c r="P201" s="5">
        <v>22.46</v>
      </c>
      <c r="Q201" s="5">
        <v>20.63</v>
      </c>
      <c r="R201" s="5">
        <v>13.14</v>
      </c>
      <c r="S201" s="5">
        <v>8.83</v>
      </c>
      <c r="T201" s="5">
        <v>6.7759999999999998</v>
      </c>
      <c r="U201" s="5">
        <v>6.0810000000000004</v>
      </c>
      <c r="V201" s="5">
        <v>39.18</v>
      </c>
      <c r="W201" s="5">
        <v>5.3220000000000001</v>
      </c>
      <c r="X201" s="5">
        <v>5.5490000000000004</v>
      </c>
      <c r="Y201" s="5">
        <v>7.0540000000000003</v>
      </c>
      <c r="Z201" s="5">
        <v>7.6449999999999996</v>
      </c>
      <c r="AA201" s="5">
        <v>6.5019999999999998</v>
      </c>
      <c r="AB201" s="5" t="s">
        <v>99</v>
      </c>
      <c r="AC201" s="5">
        <v>10.220000000000001</v>
      </c>
      <c r="AD201" s="5">
        <v>29.6</v>
      </c>
      <c r="AE201" s="5">
        <v>5.2069999999999999</v>
      </c>
      <c r="AF201" s="5">
        <v>15.86</v>
      </c>
      <c r="AG201" s="5">
        <v>5.7930000000000001</v>
      </c>
      <c r="AI201" s="5" t="s">
        <v>99</v>
      </c>
      <c r="AK201" s="5">
        <v>0</v>
      </c>
      <c r="AN201" s="1">
        <f t="shared" si="122"/>
        <v>92</v>
      </c>
      <c r="AO201" s="1">
        <f t="shared" si="123"/>
        <v>66.5</v>
      </c>
      <c r="AP201" s="1">
        <f t="shared" si="124"/>
        <v>39.200000000000003</v>
      </c>
      <c r="AQ201" s="17">
        <f t="shared" si="114"/>
        <v>0.65600000000000003</v>
      </c>
      <c r="AR201" s="22">
        <f t="shared" si="125"/>
        <v>1.0169999999999999</v>
      </c>
      <c r="AT201" s="19">
        <f t="shared" si="117"/>
        <v>43661</v>
      </c>
      <c r="AU201" s="20">
        <f t="shared" si="118"/>
        <v>196</v>
      </c>
      <c r="AV201" s="1">
        <f t="shared" si="126"/>
        <v>9.3000000000000007</v>
      </c>
      <c r="AW201" s="1">
        <f t="shared" si="127"/>
        <v>14.7</v>
      </c>
      <c r="AX201" s="1">
        <f t="shared" si="128"/>
        <v>6.1</v>
      </c>
      <c r="AY201" s="1">
        <f t="shared" si="115"/>
        <v>66.5</v>
      </c>
      <c r="AZ201" s="1">
        <f t="shared" si="116"/>
        <v>39.200000000000003</v>
      </c>
      <c r="BA201" s="1">
        <f t="shared" si="129"/>
        <v>0</v>
      </c>
      <c r="BB201" s="5" t="str">
        <f t="shared" si="130"/>
        <v>NAN</v>
      </c>
      <c r="BC201" s="1">
        <f t="shared" si="119"/>
        <v>10.199999999999999</v>
      </c>
      <c r="BD201" s="1">
        <f t="shared" si="120"/>
        <v>29.6</v>
      </c>
      <c r="BE201" s="1">
        <f t="shared" si="121"/>
        <v>5.2</v>
      </c>
      <c r="BF201" s="5">
        <f t="shared" si="131"/>
        <v>9.1999999999999993</v>
      </c>
      <c r="BG201" s="5">
        <f t="shared" si="132"/>
        <v>8.1999999999999993</v>
      </c>
      <c r="BH201" s="5">
        <f t="shared" si="133"/>
        <v>6.7</v>
      </c>
      <c r="BI201" s="5" t="str">
        <f t="shared" si="134"/>
        <v>NAN</v>
      </c>
      <c r="BJ201" s="10">
        <f t="shared" si="135"/>
        <v>0.65600000000000003</v>
      </c>
      <c r="BK201" s="10">
        <f t="shared" si="136"/>
        <v>1.0169999999999999</v>
      </c>
      <c r="BM201" s="1">
        <f t="shared" si="137"/>
        <v>14.89</v>
      </c>
      <c r="BN201" s="1">
        <f t="shared" si="138"/>
        <v>-0.87400000000000055</v>
      </c>
    </row>
    <row r="202" spans="1:66" x14ac:dyDescent="0.2">
      <c r="A202" s="4">
        <f t="shared" si="139"/>
        <v>43662</v>
      </c>
      <c r="B202" s="1">
        <v>197</v>
      </c>
      <c r="C202" s="1">
        <v>12</v>
      </c>
      <c r="D202" s="5">
        <v>13.01</v>
      </c>
      <c r="E202" s="5">
        <v>13.8</v>
      </c>
      <c r="F202" s="5">
        <v>5.96</v>
      </c>
      <c r="G202" s="5">
        <v>9.14</v>
      </c>
      <c r="H202" s="5">
        <v>79.87</v>
      </c>
      <c r="I202" s="5">
        <v>8.66</v>
      </c>
      <c r="J202" s="5">
        <v>8.59</v>
      </c>
      <c r="K202" s="5">
        <v>8.73</v>
      </c>
      <c r="L202" s="5">
        <v>8.1199999999999992</v>
      </c>
      <c r="M202" s="5">
        <v>6.694</v>
      </c>
      <c r="N202" s="5">
        <v>14.27</v>
      </c>
      <c r="O202" s="5">
        <v>97.2</v>
      </c>
      <c r="P202" s="5">
        <v>15.48</v>
      </c>
      <c r="Q202" s="5">
        <v>14.09</v>
      </c>
      <c r="R202" s="5">
        <v>10.75</v>
      </c>
      <c r="S202" s="5">
        <v>8.64</v>
      </c>
      <c r="T202" s="5">
        <v>6.8220000000000001</v>
      </c>
      <c r="U202" s="5">
        <v>5.8460000000000001</v>
      </c>
      <c r="V202" s="5">
        <v>53.9</v>
      </c>
      <c r="W202" s="5">
        <v>4.5229999999999997</v>
      </c>
      <c r="X202" s="5">
        <v>5.4219999999999997</v>
      </c>
      <c r="Y202" s="5">
        <v>7.242</v>
      </c>
      <c r="Z202" s="5">
        <v>7.7569999999999997</v>
      </c>
      <c r="AA202" s="5">
        <v>6.5860000000000003</v>
      </c>
      <c r="AB202" s="5" t="s">
        <v>99</v>
      </c>
      <c r="AC202" s="5">
        <v>8.6300000000000008</v>
      </c>
      <c r="AD202" s="5">
        <v>17.29</v>
      </c>
      <c r="AE202" s="5">
        <v>2.3959999999999999</v>
      </c>
      <c r="AF202" s="5">
        <v>13.04</v>
      </c>
      <c r="AG202" s="5">
        <v>5.5970000000000004</v>
      </c>
      <c r="AI202" s="5" t="s">
        <v>99</v>
      </c>
      <c r="AK202" s="5">
        <v>0</v>
      </c>
      <c r="AN202" s="1">
        <f t="shared" si="122"/>
        <v>97.2</v>
      </c>
      <c r="AO202" s="1">
        <f t="shared" si="123"/>
        <v>79.900000000000006</v>
      </c>
      <c r="AP202" s="1">
        <f t="shared" si="124"/>
        <v>53.9</v>
      </c>
      <c r="AQ202" s="17">
        <f t="shared" si="114"/>
        <v>0.877</v>
      </c>
      <c r="AR202" s="22">
        <f t="shared" si="125"/>
        <v>0.75</v>
      </c>
      <c r="AT202" s="19">
        <f t="shared" si="117"/>
        <v>43662</v>
      </c>
      <c r="AU202" s="20">
        <f t="shared" si="118"/>
        <v>197</v>
      </c>
      <c r="AV202" s="1">
        <f t="shared" si="126"/>
        <v>9.1</v>
      </c>
      <c r="AW202" s="1">
        <f t="shared" si="127"/>
        <v>14.3</v>
      </c>
      <c r="AX202" s="1">
        <f t="shared" si="128"/>
        <v>5.8</v>
      </c>
      <c r="AY202" s="1">
        <f t="shared" si="115"/>
        <v>79.900000000000006</v>
      </c>
      <c r="AZ202" s="1">
        <f t="shared" si="116"/>
        <v>53.9</v>
      </c>
      <c r="BA202" s="1">
        <f t="shared" si="129"/>
        <v>0</v>
      </c>
      <c r="BB202" s="5" t="str">
        <f t="shared" si="130"/>
        <v>NAN</v>
      </c>
      <c r="BC202" s="1">
        <f t="shared" si="119"/>
        <v>8.6</v>
      </c>
      <c r="BD202" s="1">
        <f t="shared" si="120"/>
        <v>17.3</v>
      </c>
      <c r="BE202" s="1">
        <f t="shared" si="121"/>
        <v>2.4</v>
      </c>
      <c r="BF202" s="5">
        <f t="shared" si="131"/>
        <v>8.6999999999999993</v>
      </c>
      <c r="BG202" s="5">
        <f t="shared" si="132"/>
        <v>8.1</v>
      </c>
      <c r="BH202" s="5">
        <f t="shared" si="133"/>
        <v>6.7</v>
      </c>
      <c r="BI202" s="5" t="str">
        <f t="shared" si="134"/>
        <v>NAN</v>
      </c>
      <c r="BJ202" s="10">
        <f t="shared" si="135"/>
        <v>0.877</v>
      </c>
      <c r="BK202" s="10">
        <f t="shared" si="136"/>
        <v>0.75</v>
      </c>
      <c r="BM202" s="1">
        <f t="shared" si="137"/>
        <v>3.0199999999999996</v>
      </c>
      <c r="BN202" s="1">
        <f t="shared" si="138"/>
        <v>-3.45</v>
      </c>
    </row>
    <row r="203" spans="1:66" x14ac:dyDescent="0.2">
      <c r="A203" s="4">
        <f t="shared" si="139"/>
        <v>43663</v>
      </c>
      <c r="B203" s="1">
        <v>198</v>
      </c>
      <c r="C203" s="1">
        <v>12</v>
      </c>
      <c r="D203" s="5">
        <v>12.9</v>
      </c>
      <c r="E203" s="5">
        <v>10.4</v>
      </c>
      <c r="F203" s="5">
        <v>6.4160000000000004</v>
      </c>
      <c r="G203" s="5">
        <v>8.2100000000000009</v>
      </c>
      <c r="H203" s="5">
        <v>87.7</v>
      </c>
      <c r="I203" s="5">
        <v>7.891</v>
      </c>
      <c r="J203" s="5">
        <v>7.8449999999999998</v>
      </c>
      <c r="K203" s="5">
        <v>8.4700000000000006</v>
      </c>
      <c r="L203" s="5">
        <v>8.01</v>
      </c>
      <c r="M203" s="5">
        <v>6.6929999999999996</v>
      </c>
      <c r="N203" s="5">
        <v>11.11</v>
      </c>
      <c r="O203" s="5">
        <v>97.9</v>
      </c>
      <c r="P203" s="5">
        <v>13.11</v>
      </c>
      <c r="Q203" s="5">
        <v>11.96</v>
      </c>
      <c r="R203" s="5">
        <v>9.81</v>
      </c>
      <c r="S203" s="5">
        <v>8.31</v>
      </c>
      <c r="T203" s="5">
        <v>6.7880000000000003</v>
      </c>
      <c r="U203" s="5">
        <v>6.1829999999999998</v>
      </c>
      <c r="V203" s="5">
        <v>74.459999999999994</v>
      </c>
      <c r="W203" s="5">
        <v>5.3440000000000003</v>
      </c>
      <c r="X203" s="5">
        <v>5.2880000000000003</v>
      </c>
      <c r="Y203" s="5">
        <v>7.2910000000000004</v>
      </c>
      <c r="Z203" s="5">
        <v>7.7160000000000002</v>
      </c>
      <c r="AA203" s="5">
        <v>6.5830000000000002</v>
      </c>
      <c r="AB203" s="5" t="s">
        <v>99</v>
      </c>
      <c r="AC203" s="5">
        <v>8.16</v>
      </c>
      <c r="AD203" s="5">
        <v>15.13</v>
      </c>
      <c r="AE203" s="5">
        <v>5.24</v>
      </c>
      <c r="AF203" s="5">
        <v>10.220000000000001</v>
      </c>
      <c r="AG203" s="5">
        <v>5.8150000000000004</v>
      </c>
      <c r="AI203" s="5" t="s">
        <v>99</v>
      </c>
      <c r="AK203" s="5">
        <v>0</v>
      </c>
      <c r="AN203" s="1">
        <f t="shared" si="122"/>
        <v>97.9</v>
      </c>
      <c r="AO203" s="1">
        <f t="shared" si="123"/>
        <v>87.7</v>
      </c>
      <c r="AP203" s="1">
        <f t="shared" si="124"/>
        <v>74.5</v>
      </c>
      <c r="AQ203" s="17">
        <f t="shared" si="114"/>
        <v>0.98499999999999999</v>
      </c>
      <c r="AR203" s="22">
        <f t="shared" si="125"/>
        <v>0.33700000000000002</v>
      </c>
      <c r="AT203" s="19">
        <f t="shared" si="117"/>
        <v>43663</v>
      </c>
      <c r="AU203" s="20">
        <f t="shared" si="118"/>
        <v>198</v>
      </c>
      <c r="AV203" s="1">
        <f t="shared" si="126"/>
        <v>8.1999999999999993</v>
      </c>
      <c r="AW203" s="1">
        <f t="shared" si="127"/>
        <v>11.1</v>
      </c>
      <c r="AX203" s="1">
        <f t="shared" si="128"/>
        <v>6.2</v>
      </c>
      <c r="AY203" s="1">
        <f t="shared" si="115"/>
        <v>87.7</v>
      </c>
      <c r="AZ203" s="1">
        <f t="shared" si="116"/>
        <v>74.5</v>
      </c>
      <c r="BA203" s="1">
        <f t="shared" si="129"/>
        <v>0</v>
      </c>
      <c r="BB203" s="5" t="str">
        <f t="shared" si="130"/>
        <v>NAN</v>
      </c>
      <c r="BC203" s="1">
        <f t="shared" si="119"/>
        <v>8.1999999999999993</v>
      </c>
      <c r="BD203" s="1">
        <f t="shared" si="120"/>
        <v>15.1</v>
      </c>
      <c r="BE203" s="1">
        <f t="shared" si="121"/>
        <v>5.2</v>
      </c>
      <c r="BF203" s="5">
        <f t="shared" si="131"/>
        <v>8.5</v>
      </c>
      <c r="BG203" s="5">
        <f t="shared" si="132"/>
        <v>8</v>
      </c>
      <c r="BH203" s="5">
        <f t="shared" si="133"/>
        <v>6.7</v>
      </c>
      <c r="BI203" s="5" t="str">
        <f t="shared" si="134"/>
        <v>NAN</v>
      </c>
      <c r="BJ203" s="10">
        <f t="shared" si="135"/>
        <v>0.98499999999999999</v>
      </c>
      <c r="BK203" s="10">
        <f t="shared" si="136"/>
        <v>0.33700000000000002</v>
      </c>
      <c r="BM203" s="1">
        <f t="shared" si="137"/>
        <v>4.0200000000000014</v>
      </c>
      <c r="BN203" s="1">
        <f t="shared" si="138"/>
        <v>-0.94299999999999962</v>
      </c>
    </row>
    <row r="204" spans="1:66" x14ac:dyDescent="0.2">
      <c r="A204" s="4">
        <f t="shared" si="139"/>
        <v>43664</v>
      </c>
      <c r="B204" s="1">
        <v>199</v>
      </c>
      <c r="C204" s="1">
        <v>12</v>
      </c>
      <c r="D204" s="5">
        <v>13.07</v>
      </c>
      <c r="E204" s="5">
        <v>9.64</v>
      </c>
      <c r="F204" s="5">
        <v>2.3519999999999999</v>
      </c>
      <c r="G204" s="5">
        <v>4.569</v>
      </c>
      <c r="H204" s="5">
        <v>77.48</v>
      </c>
      <c r="I204" s="5">
        <v>4.7169999999999996</v>
      </c>
      <c r="J204" s="5">
        <v>4.5860000000000003</v>
      </c>
      <c r="K204" s="5">
        <v>6.7009999999999996</v>
      </c>
      <c r="L204" s="5">
        <v>7.258</v>
      </c>
      <c r="M204" s="5">
        <v>6.64</v>
      </c>
      <c r="N204" s="5">
        <v>8.7799999999999994</v>
      </c>
      <c r="O204" s="5">
        <v>93.9</v>
      </c>
      <c r="P204" s="5">
        <v>12.57</v>
      </c>
      <c r="Q204" s="5">
        <v>11.36</v>
      </c>
      <c r="R204" s="5">
        <v>10.16</v>
      </c>
      <c r="S204" s="5">
        <v>8.06</v>
      </c>
      <c r="T204" s="5">
        <v>6.76</v>
      </c>
      <c r="U204" s="5">
        <v>1.5609999999999999</v>
      </c>
      <c r="V204" s="5">
        <v>54.46</v>
      </c>
      <c r="W204" s="5">
        <v>0.96499999999999997</v>
      </c>
      <c r="X204" s="5">
        <v>0.85</v>
      </c>
      <c r="Y204" s="5">
        <v>5.08</v>
      </c>
      <c r="Z204" s="5">
        <v>6.6890000000000001</v>
      </c>
      <c r="AA204" s="5">
        <v>6.4850000000000003</v>
      </c>
      <c r="AB204" s="5" t="s">
        <v>99</v>
      </c>
      <c r="AC204" s="5">
        <v>5.181</v>
      </c>
      <c r="AD204" s="5">
        <v>15.18</v>
      </c>
      <c r="AE204" s="5">
        <v>0.11</v>
      </c>
      <c r="AF204" s="5">
        <v>8.6300000000000008</v>
      </c>
      <c r="AG204" s="5">
        <v>1.784</v>
      </c>
      <c r="AI204" s="5" t="s">
        <v>99</v>
      </c>
      <c r="AK204" s="5">
        <v>0</v>
      </c>
      <c r="AN204" s="1">
        <f t="shared" si="122"/>
        <v>93.9</v>
      </c>
      <c r="AO204" s="1">
        <f t="shared" si="123"/>
        <v>77.5</v>
      </c>
      <c r="AP204" s="1">
        <f t="shared" si="124"/>
        <v>54.5</v>
      </c>
      <c r="AQ204" s="17">
        <f t="shared" si="114"/>
        <v>0.61599999999999999</v>
      </c>
      <c r="AR204" s="22">
        <f t="shared" si="125"/>
        <v>0.51400000000000001</v>
      </c>
      <c r="AT204" s="19">
        <f t="shared" si="117"/>
        <v>43664</v>
      </c>
      <c r="AU204" s="20">
        <f t="shared" si="118"/>
        <v>199</v>
      </c>
      <c r="AV204" s="1">
        <f t="shared" si="126"/>
        <v>4.5999999999999996</v>
      </c>
      <c r="AW204" s="1">
        <f t="shared" si="127"/>
        <v>8.8000000000000007</v>
      </c>
      <c r="AX204" s="1">
        <f t="shared" si="128"/>
        <v>1.6</v>
      </c>
      <c r="AY204" s="1">
        <f t="shared" si="115"/>
        <v>77.5</v>
      </c>
      <c r="AZ204" s="1">
        <f t="shared" si="116"/>
        <v>54.5</v>
      </c>
      <c r="BA204" s="1">
        <f t="shared" si="129"/>
        <v>0</v>
      </c>
      <c r="BB204" s="5" t="str">
        <f t="shared" si="130"/>
        <v>NAN</v>
      </c>
      <c r="BC204" s="1">
        <f t="shared" si="119"/>
        <v>5.2</v>
      </c>
      <c r="BD204" s="1">
        <f t="shared" si="120"/>
        <v>15.2</v>
      </c>
      <c r="BE204" s="1">
        <f t="shared" si="121"/>
        <v>0.1</v>
      </c>
      <c r="BF204" s="5">
        <f t="shared" si="131"/>
        <v>6.7</v>
      </c>
      <c r="BG204" s="5">
        <f t="shared" si="132"/>
        <v>7.3</v>
      </c>
      <c r="BH204" s="5">
        <f t="shared" si="133"/>
        <v>6.6</v>
      </c>
      <c r="BI204" s="5" t="str">
        <f t="shared" si="134"/>
        <v>NAN</v>
      </c>
      <c r="BJ204" s="10">
        <f t="shared" si="135"/>
        <v>0.61599999999999999</v>
      </c>
      <c r="BK204" s="10">
        <f t="shared" si="136"/>
        <v>0.51400000000000001</v>
      </c>
      <c r="BM204" s="1">
        <f t="shared" si="137"/>
        <v>6.4</v>
      </c>
      <c r="BN204" s="1">
        <f t="shared" si="138"/>
        <v>-1.4509999999999998</v>
      </c>
    </row>
    <row r="205" spans="1:66" x14ac:dyDescent="0.2">
      <c r="A205" s="4">
        <f t="shared" si="139"/>
        <v>43665</v>
      </c>
      <c r="B205" s="1">
        <v>200</v>
      </c>
      <c r="C205" s="1">
        <v>12</v>
      </c>
      <c r="D205" s="5">
        <v>13.1</v>
      </c>
      <c r="E205" s="5">
        <v>10.25</v>
      </c>
      <c r="F205" s="5">
        <v>1.798</v>
      </c>
      <c r="G205" s="5">
        <v>4.8600000000000003</v>
      </c>
      <c r="H205" s="5">
        <v>81.099999999999994</v>
      </c>
      <c r="I205" s="5">
        <v>5.1539999999999999</v>
      </c>
      <c r="J205" s="5">
        <v>5.0599999999999996</v>
      </c>
      <c r="K205" s="5">
        <v>6.4059999999999997</v>
      </c>
      <c r="L205" s="5">
        <v>6.548</v>
      </c>
      <c r="M205" s="5">
        <v>6.4669999999999996</v>
      </c>
      <c r="N205" s="5">
        <v>9.15</v>
      </c>
      <c r="O205" s="5">
        <v>96.4</v>
      </c>
      <c r="P205" s="5">
        <v>13.36</v>
      </c>
      <c r="Q205" s="5">
        <v>11.97</v>
      </c>
      <c r="R205" s="5">
        <v>9.98</v>
      </c>
      <c r="S205" s="5">
        <v>7.07</v>
      </c>
      <c r="T205" s="5">
        <v>6.6219999999999999</v>
      </c>
      <c r="U205" s="5">
        <v>1.4339999999999999</v>
      </c>
      <c r="V205" s="5">
        <v>58.82</v>
      </c>
      <c r="W205" s="5">
        <v>1.506</v>
      </c>
      <c r="X205" s="5">
        <v>1.492</v>
      </c>
      <c r="Y205" s="5">
        <v>4.5060000000000002</v>
      </c>
      <c r="Z205" s="5">
        <v>5.9249999999999998</v>
      </c>
      <c r="AA205" s="5">
        <v>6.3040000000000003</v>
      </c>
      <c r="AB205" s="5" t="s">
        <v>99</v>
      </c>
      <c r="AC205" s="5">
        <v>5.766</v>
      </c>
      <c r="AD205" s="5">
        <v>15.11</v>
      </c>
      <c r="AE205" s="5">
        <v>1.5940000000000001</v>
      </c>
      <c r="AF205" s="5">
        <v>9.83</v>
      </c>
      <c r="AG205" s="5">
        <v>1.397</v>
      </c>
      <c r="AI205" s="5" t="s">
        <v>99</v>
      </c>
      <c r="AK205" s="5">
        <v>0</v>
      </c>
      <c r="AN205" s="1">
        <f t="shared" si="122"/>
        <v>96.4</v>
      </c>
      <c r="AO205" s="1">
        <f t="shared" si="123"/>
        <v>81.099999999999994</v>
      </c>
      <c r="AP205" s="1">
        <f t="shared" si="124"/>
        <v>58.8</v>
      </c>
      <c r="AQ205" s="17">
        <f t="shared" si="114"/>
        <v>0.68200000000000005</v>
      </c>
      <c r="AR205" s="22">
        <f t="shared" si="125"/>
        <v>0.47799999999999998</v>
      </c>
      <c r="AT205" s="19">
        <f t="shared" si="117"/>
        <v>43665</v>
      </c>
      <c r="AU205" s="20">
        <f t="shared" si="118"/>
        <v>200</v>
      </c>
      <c r="AV205" s="1">
        <f t="shared" si="126"/>
        <v>4.9000000000000004</v>
      </c>
      <c r="AW205" s="1">
        <f t="shared" si="127"/>
        <v>9.1999999999999993</v>
      </c>
      <c r="AX205" s="1">
        <f t="shared" si="128"/>
        <v>1.4</v>
      </c>
      <c r="AY205" s="1">
        <f t="shared" si="115"/>
        <v>81.099999999999994</v>
      </c>
      <c r="AZ205" s="1">
        <f t="shared" si="116"/>
        <v>58.8</v>
      </c>
      <c r="BA205" s="1">
        <f t="shared" si="129"/>
        <v>0</v>
      </c>
      <c r="BB205" s="5" t="str">
        <f t="shared" si="130"/>
        <v>NAN</v>
      </c>
      <c r="BC205" s="1">
        <f t="shared" si="119"/>
        <v>5.8</v>
      </c>
      <c r="BD205" s="1">
        <f t="shared" si="120"/>
        <v>15.1</v>
      </c>
      <c r="BE205" s="1">
        <f t="shared" si="121"/>
        <v>1.6</v>
      </c>
      <c r="BF205" s="5">
        <f t="shared" si="131"/>
        <v>6.4</v>
      </c>
      <c r="BG205" s="5">
        <f t="shared" si="132"/>
        <v>6.5</v>
      </c>
      <c r="BH205" s="5">
        <f t="shared" si="133"/>
        <v>6.5</v>
      </c>
      <c r="BI205" s="5" t="str">
        <f t="shared" si="134"/>
        <v>NAN</v>
      </c>
      <c r="BJ205" s="10">
        <f t="shared" si="135"/>
        <v>0.68200000000000005</v>
      </c>
      <c r="BK205" s="10">
        <f t="shared" si="136"/>
        <v>0.47799999999999998</v>
      </c>
      <c r="BM205" s="1">
        <f t="shared" si="137"/>
        <v>5.9599999999999991</v>
      </c>
      <c r="BN205" s="1">
        <f t="shared" si="138"/>
        <v>0.16000000000000014</v>
      </c>
    </row>
    <row r="206" spans="1:66" x14ac:dyDescent="0.2">
      <c r="A206" s="4">
        <f t="shared" si="139"/>
        <v>43666</v>
      </c>
      <c r="B206" s="1">
        <v>201</v>
      </c>
      <c r="C206" s="1">
        <v>12</v>
      </c>
      <c r="D206" s="5">
        <v>13.09</v>
      </c>
      <c r="E206" s="5">
        <v>13.16</v>
      </c>
      <c r="F206" s="5">
        <v>4.4710000000000001</v>
      </c>
      <c r="G206" s="5">
        <v>7.0730000000000004</v>
      </c>
      <c r="H206" s="5">
        <v>81.599999999999994</v>
      </c>
      <c r="I206" s="5">
        <v>6.976</v>
      </c>
      <c r="J206" s="5">
        <v>6.9480000000000004</v>
      </c>
      <c r="K206" s="5">
        <v>7.2389999999999999</v>
      </c>
      <c r="L206" s="5">
        <v>6.758</v>
      </c>
      <c r="M206" s="5">
        <v>6.306</v>
      </c>
      <c r="N206" s="5">
        <v>11.87</v>
      </c>
      <c r="O206" s="5">
        <v>94.8</v>
      </c>
      <c r="P206" s="5">
        <v>14.25</v>
      </c>
      <c r="Q206" s="5">
        <v>12.66</v>
      </c>
      <c r="R206" s="5">
        <v>9.6</v>
      </c>
      <c r="S206" s="5">
        <v>7.37</v>
      </c>
      <c r="T206" s="5">
        <v>6.4290000000000003</v>
      </c>
      <c r="U206" s="5">
        <v>4.2640000000000002</v>
      </c>
      <c r="V206" s="5">
        <v>59.68</v>
      </c>
      <c r="W206" s="5">
        <v>4.101</v>
      </c>
      <c r="X206" s="5">
        <v>4.0439999999999996</v>
      </c>
      <c r="Y206" s="5">
        <v>5.6420000000000003</v>
      </c>
      <c r="Z206" s="5">
        <v>6.3140000000000001</v>
      </c>
      <c r="AA206" s="5">
        <v>6.1260000000000003</v>
      </c>
      <c r="AB206" s="5" t="s">
        <v>99</v>
      </c>
      <c r="AC206" s="5">
        <v>7.3810000000000002</v>
      </c>
      <c r="AD206" s="5">
        <v>14.62</v>
      </c>
      <c r="AE206" s="5">
        <v>4.4009999999999998</v>
      </c>
      <c r="AF206" s="5">
        <v>11.69</v>
      </c>
      <c r="AG206" s="5">
        <v>4.0519999999999996</v>
      </c>
      <c r="AI206" s="5" t="s">
        <v>99</v>
      </c>
      <c r="AK206" s="5">
        <v>0</v>
      </c>
      <c r="AN206" s="1">
        <f t="shared" si="122"/>
        <v>94.8</v>
      </c>
      <c r="AO206" s="1">
        <f t="shared" si="123"/>
        <v>81.599999999999994</v>
      </c>
      <c r="AP206" s="1">
        <f t="shared" si="124"/>
        <v>59.7</v>
      </c>
      <c r="AQ206" s="17">
        <f t="shared" si="114"/>
        <v>0.83</v>
      </c>
      <c r="AR206" s="22">
        <f t="shared" si="125"/>
        <v>0.56000000000000005</v>
      </c>
      <c r="AT206" s="19">
        <f t="shared" si="117"/>
        <v>43666</v>
      </c>
      <c r="AU206" s="20">
        <f t="shared" si="118"/>
        <v>201</v>
      </c>
      <c r="AV206" s="1">
        <f t="shared" si="126"/>
        <v>7.1</v>
      </c>
      <c r="AW206" s="1">
        <f t="shared" si="127"/>
        <v>11.9</v>
      </c>
      <c r="AX206" s="1">
        <f t="shared" si="128"/>
        <v>4.3</v>
      </c>
      <c r="AY206" s="1">
        <f t="shared" si="115"/>
        <v>81.599999999999994</v>
      </c>
      <c r="AZ206" s="1">
        <f t="shared" si="116"/>
        <v>59.7</v>
      </c>
      <c r="BA206" s="1">
        <f t="shared" si="129"/>
        <v>0</v>
      </c>
      <c r="BB206" s="5" t="str">
        <f t="shared" si="130"/>
        <v>NAN</v>
      </c>
      <c r="BC206" s="1">
        <f t="shared" si="119"/>
        <v>7.4</v>
      </c>
      <c r="BD206" s="1">
        <f t="shared" si="120"/>
        <v>14.6</v>
      </c>
      <c r="BE206" s="1">
        <f t="shared" si="121"/>
        <v>4.4000000000000004</v>
      </c>
      <c r="BF206" s="5">
        <f t="shared" si="131"/>
        <v>7.2</v>
      </c>
      <c r="BG206" s="5">
        <f t="shared" si="132"/>
        <v>6.8</v>
      </c>
      <c r="BH206" s="5">
        <f t="shared" si="133"/>
        <v>6.3</v>
      </c>
      <c r="BI206" s="5" t="str">
        <f t="shared" si="134"/>
        <v>NAN</v>
      </c>
      <c r="BJ206" s="10">
        <f t="shared" si="135"/>
        <v>0.83</v>
      </c>
      <c r="BK206" s="10">
        <f t="shared" si="136"/>
        <v>0.56000000000000005</v>
      </c>
      <c r="BM206" s="1">
        <f t="shared" si="137"/>
        <v>2.75</v>
      </c>
      <c r="BN206" s="1">
        <f t="shared" si="138"/>
        <v>0.13699999999999957</v>
      </c>
    </row>
    <row r="207" spans="1:66" x14ac:dyDescent="0.2">
      <c r="A207" s="4">
        <f t="shared" si="139"/>
        <v>43667</v>
      </c>
      <c r="B207" s="1">
        <v>202</v>
      </c>
      <c r="C207" s="1">
        <v>12</v>
      </c>
      <c r="D207" s="5">
        <v>13.04</v>
      </c>
      <c r="E207" s="5">
        <v>21.42</v>
      </c>
      <c r="F207" s="5">
        <v>5.9390000000000001</v>
      </c>
      <c r="G207" s="5">
        <v>12.61</v>
      </c>
      <c r="H207" s="5">
        <v>59.17</v>
      </c>
      <c r="I207" s="5">
        <v>12.07</v>
      </c>
      <c r="J207" s="5">
        <v>12.14</v>
      </c>
      <c r="K207" s="5">
        <v>9.56</v>
      </c>
      <c r="L207" s="5">
        <v>7.5670000000000002</v>
      </c>
      <c r="M207" s="5">
        <v>6.2750000000000004</v>
      </c>
      <c r="N207" s="5">
        <v>19.59</v>
      </c>
      <c r="O207" s="5">
        <v>87.1</v>
      </c>
      <c r="P207" s="5">
        <v>27.21</v>
      </c>
      <c r="Q207" s="5">
        <v>24.52</v>
      </c>
      <c r="R207" s="5">
        <v>17.149999999999999</v>
      </c>
      <c r="S207" s="5">
        <v>9.02</v>
      </c>
      <c r="T207" s="5">
        <v>6.41</v>
      </c>
      <c r="U207" s="5">
        <v>6.2240000000000002</v>
      </c>
      <c r="V207" s="5">
        <v>33.590000000000003</v>
      </c>
      <c r="W207" s="5">
        <v>5.0140000000000002</v>
      </c>
      <c r="X207" s="5">
        <v>5.2880000000000003</v>
      </c>
      <c r="Y207" s="5">
        <v>6</v>
      </c>
      <c r="Z207" s="5">
        <v>6.5940000000000003</v>
      </c>
      <c r="AA207" s="5">
        <v>6.0819999999999999</v>
      </c>
      <c r="AB207" s="5" t="s">
        <v>99</v>
      </c>
      <c r="AC207" s="5">
        <v>11.76</v>
      </c>
      <c r="AD207" s="5">
        <v>28.76</v>
      </c>
      <c r="AE207" s="5">
        <v>4.6470000000000002</v>
      </c>
      <c r="AF207" s="5">
        <v>20.64</v>
      </c>
      <c r="AG207" s="5">
        <v>5.9089999999999998</v>
      </c>
      <c r="AI207" s="5" t="s">
        <v>99</v>
      </c>
      <c r="AK207" s="5">
        <v>0</v>
      </c>
      <c r="AN207" s="1">
        <f t="shared" si="122"/>
        <v>87.1</v>
      </c>
      <c r="AO207" s="1">
        <f t="shared" si="123"/>
        <v>59.2</v>
      </c>
      <c r="AP207" s="1">
        <f t="shared" si="124"/>
        <v>33.6</v>
      </c>
      <c r="AQ207" s="17">
        <f t="shared" si="114"/>
        <v>0.76600000000000001</v>
      </c>
      <c r="AR207" s="22">
        <f t="shared" si="125"/>
        <v>1.514</v>
      </c>
      <c r="AT207" s="19">
        <f t="shared" si="117"/>
        <v>43667</v>
      </c>
      <c r="AU207" s="20">
        <f t="shared" si="118"/>
        <v>202</v>
      </c>
      <c r="AV207" s="1">
        <f t="shared" si="126"/>
        <v>12.6</v>
      </c>
      <c r="AW207" s="1">
        <f t="shared" si="127"/>
        <v>19.600000000000001</v>
      </c>
      <c r="AX207" s="1">
        <f t="shared" si="128"/>
        <v>6.2</v>
      </c>
      <c r="AY207" s="1">
        <f t="shared" si="115"/>
        <v>59.2</v>
      </c>
      <c r="AZ207" s="1">
        <f t="shared" si="116"/>
        <v>33.6</v>
      </c>
      <c r="BA207" s="1">
        <f t="shared" si="129"/>
        <v>0</v>
      </c>
      <c r="BB207" s="5" t="str">
        <f t="shared" si="130"/>
        <v>NAN</v>
      </c>
      <c r="BC207" s="1">
        <f t="shared" si="119"/>
        <v>11.8</v>
      </c>
      <c r="BD207" s="1">
        <f t="shared" si="120"/>
        <v>28.8</v>
      </c>
      <c r="BE207" s="1">
        <f t="shared" si="121"/>
        <v>4.5999999999999996</v>
      </c>
      <c r="BF207" s="5">
        <f t="shared" si="131"/>
        <v>9.6</v>
      </c>
      <c r="BG207" s="5">
        <f t="shared" si="132"/>
        <v>7.6</v>
      </c>
      <c r="BH207" s="5">
        <f t="shared" si="133"/>
        <v>6.3</v>
      </c>
      <c r="BI207" s="5" t="str">
        <f t="shared" si="134"/>
        <v>NAN</v>
      </c>
      <c r="BJ207" s="10">
        <f t="shared" si="135"/>
        <v>0.76600000000000001</v>
      </c>
      <c r="BK207" s="10">
        <f t="shared" si="136"/>
        <v>1.514</v>
      </c>
      <c r="BM207" s="1">
        <f t="shared" si="137"/>
        <v>9.1700000000000017</v>
      </c>
      <c r="BN207" s="1">
        <f t="shared" si="138"/>
        <v>-1.577</v>
      </c>
    </row>
    <row r="208" spans="1:66" x14ac:dyDescent="0.2">
      <c r="A208" s="4">
        <f t="shared" si="139"/>
        <v>43668</v>
      </c>
      <c r="B208" s="1">
        <v>203</v>
      </c>
      <c r="C208" s="1">
        <v>12</v>
      </c>
      <c r="D208" s="5">
        <v>13.01</v>
      </c>
      <c r="E208" s="5">
        <v>24.48</v>
      </c>
      <c r="F208" s="5">
        <v>11.22</v>
      </c>
      <c r="G208" s="5">
        <v>15.7</v>
      </c>
      <c r="H208" s="5">
        <v>50.26</v>
      </c>
      <c r="I208" s="5">
        <v>14.45</v>
      </c>
      <c r="J208" s="5">
        <v>14.71</v>
      </c>
      <c r="K208" s="5">
        <v>11.18</v>
      </c>
      <c r="L208" s="5">
        <v>8.9600000000000009</v>
      </c>
      <c r="M208" s="5">
        <v>6.4770000000000003</v>
      </c>
      <c r="N208" s="5">
        <v>23.5</v>
      </c>
      <c r="O208" s="5">
        <v>88.4</v>
      </c>
      <c r="P208" s="5">
        <v>31.69</v>
      </c>
      <c r="Q208" s="5">
        <v>29.79</v>
      </c>
      <c r="R208" s="5">
        <v>16.420000000000002</v>
      </c>
      <c r="S208" s="5">
        <v>10</v>
      </c>
      <c r="T208" s="5">
        <v>6.7060000000000004</v>
      </c>
      <c r="U208" s="5">
        <v>11.57</v>
      </c>
      <c r="V208" s="5">
        <v>30.11</v>
      </c>
      <c r="W208" s="5">
        <v>9.16</v>
      </c>
      <c r="X208" s="5">
        <v>9.7899999999999991</v>
      </c>
      <c r="Y208" s="5">
        <v>8.42</v>
      </c>
      <c r="Z208" s="5">
        <v>8.16</v>
      </c>
      <c r="AA208" s="5">
        <v>6.2729999999999997</v>
      </c>
      <c r="AB208" s="5" t="s">
        <v>99</v>
      </c>
      <c r="AC208" s="5">
        <v>13.95</v>
      </c>
      <c r="AD208" s="5">
        <v>31.52</v>
      </c>
      <c r="AE208" s="5">
        <v>8.14</v>
      </c>
      <c r="AF208" s="5">
        <v>23.99</v>
      </c>
      <c r="AG208" s="5">
        <v>11.2</v>
      </c>
      <c r="AI208" s="5" t="s">
        <v>99</v>
      </c>
      <c r="AK208" s="5">
        <v>0</v>
      </c>
      <c r="AN208" s="1">
        <f t="shared" si="122"/>
        <v>88.4</v>
      </c>
      <c r="AO208" s="1">
        <f t="shared" si="123"/>
        <v>50.3</v>
      </c>
      <c r="AP208" s="1">
        <f t="shared" si="124"/>
        <v>30.1</v>
      </c>
      <c r="AQ208" s="17">
        <f t="shared" si="114"/>
        <v>0.871</v>
      </c>
      <c r="AR208" s="22">
        <f t="shared" si="125"/>
        <v>2.0230000000000001</v>
      </c>
      <c r="AT208" s="19">
        <f t="shared" si="117"/>
        <v>43668</v>
      </c>
      <c r="AU208" s="20">
        <f t="shared" si="118"/>
        <v>203</v>
      </c>
      <c r="AV208" s="1">
        <f t="shared" si="126"/>
        <v>15.7</v>
      </c>
      <c r="AW208" s="1">
        <f t="shared" si="127"/>
        <v>23.5</v>
      </c>
      <c r="AX208" s="1">
        <f t="shared" si="128"/>
        <v>11.6</v>
      </c>
      <c r="AY208" s="1">
        <f t="shared" si="115"/>
        <v>50.3</v>
      </c>
      <c r="AZ208" s="1">
        <f t="shared" si="116"/>
        <v>30.1</v>
      </c>
      <c r="BA208" s="1">
        <f t="shared" si="129"/>
        <v>0</v>
      </c>
      <c r="BB208" s="5" t="str">
        <f t="shared" si="130"/>
        <v>NAN</v>
      </c>
      <c r="BC208" s="1">
        <f t="shared" si="119"/>
        <v>14</v>
      </c>
      <c r="BD208" s="1">
        <f t="shared" si="120"/>
        <v>31.5</v>
      </c>
      <c r="BE208" s="1">
        <f t="shared" si="121"/>
        <v>8.1</v>
      </c>
      <c r="BF208" s="5">
        <f t="shared" si="131"/>
        <v>11.2</v>
      </c>
      <c r="BG208" s="5">
        <f t="shared" si="132"/>
        <v>9</v>
      </c>
      <c r="BH208" s="5">
        <f t="shared" si="133"/>
        <v>6.5</v>
      </c>
      <c r="BI208" s="5" t="str">
        <f t="shared" si="134"/>
        <v>NAN</v>
      </c>
      <c r="BJ208" s="10">
        <f t="shared" si="135"/>
        <v>0.871</v>
      </c>
      <c r="BK208" s="10">
        <f t="shared" si="136"/>
        <v>2.0230000000000001</v>
      </c>
      <c r="BM208" s="1">
        <f t="shared" si="137"/>
        <v>8.02</v>
      </c>
      <c r="BN208" s="1">
        <f t="shared" si="138"/>
        <v>-3.4299999999999997</v>
      </c>
    </row>
    <row r="209" spans="1:66" x14ac:dyDescent="0.2">
      <c r="A209" s="4">
        <f t="shared" si="139"/>
        <v>43669</v>
      </c>
      <c r="B209" s="1">
        <v>204</v>
      </c>
      <c r="C209" s="1">
        <v>12</v>
      </c>
      <c r="D209" s="5">
        <v>13.02</v>
      </c>
      <c r="E209" s="5">
        <v>20.96</v>
      </c>
      <c r="F209" s="5">
        <v>9.3000000000000007</v>
      </c>
      <c r="G209" s="5">
        <v>14.4</v>
      </c>
      <c r="H209" s="5">
        <v>67.28</v>
      </c>
      <c r="I209" s="5">
        <v>13.53</v>
      </c>
      <c r="J209" s="5">
        <v>13.65</v>
      </c>
      <c r="K209" s="5">
        <v>11.82</v>
      </c>
      <c r="L209" s="5">
        <v>9.82</v>
      </c>
      <c r="M209" s="5">
        <v>6.8230000000000004</v>
      </c>
      <c r="N209" s="5">
        <v>20.67</v>
      </c>
      <c r="O209" s="5">
        <v>93.9</v>
      </c>
      <c r="P209" s="5">
        <v>26.12</v>
      </c>
      <c r="Q209" s="5">
        <v>24.23</v>
      </c>
      <c r="R209" s="5">
        <v>16.350000000000001</v>
      </c>
      <c r="S209" s="5">
        <v>10.57</v>
      </c>
      <c r="T209" s="5">
        <v>7.0590000000000002</v>
      </c>
      <c r="U209" s="5">
        <v>8.58</v>
      </c>
      <c r="V209" s="5">
        <v>43.35</v>
      </c>
      <c r="W209" s="5">
        <v>8.18</v>
      </c>
      <c r="X209" s="5">
        <v>8.14</v>
      </c>
      <c r="Y209" s="5">
        <v>10.02</v>
      </c>
      <c r="Z209" s="5">
        <v>9.24</v>
      </c>
      <c r="AA209" s="5">
        <v>6.593</v>
      </c>
      <c r="AB209" s="5" t="s">
        <v>99</v>
      </c>
      <c r="AC209" s="5">
        <v>12.83</v>
      </c>
      <c r="AD209" s="5">
        <v>26.18</v>
      </c>
      <c r="AE209" s="5">
        <v>8.5500000000000007</v>
      </c>
      <c r="AF209" s="5">
        <v>21.2</v>
      </c>
      <c r="AG209" s="5">
        <v>8.25</v>
      </c>
      <c r="AI209" s="5" t="s">
        <v>99</v>
      </c>
      <c r="AK209" s="5">
        <v>0</v>
      </c>
      <c r="AN209" s="1">
        <f t="shared" si="122"/>
        <v>93.9</v>
      </c>
      <c r="AO209" s="1">
        <f t="shared" si="123"/>
        <v>67.3</v>
      </c>
      <c r="AP209" s="1">
        <f t="shared" si="124"/>
        <v>43.4</v>
      </c>
      <c r="AQ209" s="17">
        <f t="shared" si="114"/>
        <v>1.0569999999999999</v>
      </c>
      <c r="AR209" s="22">
        <f t="shared" si="125"/>
        <v>1.3779999999999999</v>
      </c>
      <c r="AT209" s="19">
        <f t="shared" si="117"/>
        <v>43669</v>
      </c>
      <c r="AU209" s="20">
        <f t="shared" si="118"/>
        <v>204</v>
      </c>
      <c r="AV209" s="1">
        <f t="shared" si="126"/>
        <v>14.4</v>
      </c>
      <c r="AW209" s="1">
        <f t="shared" si="127"/>
        <v>20.7</v>
      </c>
      <c r="AX209" s="1">
        <f t="shared" si="128"/>
        <v>8.6</v>
      </c>
      <c r="AY209" s="1">
        <f t="shared" si="115"/>
        <v>67.3</v>
      </c>
      <c r="AZ209" s="1">
        <f t="shared" si="116"/>
        <v>43.4</v>
      </c>
      <c r="BA209" s="1">
        <f t="shared" si="129"/>
        <v>0</v>
      </c>
      <c r="BB209" s="5" t="str">
        <f t="shared" si="130"/>
        <v>NAN</v>
      </c>
      <c r="BC209" s="1">
        <f t="shared" si="119"/>
        <v>12.8</v>
      </c>
      <c r="BD209" s="1">
        <f t="shared" si="120"/>
        <v>26.2</v>
      </c>
      <c r="BE209" s="1">
        <f t="shared" si="121"/>
        <v>8.6</v>
      </c>
      <c r="BF209" s="5">
        <f t="shared" si="131"/>
        <v>11.8</v>
      </c>
      <c r="BG209" s="5">
        <f t="shared" si="132"/>
        <v>9.8000000000000007</v>
      </c>
      <c r="BH209" s="5">
        <f t="shared" si="133"/>
        <v>6.8</v>
      </c>
      <c r="BI209" s="5" t="str">
        <f t="shared" si="134"/>
        <v>NAN</v>
      </c>
      <c r="BJ209" s="10">
        <f t="shared" si="135"/>
        <v>1.0569999999999999</v>
      </c>
      <c r="BK209" s="10">
        <f t="shared" si="136"/>
        <v>1.3779999999999999</v>
      </c>
      <c r="BM209" s="1">
        <f t="shared" si="137"/>
        <v>5.509999999999998</v>
      </c>
      <c r="BN209" s="1">
        <f t="shared" si="138"/>
        <v>-2.9999999999999361E-2</v>
      </c>
    </row>
    <row r="210" spans="1:66" x14ac:dyDescent="0.2">
      <c r="A210" s="4">
        <f t="shared" si="139"/>
        <v>43670</v>
      </c>
      <c r="B210" s="1">
        <v>205</v>
      </c>
      <c r="C210" s="1">
        <v>12</v>
      </c>
      <c r="D210" s="5">
        <v>13.11</v>
      </c>
      <c r="E210" s="5">
        <v>11.24</v>
      </c>
      <c r="F210" s="5">
        <v>4.2990000000000004</v>
      </c>
      <c r="G210" s="5">
        <v>6.66</v>
      </c>
      <c r="H210" s="5">
        <v>76.290000000000006</v>
      </c>
      <c r="I210" s="5">
        <v>6.5279999999999996</v>
      </c>
      <c r="J210" s="5">
        <v>6.4939999999999998</v>
      </c>
      <c r="K210" s="5">
        <v>8.56</v>
      </c>
      <c r="L210" s="5">
        <v>9.06</v>
      </c>
      <c r="M210" s="5">
        <v>7.0910000000000002</v>
      </c>
      <c r="N210" s="5">
        <v>10.73</v>
      </c>
      <c r="O210" s="5">
        <v>95</v>
      </c>
      <c r="P210" s="5">
        <v>13.54</v>
      </c>
      <c r="Q210" s="5">
        <v>12.41</v>
      </c>
      <c r="R210" s="5">
        <v>10.5</v>
      </c>
      <c r="S210" s="5">
        <v>10.31</v>
      </c>
      <c r="T210" s="5">
        <v>7.2480000000000002</v>
      </c>
      <c r="U210" s="5">
        <v>3.69</v>
      </c>
      <c r="V210" s="5">
        <v>53.44</v>
      </c>
      <c r="W210" s="5">
        <v>3.552</v>
      </c>
      <c r="X210" s="5">
        <v>3.5059999999999998</v>
      </c>
      <c r="Y210" s="5">
        <v>6.57</v>
      </c>
      <c r="Z210" s="5">
        <v>8.2799999999999994</v>
      </c>
      <c r="AA210" s="5">
        <v>6.9560000000000004</v>
      </c>
      <c r="AB210" s="5" t="s">
        <v>99</v>
      </c>
      <c r="AC210" s="5">
        <v>6.9729999999999999</v>
      </c>
      <c r="AD210" s="5">
        <v>17.21</v>
      </c>
      <c r="AE210" s="5">
        <v>3.5630000000000002</v>
      </c>
      <c r="AF210" s="5">
        <v>10.26</v>
      </c>
      <c r="AG210" s="5">
        <v>3.536</v>
      </c>
      <c r="AI210" s="5" t="s">
        <v>99</v>
      </c>
      <c r="AK210" s="5">
        <v>0</v>
      </c>
      <c r="AN210" s="1">
        <f t="shared" si="122"/>
        <v>95</v>
      </c>
      <c r="AO210" s="1">
        <f t="shared" si="123"/>
        <v>76.3</v>
      </c>
      <c r="AP210" s="1">
        <f t="shared" si="124"/>
        <v>53.4</v>
      </c>
      <c r="AQ210" s="17">
        <f t="shared" si="114"/>
        <v>0.68799999999999994</v>
      </c>
      <c r="AR210" s="22">
        <f t="shared" si="125"/>
        <v>0.6</v>
      </c>
      <c r="AT210" s="19">
        <f t="shared" si="117"/>
        <v>43670</v>
      </c>
      <c r="AU210" s="20">
        <f t="shared" si="118"/>
        <v>205</v>
      </c>
      <c r="AV210" s="1">
        <f t="shared" si="126"/>
        <v>6.7</v>
      </c>
      <c r="AW210" s="1">
        <f t="shared" si="127"/>
        <v>10.7</v>
      </c>
      <c r="AX210" s="1">
        <f t="shared" si="128"/>
        <v>3.7</v>
      </c>
      <c r="AY210" s="1">
        <f t="shared" si="115"/>
        <v>76.3</v>
      </c>
      <c r="AZ210" s="1">
        <f t="shared" si="116"/>
        <v>53.4</v>
      </c>
      <c r="BA210" s="1">
        <f t="shared" si="129"/>
        <v>0</v>
      </c>
      <c r="BB210" s="5" t="str">
        <f t="shared" si="130"/>
        <v>NAN</v>
      </c>
      <c r="BC210" s="1">
        <f t="shared" si="119"/>
        <v>7</v>
      </c>
      <c r="BD210" s="1">
        <f t="shared" si="120"/>
        <v>17.2</v>
      </c>
      <c r="BE210" s="1">
        <f t="shared" si="121"/>
        <v>3.6</v>
      </c>
      <c r="BF210" s="5">
        <f t="shared" si="131"/>
        <v>8.6</v>
      </c>
      <c r="BG210" s="5">
        <f t="shared" si="132"/>
        <v>9.1</v>
      </c>
      <c r="BH210" s="5">
        <f t="shared" si="133"/>
        <v>7.1</v>
      </c>
      <c r="BI210" s="5" t="str">
        <f t="shared" si="134"/>
        <v>NAN</v>
      </c>
      <c r="BJ210" s="10">
        <f t="shared" si="135"/>
        <v>0.68799999999999994</v>
      </c>
      <c r="BK210" s="10">
        <f t="shared" si="136"/>
        <v>0.6</v>
      </c>
      <c r="BM210" s="1">
        <f t="shared" si="137"/>
        <v>6.48</v>
      </c>
      <c r="BN210" s="1">
        <f t="shared" si="138"/>
        <v>-0.12699999999999978</v>
      </c>
    </row>
    <row r="211" spans="1:66" x14ac:dyDescent="0.2">
      <c r="A211" s="4">
        <f t="shared" si="139"/>
        <v>43671</v>
      </c>
      <c r="B211" s="1">
        <v>206</v>
      </c>
      <c r="C211" s="1">
        <v>12</v>
      </c>
      <c r="D211" s="5">
        <v>13.06</v>
      </c>
      <c r="E211" s="5">
        <v>19.13</v>
      </c>
      <c r="F211" s="5">
        <v>3.827</v>
      </c>
      <c r="G211" s="5">
        <v>11.01</v>
      </c>
      <c r="H211" s="5">
        <v>57.33</v>
      </c>
      <c r="I211" s="5">
        <v>10.83</v>
      </c>
      <c r="J211" s="5">
        <v>10.88</v>
      </c>
      <c r="K211" s="5">
        <v>9.11</v>
      </c>
      <c r="L211" s="5">
        <v>8.09</v>
      </c>
      <c r="M211" s="5">
        <v>7.0380000000000003</v>
      </c>
      <c r="N211" s="5">
        <v>17.260000000000002</v>
      </c>
      <c r="O211" s="5">
        <v>76.84</v>
      </c>
      <c r="P211" s="5">
        <v>22.33</v>
      </c>
      <c r="Q211" s="5">
        <v>21.09</v>
      </c>
      <c r="R211" s="5">
        <v>15.97</v>
      </c>
      <c r="S211" s="5">
        <v>9.1300000000000008</v>
      </c>
      <c r="T211" s="5">
        <v>7.1980000000000004</v>
      </c>
      <c r="U211" s="5">
        <v>3.6219999999999999</v>
      </c>
      <c r="V211" s="5">
        <v>40.479999999999997</v>
      </c>
      <c r="W211" s="5">
        <v>2.8940000000000001</v>
      </c>
      <c r="X211" s="5">
        <v>3.01</v>
      </c>
      <c r="Y211" s="5">
        <v>5.6159999999999997</v>
      </c>
      <c r="Z211" s="5">
        <v>7.1970000000000001</v>
      </c>
      <c r="AA211" s="5">
        <v>6.8259999999999996</v>
      </c>
      <c r="AB211" s="5" t="s">
        <v>99</v>
      </c>
      <c r="AC211" s="5">
        <v>10.57</v>
      </c>
      <c r="AD211" s="5">
        <v>25.97</v>
      </c>
      <c r="AE211" s="5">
        <v>2.7919999999999998</v>
      </c>
      <c r="AF211" s="5">
        <v>17.45</v>
      </c>
      <c r="AG211" s="5">
        <v>3.3140000000000001</v>
      </c>
      <c r="AI211" s="5" t="s">
        <v>99</v>
      </c>
      <c r="AK211" s="5">
        <v>0</v>
      </c>
      <c r="AN211" s="1">
        <f t="shared" si="122"/>
        <v>76.8</v>
      </c>
      <c r="AO211" s="1">
        <f t="shared" si="123"/>
        <v>57.3</v>
      </c>
      <c r="AP211" s="1">
        <f t="shared" si="124"/>
        <v>40.5</v>
      </c>
      <c r="AQ211" s="17">
        <f t="shared" si="114"/>
        <v>0.79800000000000004</v>
      </c>
      <c r="AR211" s="22">
        <f t="shared" si="125"/>
        <v>1.1719999999999999</v>
      </c>
      <c r="AT211" s="19">
        <f t="shared" si="117"/>
        <v>43671</v>
      </c>
      <c r="AU211" s="20">
        <f t="shared" si="118"/>
        <v>206</v>
      </c>
      <c r="AV211" s="1">
        <f t="shared" si="126"/>
        <v>11</v>
      </c>
      <c r="AW211" s="1">
        <f t="shared" si="127"/>
        <v>17.3</v>
      </c>
      <c r="AX211" s="1">
        <f t="shared" si="128"/>
        <v>3.6</v>
      </c>
      <c r="AY211" s="1">
        <f t="shared" si="115"/>
        <v>57.3</v>
      </c>
      <c r="AZ211" s="1">
        <f t="shared" si="116"/>
        <v>40.5</v>
      </c>
      <c r="BA211" s="1">
        <f t="shared" si="129"/>
        <v>0</v>
      </c>
      <c r="BB211" s="5" t="str">
        <f t="shared" si="130"/>
        <v>NAN</v>
      </c>
      <c r="BC211" s="1">
        <f t="shared" si="119"/>
        <v>10.6</v>
      </c>
      <c r="BD211" s="1">
        <f t="shared" si="120"/>
        <v>26</v>
      </c>
      <c r="BE211" s="1">
        <f t="shared" si="121"/>
        <v>2.8</v>
      </c>
      <c r="BF211" s="5">
        <f t="shared" si="131"/>
        <v>9.1</v>
      </c>
      <c r="BG211" s="5">
        <f t="shared" si="132"/>
        <v>8.1</v>
      </c>
      <c r="BH211" s="5">
        <f t="shared" si="133"/>
        <v>7</v>
      </c>
      <c r="BI211" s="5" t="str">
        <f t="shared" si="134"/>
        <v>NAN</v>
      </c>
      <c r="BJ211" s="10">
        <f t="shared" si="135"/>
        <v>0.79800000000000004</v>
      </c>
      <c r="BK211" s="10">
        <f t="shared" si="136"/>
        <v>1.1719999999999999</v>
      </c>
      <c r="BM211" s="1">
        <f t="shared" si="137"/>
        <v>8.7099999999999973</v>
      </c>
      <c r="BN211" s="1">
        <f t="shared" si="138"/>
        <v>-0.83000000000000007</v>
      </c>
    </row>
    <row r="212" spans="1:66" x14ac:dyDescent="0.2">
      <c r="A212" s="4">
        <f t="shared" si="139"/>
        <v>43672</v>
      </c>
      <c r="B212" s="1">
        <v>207</v>
      </c>
      <c r="C212" s="1">
        <v>12</v>
      </c>
      <c r="D212" s="5">
        <v>13.02</v>
      </c>
      <c r="E212" s="5">
        <v>24.92</v>
      </c>
      <c r="F212" s="5">
        <v>8.61</v>
      </c>
      <c r="G212" s="5">
        <v>15.23</v>
      </c>
      <c r="H212" s="5">
        <v>45</v>
      </c>
      <c r="I212" s="5">
        <v>14.81</v>
      </c>
      <c r="J212" s="5">
        <v>14.88</v>
      </c>
      <c r="K212" s="5">
        <v>11.21</v>
      </c>
      <c r="L212" s="5">
        <v>9.1199999999999992</v>
      </c>
      <c r="M212" s="5">
        <v>7.0019999999999998</v>
      </c>
      <c r="N212" s="5">
        <v>22.56</v>
      </c>
      <c r="O212" s="5">
        <v>72.23</v>
      </c>
      <c r="P212" s="5">
        <v>30.5</v>
      </c>
      <c r="Q212" s="5">
        <v>27.97</v>
      </c>
      <c r="R212" s="5">
        <v>18.91</v>
      </c>
      <c r="S212" s="5">
        <v>10.33</v>
      </c>
      <c r="T212" s="5">
        <v>7.1470000000000002</v>
      </c>
      <c r="U212" s="5">
        <v>8.5500000000000007</v>
      </c>
      <c r="V212" s="5">
        <v>20.9</v>
      </c>
      <c r="W212" s="5">
        <v>7.327</v>
      </c>
      <c r="X212" s="5">
        <v>7.5430000000000001</v>
      </c>
      <c r="Y212" s="5">
        <v>7.9660000000000002</v>
      </c>
      <c r="Z212" s="5">
        <v>8.18</v>
      </c>
      <c r="AA212" s="5">
        <v>6.8049999999999997</v>
      </c>
      <c r="AB212" s="5" t="s">
        <v>99</v>
      </c>
      <c r="AC212" s="5">
        <v>14.38</v>
      </c>
      <c r="AD212" s="5">
        <v>34.729999999999997</v>
      </c>
      <c r="AE212" s="5">
        <v>6.7469999999999999</v>
      </c>
      <c r="AF212" s="5">
        <v>23.24</v>
      </c>
      <c r="AG212" s="5">
        <v>8.3000000000000007</v>
      </c>
      <c r="AI212" s="5" t="s">
        <v>99</v>
      </c>
      <c r="AK212" s="5">
        <v>0</v>
      </c>
      <c r="AN212" s="1">
        <f t="shared" si="122"/>
        <v>72.2</v>
      </c>
      <c r="AO212" s="1">
        <f t="shared" si="123"/>
        <v>45</v>
      </c>
      <c r="AP212" s="1">
        <f t="shared" si="124"/>
        <v>20.9</v>
      </c>
      <c r="AQ212" s="17">
        <f t="shared" si="114"/>
        <v>0.57199999999999995</v>
      </c>
      <c r="AR212" s="22">
        <f t="shared" si="125"/>
        <v>2.165</v>
      </c>
      <c r="AT212" s="19">
        <f t="shared" si="117"/>
        <v>43672</v>
      </c>
      <c r="AU212" s="20">
        <f t="shared" si="118"/>
        <v>207</v>
      </c>
      <c r="AV212" s="1">
        <f t="shared" si="126"/>
        <v>15.2</v>
      </c>
      <c r="AW212" s="1">
        <f t="shared" si="127"/>
        <v>22.6</v>
      </c>
      <c r="AX212" s="1">
        <f t="shared" si="128"/>
        <v>8.6</v>
      </c>
      <c r="AY212" s="1">
        <f t="shared" si="115"/>
        <v>45</v>
      </c>
      <c r="AZ212" s="1">
        <f t="shared" si="116"/>
        <v>20.9</v>
      </c>
      <c r="BA212" s="1">
        <f t="shared" si="129"/>
        <v>0</v>
      </c>
      <c r="BB212" s="5" t="str">
        <f t="shared" si="130"/>
        <v>NAN</v>
      </c>
      <c r="BC212" s="1">
        <f t="shared" si="119"/>
        <v>14.4</v>
      </c>
      <c r="BD212" s="1">
        <f t="shared" si="120"/>
        <v>34.700000000000003</v>
      </c>
      <c r="BE212" s="1">
        <f t="shared" si="121"/>
        <v>6.7</v>
      </c>
      <c r="BF212" s="5">
        <f t="shared" si="131"/>
        <v>11.2</v>
      </c>
      <c r="BG212" s="5">
        <f t="shared" si="132"/>
        <v>9.1</v>
      </c>
      <c r="BH212" s="5">
        <f t="shared" si="133"/>
        <v>7</v>
      </c>
      <c r="BI212" s="5" t="str">
        <f t="shared" si="134"/>
        <v>NAN</v>
      </c>
      <c r="BJ212" s="10">
        <f t="shared" si="135"/>
        <v>0.57199999999999995</v>
      </c>
      <c r="BK212" s="10">
        <f t="shared" si="136"/>
        <v>2.165</v>
      </c>
      <c r="BM212" s="1">
        <f t="shared" si="137"/>
        <v>12.169999999999998</v>
      </c>
      <c r="BN212" s="1">
        <f t="shared" si="138"/>
        <v>-1.8030000000000008</v>
      </c>
    </row>
    <row r="213" spans="1:66" x14ac:dyDescent="0.2">
      <c r="A213" s="4">
        <f t="shared" si="139"/>
        <v>43673</v>
      </c>
      <c r="B213" s="1">
        <v>208</v>
      </c>
      <c r="C213" s="1">
        <v>12</v>
      </c>
      <c r="D213" s="5">
        <v>13.07</v>
      </c>
      <c r="E213" s="5">
        <v>17.059999999999999</v>
      </c>
      <c r="F213" s="5">
        <v>6.766</v>
      </c>
      <c r="G213" s="5">
        <v>10.87</v>
      </c>
      <c r="H213" s="5">
        <v>60.72</v>
      </c>
      <c r="I213" s="5">
        <v>11.3</v>
      </c>
      <c r="J213" s="5">
        <v>11.25</v>
      </c>
      <c r="K213" s="5">
        <v>10.87</v>
      </c>
      <c r="L213" s="5">
        <v>9.7100000000000009</v>
      </c>
      <c r="M213" s="5">
        <v>7.2039999999999997</v>
      </c>
      <c r="N213" s="5">
        <v>15.25</v>
      </c>
      <c r="O213" s="5">
        <v>89.2</v>
      </c>
      <c r="P213" s="5">
        <v>23.79</v>
      </c>
      <c r="Q213" s="5">
        <v>21.44</v>
      </c>
      <c r="R213" s="5">
        <v>17.2</v>
      </c>
      <c r="S213" s="5">
        <v>10.27</v>
      </c>
      <c r="T213" s="5">
        <v>7.3849999999999998</v>
      </c>
      <c r="U213" s="5">
        <v>6.42</v>
      </c>
      <c r="V213" s="5">
        <v>39.72</v>
      </c>
      <c r="W213" s="5">
        <v>6.0359999999999996</v>
      </c>
      <c r="X213" s="5">
        <v>6.0590000000000002</v>
      </c>
      <c r="Y213" s="5">
        <v>8.67</v>
      </c>
      <c r="Z213" s="5">
        <v>9.1</v>
      </c>
      <c r="AA213" s="5">
        <v>7.0179999999999998</v>
      </c>
      <c r="AB213" s="5" t="s">
        <v>99</v>
      </c>
      <c r="AC213" s="5">
        <v>12.06</v>
      </c>
      <c r="AD213" s="5">
        <v>30.81</v>
      </c>
      <c r="AE213" s="5">
        <v>5.9710000000000001</v>
      </c>
      <c r="AF213" s="5">
        <v>16.149999999999999</v>
      </c>
      <c r="AG213" s="5">
        <v>6.19</v>
      </c>
      <c r="AI213" s="5" t="s">
        <v>99</v>
      </c>
      <c r="AK213" s="5">
        <v>0</v>
      </c>
      <c r="AN213" s="1">
        <f t="shared" si="122"/>
        <v>89.2</v>
      </c>
      <c r="AO213" s="1">
        <f t="shared" si="123"/>
        <v>60.7</v>
      </c>
      <c r="AP213" s="1">
        <f t="shared" si="124"/>
        <v>39.700000000000003</v>
      </c>
      <c r="AQ213" s="17">
        <f t="shared" si="114"/>
        <v>0.68799999999999994</v>
      </c>
      <c r="AR213" s="22">
        <f t="shared" si="125"/>
        <v>1.0449999999999999</v>
      </c>
      <c r="AT213" s="19">
        <f t="shared" si="117"/>
        <v>43673</v>
      </c>
      <c r="AU213" s="20">
        <f t="shared" si="118"/>
        <v>208</v>
      </c>
      <c r="AV213" s="1">
        <f t="shared" si="126"/>
        <v>10.9</v>
      </c>
      <c r="AW213" s="1">
        <f t="shared" si="127"/>
        <v>15.3</v>
      </c>
      <c r="AX213" s="1">
        <f t="shared" si="128"/>
        <v>6.4</v>
      </c>
      <c r="AY213" s="1">
        <f t="shared" si="115"/>
        <v>60.7</v>
      </c>
      <c r="AZ213" s="1">
        <f t="shared" si="116"/>
        <v>39.700000000000003</v>
      </c>
      <c r="BA213" s="1">
        <f t="shared" si="129"/>
        <v>0</v>
      </c>
      <c r="BB213" s="5" t="str">
        <f t="shared" si="130"/>
        <v>NAN</v>
      </c>
      <c r="BC213" s="1">
        <f t="shared" si="119"/>
        <v>12.1</v>
      </c>
      <c r="BD213" s="1">
        <f t="shared" si="120"/>
        <v>30.8</v>
      </c>
      <c r="BE213" s="1">
        <f t="shared" si="121"/>
        <v>6</v>
      </c>
      <c r="BF213" s="5">
        <f t="shared" si="131"/>
        <v>10.9</v>
      </c>
      <c r="BG213" s="5">
        <f t="shared" si="132"/>
        <v>9.6999999999999993</v>
      </c>
      <c r="BH213" s="5">
        <f t="shared" si="133"/>
        <v>7.2</v>
      </c>
      <c r="BI213" s="5" t="str">
        <f t="shared" si="134"/>
        <v>NAN</v>
      </c>
      <c r="BJ213" s="10">
        <f t="shared" si="135"/>
        <v>0.68799999999999994</v>
      </c>
      <c r="BK213" s="10">
        <f t="shared" si="136"/>
        <v>1.0449999999999999</v>
      </c>
      <c r="BM213" s="1">
        <f t="shared" si="137"/>
        <v>15.559999999999999</v>
      </c>
      <c r="BN213" s="1">
        <f t="shared" si="138"/>
        <v>-0.44899999999999984</v>
      </c>
    </row>
    <row r="214" spans="1:66" x14ac:dyDescent="0.2">
      <c r="A214" s="4">
        <f t="shared" si="139"/>
        <v>43674</v>
      </c>
      <c r="B214" s="1">
        <v>209</v>
      </c>
      <c r="C214" s="1">
        <v>12</v>
      </c>
      <c r="D214" s="5">
        <v>13.07</v>
      </c>
      <c r="E214" s="5">
        <v>18.38</v>
      </c>
      <c r="F214" s="5">
        <v>5.0739999999999998</v>
      </c>
      <c r="G214" s="5">
        <v>10.220000000000001</v>
      </c>
      <c r="H214" s="5">
        <v>68.959999999999994</v>
      </c>
      <c r="I214" s="5">
        <v>10.39</v>
      </c>
      <c r="J214" s="5">
        <v>10.41</v>
      </c>
      <c r="K214" s="5">
        <v>10.210000000000001</v>
      </c>
      <c r="L214" s="5">
        <v>9.2100000000000009</v>
      </c>
      <c r="M214" s="5">
        <v>7.343</v>
      </c>
      <c r="N214" s="5">
        <v>15.61</v>
      </c>
      <c r="O214" s="5">
        <v>93.2</v>
      </c>
      <c r="P214" s="5">
        <v>23.44</v>
      </c>
      <c r="Q214" s="5">
        <v>21</v>
      </c>
      <c r="R214" s="5">
        <v>16.809999999999999</v>
      </c>
      <c r="S214" s="5">
        <v>9.9600000000000009</v>
      </c>
      <c r="T214" s="5">
        <v>7.4729999999999999</v>
      </c>
      <c r="U214" s="5">
        <v>5.1760000000000002</v>
      </c>
      <c r="V214" s="5">
        <v>38.19</v>
      </c>
      <c r="W214" s="5">
        <v>4.5730000000000004</v>
      </c>
      <c r="X214" s="5">
        <v>4.6959999999999997</v>
      </c>
      <c r="Y214" s="5">
        <v>7.44</v>
      </c>
      <c r="Z214" s="5">
        <v>8.3800000000000008</v>
      </c>
      <c r="AA214" s="5">
        <v>7.181</v>
      </c>
      <c r="AB214" s="5" t="s">
        <v>99</v>
      </c>
      <c r="AC214" s="5">
        <v>11.46</v>
      </c>
      <c r="AD214" s="5">
        <v>30.44</v>
      </c>
      <c r="AE214" s="5">
        <v>4.6050000000000004</v>
      </c>
      <c r="AF214" s="5">
        <v>16.84</v>
      </c>
      <c r="AG214" s="5">
        <v>4.9020000000000001</v>
      </c>
      <c r="AI214" s="5" t="s">
        <v>99</v>
      </c>
      <c r="AK214" s="5">
        <v>0</v>
      </c>
      <c r="AN214" s="1">
        <f t="shared" si="122"/>
        <v>93.2</v>
      </c>
      <c r="AO214" s="1">
        <f t="shared" si="123"/>
        <v>69</v>
      </c>
      <c r="AP214" s="1">
        <f t="shared" si="124"/>
        <v>38.200000000000003</v>
      </c>
      <c r="AQ214" s="17">
        <f t="shared" ref="AQ214:AQ245" si="140">ROUND((0.6105*(EXP((17.273*N214)/(N214+237.3))))*AP214/100,3)</f>
        <v>0.67700000000000005</v>
      </c>
      <c r="AR214" s="22">
        <f t="shared" si="125"/>
        <v>1.095</v>
      </c>
      <c r="AT214" s="19">
        <f t="shared" si="117"/>
        <v>43674</v>
      </c>
      <c r="AU214" s="20">
        <f t="shared" si="118"/>
        <v>209</v>
      </c>
      <c r="AV214" s="1">
        <f t="shared" si="126"/>
        <v>10.199999999999999</v>
      </c>
      <c r="AW214" s="1">
        <f t="shared" si="127"/>
        <v>15.6</v>
      </c>
      <c r="AX214" s="1">
        <f t="shared" si="128"/>
        <v>5.2</v>
      </c>
      <c r="AY214" s="1">
        <f t="shared" si="115"/>
        <v>69</v>
      </c>
      <c r="AZ214" s="1">
        <f t="shared" si="116"/>
        <v>38.200000000000003</v>
      </c>
      <c r="BA214" s="1">
        <f t="shared" si="129"/>
        <v>0</v>
      </c>
      <c r="BB214" s="5" t="str">
        <f t="shared" si="130"/>
        <v>NAN</v>
      </c>
      <c r="BC214" s="1">
        <f t="shared" si="119"/>
        <v>11.5</v>
      </c>
      <c r="BD214" s="1">
        <f t="shared" si="120"/>
        <v>30.4</v>
      </c>
      <c r="BE214" s="1">
        <f t="shared" si="121"/>
        <v>4.5999999999999996</v>
      </c>
      <c r="BF214" s="5">
        <f t="shared" si="131"/>
        <v>10.199999999999999</v>
      </c>
      <c r="BG214" s="5">
        <f t="shared" si="132"/>
        <v>9.1999999999999993</v>
      </c>
      <c r="BH214" s="5">
        <f t="shared" si="133"/>
        <v>7.3</v>
      </c>
      <c r="BI214" s="5" t="str">
        <f t="shared" si="134"/>
        <v>NAN</v>
      </c>
      <c r="BJ214" s="10">
        <f t="shared" si="135"/>
        <v>0.67700000000000005</v>
      </c>
      <c r="BK214" s="10">
        <f t="shared" si="136"/>
        <v>1.095</v>
      </c>
      <c r="BM214" s="1">
        <f t="shared" si="137"/>
        <v>14.830000000000002</v>
      </c>
      <c r="BN214" s="1">
        <f t="shared" si="138"/>
        <v>-0.57099999999999973</v>
      </c>
    </row>
    <row r="215" spans="1:66" x14ac:dyDescent="0.2">
      <c r="A215" s="4">
        <f t="shared" si="139"/>
        <v>43675</v>
      </c>
      <c r="B215" s="1">
        <v>210</v>
      </c>
      <c r="C215" s="1">
        <v>12</v>
      </c>
      <c r="D215" s="5">
        <v>12.99</v>
      </c>
      <c r="E215" s="5">
        <v>23.01</v>
      </c>
      <c r="F215" s="5">
        <v>8.48</v>
      </c>
      <c r="G215" s="5">
        <v>13.99</v>
      </c>
      <c r="H215" s="5">
        <v>48.15</v>
      </c>
      <c r="I215" s="5">
        <v>13.68</v>
      </c>
      <c r="J215" s="5">
        <v>13.78</v>
      </c>
      <c r="K215" s="5">
        <v>11.14</v>
      </c>
      <c r="L215" s="5">
        <v>9.51</v>
      </c>
      <c r="M215" s="5">
        <v>7.3949999999999996</v>
      </c>
      <c r="N215" s="5">
        <v>20.6</v>
      </c>
      <c r="O215" s="5">
        <v>65.34</v>
      </c>
      <c r="P215" s="5">
        <v>28.21</v>
      </c>
      <c r="Q215" s="5">
        <v>25.74</v>
      </c>
      <c r="R215" s="5">
        <v>18.47</v>
      </c>
      <c r="S215" s="5">
        <v>10.47</v>
      </c>
      <c r="T215" s="5">
        <v>7.5449999999999999</v>
      </c>
      <c r="U215" s="5">
        <v>8.7200000000000006</v>
      </c>
      <c r="V215" s="5">
        <v>24.58</v>
      </c>
      <c r="W215" s="5">
        <v>7.41</v>
      </c>
      <c r="X215" s="5">
        <v>7.6589999999999998</v>
      </c>
      <c r="Y215" s="5">
        <v>8.2100000000000009</v>
      </c>
      <c r="Z215" s="5">
        <v>8.6300000000000008</v>
      </c>
      <c r="AA215" s="5">
        <v>7.1890000000000001</v>
      </c>
      <c r="AB215" s="5" t="s">
        <v>99</v>
      </c>
      <c r="AC215" s="5">
        <v>14.13</v>
      </c>
      <c r="AD215" s="5">
        <v>35.29</v>
      </c>
      <c r="AE215" s="5">
        <v>6.9</v>
      </c>
      <c r="AF215" s="5">
        <v>21.47</v>
      </c>
      <c r="AG215" s="5">
        <v>8.34</v>
      </c>
      <c r="AI215" s="5" t="s">
        <v>99</v>
      </c>
      <c r="AK215" s="5">
        <v>0</v>
      </c>
      <c r="AN215" s="1">
        <f t="shared" si="122"/>
        <v>65.3</v>
      </c>
      <c r="AO215" s="1">
        <f t="shared" si="123"/>
        <v>48.2</v>
      </c>
      <c r="AP215" s="1">
        <f t="shared" si="124"/>
        <v>24.6</v>
      </c>
      <c r="AQ215" s="17">
        <f t="shared" si="140"/>
        <v>0.59699999999999998</v>
      </c>
      <c r="AR215" s="22">
        <f t="shared" si="125"/>
        <v>1.83</v>
      </c>
      <c r="AT215" s="19">
        <f t="shared" si="117"/>
        <v>43675</v>
      </c>
      <c r="AU215" s="20">
        <f t="shared" si="118"/>
        <v>210</v>
      </c>
      <c r="AV215" s="1">
        <f t="shared" si="126"/>
        <v>14</v>
      </c>
      <c r="AW215" s="1">
        <f t="shared" si="127"/>
        <v>20.6</v>
      </c>
      <c r="AX215" s="1">
        <f t="shared" si="128"/>
        <v>8.6999999999999993</v>
      </c>
      <c r="AY215" s="1">
        <f t="shared" si="115"/>
        <v>48.2</v>
      </c>
      <c r="AZ215" s="1">
        <f t="shared" si="116"/>
        <v>24.6</v>
      </c>
      <c r="BA215" s="1">
        <f t="shared" si="129"/>
        <v>0</v>
      </c>
      <c r="BB215" s="5" t="str">
        <f t="shared" si="130"/>
        <v>NAN</v>
      </c>
      <c r="BC215" s="1">
        <f t="shared" si="119"/>
        <v>14.1</v>
      </c>
      <c r="BD215" s="1">
        <f t="shared" si="120"/>
        <v>35.299999999999997</v>
      </c>
      <c r="BE215" s="1">
        <f t="shared" si="121"/>
        <v>6.9</v>
      </c>
      <c r="BF215" s="5">
        <f t="shared" si="131"/>
        <v>11.1</v>
      </c>
      <c r="BG215" s="5">
        <f t="shared" si="132"/>
        <v>9.5</v>
      </c>
      <c r="BH215" s="5">
        <f t="shared" si="133"/>
        <v>7.4</v>
      </c>
      <c r="BI215" s="5" t="str">
        <f t="shared" si="134"/>
        <v>NAN</v>
      </c>
      <c r="BJ215" s="10">
        <f t="shared" si="135"/>
        <v>0.59699999999999998</v>
      </c>
      <c r="BK215" s="10">
        <f t="shared" si="136"/>
        <v>1.83</v>
      </c>
      <c r="BM215" s="1">
        <f t="shared" si="137"/>
        <v>14.689999999999998</v>
      </c>
      <c r="BN215" s="1">
        <f t="shared" si="138"/>
        <v>-1.8200000000000003</v>
      </c>
    </row>
    <row r="216" spans="1:66" x14ac:dyDescent="0.2">
      <c r="A216" s="4">
        <f t="shared" si="139"/>
        <v>43676</v>
      </c>
      <c r="B216" s="1">
        <v>211</v>
      </c>
      <c r="C216" s="1">
        <v>12</v>
      </c>
      <c r="D216" s="5">
        <v>13.03</v>
      </c>
      <c r="E216" s="5">
        <v>20.18</v>
      </c>
      <c r="F216" s="5">
        <v>8.5500000000000007</v>
      </c>
      <c r="G216" s="5">
        <v>12.31</v>
      </c>
      <c r="H216" s="5">
        <v>53.29</v>
      </c>
      <c r="I216" s="5">
        <v>12.55</v>
      </c>
      <c r="J216" s="5">
        <v>12.53</v>
      </c>
      <c r="K216" s="5">
        <v>11.17</v>
      </c>
      <c r="L216" s="5">
        <v>9.86</v>
      </c>
      <c r="M216" s="5">
        <v>7.5209999999999999</v>
      </c>
      <c r="N216" s="5">
        <v>18.21</v>
      </c>
      <c r="O216" s="5">
        <v>70.95</v>
      </c>
      <c r="P216" s="5">
        <v>25.5</v>
      </c>
      <c r="Q216" s="5">
        <v>23.17</v>
      </c>
      <c r="R216" s="5">
        <v>17.71</v>
      </c>
      <c r="S216" s="5">
        <v>10.57</v>
      </c>
      <c r="T216" s="5">
        <v>7.6609999999999996</v>
      </c>
      <c r="U216" s="5">
        <v>8.2799999999999994</v>
      </c>
      <c r="V216" s="5">
        <v>27.86</v>
      </c>
      <c r="W216" s="5">
        <v>7.3789999999999996</v>
      </c>
      <c r="X216" s="5">
        <v>7.5270000000000001</v>
      </c>
      <c r="Y216" s="5">
        <v>8.6199999999999992</v>
      </c>
      <c r="Z216" s="5">
        <v>9.11</v>
      </c>
      <c r="AA216" s="5">
        <v>7.3540000000000001</v>
      </c>
      <c r="AB216" s="5" t="s">
        <v>99</v>
      </c>
      <c r="AC216" s="5">
        <v>13.45</v>
      </c>
      <c r="AD216" s="5">
        <v>32.99</v>
      </c>
      <c r="AE216" s="5">
        <v>6.6349999999999998</v>
      </c>
      <c r="AF216" s="5">
        <v>18.670000000000002</v>
      </c>
      <c r="AG216" s="5">
        <v>8.1199999999999992</v>
      </c>
      <c r="AI216" s="5" t="s">
        <v>99</v>
      </c>
      <c r="AK216" s="5">
        <v>0</v>
      </c>
      <c r="AN216" s="1">
        <f t="shared" si="122"/>
        <v>71</v>
      </c>
      <c r="AO216" s="1">
        <f t="shared" si="123"/>
        <v>53.3</v>
      </c>
      <c r="AP216" s="1">
        <f t="shared" si="124"/>
        <v>27.9</v>
      </c>
      <c r="AQ216" s="17">
        <f t="shared" si="140"/>
        <v>0.58299999999999996</v>
      </c>
      <c r="AR216" s="22">
        <f t="shared" si="125"/>
        <v>1.5069999999999999</v>
      </c>
      <c r="AT216" s="19">
        <f t="shared" si="117"/>
        <v>43676</v>
      </c>
      <c r="AU216" s="20">
        <f t="shared" si="118"/>
        <v>211</v>
      </c>
      <c r="AV216" s="1">
        <f t="shared" si="126"/>
        <v>12.3</v>
      </c>
      <c r="AW216" s="1">
        <f t="shared" si="127"/>
        <v>18.2</v>
      </c>
      <c r="AX216" s="1">
        <f t="shared" si="128"/>
        <v>8.3000000000000007</v>
      </c>
      <c r="AY216" s="1">
        <f t="shared" si="115"/>
        <v>53.3</v>
      </c>
      <c r="AZ216" s="1">
        <f t="shared" si="116"/>
        <v>27.9</v>
      </c>
      <c r="BA216" s="1">
        <f t="shared" si="129"/>
        <v>0</v>
      </c>
      <c r="BB216" s="5" t="str">
        <f t="shared" si="130"/>
        <v>NAN</v>
      </c>
      <c r="BC216" s="1">
        <f t="shared" si="119"/>
        <v>13.5</v>
      </c>
      <c r="BD216" s="1">
        <f t="shared" si="120"/>
        <v>33</v>
      </c>
      <c r="BE216" s="1">
        <f t="shared" si="121"/>
        <v>6.6</v>
      </c>
      <c r="BF216" s="5">
        <f t="shared" si="131"/>
        <v>11.2</v>
      </c>
      <c r="BG216" s="5">
        <f t="shared" si="132"/>
        <v>9.9</v>
      </c>
      <c r="BH216" s="5">
        <f t="shared" si="133"/>
        <v>7.5</v>
      </c>
      <c r="BI216" s="5" t="str">
        <f t="shared" si="134"/>
        <v>NAN</v>
      </c>
      <c r="BJ216" s="10">
        <f t="shared" si="135"/>
        <v>0.58299999999999996</v>
      </c>
      <c r="BK216" s="10">
        <f t="shared" si="136"/>
        <v>1.5069999999999999</v>
      </c>
      <c r="BM216" s="1">
        <f t="shared" si="137"/>
        <v>14.780000000000001</v>
      </c>
      <c r="BN216" s="1">
        <f t="shared" si="138"/>
        <v>-1.6449999999999996</v>
      </c>
    </row>
    <row r="217" spans="1:66" x14ac:dyDescent="0.2">
      <c r="A217" s="4">
        <f t="shared" si="139"/>
        <v>43677</v>
      </c>
      <c r="B217" s="1">
        <v>212</v>
      </c>
      <c r="C217" s="1">
        <v>12</v>
      </c>
      <c r="D217" s="5">
        <v>13</v>
      </c>
      <c r="E217" s="5">
        <v>21.26</v>
      </c>
      <c r="F217" s="5">
        <v>7.9269999999999996</v>
      </c>
      <c r="G217" s="5">
        <v>12.7</v>
      </c>
      <c r="H217" s="5">
        <v>61.68</v>
      </c>
      <c r="I217" s="5">
        <v>12.79</v>
      </c>
      <c r="J217" s="5">
        <v>12.79</v>
      </c>
      <c r="K217" s="5">
        <v>11.33</v>
      </c>
      <c r="L217" s="5">
        <v>9.91</v>
      </c>
      <c r="M217" s="5">
        <v>7.649</v>
      </c>
      <c r="N217" s="5">
        <v>20.13</v>
      </c>
      <c r="O217" s="5">
        <v>79.02</v>
      </c>
      <c r="P217" s="5">
        <v>27.25</v>
      </c>
      <c r="Q217" s="5">
        <v>24.65</v>
      </c>
      <c r="R217" s="5">
        <v>18.170000000000002</v>
      </c>
      <c r="S217" s="5">
        <v>10.75</v>
      </c>
      <c r="T217" s="5">
        <v>7.7770000000000001</v>
      </c>
      <c r="U217" s="5">
        <v>7.6689999999999996</v>
      </c>
      <c r="V217" s="5">
        <v>38.99</v>
      </c>
      <c r="W217" s="5">
        <v>6.875</v>
      </c>
      <c r="X217" s="5">
        <v>7.032</v>
      </c>
      <c r="Y217" s="5">
        <v>8.6</v>
      </c>
      <c r="Z217" s="5">
        <v>9.0299999999999994</v>
      </c>
      <c r="AA217" s="5">
        <v>7.452</v>
      </c>
      <c r="AB217" s="5" t="s">
        <v>99</v>
      </c>
      <c r="AC217" s="5">
        <v>13.76</v>
      </c>
      <c r="AD217" s="5">
        <v>35.46</v>
      </c>
      <c r="AE217" s="5">
        <v>6.5869999999999997</v>
      </c>
      <c r="AF217" s="5">
        <v>20.53</v>
      </c>
      <c r="AG217" s="5">
        <v>7.56</v>
      </c>
      <c r="AI217" s="5" t="s">
        <v>99</v>
      </c>
      <c r="AK217" s="5">
        <v>0</v>
      </c>
      <c r="AN217" s="1">
        <f t="shared" si="122"/>
        <v>79</v>
      </c>
      <c r="AO217" s="1">
        <f t="shared" si="123"/>
        <v>61.7</v>
      </c>
      <c r="AP217" s="1">
        <f t="shared" si="124"/>
        <v>39</v>
      </c>
      <c r="AQ217" s="17">
        <f t="shared" si="140"/>
        <v>0.91900000000000004</v>
      </c>
      <c r="AR217" s="22">
        <f t="shared" si="125"/>
        <v>1.4370000000000001</v>
      </c>
      <c r="AT217" s="19">
        <f t="shared" si="117"/>
        <v>43677</v>
      </c>
      <c r="AU217" s="20">
        <f t="shared" si="118"/>
        <v>212</v>
      </c>
      <c r="AV217" s="1">
        <f t="shared" si="126"/>
        <v>12.7</v>
      </c>
      <c r="AW217" s="1">
        <f t="shared" si="127"/>
        <v>20.100000000000001</v>
      </c>
      <c r="AX217" s="1">
        <f t="shared" si="128"/>
        <v>7.7</v>
      </c>
      <c r="AY217" s="1">
        <f t="shared" si="115"/>
        <v>61.7</v>
      </c>
      <c r="AZ217" s="1">
        <f t="shared" si="116"/>
        <v>39</v>
      </c>
      <c r="BA217" s="1">
        <f t="shared" si="129"/>
        <v>0</v>
      </c>
      <c r="BB217" s="5" t="str">
        <f t="shared" si="130"/>
        <v>NAN</v>
      </c>
      <c r="BC217" s="1">
        <f t="shared" si="119"/>
        <v>13.8</v>
      </c>
      <c r="BD217" s="1">
        <f t="shared" si="120"/>
        <v>35.5</v>
      </c>
      <c r="BE217" s="1">
        <f t="shared" si="121"/>
        <v>6.6</v>
      </c>
      <c r="BF217" s="5">
        <f t="shared" si="131"/>
        <v>11.3</v>
      </c>
      <c r="BG217" s="5">
        <f t="shared" si="132"/>
        <v>9.9</v>
      </c>
      <c r="BH217" s="5">
        <f t="shared" si="133"/>
        <v>7.6</v>
      </c>
      <c r="BI217" s="5" t="str">
        <f t="shared" si="134"/>
        <v>NAN</v>
      </c>
      <c r="BJ217" s="10">
        <f t="shared" si="135"/>
        <v>0.91900000000000004</v>
      </c>
      <c r="BK217" s="10">
        <f t="shared" si="136"/>
        <v>1.4370000000000001</v>
      </c>
      <c r="BM217" s="1">
        <f t="shared" si="137"/>
        <v>15.330000000000002</v>
      </c>
      <c r="BN217" s="1">
        <f t="shared" si="138"/>
        <v>-1.0819999999999999</v>
      </c>
    </row>
    <row r="218" spans="1:66" x14ac:dyDescent="0.2">
      <c r="A218" s="4">
        <f t="shared" si="139"/>
        <v>43678</v>
      </c>
      <c r="B218" s="1">
        <v>213</v>
      </c>
      <c r="C218" s="1">
        <v>12</v>
      </c>
      <c r="D218" s="5">
        <v>13</v>
      </c>
      <c r="E218" s="5">
        <v>21.92</v>
      </c>
      <c r="F218" s="5">
        <v>8.66</v>
      </c>
      <c r="G218" s="5">
        <v>14.28</v>
      </c>
      <c r="H218" s="5">
        <v>53.9</v>
      </c>
      <c r="I218" s="5">
        <v>14.04</v>
      </c>
      <c r="J218" s="5">
        <v>14.09</v>
      </c>
      <c r="K218" s="5">
        <v>11.75</v>
      </c>
      <c r="L218" s="5">
        <v>10.220000000000001</v>
      </c>
      <c r="M218" s="5">
        <v>7.7649999999999997</v>
      </c>
      <c r="N218" s="5">
        <v>20.7</v>
      </c>
      <c r="O218" s="5">
        <v>82.8</v>
      </c>
      <c r="P218" s="5">
        <v>28.31</v>
      </c>
      <c r="Q218" s="5">
        <v>25.68</v>
      </c>
      <c r="R218" s="5">
        <v>18.27</v>
      </c>
      <c r="S218" s="5">
        <v>11.04</v>
      </c>
      <c r="T218" s="5">
        <v>7.9119999999999999</v>
      </c>
      <c r="U218" s="5">
        <v>8.65</v>
      </c>
      <c r="V218" s="5">
        <v>29.57</v>
      </c>
      <c r="W218" s="5">
        <v>7.8470000000000004</v>
      </c>
      <c r="X218" s="5">
        <v>7.9720000000000004</v>
      </c>
      <c r="Y218" s="5">
        <v>9.09</v>
      </c>
      <c r="Z218" s="5">
        <v>9.4600000000000009</v>
      </c>
      <c r="AA218" s="5">
        <v>7.6210000000000004</v>
      </c>
      <c r="AB218" s="5" t="s">
        <v>99</v>
      </c>
      <c r="AC218" s="5">
        <v>14.37</v>
      </c>
      <c r="AD218" s="5">
        <v>34.83</v>
      </c>
      <c r="AE218" s="5">
        <v>7.6230000000000002</v>
      </c>
      <c r="AF218" s="5">
        <v>21.71</v>
      </c>
      <c r="AG218" s="5">
        <v>8.42</v>
      </c>
      <c r="AI218" s="5" t="s">
        <v>99</v>
      </c>
      <c r="AK218" s="5">
        <v>0</v>
      </c>
      <c r="AN218" s="1">
        <f t="shared" si="122"/>
        <v>82.8</v>
      </c>
      <c r="AO218" s="1">
        <f t="shared" si="123"/>
        <v>53.9</v>
      </c>
      <c r="AP218" s="1">
        <f t="shared" si="124"/>
        <v>29.6</v>
      </c>
      <c r="AQ218" s="17">
        <f t="shared" si="140"/>
        <v>0.72299999999999998</v>
      </c>
      <c r="AR218" s="22">
        <f t="shared" si="125"/>
        <v>1.72</v>
      </c>
      <c r="AT218" s="19">
        <f t="shared" si="117"/>
        <v>43678</v>
      </c>
      <c r="AU218" s="20">
        <f t="shared" si="118"/>
        <v>213</v>
      </c>
      <c r="AV218" s="1">
        <f t="shared" si="126"/>
        <v>14.3</v>
      </c>
      <c r="AW218" s="1">
        <f t="shared" si="127"/>
        <v>20.7</v>
      </c>
      <c r="AX218" s="1">
        <f t="shared" si="128"/>
        <v>8.6999999999999993</v>
      </c>
      <c r="AY218" s="1">
        <f t="shared" si="115"/>
        <v>53.9</v>
      </c>
      <c r="AZ218" s="1">
        <f t="shared" si="116"/>
        <v>29.6</v>
      </c>
      <c r="BA218" s="1">
        <f t="shared" si="129"/>
        <v>0</v>
      </c>
      <c r="BB218" s="5" t="str">
        <f t="shared" si="130"/>
        <v>NAN</v>
      </c>
      <c r="BC218" s="1">
        <f t="shared" si="119"/>
        <v>14.4</v>
      </c>
      <c r="BD218" s="1">
        <f t="shared" si="120"/>
        <v>34.799999999999997</v>
      </c>
      <c r="BE218" s="1">
        <f t="shared" si="121"/>
        <v>7.6</v>
      </c>
      <c r="BF218" s="5">
        <f t="shared" si="131"/>
        <v>11.8</v>
      </c>
      <c r="BG218" s="5">
        <f t="shared" si="132"/>
        <v>10.199999999999999</v>
      </c>
      <c r="BH218" s="5">
        <f t="shared" si="133"/>
        <v>7.8</v>
      </c>
      <c r="BI218" s="5" t="str">
        <f t="shared" si="134"/>
        <v>NAN</v>
      </c>
      <c r="BJ218" s="10">
        <f t="shared" si="135"/>
        <v>0.72299999999999998</v>
      </c>
      <c r="BK218" s="10">
        <f t="shared" si="136"/>
        <v>1.72</v>
      </c>
      <c r="BM218" s="1">
        <f t="shared" si="137"/>
        <v>14.129999999999999</v>
      </c>
      <c r="BN218" s="1">
        <f t="shared" si="138"/>
        <v>-1.0270000000000001</v>
      </c>
    </row>
    <row r="219" spans="1:66" x14ac:dyDescent="0.2">
      <c r="A219" s="4">
        <f t="shared" si="139"/>
        <v>43679</v>
      </c>
      <c r="B219" s="1">
        <v>214</v>
      </c>
      <c r="C219" s="1">
        <v>12</v>
      </c>
      <c r="D219" s="5">
        <v>13.03</v>
      </c>
      <c r="E219" s="5">
        <v>19.34</v>
      </c>
      <c r="F219" s="5">
        <v>7.7510000000000003</v>
      </c>
      <c r="G219" s="5">
        <v>13.06</v>
      </c>
      <c r="H219" s="5">
        <v>53.27</v>
      </c>
      <c r="I219" s="5">
        <v>12.92</v>
      </c>
      <c r="J219" s="5">
        <v>12.96</v>
      </c>
      <c r="K219" s="5">
        <v>11.45</v>
      </c>
      <c r="L219" s="5">
        <v>10.4</v>
      </c>
      <c r="M219" s="5">
        <v>7.9109999999999996</v>
      </c>
      <c r="N219" s="5">
        <v>17.940000000000001</v>
      </c>
      <c r="O219" s="5">
        <v>62.82</v>
      </c>
      <c r="P219" s="5">
        <v>24.14</v>
      </c>
      <c r="Q219" s="5">
        <v>22.1</v>
      </c>
      <c r="R219" s="5">
        <v>16.13</v>
      </c>
      <c r="S219" s="5">
        <v>10.93</v>
      </c>
      <c r="T219" s="5">
        <v>8.06</v>
      </c>
      <c r="U219" s="5">
        <v>6.9589999999999996</v>
      </c>
      <c r="V219" s="5">
        <v>40.82</v>
      </c>
      <c r="W219" s="5">
        <v>6.4649999999999999</v>
      </c>
      <c r="X219" s="5">
        <v>6.4560000000000004</v>
      </c>
      <c r="Y219" s="5">
        <v>8.9499999999999993</v>
      </c>
      <c r="Z219" s="5">
        <v>9.83</v>
      </c>
      <c r="AA219" s="5">
        <v>7.718</v>
      </c>
      <c r="AB219" s="5" t="s">
        <v>99</v>
      </c>
      <c r="AC219" s="5">
        <v>13.35</v>
      </c>
      <c r="AD219" s="5">
        <v>30.22</v>
      </c>
      <c r="AE219" s="5">
        <v>5.8220000000000001</v>
      </c>
      <c r="AF219" s="5">
        <v>19.02</v>
      </c>
      <c r="AG219" s="5">
        <v>6.8280000000000003</v>
      </c>
      <c r="AI219" s="5" t="s">
        <v>99</v>
      </c>
      <c r="AK219" s="5">
        <v>0</v>
      </c>
      <c r="AN219" s="1">
        <f t="shared" si="122"/>
        <v>62.8</v>
      </c>
      <c r="AO219" s="1">
        <f t="shared" si="123"/>
        <v>53.3</v>
      </c>
      <c r="AP219" s="1">
        <f t="shared" si="124"/>
        <v>40.799999999999997</v>
      </c>
      <c r="AQ219" s="17">
        <f t="shared" si="140"/>
        <v>0.83899999999999997</v>
      </c>
      <c r="AR219" s="22">
        <f t="shared" si="125"/>
        <v>1.2170000000000001</v>
      </c>
      <c r="AT219" s="19">
        <f t="shared" si="117"/>
        <v>43679</v>
      </c>
      <c r="AU219" s="20">
        <f t="shared" si="118"/>
        <v>214</v>
      </c>
      <c r="AV219" s="1">
        <f t="shared" si="126"/>
        <v>13.1</v>
      </c>
      <c r="AW219" s="1">
        <f t="shared" si="127"/>
        <v>17.899999999999999</v>
      </c>
      <c r="AX219" s="1">
        <f t="shared" si="128"/>
        <v>7</v>
      </c>
      <c r="AY219" s="1">
        <f t="shared" si="115"/>
        <v>53.3</v>
      </c>
      <c r="AZ219" s="1">
        <f t="shared" si="116"/>
        <v>40.799999999999997</v>
      </c>
      <c r="BA219" s="1">
        <f t="shared" si="129"/>
        <v>0</v>
      </c>
      <c r="BB219" s="5" t="str">
        <f t="shared" si="130"/>
        <v>NAN</v>
      </c>
      <c r="BC219" s="1">
        <f t="shared" si="119"/>
        <v>13.4</v>
      </c>
      <c r="BD219" s="1">
        <f t="shared" si="120"/>
        <v>30.2</v>
      </c>
      <c r="BE219" s="1">
        <f t="shared" si="121"/>
        <v>5.8</v>
      </c>
      <c r="BF219" s="5">
        <f t="shared" si="131"/>
        <v>11.5</v>
      </c>
      <c r="BG219" s="5">
        <f t="shared" si="132"/>
        <v>10.4</v>
      </c>
      <c r="BH219" s="5">
        <f t="shared" si="133"/>
        <v>7.9</v>
      </c>
      <c r="BI219" s="5" t="str">
        <f t="shared" si="134"/>
        <v>NAN</v>
      </c>
      <c r="BJ219" s="10">
        <f t="shared" si="135"/>
        <v>0.83899999999999997</v>
      </c>
      <c r="BK219" s="10">
        <f t="shared" si="136"/>
        <v>1.2170000000000001</v>
      </c>
      <c r="BM219" s="1">
        <f t="shared" si="137"/>
        <v>12.279999999999998</v>
      </c>
      <c r="BN219" s="1">
        <f t="shared" si="138"/>
        <v>-1.1369999999999996</v>
      </c>
    </row>
    <row r="220" spans="1:66" x14ac:dyDescent="0.2">
      <c r="A220" s="4">
        <f t="shared" si="139"/>
        <v>43680</v>
      </c>
      <c r="B220" s="1">
        <v>215</v>
      </c>
      <c r="C220" s="1">
        <v>12</v>
      </c>
      <c r="D220" s="5">
        <v>13.06</v>
      </c>
      <c r="E220" s="5">
        <v>17.46</v>
      </c>
      <c r="F220" s="5">
        <v>5.0090000000000003</v>
      </c>
      <c r="G220" s="5">
        <v>9.3800000000000008</v>
      </c>
      <c r="H220" s="5">
        <v>62.26</v>
      </c>
      <c r="I220" s="5">
        <v>9.75</v>
      </c>
      <c r="J220" s="5">
        <v>9.67</v>
      </c>
      <c r="K220" s="5">
        <v>10.16</v>
      </c>
      <c r="L220" s="5">
        <v>9.68</v>
      </c>
      <c r="M220" s="5">
        <v>7.9669999999999996</v>
      </c>
      <c r="N220" s="5">
        <v>14.87</v>
      </c>
      <c r="O220" s="5">
        <v>85.5</v>
      </c>
      <c r="P220" s="5">
        <v>24.27</v>
      </c>
      <c r="Q220" s="5">
        <v>22.23</v>
      </c>
      <c r="R220" s="5">
        <v>17.79</v>
      </c>
      <c r="S220" s="5">
        <v>10.44</v>
      </c>
      <c r="T220" s="5">
        <v>8.07</v>
      </c>
      <c r="U220" s="5">
        <v>4.9059999999999997</v>
      </c>
      <c r="V220" s="5">
        <v>39.1</v>
      </c>
      <c r="W220" s="5">
        <v>4.3769999999999998</v>
      </c>
      <c r="X220" s="5">
        <v>4.4569999999999999</v>
      </c>
      <c r="Y220" s="5">
        <v>7.5620000000000003</v>
      </c>
      <c r="Z220" s="5">
        <v>8.83</v>
      </c>
      <c r="AA220" s="5">
        <v>7.7960000000000003</v>
      </c>
      <c r="AB220" s="5" t="s">
        <v>99</v>
      </c>
      <c r="AC220" s="5">
        <v>11.14</v>
      </c>
      <c r="AD220" s="5">
        <v>33.58</v>
      </c>
      <c r="AE220" s="5">
        <v>4.3380000000000001</v>
      </c>
      <c r="AF220" s="5">
        <v>16.760000000000002</v>
      </c>
      <c r="AG220" s="5">
        <v>4.6719999999999997</v>
      </c>
      <c r="AI220" s="5" t="s">
        <v>99</v>
      </c>
      <c r="AK220" s="5">
        <v>0</v>
      </c>
      <c r="AN220" s="1">
        <f t="shared" si="122"/>
        <v>85.5</v>
      </c>
      <c r="AO220" s="1">
        <f t="shared" si="123"/>
        <v>62.3</v>
      </c>
      <c r="AP220" s="1">
        <f t="shared" si="124"/>
        <v>39.1</v>
      </c>
      <c r="AQ220" s="17">
        <f t="shared" si="140"/>
        <v>0.66100000000000003</v>
      </c>
      <c r="AR220" s="22">
        <f t="shared" si="125"/>
        <v>1.03</v>
      </c>
      <c r="AT220" s="19">
        <f t="shared" si="117"/>
        <v>43680</v>
      </c>
      <c r="AU220" s="20">
        <f t="shared" si="118"/>
        <v>215</v>
      </c>
      <c r="AV220" s="1">
        <f t="shared" si="126"/>
        <v>9.4</v>
      </c>
      <c r="AW220" s="1">
        <f t="shared" si="127"/>
        <v>14.9</v>
      </c>
      <c r="AX220" s="1">
        <f t="shared" si="128"/>
        <v>4.9000000000000004</v>
      </c>
      <c r="AY220" s="1">
        <f t="shared" si="115"/>
        <v>62.3</v>
      </c>
      <c r="AZ220" s="1">
        <f t="shared" si="116"/>
        <v>39.1</v>
      </c>
      <c r="BA220" s="1">
        <f t="shared" si="129"/>
        <v>0</v>
      </c>
      <c r="BB220" s="5" t="str">
        <f t="shared" si="130"/>
        <v>NAN</v>
      </c>
      <c r="BC220" s="1">
        <f t="shared" si="119"/>
        <v>11.1</v>
      </c>
      <c r="BD220" s="1">
        <f t="shared" si="120"/>
        <v>33.6</v>
      </c>
      <c r="BE220" s="1">
        <f t="shared" si="121"/>
        <v>4.3</v>
      </c>
      <c r="BF220" s="5">
        <f t="shared" si="131"/>
        <v>10.199999999999999</v>
      </c>
      <c r="BG220" s="5">
        <f t="shared" si="132"/>
        <v>9.6999999999999993</v>
      </c>
      <c r="BH220" s="5">
        <f t="shared" si="133"/>
        <v>8</v>
      </c>
      <c r="BI220" s="5" t="str">
        <f t="shared" si="134"/>
        <v>NAN</v>
      </c>
      <c r="BJ220" s="10">
        <f t="shared" si="135"/>
        <v>0.66100000000000003</v>
      </c>
      <c r="BK220" s="10">
        <f t="shared" si="136"/>
        <v>1.03</v>
      </c>
      <c r="BM220" s="1">
        <f t="shared" si="137"/>
        <v>18.71</v>
      </c>
      <c r="BN220" s="1">
        <f t="shared" si="138"/>
        <v>-0.56799999999999962</v>
      </c>
    </row>
    <row r="221" spans="1:66" x14ac:dyDescent="0.2">
      <c r="A221" s="4">
        <f t="shared" si="139"/>
        <v>43681</v>
      </c>
      <c r="B221" s="1">
        <v>216</v>
      </c>
      <c r="C221" s="1">
        <v>12</v>
      </c>
      <c r="D221" s="5">
        <v>13.04</v>
      </c>
      <c r="E221" s="5">
        <v>19.73</v>
      </c>
      <c r="F221" s="5">
        <v>6.351</v>
      </c>
      <c r="G221" s="5">
        <v>11.73</v>
      </c>
      <c r="H221" s="5">
        <v>57.31</v>
      </c>
      <c r="I221" s="5">
        <v>11.66</v>
      </c>
      <c r="J221" s="5">
        <v>11.7</v>
      </c>
      <c r="K221" s="5">
        <v>10.52</v>
      </c>
      <c r="L221" s="5">
        <v>9.5299999999999994</v>
      </c>
      <c r="M221" s="5">
        <v>7.9160000000000004</v>
      </c>
      <c r="N221" s="5">
        <v>17.059999999999999</v>
      </c>
      <c r="O221" s="5">
        <v>81.3</v>
      </c>
      <c r="P221" s="5">
        <v>27.38</v>
      </c>
      <c r="Q221" s="5">
        <v>24.3</v>
      </c>
      <c r="R221" s="5">
        <v>18.55</v>
      </c>
      <c r="S221" s="5">
        <v>10.38</v>
      </c>
      <c r="T221" s="5">
        <v>8.02</v>
      </c>
      <c r="U221" s="5">
        <v>6.3239999999999998</v>
      </c>
      <c r="V221" s="5">
        <v>25.52</v>
      </c>
      <c r="W221" s="5">
        <v>5.3550000000000004</v>
      </c>
      <c r="X221" s="5">
        <v>5.56</v>
      </c>
      <c r="Y221" s="5">
        <v>7.657</v>
      </c>
      <c r="Z221" s="5">
        <v>8.67</v>
      </c>
      <c r="AA221" s="5">
        <v>7.7039999999999997</v>
      </c>
      <c r="AB221" s="5" t="s">
        <v>99</v>
      </c>
      <c r="AC221" s="5">
        <v>12.68</v>
      </c>
      <c r="AD221" s="5">
        <v>35.29</v>
      </c>
      <c r="AE221" s="5">
        <v>5.3230000000000004</v>
      </c>
      <c r="AF221" s="5">
        <v>18.940000000000001</v>
      </c>
      <c r="AG221" s="5">
        <v>6.0839999999999996</v>
      </c>
      <c r="AI221" s="5" t="s">
        <v>99</v>
      </c>
      <c r="AK221" s="5">
        <v>0</v>
      </c>
      <c r="AN221" s="1">
        <f t="shared" si="122"/>
        <v>81.3</v>
      </c>
      <c r="AO221" s="1">
        <f t="shared" si="123"/>
        <v>57.3</v>
      </c>
      <c r="AP221" s="1">
        <f t="shared" si="124"/>
        <v>25.5</v>
      </c>
      <c r="AQ221" s="17">
        <f t="shared" si="140"/>
        <v>0.496</v>
      </c>
      <c r="AR221" s="22">
        <f t="shared" si="125"/>
        <v>1.4490000000000001</v>
      </c>
      <c r="AT221" s="19">
        <f t="shared" si="117"/>
        <v>43681</v>
      </c>
      <c r="AU221" s="20">
        <f t="shared" si="118"/>
        <v>216</v>
      </c>
      <c r="AV221" s="1">
        <f t="shared" si="126"/>
        <v>11.7</v>
      </c>
      <c r="AW221" s="1">
        <f t="shared" si="127"/>
        <v>17.100000000000001</v>
      </c>
      <c r="AX221" s="1">
        <f t="shared" si="128"/>
        <v>6.3</v>
      </c>
      <c r="AY221" s="1">
        <f t="shared" si="115"/>
        <v>57.3</v>
      </c>
      <c r="AZ221" s="1">
        <f t="shared" si="116"/>
        <v>25.5</v>
      </c>
      <c r="BA221" s="1">
        <f t="shared" si="129"/>
        <v>0</v>
      </c>
      <c r="BB221" s="5" t="str">
        <f t="shared" si="130"/>
        <v>NAN</v>
      </c>
      <c r="BC221" s="1">
        <f t="shared" si="119"/>
        <v>12.7</v>
      </c>
      <c r="BD221" s="1">
        <f t="shared" si="120"/>
        <v>35.299999999999997</v>
      </c>
      <c r="BE221" s="1">
        <f t="shared" si="121"/>
        <v>5.3</v>
      </c>
      <c r="BF221" s="5">
        <f t="shared" si="131"/>
        <v>10.5</v>
      </c>
      <c r="BG221" s="5">
        <f t="shared" si="132"/>
        <v>9.5</v>
      </c>
      <c r="BH221" s="5">
        <f t="shared" si="133"/>
        <v>7.9</v>
      </c>
      <c r="BI221" s="5" t="str">
        <f t="shared" si="134"/>
        <v>NAN</v>
      </c>
      <c r="BJ221" s="10">
        <f t="shared" si="135"/>
        <v>0.496</v>
      </c>
      <c r="BK221" s="10">
        <f t="shared" si="136"/>
        <v>1.4490000000000001</v>
      </c>
      <c r="BM221" s="1">
        <f t="shared" si="137"/>
        <v>18.23</v>
      </c>
      <c r="BN221" s="1">
        <f t="shared" si="138"/>
        <v>-1.0009999999999994</v>
      </c>
    </row>
    <row r="222" spans="1:66" x14ac:dyDescent="0.2">
      <c r="A222" s="4">
        <f t="shared" si="139"/>
        <v>43682</v>
      </c>
      <c r="B222" s="1">
        <v>217</v>
      </c>
      <c r="C222" s="1">
        <v>12</v>
      </c>
      <c r="D222" s="5">
        <v>13.01</v>
      </c>
      <c r="E222" s="5">
        <v>23.81</v>
      </c>
      <c r="F222" s="5">
        <v>9.9700000000000006</v>
      </c>
      <c r="G222" s="5">
        <v>15.53</v>
      </c>
      <c r="H222" s="5">
        <v>46.97</v>
      </c>
      <c r="I222" s="5">
        <v>15.05</v>
      </c>
      <c r="J222" s="5">
        <v>15.14</v>
      </c>
      <c r="K222" s="5">
        <v>11.82</v>
      </c>
      <c r="L222" s="5">
        <v>10.050000000000001</v>
      </c>
      <c r="M222" s="5">
        <v>7.9320000000000004</v>
      </c>
      <c r="N222" s="5">
        <v>21.11</v>
      </c>
      <c r="O222" s="5">
        <v>61.61</v>
      </c>
      <c r="P222" s="5">
        <v>30.44</v>
      </c>
      <c r="Q222" s="5">
        <v>27.3</v>
      </c>
      <c r="R222" s="5">
        <v>19.63</v>
      </c>
      <c r="S222" s="5">
        <v>11.12</v>
      </c>
      <c r="T222" s="5">
        <v>8.06</v>
      </c>
      <c r="U222" s="5">
        <v>10.33</v>
      </c>
      <c r="V222" s="5">
        <v>29.64</v>
      </c>
      <c r="W222" s="5">
        <v>8.7200000000000006</v>
      </c>
      <c r="X222" s="5">
        <v>9.0399999999999991</v>
      </c>
      <c r="Y222" s="5">
        <v>8.81</v>
      </c>
      <c r="Z222" s="5">
        <v>9.1999999999999993</v>
      </c>
      <c r="AA222" s="5">
        <v>7.766</v>
      </c>
      <c r="AB222" s="5" t="s">
        <v>99</v>
      </c>
      <c r="AC222" s="5">
        <v>15.75</v>
      </c>
      <c r="AD222" s="5">
        <v>38.65</v>
      </c>
      <c r="AE222" s="5">
        <v>8.1</v>
      </c>
      <c r="AF222" s="5">
        <v>22.88</v>
      </c>
      <c r="AG222" s="5">
        <v>9.99</v>
      </c>
      <c r="AI222" s="5" t="s">
        <v>99</v>
      </c>
      <c r="AK222" s="5">
        <v>0</v>
      </c>
      <c r="AN222" s="1">
        <f t="shared" si="122"/>
        <v>61.6</v>
      </c>
      <c r="AO222" s="1">
        <f t="shared" si="123"/>
        <v>47</v>
      </c>
      <c r="AP222" s="1">
        <f t="shared" si="124"/>
        <v>29.6</v>
      </c>
      <c r="AQ222" s="17">
        <f t="shared" si="140"/>
        <v>0.74099999999999999</v>
      </c>
      <c r="AR222" s="22">
        <f t="shared" si="125"/>
        <v>1.762</v>
      </c>
      <c r="AT222" s="19">
        <f t="shared" si="117"/>
        <v>43682</v>
      </c>
      <c r="AU222" s="20">
        <f t="shared" si="118"/>
        <v>217</v>
      </c>
      <c r="AV222" s="1">
        <f t="shared" si="126"/>
        <v>15.5</v>
      </c>
      <c r="AW222" s="1">
        <f t="shared" si="127"/>
        <v>21.1</v>
      </c>
      <c r="AX222" s="1">
        <f t="shared" si="128"/>
        <v>10.3</v>
      </c>
      <c r="AY222" s="1">
        <f t="shared" si="115"/>
        <v>47</v>
      </c>
      <c r="AZ222" s="1">
        <f t="shared" si="116"/>
        <v>29.6</v>
      </c>
      <c r="BA222" s="1">
        <f t="shared" si="129"/>
        <v>0</v>
      </c>
      <c r="BB222" s="5" t="str">
        <f t="shared" si="130"/>
        <v>NAN</v>
      </c>
      <c r="BC222" s="1">
        <f t="shared" si="119"/>
        <v>15.8</v>
      </c>
      <c r="BD222" s="1">
        <f t="shared" si="120"/>
        <v>38.700000000000003</v>
      </c>
      <c r="BE222" s="1">
        <f t="shared" si="121"/>
        <v>8.1</v>
      </c>
      <c r="BF222" s="5">
        <f t="shared" si="131"/>
        <v>11.8</v>
      </c>
      <c r="BG222" s="5">
        <f t="shared" si="132"/>
        <v>10.1</v>
      </c>
      <c r="BH222" s="5">
        <f t="shared" si="133"/>
        <v>7.9</v>
      </c>
      <c r="BI222" s="5" t="str">
        <f t="shared" si="134"/>
        <v>NAN</v>
      </c>
      <c r="BJ222" s="10">
        <f t="shared" si="135"/>
        <v>0.74099999999999999</v>
      </c>
      <c r="BK222" s="10">
        <f t="shared" si="136"/>
        <v>1.762</v>
      </c>
      <c r="BM222" s="1">
        <f t="shared" si="137"/>
        <v>17.54</v>
      </c>
      <c r="BN222" s="1">
        <f t="shared" si="138"/>
        <v>-2.2300000000000004</v>
      </c>
    </row>
    <row r="223" spans="1:66" x14ac:dyDescent="0.2">
      <c r="A223" s="4">
        <f t="shared" si="139"/>
        <v>43683</v>
      </c>
      <c r="B223" s="1">
        <v>218</v>
      </c>
      <c r="C223" s="1">
        <v>12</v>
      </c>
      <c r="D223" s="5">
        <v>12.99</v>
      </c>
      <c r="E223" s="5">
        <v>26.47</v>
      </c>
      <c r="F223" s="5">
        <v>12.37</v>
      </c>
      <c r="G223" s="5">
        <v>18.21</v>
      </c>
      <c r="H223" s="5">
        <v>29.99</v>
      </c>
      <c r="I223" s="5">
        <v>17.63</v>
      </c>
      <c r="J223" s="5">
        <v>17.7</v>
      </c>
      <c r="K223" s="5">
        <v>12.66</v>
      </c>
      <c r="L223" s="5">
        <v>10.79</v>
      </c>
      <c r="M223" s="5">
        <v>8.07</v>
      </c>
      <c r="N223" s="5">
        <v>23.94</v>
      </c>
      <c r="O223" s="5">
        <v>59.14</v>
      </c>
      <c r="P223" s="5">
        <v>32.57</v>
      </c>
      <c r="Q223" s="5">
        <v>29.64</v>
      </c>
      <c r="R223" s="5">
        <v>20.59</v>
      </c>
      <c r="S223" s="5">
        <v>11.71</v>
      </c>
      <c r="T223" s="5">
        <v>8.25</v>
      </c>
      <c r="U223" s="5">
        <v>12.21</v>
      </c>
      <c r="V223" s="5">
        <v>11.17</v>
      </c>
      <c r="W223" s="5">
        <v>10.59</v>
      </c>
      <c r="X223" s="5">
        <v>10.85</v>
      </c>
      <c r="Y223" s="5">
        <v>10.06</v>
      </c>
      <c r="Z223" s="5">
        <v>9.9499999999999993</v>
      </c>
      <c r="AA223" s="5">
        <v>7.8559999999999999</v>
      </c>
      <c r="AB223" s="5" t="s">
        <v>99</v>
      </c>
      <c r="AC223" s="5">
        <v>17.670000000000002</v>
      </c>
      <c r="AD223" s="5">
        <v>41.14</v>
      </c>
      <c r="AE223" s="5">
        <v>9.9700000000000006</v>
      </c>
      <c r="AF223" s="5">
        <v>25.37</v>
      </c>
      <c r="AG223" s="5">
        <v>12.05</v>
      </c>
      <c r="AI223" s="5" t="s">
        <v>99</v>
      </c>
      <c r="AK223" s="5">
        <v>0</v>
      </c>
      <c r="AN223" s="1">
        <f t="shared" si="122"/>
        <v>59.1</v>
      </c>
      <c r="AO223" s="1">
        <f t="shared" si="123"/>
        <v>30</v>
      </c>
      <c r="AP223" s="1">
        <f t="shared" si="124"/>
        <v>11.2</v>
      </c>
      <c r="AQ223" s="17">
        <f t="shared" si="140"/>
        <v>0.33300000000000002</v>
      </c>
      <c r="AR223" s="22">
        <f t="shared" si="125"/>
        <v>2.64</v>
      </c>
      <c r="AT223" s="19">
        <f t="shared" si="117"/>
        <v>43683</v>
      </c>
      <c r="AU223" s="20">
        <f t="shared" si="118"/>
        <v>218</v>
      </c>
      <c r="AV223" s="1">
        <f t="shared" si="126"/>
        <v>18.2</v>
      </c>
      <c r="AW223" s="1">
        <f t="shared" si="127"/>
        <v>23.9</v>
      </c>
      <c r="AX223" s="1">
        <f t="shared" si="128"/>
        <v>12.2</v>
      </c>
      <c r="AY223" s="1">
        <f t="shared" si="115"/>
        <v>30</v>
      </c>
      <c r="AZ223" s="1">
        <f t="shared" si="116"/>
        <v>11.2</v>
      </c>
      <c r="BA223" s="1">
        <f t="shared" si="129"/>
        <v>0</v>
      </c>
      <c r="BB223" s="5" t="str">
        <f t="shared" si="130"/>
        <v>NAN</v>
      </c>
      <c r="BC223" s="1">
        <f t="shared" si="119"/>
        <v>17.7</v>
      </c>
      <c r="BD223" s="1">
        <f t="shared" si="120"/>
        <v>41.1</v>
      </c>
      <c r="BE223" s="1">
        <f t="shared" si="121"/>
        <v>10</v>
      </c>
      <c r="BF223" s="5">
        <f t="shared" si="131"/>
        <v>12.7</v>
      </c>
      <c r="BG223" s="5">
        <f t="shared" si="132"/>
        <v>10.8</v>
      </c>
      <c r="BH223" s="5">
        <f t="shared" si="133"/>
        <v>8.1</v>
      </c>
      <c r="BI223" s="5" t="str">
        <f t="shared" si="134"/>
        <v>NAN</v>
      </c>
      <c r="BJ223" s="10">
        <f t="shared" si="135"/>
        <v>0.33300000000000002</v>
      </c>
      <c r="BK223" s="10">
        <f t="shared" si="136"/>
        <v>2.64</v>
      </c>
      <c r="BM223" s="1">
        <f t="shared" si="137"/>
        <v>17.2</v>
      </c>
      <c r="BN223" s="1">
        <f t="shared" si="138"/>
        <v>-2.2400000000000002</v>
      </c>
    </row>
    <row r="224" spans="1:66" x14ac:dyDescent="0.2">
      <c r="A224" s="4">
        <f t="shared" si="139"/>
        <v>43684</v>
      </c>
      <c r="B224" s="1">
        <v>219</v>
      </c>
      <c r="C224" s="1">
        <v>12</v>
      </c>
      <c r="D224" s="5">
        <v>12.98</v>
      </c>
      <c r="E224" s="5">
        <v>26.62</v>
      </c>
      <c r="F224" s="5">
        <v>14.25</v>
      </c>
      <c r="G224" s="5">
        <v>18.54</v>
      </c>
      <c r="H224" s="5">
        <v>28.11</v>
      </c>
      <c r="I224" s="5">
        <v>18.18</v>
      </c>
      <c r="J224" s="5">
        <v>18.22</v>
      </c>
      <c r="K224" s="5">
        <v>12.92</v>
      </c>
      <c r="L224" s="5">
        <v>11.13</v>
      </c>
      <c r="M224" s="5">
        <v>8.2899999999999991</v>
      </c>
      <c r="N224" s="5">
        <v>24.62</v>
      </c>
      <c r="O224" s="5">
        <v>44.78</v>
      </c>
      <c r="P224" s="5">
        <v>32.22</v>
      </c>
      <c r="Q224" s="5">
        <v>29.98</v>
      </c>
      <c r="R224" s="5">
        <v>20.83</v>
      </c>
      <c r="S224" s="5">
        <v>12.02</v>
      </c>
      <c r="T224" s="5">
        <v>8.4700000000000006</v>
      </c>
      <c r="U224" s="5">
        <v>13.79</v>
      </c>
      <c r="V224" s="5">
        <v>14.45</v>
      </c>
      <c r="W224" s="5">
        <v>11.8</v>
      </c>
      <c r="X224" s="5">
        <v>12.21</v>
      </c>
      <c r="Y224" s="5">
        <v>10.41</v>
      </c>
      <c r="Z224" s="5">
        <v>10.31</v>
      </c>
      <c r="AA224" s="5">
        <v>8.06</v>
      </c>
      <c r="AB224" s="5" t="s">
        <v>99</v>
      </c>
      <c r="AC224" s="5">
        <v>18.3</v>
      </c>
      <c r="AD224" s="5">
        <v>42.71</v>
      </c>
      <c r="AE224" s="5">
        <v>10.99</v>
      </c>
      <c r="AF224" s="5">
        <v>25.06</v>
      </c>
      <c r="AG224" s="5">
        <v>14</v>
      </c>
      <c r="AI224" s="5" t="s">
        <v>99</v>
      </c>
      <c r="AK224" s="5">
        <v>0</v>
      </c>
      <c r="AN224" s="1">
        <f t="shared" si="122"/>
        <v>44.8</v>
      </c>
      <c r="AO224" s="1">
        <f t="shared" si="123"/>
        <v>28.1</v>
      </c>
      <c r="AP224" s="1">
        <f t="shared" si="124"/>
        <v>14.5</v>
      </c>
      <c r="AQ224" s="17">
        <f t="shared" si="140"/>
        <v>0.44900000000000001</v>
      </c>
      <c r="AR224" s="22">
        <f t="shared" si="125"/>
        <v>2.6480000000000001</v>
      </c>
      <c r="AT224" s="19">
        <f t="shared" si="117"/>
        <v>43684</v>
      </c>
      <c r="AU224" s="20">
        <f t="shared" si="118"/>
        <v>219</v>
      </c>
      <c r="AV224" s="1">
        <f t="shared" si="126"/>
        <v>18.5</v>
      </c>
      <c r="AW224" s="1">
        <f t="shared" si="127"/>
        <v>24.6</v>
      </c>
      <c r="AX224" s="1">
        <f t="shared" si="128"/>
        <v>13.8</v>
      </c>
      <c r="AY224" s="1">
        <f t="shared" si="115"/>
        <v>28.1</v>
      </c>
      <c r="AZ224" s="1">
        <f t="shared" si="116"/>
        <v>14.5</v>
      </c>
      <c r="BA224" s="1">
        <f t="shared" si="129"/>
        <v>0</v>
      </c>
      <c r="BB224" s="5" t="str">
        <f t="shared" si="130"/>
        <v>NAN</v>
      </c>
      <c r="BC224" s="1">
        <f t="shared" si="119"/>
        <v>18.3</v>
      </c>
      <c r="BD224" s="1">
        <f t="shared" si="120"/>
        <v>42.7</v>
      </c>
      <c r="BE224" s="1">
        <f t="shared" si="121"/>
        <v>11</v>
      </c>
      <c r="BF224" s="5">
        <f t="shared" si="131"/>
        <v>12.9</v>
      </c>
      <c r="BG224" s="5">
        <f t="shared" si="132"/>
        <v>11.1</v>
      </c>
      <c r="BH224" s="5">
        <f t="shared" si="133"/>
        <v>8.3000000000000007</v>
      </c>
      <c r="BI224" s="5" t="str">
        <f t="shared" si="134"/>
        <v>NAN</v>
      </c>
      <c r="BJ224" s="10">
        <f t="shared" si="135"/>
        <v>0.44900000000000001</v>
      </c>
      <c r="BK224" s="10">
        <f t="shared" si="136"/>
        <v>2.6480000000000001</v>
      </c>
      <c r="BM224" s="1">
        <f t="shared" si="137"/>
        <v>18.09</v>
      </c>
      <c r="BN224" s="1">
        <f t="shared" si="138"/>
        <v>-2.7999999999999989</v>
      </c>
    </row>
    <row r="225" spans="1:66" x14ac:dyDescent="0.2">
      <c r="A225" s="4">
        <f t="shared" si="139"/>
        <v>43685</v>
      </c>
      <c r="B225" s="1">
        <v>220</v>
      </c>
      <c r="C225" s="1">
        <v>12</v>
      </c>
      <c r="D225" s="5">
        <v>12.98</v>
      </c>
      <c r="E225" s="5">
        <v>25.4</v>
      </c>
      <c r="F225" s="5">
        <v>13</v>
      </c>
      <c r="G225" s="5">
        <v>17.97</v>
      </c>
      <c r="H225" s="5">
        <v>31.59</v>
      </c>
      <c r="I225" s="5">
        <v>17.73</v>
      </c>
      <c r="J225" s="5">
        <v>17.72</v>
      </c>
      <c r="K225" s="5">
        <v>12.89</v>
      </c>
      <c r="L225" s="5">
        <v>11.31</v>
      </c>
      <c r="M225" s="5">
        <v>8.4700000000000006</v>
      </c>
      <c r="N225" s="5">
        <v>23.23</v>
      </c>
      <c r="O225" s="5">
        <v>46.84</v>
      </c>
      <c r="P225" s="5">
        <v>32.24</v>
      </c>
      <c r="Q225" s="5">
        <v>29.16</v>
      </c>
      <c r="R225" s="5">
        <v>20.38</v>
      </c>
      <c r="S225" s="5">
        <v>12.05</v>
      </c>
      <c r="T225" s="5">
        <v>8.6300000000000008</v>
      </c>
      <c r="U225" s="5">
        <v>13.09</v>
      </c>
      <c r="V225" s="5">
        <v>16.98</v>
      </c>
      <c r="W225" s="5">
        <v>11.28</v>
      </c>
      <c r="X225" s="5">
        <v>11.65</v>
      </c>
      <c r="Y225" s="5">
        <v>10.27</v>
      </c>
      <c r="Z225" s="5">
        <v>10.48</v>
      </c>
      <c r="AA225" s="5">
        <v>8.25</v>
      </c>
      <c r="AB225" s="5" t="s">
        <v>99</v>
      </c>
      <c r="AC225" s="5">
        <v>17.95</v>
      </c>
      <c r="AD225" s="5">
        <v>41.34</v>
      </c>
      <c r="AE225" s="5">
        <v>10.210000000000001</v>
      </c>
      <c r="AF225" s="5">
        <v>23.91</v>
      </c>
      <c r="AG225" s="5">
        <v>12.93</v>
      </c>
      <c r="AI225" s="5" t="s">
        <v>99</v>
      </c>
      <c r="AK225" s="5">
        <v>0</v>
      </c>
      <c r="AN225" s="1">
        <f t="shared" si="122"/>
        <v>46.8</v>
      </c>
      <c r="AO225" s="1">
        <f t="shared" si="123"/>
        <v>31.6</v>
      </c>
      <c r="AP225" s="1">
        <f t="shared" si="124"/>
        <v>17</v>
      </c>
      <c r="AQ225" s="17">
        <f t="shared" si="140"/>
        <v>0.48399999999999999</v>
      </c>
      <c r="AR225" s="22">
        <f t="shared" si="125"/>
        <v>2.363</v>
      </c>
      <c r="AT225" s="19">
        <f t="shared" si="117"/>
        <v>43685</v>
      </c>
      <c r="AU225" s="20">
        <f t="shared" si="118"/>
        <v>220</v>
      </c>
      <c r="AV225" s="1">
        <f t="shared" si="126"/>
        <v>18</v>
      </c>
      <c r="AW225" s="1">
        <f t="shared" si="127"/>
        <v>23.2</v>
      </c>
      <c r="AX225" s="1">
        <f t="shared" si="128"/>
        <v>13.1</v>
      </c>
      <c r="AY225" s="1">
        <f t="shared" si="115"/>
        <v>31.6</v>
      </c>
      <c r="AZ225" s="1">
        <f t="shared" si="116"/>
        <v>17</v>
      </c>
      <c r="BA225" s="1">
        <f t="shared" si="129"/>
        <v>0</v>
      </c>
      <c r="BB225" s="5" t="str">
        <f t="shared" si="130"/>
        <v>NAN</v>
      </c>
      <c r="BC225" s="1">
        <f t="shared" si="119"/>
        <v>18</v>
      </c>
      <c r="BD225" s="1">
        <f t="shared" si="120"/>
        <v>41.3</v>
      </c>
      <c r="BE225" s="1">
        <f t="shared" si="121"/>
        <v>10.199999999999999</v>
      </c>
      <c r="BF225" s="5">
        <f t="shared" si="131"/>
        <v>12.9</v>
      </c>
      <c r="BG225" s="5">
        <f t="shared" si="132"/>
        <v>11.3</v>
      </c>
      <c r="BH225" s="5">
        <f t="shared" si="133"/>
        <v>8.5</v>
      </c>
      <c r="BI225" s="5" t="str">
        <f t="shared" si="134"/>
        <v>NAN</v>
      </c>
      <c r="BJ225" s="10">
        <f t="shared" si="135"/>
        <v>0.48399999999999999</v>
      </c>
      <c r="BK225" s="10">
        <f t="shared" si="136"/>
        <v>2.363</v>
      </c>
      <c r="BM225" s="1">
        <f t="shared" si="137"/>
        <v>18.110000000000003</v>
      </c>
      <c r="BN225" s="1">
        <f t="shared" si="138"/>
        <v>-2.879999999999999</v>
      </c>
    </row>
    <row r="226" spans="1:66" x14ac:dyDescent="0.2">
      <c r="A226" s="4">
        <f t="shared" si="139"/>
        <v>43686</v>
      </c>
      <c r="B226" s="1">
        <v>221</v>
      </c>
      <c r="C226" s="1">
        <v>12</v>
      </c>
      <c r="D226" s="5">
        <v>12.98</v>
      </c>
      <c r="E226" s="5">
        <v>22.56</v>
      </c>
      <c r="F226" s="5">
        <v>12.39</v>
      </c>
      <c r="G226" s="5">
        <v>15.96</v>
      </c>
      <c r="H226" s="5">
        <v>48.91</v>
      </c>
      <c r="I226" s="5">
        <v>15.84</v>
      </c>
      <c r="J226" s="5">
        <v>15.9</v>
      </c>
      <c r="K226" s="5">
        <v>13.07</v>
      </c>
      <c r="L226" s="5">
        <v>11.52</v>
      </c>
      <c r="M226" s="5">
        <v>8.6199999999999992</v>
      </c>
      <c r="N226" s="5">
        <v>20.87</v>
      </c>
      <c r="O226" s="5">
        <v>70.03</v>
      </c>
      <c r="P226" s="5">
        <v>28.39</v>
      </c>
      <c r="Q226" s="5">
        <v>25.99</v>
      </c>
      <c r="R226" s="5">
        <v>17.940000000000001</v>
      </c>
      <c r="S226" s="5">
        <v>12.16</v>
      </c>
      <c r="T226" s="5">
        <v>8.7799999999999994</v>
      </c>
      <c r="U226" s="5">
        <v>12.25</v>
      </c>
      <c r="V226" s="5">
        <v>27.93</v>
      </c>
      <c r="W226" s="5">
        <v>11.49</v>
      </c>
      <c r="X226" s="5">
        <v>11.75</v>
      </c>
      <c r="Y226" s="5">
        <v>11.03</v>
      </c>
      <c r="Z226" s="5">
        <v>10.91</v>
      </c>
      <c r="AA226" s="5">
        <v>8.49</v>
      </c>
      <c r="AB226" s="5" t="s">
        <v>99</v>
      </c>
      <c r="AC226" s="5">
        <v>16.59</v>
      </c>
      <c r="AD226" s="5">
        <v>37.26</v>
      </c>
      <c r="AE226" s="5">
        <v>11.2</v>
      </c>
      <c r="AF226" s="5">
        <v>21.77</v>
      </c>
      <c r="AG226" s="5">
        <v>11.96</v>
      </c>
      <c r="AI226" s="5" t="s">
        <v>99</v>
      </c>
      <c r="AK226" s="5">
        <v>0</v>
      </c>
      <c r="AN226" s="1">
        <f t="shared" si="122"/>
        <v>70</v>
      </c>
      <c r="AO226" s="1">
        <f t="shared" si="123"/>
        <v>48.9</v>
      </c>
      <c r="AP226" s="1">
        <f t="shared" si="124"/>
        <v>27.9</v>
      </c>
      <c r="AQ226" s="17">
        <f t="shared" si="140"/>
        <v>0.68799999999999994</v>
      </c>
      <c r="AR226" s="22">
        <f t="shared" si="125"/>
        <v>1.778</v>
      </c>
      <c r="AT226" s="19">
        <f t="shared" si="117"/>
        <v>43686</v>
      </c>
      <c r="AU226" s="20">
        <f t="shared" si="118"/>
        <v>221</v>
      </c>
      <c r="AV226" s="1">
        <f t="shared" si="126"/>
        <v>16</v>
      </c>
      <c r="AW226" s="1">
        <f t="shared" si="127"/>
        <v>20.9</v>
      </c>
      <c r="AX226" s="1">
        <f t="shared" si="128"/>
        <v>12.3</v>
      </c>
      <c r="AY226" s="1">
        <f t="shared" si="115"/>
        <v>48.9</v>
      </c>
      <c r="AZ226" s="1">
        <f t="shared" si="116"/>
        <v>27.9</v>
      </c>
      <c r="BA226" s="1">
        <f t="shared" si="129"/>
        <v>0</v>
      </c>
      <c r="BB226" s="5" t="str">
        <f t="shared" si="130"/>
        <v>NAN</v>
      </c>
      <c r="BC226" s="1">
        <f t="shared" si="119"/>
        <v>16.600000000000001</v>
      </c>
      <c r="BD226" s="1">
        <f t="shared" si="120"/>
        <v>37.299999999999997</v>
      </c>
      <c r="BE226" s="1">
        <f t="shared" si="121"/>
        <v>11.2</v>
      </c>
      <c r="BF226" s="5">
        <f t="shared" si="131"/>
        <v>13.1</v>
      </c>
      <c r="BG226" s="5">
        <f t="shared" si="132"/>
        <v>11.5</v>
      </c>
      <c r="BH226" s="5">
        <f t="shared" si="133"/>
        <v>8.6</v>
      </c>
      <c r="BI226" s="5" t="str">
        <f t="shared" si="134"/>
        <v>NAN</v>
      </c>
      <c r="BJ226" s="10">
        <f t="shared" si="135"/>
        <v>0.68799999999999994</v>
      </c>
      <c r="BK226" s="10">
        <f t="shared" si="136"/>
        <v>1.778</v>
      </c>
      <c r="BM226" s="1">
        <f t="shared" si="137"/>
        <v>16.389999999999997</v>
      </c>
      <c r="BN226" s="1">
        <f t="shared" si="138"/>
        <v>-1.0500000000000007</v>
      </c>
    </row>
    <row r="227" spans="1:66" x14ac:dyDescent="0.2">
      <c r="A227" s="4">
        <f t="shared" si="139"/>
        <v>43687</v>
      </c>
      <c r="B227" s="1">
        <v>222</v>
      </c>
      <c r="C227" s="1">
        <v>12</v>
      </c>
      <c r="D227" s="5">
        <v>12.98</v>
      </c>
      <c r="E227" s="5">
        <v>15.55</v>
      </c>
      <c r="F227" s="5">
        <v>9.41</v>
      </c>
      <c r="G227" s="5">
        <v>11.98</v>
      </c>
      <c r="H227" s="5">
        <v>77.709999999999994</v>
      </c>
      <c r="I227" s="5">
        <v>11.59</v>
      </c>
      <c r="J227" s="5">
        <v>11.65</v>
      </c>
      <c r="K227" s="5">
        <v>12.18</v>
      </c>
      <c r="L227" s="5">
        <v>11.31</v>
      </c>
      <c r="M227" s="5">
        <v>8.74</v>
      </c>
      <c r="N227" s="5">
        <v>15.45</v>
      </c>
      <c r="O227" s="5">
        <v>96.5</v>
      </c>
      <c r="P227" s="5">
        <v>20.62</v>
      </c>
      <c r="Q227" s="5">
        <v>18.309999999999999</v>
      </c>
      <c r="R227" s="5">
        <v>15.7</v>
      </c>
      <c r="S227" s="5">
        <v>11.8</v>
      </c>
      <c r="T227" s="5">
        <v>8.85</v>
      </c>
      <c r="U227" s="5">
        <v>7.431</v>
      </c>
      <c r="V227" s="5">
        <v>58.16</v>
      </c>
      <c r="W227" s="5">
        <v>7.2590000000000003</v>
      </c>
      <c r="X227" s="5">
        <v>7.3140000000000001</v>
      </c>
      <c r="Y227" s="5">
        <v>10.32</v>
      </c>
      <c r="Z227" s="5">
        <v>10.9</v>
      </c>
      <c r="AA227" s="5">
        <v>8.61</v>
      </c>
      <c r="AB227" s="5" t="s">
        <v>99</v>
      </c>
      <c r="AC227" s="5">
        <v>11.98</v>
      </c>
      <c r="AD227" s="5">
        <v>23.82</v>
      </c>
      <c r="AE227" s="5">
        <v>7.2229999999999999</v>
      </c>
      <c r="AF227" s="5">
        <v>15.49</v>
      </c>
      <c r="AG227" s="5">
        <v>7.2709999999999999</v>
      </c>
      <c r="AI227" s="5" t="s">
        <v>99</v>
      </c>
      <c r="AK227" s="5">
        <v>0</v>
      </c>
      <c r="AN227" s="1">
        <f t="shared" si="122"/>
        <v>96.5</v>
      </c>
      <c r="AO227" s="1">
        <f t="shared" si="123"/>
        <v>77.7</v>
      </c>
      <c r="AP227" s="1">
        <f t="shared" si="124"/>
        <v>58.2</v>
      </c>
      <c r="AQ227" s="17">
        <f t="shared" si="140"/>
        <v>1.0209999999999999</v>
      </c>
      <c r="AR227" s="22">
        <f t="shared" si="125"/>
        <v>0.73299999999999998</v>
      </c>
      <c r="AT227" s="19">
        <f t="shared" si="117"/>
        <v>43687</v>
      </c>
      <c r="AU227" s="20">
        <f t="shared" si="118"/>
        <v>222</v>
      </c>
      <c r="AV227" s="1">
        <f t="shared" si="126"/>
        <v>12</v>
      </c>
      <c r="AW227" s="1">
        <f t="shared" si="127"/>
        <v>15.5</v>
      </c>
      <c r="AX227" s="1">
        <f t="shared" si="128"/>
        <v>7.4</v>
      </c>
      <c r="AY227" s="1">
        <f t="shared" si="115"/>
        <v>77.7</v>
      </c>
      <c r="AZ227" s="1">
        <f t="shared" si="116"/>
        <v>58.2</v>
      </c>
      <c r="BA227" s="1">
        <f t="shared" si="129"/>
        <v>0</v>
      </c>
      <c r="BB227" s="5" t="str">
        <f t="shared" si="130"/>
        <v>NAN</v>
      </c>
      <c r="BC227" s="1">
        <f t="shared" si="119"/>
        <v>12</v>
      </c>
      <c r="BD227" s="1">
        <f t="shared" si="120"/>
        <v>23.8</v>
      </c>
      <c r="BE227" s="1">
        <f t="shared" si="121"/>
        <v>7.2</v>
      </c>
      <c r="BF227" s="5">
        <f t="shared" si="131"/>
        <v>12.2</v>
      </c>
      <c r="BG227" s="5">
        <f t="shared" si="132"/>
        <v>11.3</v>
      </c>
      <c r="BH227" s="5">
        <f t="shared" si="133"/>
        <v>8.6999999999999993</v>
      </c>
      <c r="BI227" s="5" t="str">
        <f t="shared" si="134"/>
        <v>NAN</v>
      </c>
      <c r="BJ227" s="10">
        <f t="shared" si="135"/>
        <v>1.0209999999999999</v>
      </c>
      <c r="BK227" s="10">
        <f t="shared" si="136"/>
        <v>0.73299999999999998</v>
      </c>
      <c r="BM227" s="1">
        <f t="shared" si="137"/>
        <v>8.370000000000001</v>
      </c>
      <c r="BN227" s="1">
        <f t="shared" si="138"/>
        <v>-0.20800000000000018</v>
      </c>
    </row>
    <row r="228" spans="1:66" x14ac:dyDescent="0.2">
      <c r="A228" s="4">
        <f t="shared" si="139"/>
        <v>43688</v>
      </c>
      <c r="B228" s="1">
        <v>223</v>
      </c>
      <c r="C228" s="1">
        <v>12</v>
      </c>
      <c r="D228" s="5">
        <v>12.84</v>
      </c>
      <c r="E228" s="5">
        <v>9.39</v>
      </c>
      <c r="F228" s="5">
        <v>6.048</v>
      </c>
      <c r="G228" s="5">
        <v>7.3310000000000004</v>
      </c>
      <c r="H228" s="5">
        <v>94.5</v>
      </c>
      <c r="I228" s="5">
        <v>7.3120000000000003</v>
      </c>
      <c r="J228" s="5">
        <v>7.1989999999999998</v>
      </c>
      <c r="K228" s="5">
        <v>9.3000000000000007</v>
      </c>
      <c r="L228" s="5">
        <v>10.06</v>
      </c>
      <c r="M228" s="5">
        <v>8.73</v>
      </c>
      <c r="N228" s="5">
        <v>9.16</v>
      </c>
      <c r="O228" s="5">
        <v>97.9</v>
      </c>
      <c r="P228" s="5">
        <v>9.31</v>
      </c>
      <c r="Q228" s="5">
        <v>9.0500000000000007</v>
      </c>
      <c r="R228" s="5">
        <v>10.36</v>
      </c>
      <c r="S228" s="5">
        <v>11.13</v>
      </c>
      <c r="T228" s="5">
        <v>8.9</v>
      </c>
      <c r="U228" s="5">
        <v>5.6829999999999998</v>
      </c>
      <c r="V228" s="5">
        <v>85.3</v>
      </c>
      <c r="W228" s="5">
        <v>5.6040000000000001</v>
      </c>
      <c r="X228" s="5">
        <v>5.524</v>
      </c>
      <c r="Y228" s="5">
        <v>7.8970000000000002</v>
      </c>
      <c r="Z228" s="5">
        <v>9.3000000000000007</v>
      </c>
      <c r="AA228" s="5">
        <v>8.57</v>
      </c>
      <c r="AB228" s="5" t="s">
        <v>99</v>
      </c>
      <c r="AC228" s="5">
        <v>7.83</v>
      </c>
      <c r="AD228" s="5">
        <v>10.36</v>
      </c>
      <c r="AE228" s="5">
        <v>5.9710000000000001</v>
      </c>
      <c r="AF228" s="5">
        <v>8.7100000000000009</v>
      </c>
      <c r="AG228" s="5">
        <v>5.5359999999999996</v>
      </c>
      <c r="AI228" s="5" t="s">
        <v>99</v>
      </c>
      <c r="AK228" s="5">
        <v>0</v>
      </c>
      <c r="AN228" s="1">
        <f t="shared" si="122"/>
        <v>97.9</v>
      </c>
      <c r="AO228" s="1">
        <f t="shared" si="123"/>
        <v>94.5</v>
      </c>
      <c r="AP228" s="1">
        <f t="shared" si="124"/>
        <v>85.3</v>
      </c>
      <c r="AQ228" s="17">
        <f t="shared" si="140"/>
        <v>0.99</v>
      </c>
      <c r="AR228" s="22">
        <f t="shared" si="125"/>
        <v>0.17100000000000001</v>
      </c>
      <c r="AT228" s="19">
        <f t="shared" si="117"/>
        <v>43688</v>
      </c>
      <c r="AU228" s="20">
        <f t="shared" si="118"/>
        <v>223</v>
      </c>
      <c r="AV228" s="1">
        <f t="shared" si="126"/>
        <v>7.3</v>
      </c>
      <c r="AW228" s="1">
        <f t="shared" si="127"/>
        <v>9.1999999999999993</v>
      </c>
      <c r="AX228" s="1">
        <f t="shared" si="128"/>
        <v>5.7</v>
      </c>
      <c r="AY228" s="1">
        <f t="shared" si="115"/>
        <v>94.5</v>
      </c>
      <c r="AZ228" s="1">
        <f t="shared" si="116"/>
        <v>85.3</v>
      </c>
      <c r="BA228" s="1">
        <f t="shared" si="129"/>
        <v>0</v>
      </c>
      <c r="BB228" s="5" t="str">
        <f t="shared" si="130"/>
        <v>NAN</v>
      </c>
      <c r="BC228" s="1">
        <f t="shared" si="119"/>
        <v>7.8</v>
      </c>
      <c r="BD228" s="1">
        <f t="shared" si="120"/>
        <v>10.4</v>
      </c>
      <c r="BE228" s="1">
        <f t="shared" si="121"/>
        <v>6</v>
      </c>
      <c r="BF228" s="5">
        <f t="shared" si="131"/>
        <v>9.3000000000000007</v>
      </c>
      <c r="BG228" s="5">
        <f t="shared" si="132"/>
        <v>10.1</v>
      </c>
      <c r="BH228" s="5">
        <f t="shared" si="133"/>
        <v>8.6999999999999993</v>
      </c>
      <c r="BI228" s="5" t="str">
        <f t="shared" si="134"/>
        <v>NAN</v>
      </c>
      <c r="BJ228" s="10">
        <f t="shared" si="135"/>
        <v>0.99</v>
      </c>
      <c r="BK228" s="10">
        <f t="shared" si="136"/>
        <v>0.17100000000000001</v>
      </c>
      <c r="BM228" s="1">
        <f t="shared" si="137"/>
        <v>1.1999999999999993</v>
      </c>
      <c r="BN228" s="1">
        <f t="shared" si="138"/>
        <v>0.28800000000000026</v>
      </c>
    </row>
    <row r="229" spans="1:66" x14ac:dyDescent="0.2">
      <c r="A229" s="4">
        <f t="shared" si="139"/>
        <v>43689</v>
      </c>
      <c r="B229" s="1">
        <v>224</v>
      </c>
      <c r="C229" s="1">
        <v>12</v>
      </c>
      <c r="D229" s="5">
        <v>13.03</v>
      </c>
      <c r="E229" s="5">
        <v>16.66</v>
      </c>
      <c r="F229" s="5">
        <v>5.4850000000000003</v>
      </c>
      <c r="G229" s="5">
        <v>9.44</v>
      </c>
      <c r="H229" s="5">
        <v>75.989999999999995</v>
      </c>
      <c r="I229" s="5">
        <v>9.49</v>
      </c>
      <c r="J229" s="5">
        <v>9.2200000000000006</v>
      </c>
      <c r="K229" s="5">
        <v>9.9700000000000006</v>
      </c>
      <c r="L229" s="5">
        <v>9.2799999999999994</v>
      </c>
      <c r="M229" s="5">
        <v>8.52</v>
      </c>
      <c r="N229" s="5">
        <v>15.22</v>
      </c>
      <c r="O229" s="5">
        <v>97.4</v>
      </c>
      <c r="P229" s="5">
        <v>21.64</v>
      </c>
      <c r="Q229" s="5">
        <v>18.239999999999998</v>
      </c>
      <c r="R229" s="5">
        <v>17.7</v>
      </c>
      <c r="S229" s="5">
        <v>10.14</v>
      </c>
      <c r="T229" s="5">
        <v>8.6999999999999993</v>
      </c>
      <c r="U229" s="5">
        <v>5.3120000000000003</v>
      </c>
      <c r="V229" s="5">
        <v>42.68</v>
      </c>
      <c r="W229" s="5">
        <v>5.0609999999999999</v>
      </c>
      <c r="X229" s="5">
        <v>4.9930000000000003</v>
      </c>
      <c r="Y229" s="5">
        <v>7.15</v>
      </c>
      <c r="Z229" s="5">
        <v>8.58</v>
      </c>
      <c r="AA229" s="5">
        <v>8.34</v>
      </c>
      <c r="AB229" s="5" t="s">
        <v>99</v>
      </c>
      <c r="AC229" s="5">
        <v>9.93</v>
      </c>
      <c r="AD229" s="5">
        <v>23.71</v>
      </c>
      <c r="AE229" s="5">
        <v>4.9870000000000001</v>
      </c>
      <c r="AF229" s="5">
        <v>15.31</v>
      </c>
      <c r="AG229" s="5">
        <v>5.1639999999999997</v>
      </c>
      <c r="AI229" s="5" t="s">
        <v>99</v>
      </c>
      <c r="AK229" s="5">
        <v>0</v>
      </c>
      <c r="AN229" s="1">
        <f t="shared" si="122"/>
        <v>97.4</v>
      </c>
      <c r="AO229" s="1">
        <f t="shared" si="123"/>
        <v>76</v>
      </c>
      <c r="AP229" s="1">
        <f t="shared" si="124"/>
        <v>42.7</v>
      </c>
      <c r="AQ229" s="17">
        <f t="shared" si="140"/>
        <v>0.73799999999999999</v>
      </c>
      <c r="AR229" s="22">
        <f t="shared" si="125"/>
        <v>0.99</v>
      </c>
      <c r="AT229" s="19">
        <f t="shared" si="117"/>
        <v>43689</v>
      </c>
      <c r="AU229" s="20">
        <f t="shared" si="118"/>
        <v>224</v>
      </c>
      <c r="AV229" s="1">
        <f t="shared" si="126"/>
        <v>9.4</v>
      </c>
      <c r="AW229" s="1">
        <f t="shared" si="127"/>
        <v>15.2</v>
      </c>
      <c r="AX229" s="1">
        <f t="shared" si="128"/>
        <v>5.3</v>
      </c>
      <c r="AY229" s="1">
        <f t="shared" si="115"/>
        <v>76</v>
      </c>
      <c r="AZ229" s="1">
        <f t="shared" si="116"/>
        <v>42.7</v>
      </c>
      <c r="BA229" s="1">
        <f t="shared" si="129"/>
        <v>0</v>
      </c>
      <c r="BB229" s="5" t="str">
        <f t="shared" si="130"/>
        <v>NAN</v>
      </c>
      <c r="BC229" s="1">
        <f t="shared" si="119"/>
        <v>9.9</v>
      </c>
      <c r="BD229" s="1">
        <f t="shared" si="120"/>
        <v>23.7</v>
      </c>
      <c r="BE229" s="1">
        <f t="shared" si="121"/>
        <v>5</v>
      </c>
      <c r="BF229" s="5">
        <f t="shared" si="131"/>
        <v>10</v>
      </c>
      <c r="BG229" s="5">
        <f t="shared" si="132"/>
        <v>9.3000000000000007</v>
      </c>
      <c r="BH229" s="5">
        <f t="shared" si="133"/>
        <v>8.5</v>
      </c>
      <c r="BI229" s="5" t="str">
        <f t="shared" si="134"/>
        <v>NAN</v>
      </c>
      <c r="BJ229" s="10">
        <f t="shared" si="135"/>
        <v>0.73799999999999999</v>
      </c>
      <c r="BK229" s="10">
        <f t="shared" si="136"/>
        <v>0.99</v>
      </c>
      <c r="BM229" s="1">
        <f t="shared" si="137"/>
        <v>8.49</v>
      </c>
      <c r="BN229" s="1">
        <f t="shared" si="138"/>
        <v>-0.32500000000000018</v>
      </c>
    </row>
    <row r="230" spans="1:66" x14ac:dyDescent="0.2">
      <c r="A230" s="4">
        <f t="shared" si="139"/>
        <v>43690</v>
      </c>
      <c r="B230" s="1">
        <v>225</v>
      </c>
      <c r="C230" s="1">
        <v>12</v>
      </c>
      <c r="D230" s="5">
        <v>12.93</v>
      </c>
      <c r="E230" s="5">
        <v>15.53</v>
      </c>
      <c r="F230" s="5">
        <v>7.0709999999999997</v>
      </c>
      <c r="G230" s="5">
        <v>9.77</v>
      </c>
      <c r="H230" s="5">
        <v>81.7</v>
      </c>
      <c r="I230" s="5">
        <v>9.31</v>
      </c>
      <c r="J230" s="5">
        <v>9.33</v>
      </c>
      <c r="K230" s="5">
        <v>9.66</v>
      </c>
      <c r="L230" s="5">
        <v>9.4600000000000009</v>
      </c>
      <c r="M230" s="5">
        <v>8.4</v>
      </c>
      <c r="N230" s="5">
        <v>15.59</v>
      </c>
      <c r="O230" s="5">
        <v>95.5</v>
      </c>
      <c r="P230" s="5">
        <v>16.5</v>
      </c>
      <c r="Q230" s="5">
        <v>17.350000000000001</v>
      </c>
      <c r="R230" s="5">
        <v>12.46</v>
      </c>
      <c r="S230" s="5">
        <v>9.8699999999999992</v>
      </c>
      <c r="T230" s="5">
        <v>8.5299999999999994</v>
      </c>
      <c r="U230" s="5">
        <v>7.0609999999999999</v>
      </c>
      <c r="V230" s="5">
        <v>51.2</v>
      </c>
      <c r="W230" s="5">
        <v>6.2679999999999998</v>
      </c>
      <c r="X230" s="5">
        <v>6.4160000000000004</v>
      </c>
      <c r="Y230" s="5">
        <v>8</v>
      </c>
      <c r="Z230" s="5">
        <v>9.0500000000000007</v>
      </c>
      <c r="AA230" s="5">
        <v>8.3000000000000007</v>
      </c>
      <c r="AB230" s="5" t="s">
        <v>99</v>
      </c>
      <c r="AC230" s="5">
        <v>9.43</v>
      </c>
      <c r="AD230" s="5">
        <v>19.73</v>
      </c>
      <c r="AE230" s="5">
        <v>6.0049999999999999</v>
      </c>
      <c r="AF230" s="5">
        <v>15.31</v>
      </c>
      <c r="AG230" s="5">
        <v>6.806</v>
      </c>
      <c r="AI230" s="5" t="s">
        <v>99</v>
      </c>
      <c r="AK230" s="5">
        <v>0</v>
      </c>
      <c r="AN230" s="1">
        <f t="shared" si="122"/>
        <v>95.5</v>
      </c>
      <c r="AO230" s="1">
        <f t="shared" si="123"/>
        <v>81.7</v>
      </c>
      <c r="AP230" s="1">
        <f t="shared" si="124"/>
        <v>51.2</v>
      </c>
      <c r="AQ230" s="17">
        <f t="shared" si="140"/>
        <v>0.90700000000000003</v>
      </c>
      <c r="AR230" s="22">
        <f t="shared" si="125"/>
        <v>0.86399999999999999</v>
      </c>
      <c r="AT230" s="19">
        <f t="shared" si="117"/>
        <v>43690</v>
      </c>
      <c r="AU230" s="20">
        <f t="shared" si="118"/>
        <v>225</v>
      </c>
      <c r="AV230" s="1">
        <f t="shared" si="126"/>
        <v>9.8000000000000007</v>
      </c>
      <c r="AW230" s="1">
        <f t="shared" si="127"/>
        <v>15.6</v>
      </c>
      <c r="AX230" s="1">
        <f t="shared" si="128"/>
        <v>7.1</v>
      </c>
      <c r="AY230" s="1">
        <f t="shared" si="115"/>
        <v>81.7</v>
      </c>
      <c r="AZ230" s="1">
        <f t="shared" si="116"/>
        <v>51.2</v>
      </c>
      <c r="BA230" s="1">
        <f t="shared" si="129"/>
        <v>0</v>
      </c>
      <c r="BB230" s="5" t="str">
        <f t="shared" si="130"/>
        <v>NAN</v>
      </c>
      <c r="BC230" s="1">
        <f t="shared" si="119"/>
        <v>9.4</v>
      </c>
      <c r="BD230" s="1">
        <f t="shared" si="120"/>
        <v>19.7</v>
      </c>
      <c r="BE230" s="1">
        <f t="shared" si="121"/>
        <v>6</v>
      </c>
      <c r="BF230" s="5">
        <f t="shared" si="131"/>
        <v>9.6999999999999993</v>
      </c>
      <c r="BG230" s="5">
        <f t="shared" si="132"/>
        <v>9.5</v>
      </c>
      <c r="BH230" s="5">
        <f t="shared" si="133"/>
        <v>8.4</v>
      </c>
      <c r="BI230" s="5" t="str">
        <f t="shared" si="134"/>
        <v>NAN</v>
      </c>
      <c r="BJ230" s="10">
        <f t="shared" si="135"/>
        <v>0.90700000000000003</v>
      </c>
      <c r="BK230" s="10">
        <f t="shared" si="136"/>
        <v>0.86399999999999999</v>
      </c>
      <c r="BM230" s="1">
        <f t="shared" si="137"/>
        <v>4.1400000000000006</v>
      </c>
      <c r="BN230" s="1">
        <f t="shared" si="138"/>
        <v>-1.056</v>
      </c>
    </row>
    <row r="231" spans="1:66" x14ac:dyDescent="0.2">
      <c r="A231" s="4">
        <f t="shared" si="139"/>
        <v>43691</v>
      </c>
      <c r="B231" s="1">
        <v>226</v>
      </c>
      <c r="C231" s="1">
        <v>12</v>
      </c>
      <c r="D231" s="5">
        <v>13.03</v>
      </c>
      <c r="E231" s="5">
        <v>18.38</v>
      </c>
      <c r="F231" s="5">
        <v>7.7939999999999996</v>
      </c>
      <c r="G231" s="5">
        <v>11.73</v>
      </c>
      <c r="H231" s="5">
        <v>65.709999999999994</v>
      </c>
      <c r="I231" s="5">
        <v>11.12</v>
      </c>
      <c r="J231" s="5">
        <v>11.19</v>
      </c>
      <c r="K231" s="5">
        <v>10.45</v>
      </c>
      <c r="L231" s="5">
        <v>9.4499999999999993</v>
      </c>
      <c r="M231" s="5">
        <v>8.34</v>
      </c>
      <c r="N231" s="5">
        <v>16.420000000000002</v>
      </c>
      <c r="O231" s="5">
        <v>84.9</v>
      </c>
      <c r="P231" s="5">
        <v>22.27</v>
      </c>
      <c r="Q231" s="5">
        <v>20.66</v>
      </c>
      <c r="R231" s="5">
        <v>17.25</v>
      </c>
      <c r="S231" s="5">
        <v>10.26</v>
      </c>
      <c r="T231" s="5">
        <v>8.4600000000000009</v>
      </c>
      <c r="U231" s="5">
        <v>8.2100000000000009</v>
      </c>
      <c r="V231" s="5">
        <v>38.090000000000003</v>
      </c>
      <c r="W231" s="5">
        <v>7.0110000000000001</v>
      </c>
      <c r="X231" s="5">
        <v>7.17</v>
      </c>
      <c r="Y231" s="5">
        <v>8.19</v>
      </c>
      <c r="Z231" s="5">
        <v>8.84</v>
      </c>
      <c r="AA231" s="5">
        <v>8.18</v>
      </c>
      <c r="AB231" s="5" t="s">
        <v>99</v>
      </c>
      <c r="AC231" s="5">
        <v>11.02</v>
      </c>
      <c r="AD231" s="5">
        <v>24.21</v>
      </c>
      <c r="AE231" s="5">
        <v>6.9359999999999999</v>
      </c>
      <c r="AF231" s="5">
        <v>16.920000000000002</v>
      </c>
      <c r="AG231" s="5">
        <v>7.6050000000000004</v>
      </c>
      <c r="AI231" s="5" t="s">
        <v>99</v>
      </c>
      <c r="AK231" s="5">
        <v>0</v>
      </c>
      <c r="AN231" s="1">
        <f t="shared" si="122"/>
        <v>84.9</v>
      </c>
      <c r="AO231" s="1">
        <f t="shared" si="123"/>
        <v>65.7</v>
      </c>
      <c r="AP231" s="1">
        <f t="shared" si="124"/>
        <v>38.1</v>
      </c>
      <c r="AQ231" s="17">
        <f t="shared" si="140"/>
        <v>0.71099999999999997</v>
      </c>
      <c r="AR231" s="22">
        <f t="shared" si="125"/>
        <v>1.155</v>
      </c>
      <c r="AT231" s="19">
        <f t="shared" si="117"/>
        <v>43691</v>
      </c>
      <c r="AU231" s="20">
        <f t="shared" si="118"/>
        <v>226</v>
      </c>
      <c r="AV231" s="1">
        <f t="shared" si="126"/>
        <v>11.7</v>
      </c>
      <c r="AW231" s="1">
        <f t="shared" si="127"/>
        <v>16.399999999999999</v>
      </c>
      <c r="AX231" s="1">
        <f t="shared" si="128"/>
        <v>8.1999999999999993</v>
      </c>
      <c r="AY231" s="1">
        <f t="shared" si="115"/>
        <v>65.7</v>
      </c>
      <c r="AZ231" s="1">
        <f t="shared" si="116"/>
        <v>38.1</v>
      </c>
      <c r="BA231" s="1">
        <f t="shared" si="129"/>
        <v>0</v>
      </c>
      <c r="BB231" s="5" t="str">
        <f t="shared" si="130"/>
        <v>NAN</v>
      </c>
      <c r="BC231" s="1">
        <f t="shared" si="119"/>
        <v>11</v>
      </c>
      <c r="BD231" s="1">
        <f t="shared" si="120"/>
        <v>24.2</v>
      </c>
      <c r="BE231" s="1">
        <f t="shared" si="121"/>
        <v>6.9</v>
      </c>
      <c r="BF231" s="5">
        <f t="shared" si="131"/>
        <v>10.5</v>
      </c>
      <c r="BG231" s="5">
        <f t="shared" si="132"/>
        <v>9.5</v>
      </c>
      <c r="BH231" s="5">
        <f t="shared" si="133"/>
        <v>8.3000000000000007</v>
      </c>
      <c r="BI231" s="5" t="str">
        <f t="shared" si="134"/>
        <v>NAN</v>
      </c>
      <c r="BJ231" s="10">
        <f t="shared" si="135"/>
        <v>0.71099999999999997</v>
      </c>
      <c r="BK231" s="10">
        <f t="shared" si="136"/>
        <v>1.155</v>
      </c>
      <c r="BM231" s="1">
        <f t="shared" si="137"/>
        <v>7.7899999999999991</v>
      </c>
      <c r="BN231" s="1">
        <f t="shared" si="138"/>
        <v>-1.2740000000000009</v>
      </c>
    </row>
    <row r="232" spans="1:66" x14ac:dyDescent="0.2">
      <c r="A232" s="4">
        <f t="shared" si="139"/>
        <v>43692</v>
      </c>
      <c r="B232" s="1">
        <v>227</v>
      </c>
      <c r="C232" s="1">
        <v>12</v>
      </c>
      <c r="D232" s="5">
        <v>13.02</v>
      </c>
      <c r="E232" s="5">
        <v>18.559999999999999</v>
      </c>
      <c r="F232" s="5">
        <v>7.9269999999999996</v>
      </c>
      <c r="G232" s="5">
        <v>12.21</v>
      </c>
      <c r="H232" s="5">
        <v>58.51</v>
      </c>
      <c r="I232" s="5">
        <v>11.83</v>
      </c>
      <c r="J232" s="5">
        <v>11.83</v>
      </c>
      <c r="K232" s="5">
        <v>10.58</v>
      </c>
      <c r="L232" s="5">
        <v>9.75</v>
      </c>
      <c r="M232" s="5">
        <v>8.33</v>
      </c>
      <c r="N232" s="5">
        <v>17.57</v>
      </c>
      <c r="O232" s="5">
        <v>81.8</v>
      </c>
      <c r="P232" s="5">
        <v>26.44</v>
      </c>
      <c r="Q232" s="5">
        <v>23.18</v>
      </c>
      <c r="R232" s="5">
        <v>17.579999999999998</v>
      </c>
      <c r="S232" s="5">
        <v>10.47</v>
      </c>
      <c r="T232" s="5">
        <v>8.44</v>
      </c>
      <c r="U232" s="5">
        <v>8.2100000000000009</v>
      </c>
      <c r="V232" s="5">
        <v>35.729999999999997</v>
      </c>
      <c r="W232" s="5">
        <v>7.1390000000000002</v>
      </c>
      <c r="X232" s="5">
        <v>7.3319999999999999</v>
      </c>
      <c r="Y232" s="5">
        <v>8.25</v>
      </c>
      <c r="Z232" s="5">
        <v>9.11</v>
      </c>
      <c r="AA232" s="5">
        <v>8.1999999999999993</v>
      </c>
      <c r="AB232" s="5" t="s">
        <v>99</v>
      </c>
      <c r="AC232" s="5">
        <v>11.64</v>
      </c>
      <c r="AD232" s="5">
        <v>28.76</v>
      </c>
      <c r="AE232" s="5">
        <v>6.718</v>
      </c>
      <c r="AF232" s="5">
        <v>18.63</v>
      </c>
      <c r="AG232" s="5">
        <v>7.8719999999999999</v>
      </c>
      <c r="AI232" s="5" t="s">
        <v>99</v>
      </c>
      <c r="AK232" s="5">
        <v>0</v>
      </c>
      <c r="AN232" s="1">
        <f t="shared" si="122"/>
        <v>81.8</v>
      </c>
      <c r="AO232" s="1">
        <f t="shared" si="123"/>
        <v>58.5</v>
      </c>
      <c r="AP232" s="1">
        <f t="shared" si="124"/>
        <v>35.700000000000003</v>
      </c>
      <c r="AQ232" s="17">
        <f t="shared" si="140"/>
        <v>0.71699999999999997</v>
      </c>
      <c r="AR232" s="22">
        <f t="shared" si="125"/>
        <v>1.2909999999999999</v>
      </c>
      <c r="AT232" s="19">
        <f t="shared" si="117"/>
        <v>43692</v>
      </c>
      <c r="AU232" s="20">
        <f t="shared" si="118"/>
        <v>227</v>
      </c>
      <c r="AV232" s="1">
        <f t="shared" si="126"/>
        <v>12.2</v>
      </c>
      <c r="AW232" s="1">
        <f t="shared" si="127"/>
        <v>17.600000000000001</v>
      </c>
      <c r="AX232" s="1">
        <f t="shared" si="128"/>
        <v>8.1999999999999993</v>
      </c>
      <c r="AY232" s="1">
        <f t="shared" si="115"/>
        <v>58.5</v>
      </c>
      <c r="AZ232" s="1">
        <f t="shared" si="116"/>
        <v>35.700000000000003</v>
      </c>
      <c r="BA232" s="1">
        <f t="shared" si="129"/>
        <v>0</v>
      </c>
      <c r="BB232" s="5" t="str">
        <f t="shared" si="130"/>
        <v>NAN</v>
      </c>
      <c r="BC232" s="1">
        <f t="shared" si="119"/>
        <v>11.6</v>
      </c>
      <c r="BD232" s="1">
        <f t="shared" si="120"/>
        <v>28.8</v>
      </c>
      <c r="BE232" s="1">
        <f t="shared" si="121"/>
        <v>6.7</v>
      </c>
      <c r="BF232" s="5">
        <f t="shared" si="131"/>
        <v>10.6</v>
      </c>
      <c r="BG232" s="5">
        <f t="shared" si="132"/>
        <v>9.8000000000000007</v>
      </c>
      <c r="BH232" s="5">
        <f t="shared" si="133"/>
        <v>8.3000000000000007</v>
      </c>
      <c r="BI232" s="5" t="str">
        <f t="shared" si="134"/>
        <v>NAN</v>
      </c>
      <c r="BJ232" s="10">
        <f t="shared" si="135"/>
        <v>0.71699999999999997</v>
      </c>
      <c r="BK232" s="10">
        <f t="shared" si="136"/>
        <v>1.2909999999999999</v>
      </c>
      <c r="BM232" s="1">
        <f t="shared" si="137"/>
        <v>11.190000000000001</v>
      </c>
      <c r="BN232" s="1">
        <f t="shared" si="138"/>
        <v>-1.4920000000000009</v>
      </c>
    </row>
    <row r="233" spans="1:66" x14ac:dyDescent="0.2">
      <c r="A233" s="4">
        <f t="shared" si="139"/>
        <v>43693</v>
      </c>
      <c r="B233" s="1">
        <v>228</v>
      </c>
      <c r="C233" s="1">
        <v>12</v>
      </c>
      <c r="D233" s="5">
        <v>12.89</v>
      </c>
      <c r="E233" s="5">
        <v>12.23</v>
      </c>
      <c r="F233" s="5">
        <v>6.766</v>
      </c>
      <c r="G233" s="5">
        <v>9.16</v>
      </c>
      <c r="H233" s="5">
        <v>80.7</v>
      </c>
      <c r="I233" s="5">
        <v>9.0299999999999994</v>
      </c>
      <c r="J233" s="5">
        <v>8.98</v>
      </c>
      <c r="K233" s="5">
        <v>9.49</v>
      </c>
      <c r="L233" s="5">
        <v>9.5299999999999994</v>
      </c>
      <c r="M233" s="5">
        <v>8.3699999999999992</v>
      </c>
      <c r="N233" s="5">
        <v>12.35</v>
      </c>
      <c r="O233" s="5">
        <v>93.1</v>
      </c>
      <c r="P233" s="5">
        <v>15.9</v>
      </c>
      <c r="Q233" s="5">
        <v>14.79</v>
      </c>
      <c r="R233" s="5">
        <v>11.79</v>
      </c>
      <c r="S233" s="5">
        <v>10.11</v>
      </c>
      <c r="T233" s="5">
        <v>8.4600000000000009</v>
      </c>
      <c r="U233" s="5">
        <v>6.1180000000000003</v>
      </c>
      <c r="V233" s="5">
        <v>62.28</v>
      </c>
      <c r="W233" s="5">
        <v>5.6260000000000003</v>
      </c>
      <c r="X233" s="5">
        <v>5.6260000000000003</v>
      </c>
      <c r="Y233" s="5">
        <v>8.18</v>
      </c>
      <c r="Z233" s="5">
        <v>9.1999999999999993</v>
      </c>
      <c r="AA233" s="5">
        <v>8.27</v>
      </c>
      <c r="AB233" s="5" t="s">
        <v>99</v>
      </c>
      <c r="AC233" s="5">
        <v>8.9700000000000006</v>
      </c>
      <c r="AD233" s="5">
        <v>18.350000000000001</v>
      </c>
      <c r="AE233" s="5">
        <v>5.46</v>
      </c>
      <c r="AF233" s="5">
        <v>11.96</v>
      </c>
      <c r="AG233" s="5">
        <v>5.9050000000000002</v>
      </c>
      <c r="AI233" s="5" t="s">
        <v>99</v>
      </c>
      <c r="AK233" s="5">
        <v>0</v>
      </c>
      <c r="AN233" s="1">
        <f t="shared" si="122"/>
        <v>93.1</v>
      </c>
      <c r="AO233" s="1">
        <f t="shared" si="123"/>
        <v>80.7</v>
      </c>
      <c r="AP233" s="1">
        <f t="shared" si="124"/>
        <v>62.3</v>
      </c>
      <c r="AQ233" s="17">
        <f t="shared" si="140"/>
        <v>0.89400000000000002</v>
      </c>
      <c r="AR233" s="22">
        <f t="shared" si="125"/>
        <v>0.54100000000000004</v>
      </c>
      <c r="AT233" s="19">
        <f t="shared" si="117"/>
        <v>43693</v>
      </c>
      <c r="AU233" s="20">
        <f t="shared" si="118"/>
        <v>228</v>
      </c>
      <c r="AV233" s="1">
        <f t="shared" si="126"/>
        <v>9.1999999999999993</v>
      </c>
      <c r="AW233" s="1">
        <f t="shared" si="127"/>
        <v>12.4</v>
      </c>
      <c r="AX233" s="1">
        <f t="shared" si="128"/>
        <v>6.1</v>
      </c>
      <c r="AY233" s="1">
        <f t="shared" si="115"/>
        <v>80.7</v>
      </c>
      <c r="AZ233" s="1">
        <f t="shared" si="116"/>
        <v>62.3</v>
      </c>
      <c r="BA233" s="1">
        <f t="shared" si="129"/>
        <v>0</v>
      </c>
      <c r="BB233" s="5" t="str">
        <f t="shared" si="130"/>
        <v>NAN</v>
      </c>
      <c r="BC233" s="1">
        <f t="shared" si="119"/>
        <v>9</v>
      </c>
      <c r="BD233" s="1">
        <f t="shared" si="120"/>
        <v>18.399999999999999</v>
      </c>
      <c r="BE233" s="1">
        <f t="shared" si="121"/>
        <v>5.5</v>
      </c>
      <c r="BF233" s="5">
        <f t="shared" si="131"/>
        <v>9.5</v>
      </c>
      <c r="BG233" s="5">
        <f t="shared" si="132"/>
        <v>9.5</v>
      </c>
      <c r="BH233" s="5">
        <f t="shared" si="133"/>
        <v>8.4</v>
      </c>
      <c r="BI233" s="5" t="str">
        <f t="shared" si="134"/>
        <v>NAN</v>
      </c>
      <c r="BJ233" s="10">
        <f t="shared" si="135"/>
        <v>0.89400000000000002</v>
      </c>
      <c r="BK233" s="10">
        <f t="shared" si="136"/>
        <v>0.54100000000000004</v>
      </c>
      <c r="BM233" s="1">
        <f t="shared" si="137"/>
        <v>6.0000000000000018</v>
      </c>
      <c r="BN233" s="1">
        <f t="shared" si="138"/>
        <v>-0.65800000000000036</v>
      </c>
    </row>
    <row r="234" spans="1:66" x14ac:dyDescent="0.2">
      <c r="A234" s="4">
        <f t="shared" si="139"/>
        <v>43694</v>
      </c>
      <c r="B234" s="1">
        <v>229</v>
      </c>
      <c r="C234" s="1">
        <v>12</v>
      </c>
      <c r="D234" s="5">
        <v>13.03</v>
      </c>
      <c r="E234" s="5">
        <v>14.23</v>
      </c>
      <c r="F234" s="5">
        <v>4.2789999999999999</v>
      </c>
      <c r="G234" s="5">
        <v>8.27</v>
      </c>
      <c r="H234" s="5">
        <v>74.790000000000006</v>
      </c>
      <c r="I234" s="5">
        <v>8.25</v>
      </c>
      <c r="J234" s="5">
        <v>8.1999999999999993</v>
      </c>
      <c r="K234" s="5">
        <v>8.69</v>
      </c>
      <c r="L234" s="5">
        <v>8.9</v>
      </c>
      <c r="M234" s="5">
        <v>8.2799999999999994</v>
      </c>
      <c r="N234" s="5">
        <v>13.97</v>
      </c>
      <c r="O234" s="5">
        <v>92.8</v>
      </c>
      <c r="P234" s="5">
        <v>19.23</v>
      </c>
      <c r="Q234" s="5">
        <v>16.98</v>
      </c>
      <c r="R234" s="5">
        <v>11.42</v>
      </c>
      <c r="S234" s="5">
        <v>9.44</v>
      </c>
      <c r="T234" s="5">
        <v>8.4</v>
      </c>
      <c r="U234" s="5">
        <v>4.1289999999999996</v>
      </c>
      <c r="V234" s="5">
        <v>50.35</v>
      </c>
      <c r="W234" s="5">
        <v>3.6869999999999998</v>
      </c>
      <c r="X234" s="5">
        <v>3.6459999999999999</v>
      </c>
      <c r="Y234" s="5">
        <v>6.7380000000000004</v>
      </c>
      <c r="Z234" s="5">
        <v>8.41</v>
      </c>
      <c r="AA234" s="5">
        <v>8.15</v>
      </c>
      <c r="AB234" s="5" t="s">
        <v>99</v>
      </c>
      <c r="AC234" s="5">
        <v>8.33</v>
      </c>
      <c r="AD234" s="5">
        <v>21.61</v>
      </c>
      <c r="AE234" s="5">
        <v>3.7290000000000001</v>
      </c>
      <c r="AF234" s="5">
        <v>13.98</v>
      </c>
      <c r="AG234" s="5">
        <v>3.8940000000000001</v>
      </c>
      <c r="AI234" s="5" t="s">
        <v>99</v>
      </c>
      <c r="AK234" s="5">
        <v>0</v>
      </c>
      <c r="AN234" s="1">
        <f t="shared" si="122"/>
        <v>92.8</v>
      </c>
      <c r="AO234" s="1">
        <f t="shared" si="123"/>
        <v>74.8</v>
      </c>
      <c r="AP234" s="1">
        <f t="shared" si="124"/>
        <v>50.4</v>
      </c>
      <c r="AQ234" s="17">
        <f t="shared" si="140"/>
        <v>0.80400000000000005</v>
      </c>
      <c r="AR234" s="22">
        <f t="shared" si="125"/>
        <v>0.79100000000000004</v>
      </c>
      <c r="AT234" s="19">
        <f t="shared" si="117"/>
        <v>43694</v>
      </c>
      <c r="AU234" s="20">
        <f t="shared" si="118"/>
        <v>229</v>
      </c>
      <c r="AV234" s="1">
        <f t="shared" si="126"/>
        <v>8.3000000000000007</v>
      </c>
      <c r="AW234" s="1">
        <f t="shared" si="127"/>
        <v>14</v>
      </c>
      <c r="AX234" s="1">
        <f t="shared" si="128"/>
        <v>4.0999999999999996</v>
      </c>
      <c r="AY234" s="1">
        <f t="shared" si="115"/>
        <v>74.8</v>
      </c>
      <c r="AZ234" s="1">
        <f t="shared" si="116"/>
        <v>50.4</v>
      </c>
      <c r="BA234" s="1">
        <f t="shared" si="129"/>
        <v>0</v>
      </c>
      <c r="BB234" s="5" t="str">
        <f t="shared" si="130"/>
        <v>NAN</v>
      </c>
      <c r="BC234" s="1">
        <f t="shared" si="119"/>
        <v>8.3000000000000007</v>
      </c>
      <c r="BD234" s="1">
        <f t="shared" si="120"/>
        <v>21.6</v>
      </c>
      <c r="BE234" s="1">
        <f t="shared" si="121"/>
        <v>3.7</v>
      </c>
      <c r="BF234" s="5">
        <f t="shared" si="131"/>
        <v>8.6999999999999993</v>
      </c>
      <c r="BG234" s="5">
        <f t="shared" si="132"/>
        <v>8.9</v>
      </c>
      <c r="BH234" s="5">
        <f t="shared" si="133"/>
        <v>8.3000000000000007</v>
      </c>
      <c r="BI234" s="5" t="str">
        <f t="shared" si="134"/>
        <v>NAN</v>
      </c>
      <c r="BJ234" s="10">
        <f t="shared" si="135"/>
        <v>0.80400000000000005</v>
      </c>
      <c r="BK234" s="10">
        <f t="shared" si="136"/>
        <v>0.79100000000000004</v>
      </c>
      <c r="BM234" s="1">
        <f t="shared" si="137"/>
        <v>7.6399999999999988</v>
      </c>
      <c r="BN234" s="1">
        <f t="shared" si="138"/>
        <v>-0.39999999999999947</v>
      </c>
    </row>
    <row r="235" spans="1:66" x14ac:dyDescent="0.2">
      <c r="A235" s="4">
        <f t="shared" si="139"/>
        <v>43695</v>
      </c>
      <c r="B235" s="1">
        <v>230</v>
      </c>
      <c r="C235" s="1">
        <v>12</v>
      </c>
      <c r="D235" s="5">
        <v>13.01</v>
      </c>
      <c r="E235" s="5">
        <v>20.29</v>
      </c>
      <c r="F235" s="5">
        <v>4.8369999999999997</v>
      </c>
      <c r="G235" s="5">
        <v>11.43</v>
      </c>
      <c r="H235" s="5">
        <v>60.81</v>
      </c>
      <c r="I235" s="5">
        <v>11.32</v>
      </c>
      <c r="J235" s="5">
        <v>11.31</v>
      </c>
      <c r="K235" s="5">
        <v>9.69</v>
      </c>
      <c r="L235" s="5">
        <v>8.8800000000000008</v>
      </c>
      <c r="M235" s="5">
        <v>8.15</v>
      </c>
      <c r="N235" s="5">
        <v>18.579999999999998</v>
      </c>
      <c r="O235" s="5">
        <v>91.5</v>
      </c>
      <c r="P235" s="5">
        <v>25.37</v>
      </c>
      <c r="Q235" s="5">
        <v>23.1</v>
      </c>
      <c r="R235" s="5">
        <v>17.25</v>
      </c>
      <c r="S235" s="5">
        <v>9.83</v>
      </c>
      <c r="T235" s="5">
        <v>8.3000000000000007</v>
      </c>
      <c r="U235" s="5">
        <v>4.8049999999999997</v>
      </c>
      <c r="V235" s="5">
        <v>30.12</v>
      </c>
      <c r="W235" s="5">
        <v>4.2190000000000003</v>
      </c>
      <c r="X235" s="5">
        <v>4.3680000000000003</v>
      </c>
      <c r="Y235" s="5">
        <v>6.59</v>
      </c>
      <c r="Z235" s="5">
        <v>8.09</v>
      </c>
      <c r="AA235" s="5">
        <v>7.9610000000000003</v>
      </c>
      <c r="AB235" s="5" t="s">
        <v>99</v>
      </c>
      <c r="AC235" s="5">
        <v>11.25</v>
      </c>
      <c r="AD235" s="5">
        <v>33.01</v>
      </c>
      <c r="AE235" s="5">
        <v>4.1349999999999998</v>
      </c>
      <c r="AF235" s="5">
        <v>18.86</v>
      </c>
      <c r="AG235" s="5">
        <v>4.5419999999999998</v>
      </c>
      <c r="AI235" s="5" t="s">
        <v>99</v>
      </c>
      <c r="AK235" s="5">
        <v>0</v>
      </c>
      <c r="AN235" s="1">
        <f t="shared" si="122"/>
        <v>91.5</v>
      </c>
      <c r="AO235" s="1">
        <f t="shared" si="123"/>
        <v>60.8</v>
      </c>
      <c r="AP235" s="1">
        <f t="shared" si="124"/>
        <v>30.1</v>
      </c>
      <c r="AQ235" s="17">
        <f t="shared" si="140"/>
        <v>0.64400000000000002</v>
      </c>
      <c r="AR235" s="22">
        <f t="shared" si="125"/>
        <v>1.496</v>
      </c>
      <c r="AT235" s="19">
        <f t="shared" si="117"/>
        <v>43695</v>
      </c>
      <c r="AU235" s="20">
        <f t="shared" si="118"/>
        <v>230</v>
      </c>
      <c r="AV235" s="1">
        <f t="shared" si="126"/>
        <v>11.4</v>
      </c>
      <c r="AW235" s="1">
        <f t="shared" si="127"/>
        <v>18.600000000000001</v>
      </c>
      <c r="AX235" s="1">
        <f t="shared" si="128"/>
        <v>4.8</v>
      </c>
      <c r="AY235" s="1">
        <f t="shared" si="115"/>
        <v>60.8</v>
      </c>
      <c r="AZ235" s="1">
        <f t="shared" si="116"/>
        <v>30.1</v>
      </c>
      <c r="BA235" s="1">
        <f t="shared" si="129"/>
        <v>0</v>
      </c>
      <c r="BB235" s="5" t="str">
        <f t="shared" si="130"/>
        <v>NAN</v>
      </c>
      <c r="BC235" s="1">
        <f t="shared" si="119"/>
        <v>11.3</v>
      </c>
      <c r="BD235" s="1">
        <f t="shared" si="120"/>
        <v>33</v>
      </c>
      <c r="BE235" s="1">
        <f t="shared" si="121"/>
        <v>4.0999999999999996</v>
      </c>
      <c r="BF235" s="5">
        <f t="shared" si="131"/>
        <v>9.6999999999999993</v>
      </c>
      <c r="BG235" s="5">
        <f t="shared" si="132"/>
        <v>8.9</v>
      </c>
      <c r="BH235" s="5">
        <f t="shared" si="133"/>
        <v>8.1999999999999993</v>
      </c>
      <c r="BI235" s="5" t="str">
        <f t="shared" si="134"/>
        <v>NAN</v>
      </c>
      <c r="BJ235" s="10">
        <f t="shared" si="135"/>
        <v>0.64400000000000002</v>
      </c>
      <c r="BK235" s="10">
        <f t="shared" si="136"/>
        <v>1.496</v>
      </c>
      <c r="BM235" s="1">
        <f t="shared" si="137"/>
        <v>14.43</v>
      </c>
      <c r="BN235" s="1">
        <f t="shared" si="138"/>
        <v>-0.66999999999999993</v>
      </c>
    </row>
    <row r="236" spans="1:66" x14ac:dyDescent="0.2">
      <c r="A236" s="4">
        <f t="shared" si="139"/>
        <v>43696</v>
      </c>
      <c r="B236" s="1">
        <v>231</v>
      </c>
      <c r="C236" s="1">
        <v>12</v>
      </c>
      <c r="D236" s="5">
        <v>13.01</v>
      </c>
      <c r="E236" s="5">
        <v>19.47</v>
      </c>
      <c r="F236" s="5">
        <v>8.23</v>
      </c>
      <c r="G236" s="5">
        <v>12.26</v>
      </c>
      <c r="H236" s="5">
        <v>44.9</v>
      </c>
      <c r="I236" s="5">
        <v>12.06</v>
      </c>
      <c r="J236" s="5">
        <v>12.08</v>
      </c>
      <c r="K236" s="5">
        <v>10.039999999999999</v>
      </c>
      <c r="L236" s="5">
        <v>9.32</v>
      </c>
      <c r="M236" s="5">
        <v>8.1199999999999992</v>
      </c>
      <c r="N236" s="5">
        <v>17.329999999999998</v>
      </c>
      <c r="O236" s="5">
        <v>65.540000000000006</v>
      </c>
      <c r="P236" s="5">
        <v>24</v>
      </c>
      <c r="Q236" s="5">
        <v>22.38</v>
      </c>
      <c r="R236" s="5">
        <v>16.579999999999998</v>
      </c>
      <c r="S236" s="5">
        <v>10.02</v>
      </c>
      <c r="T236" s="5">
        <v>8.23</v>
      </c>
      <c r="U236" s="5">
        <v>7.8719999999999999</v>
      </c>
      <c r="V236" s="5">
        <v>30.9</v>
      </c>
      <c r="W236" s="5">
        <v>7.0350000000000001</v>
      </c>
      <c r="X236" s="5">
        <v>7.1710000000000003</v>
      </c>
      <c r="Y236" s="5">
        <v>7.6680000000000001</v>
      </c>
      <c r="Z236" s="5">
        <v>8.66</v>
      </c>
      <c r="AA236" s="5">
        <v>7.9729999999999999</v>
      </c>
      <c r="AB236" s="5" t="s">
        <v>99</v>
      </c>
      <c r="AC236" s="5">
        <v>12.17</v>
      </c>
      <c r="AD236" s="5">
        <v>33.840000000000003</v>
      </c>
      <c r="AE236" s="5">
        <v>6.2830000000000004</v>
      </c>
      <c r="AF236" s="5">
        <v>17.690000000000001</v>
      </c>
      <c r="AG236" s="5">
        <v>7.649</v>
      </c>
      <c r="AI236" s="5" t="s">
        <v>99</v>
      </c>
      <c r="AK236" s="5">
        <v>0</v>
      </c>
      <c r="AN236" s="1">
        <f t="shared" si="122"/>
        <v>65.5</v>
      </c>
      <c r="AO236" s="1">
        <f t="shared" si="123"/>
        <v>44.9</v>
      </c>
      <c r="AP236" s="1">
        <f t="shared" si="124"/>
        <v>30.9</v>
      </c>
      <c r="AQ236" s="17">
        <f t="shared" si="140"/>
        <v>0.61099999999999999</v>
      </c>
      <c r="AR236" s="22">
        <f t="shared" si="125"/>
        <v>1.3660000000000001</v>
      </c>
      <c r="AT236" s="19">
        <f t="shared" si="117"/>
        <v>43696</v>
      </c>
      <c r="AU236" s="20">
        <f t="shared" si="118"/>
        <v>231</v>
      </c>
      <c r="AV236" s="1">
        <f t="shared" si="126"/>
        <v>12.3</v>
      </c>
      <c r="AW236" s="1">
        <f t="shared" si="127"/>
        <v>17.3</v>
      </c>
      <c r="AX236" s="1">
        <f t="shared" si="128"/>
        <v>7.9</v>
      </c>
      <c r="AY236" s="1">
        <f t="shared" si="115"/>
        <v>44.9</v>
      </c>
      <c r="AZ236" s="1">
        <f t="shared" si="116"/>
        <v>30.9</v>
      </c>
      <c r="BA236" s="1">
        <f t="shared" si="129"/>
        <v>0</v>
      </c>
      <c r="BB236" s="5" t="str">
        <f t="shared" si="130"/>
        <v>NAN</v>
      </c>
      <c r="BC236" s="1">
        <f t="shared" si="119"/>
        <v>12.2</v>
      </c>
      <c r="BD236" s="1">
        <f t="shared" si="120"/>
        <v>33.799999999999997</v>
      </c>
      <c r="BE236" s="1">
        <f t="shared" si="121"/>
        <v>6.3</v>
      </c>
      <c r="BF236" s="5">
        <f t="shared" si="131"/>
        <v>10</v>
      </c>
      <c r="BG236" s="5">
        <f t="shared" si="132"/>
        <v>9.3000000000000007</v>
      </c>
      <c r="BH236" s="5">
        <f t="shared" si="133"/>
        <v>8.1</v>
      </c>
      <c r="BI236" s="5" t="str">
        <f t="shared" si="134"/>
        <v>NAN</v>
      </c>
      <c r="BJ236" s="10">
        <f t="shared" si="135"/>
        <v>0.61099999999999999</v>
      </c>
      <c r="BK236" s="10">
        <f t="shared" si="136"/>
        <v>1.3660000000000001</v>
      </c>
      <c r="BM236" s="1">
        <f t="shared" si="137"/>
        <v>16.510000000000005</v>
      </c>
      <c r="BN236" s="1">
        <f t="shared" si="138"/>
        <v>-1.5889999999999995</v>
      </c>
    </row>
    <row r="237" spans="1:66" x14ac:dyDescent="0.2">
      <c r="A237" s="4">
        <f t="shared" si="139"/>
        <v>43697</v>
      </c>
      <c r="B237" s="1">
        <v>232</v>
      </c>
      <c r="C237" s="1">
        <v>12</v>
      </c>
      <c r="D237" s="5">
        <v>13.01</v>
      </c>
      <c r="E237" s="5">
        <v>23.9</v>
      </c>
      <c r="F237" s="5">
        <v>10.199999999999999</v>
      </c>
      <c r="G237" s="5">
        <v>15.78</v>
      </c>
      <c r="H237" s="5">
        <v>42.4</v>
      </c>
      <c r="I237" s="5">
        <v>15.07</v>
      </c>
      <c r="J237" s="5">
        <v>15.18</v>
      </c>
      <c r="K237" s="5">
        <v>11.31</v>
      </c>
      <c r="L237" s="5">
        <v>9.75</v>
      </c>
      <c r="M237" s="5">
        <v>8.17</v>
      </c>
      <c r="N237" s="5">
        <v>22.09</v>
      </c>
      <c r="O237" s="5">
        <v>52.63</v>
      </c>
      <c r="P237" s="5">
        <v>30.02</v>
      </c>
      <c r="Q237" s="5">
        <v>28.15</v>
      </c>
      <c r="R237" s="5">
        <v>18.36</v>
      </c>
      <c r="S237" s="5">
        <v>10.76</v>
      </c>
      <c r="T237" s="5">
        <v>8.3000000000000007</v>
      </c>
      <c r="U237" s="5">
        <v>10.4</v>
      </c>
      <c r="V237" s="5">
        <v>28.9</v>
      </c>
      <c r="W237" s="5">
        <v>8.85</v>
      </c>
      <c r="X237" s="5">
        <v>9.1</v>
      </c>
      <c r="Y237" s="5">
        <v>8.35</v>
      </c>
      <c r="Z237" s="5">
        <v>8.9600000000000009</v>
      </c>
      <c r="AA237" s="5">
        <v>7.976</v>
      </c>
      <c r="AB237" s="5" t="s">
        <v>99</v>
      </c>
      <c r="AC237" s="5">
        <v>14.96</v>
      </c>
      <c r="AD237" s="5">
        <v>38.82</v>
      </c>
      <c r="AE237" s="5">
        <v>8.07</v>
      </c>
      <c r="AF237" s="5">
        <v>24.47</v>
      </c>
      <c r="AG237" s="5">
        <v>10.14</v>
      </c>
      <c r="AI237" s="5" t="s">
        <v>99</v>
      </c>
      <c r="AK237" s="5">
        <v>0</v>
      </c>
      <c r="AN237" s="1">
        <f t="shared" si="122"/>
        <v>52.6</v>
      </c>
      <c r="AO237" s="1">
        <f t="shared" si="123"/>
        <v>42.4</v>
      </c>
      <c r="AP237" s="1">
        <f t="shared" si="124"/>
        <v>28.9</v>
      </c>
      <c r="AQ237" s="17">
        <f t="shared" si="140"/>
        <v>0.76800000000000002</v>
      </c>
      <c r="AR237" s="22">
        <f t="shared" si="125"/>
        <v>1.889</v>
      </c>
      <c r="AT237" s="19">
        <f t="shared" si="117"/>
        <v>43697</v>
      </c>
      <c r="AU237" s="20">
        <f t="shared" si="118"/>
        <v>232</v>
      </c>
      <c r="AV237" s="1">
        <f t="shared" si="126"/>
        <v>15.8</v>
      </c>
      <c r="AW237" s="1">
        <f t="shared" si="127"/>
        <v>22.1</v>
      </c>
      <c r="AX237" s="1">
        <f t="shared" si="128"/>
        <v>10.4</v>
      </c>
      <c r="AY237" s="1">
        <f t="shared" si="115"/>
        <v>42.4</v>
      </c>
      <c r="AZ237" s="1">
        <f t="shared" si="116"/>
        <v>28.9</v>
      </c>
      <c r="BA237" s="1">
        <f t="shared" si="129"/>
        <v>0</v>
      </c>
      <c r="BB237" s="5" t="str">
        <f t="shared" si="130"/>
        <v>NAN</v>
      </c>
      <c r="BC237" s="1">
        <f t="shared" si="119"/>
        <v>15</v>
      </c>
      <c r="BD237" s="1">
        <f t="shared" si="120"/>
        <v>38.799999999999997</v>
      </c>
      <c r="BE237" s="1">
        <f t="shared" si="121"/>
        <v>8.1</v>
      </c>
      <c r="BF237" s="5">
        <f t="shared" si="131"/>
        <v>11.3</v>
      </c>
      <c r="BG237" s="5">
        <f t="shared" si="132"/>
        <v>9.8000000000000007</v>
      </c>
      <c r="BH237" s="5">
        <f t="shared" si="133"/>
        <v>8.1999999999999993</v>
      </c>
      <c r="BI237" s="5" t="str">
        <f t="shared" si="134"/>
        <v>NAN</v>
      </c>
      <c r="BJ237" s="10">
        <f t="shared" si="135"/>
        <v>0.76800000000000002</v>
      </c>
      <c r="BK237" s="10">
        <f t="shared" si="136"/>
        <v>1.889</v>
      </c>
      <c r="BM237" s="1">
        <f t="shared" si="137"/>
        <v>16.73</v>
      </c>
      <c r="BN237" s="1">
        <f t="shared" si="138"/>
        <v>-2.33</v>
      </c>
    </row>
    <row r="238" spans="1:66" x14ac:dyDescent="0.2">
      <c r="A238" s="4">
        <f t="shared" si="139"/>
        <v>43698</v>
      </c>
      <c r="B238" s="1">
        <v>233</v>
      </c>
      <c r="C238" s="1">
        <v>12</v>
      </c>
      <c r="D238" s="5">
        <v>12.87</v>
      </c>
      <c r="E238" s="5">
        <v>17.059999999999999</v>
      </c>
      <c r="F238" s="5">
        <v>8.52</v>
      </c>
      <c r="G238" s="5">
        <v>12.37</v>
      </c>
      <c r="H238" s="5">
        <v>66.83</v>
      </c>
      <c r="I238" s="5">
        <v>11.65</v>
      </c>
      <c r="J238" s="5">
        <v>11.82</v>
      </c>
      <c r="K238" s="5">
        <v>10.85</v>
      </c>
      <c r="L238" s="5">
        <v>10.220000000000001</v>
      </c>
      <c r="M238" s="5">
        <v>8.31</v>
      </c>
      <c r="N238" s="5">
        <v>16.73</v>
      </c>
      <c r="O238" s="5">
        <v>93.4</v>
      </c>
      <c r="P238" s="5">
        <v>17.8</v>
      </c>
      <c r="Q238" s="5">
        <v>17.72</v>
      </c>
      <c r="R238" s="5">
        <v>12.49</v>
      </c>
      <c r="S238" s="5">
        <v>10.6</v>
      </c>
      <c r="T238" s="5">
        <v>8.4600000000000009</v>
      </c>
      <c r="U238" s="5">
        <v>7.7030000000000003</v>
      </c>
      <c r="V238" s="5">
        <v>36</v>
      </c>
      <c r="W238" s="5">
        <v>7.149</v>
      </c>
      <c r="X238" s="5">
        <v>7.149</v>
      </c>
      <c r="Y238" s="5">
        <v>9.15</v>
      </c>
      <c r="Z238" s="5">
        <v>9.8699999999999992</v>
      </c>
      <c r="AA238" s="5">
        <v>8.15</v>
      </c>
      <c r="AB238" s="5" t="s">
        <v>99</v>
      </c>
      <c r="AC238" s="5">
        <v>11.53</v>
      </c>
      <c r="AD238" s="5">
        <v>19.670000000000002</v>
      </c>
      <c r="AE238" s="5">
        <v>6.4180000000000001</v>
      </c>
      <c r="AF238" s="5">
        <v>16.98</v>
      </c>
      <c r="AG238" s="5">
        <v>7.6269999999999998</v>
      </c>
      <c r="AI238" s="5" t="s">
        <v>99</v>
      </c>
      <c r="AK238" s="5">
        <v>0</v>
      </c>
      <c r="AN238" s="1">
        <f t="shared" si="122"/>
        <v>93.4</v>
      </c>
      <c r="AO238" s="1">
        <f t="shared" si="123"/>
        <v>66.8</v>
      </c>
      <c r="AP238" s="1">
        <f t="shared" si="124"/>
        <v>36</v>
      </c>
      <c r="AQ238" s="17">
        <f t="shared" si="140"/>
        <v>0.68600000000000005</v>
      </c>
      <c r="AR238" s="22">
        <f t="shared" si="125"/>
        <v>1.22</v>
      </c>
      <c r="AT238" s="19">
        <f t="shared" si="117"/>
        <v>43698</v>
      </c>
      <c r="AU238" s="20">
        <f t="shared" si="118"/>
        <v>233</v>
      </c>
      <c r="AV238" s="1">
        <f t="shared" si="126"/>
        <v>12.4</v>
      </c>
      <c r="AW238" s="1">
        <f t="shared" si="127"/>
        <v>16.7</v>
      </c>
      <c r="AX238" s="1">
        <f t="shared" si="128"/>
        <v>7.7</v>
      </c>
      <c r="AY238" s="1">
        <f t="shared" si="115"/>
        <v>66.8</v>
      </c>
      <c r="AZ238" s="1">
        <f t="shared" si="116"/>
        <v>36</v>
      </c>
      <c r="BA238" s="1">
        <f t="shared" si="129"/>
        <v>0</v>
      </c>
      <c r="BB238" s="5" t="str">
        <f t="shared" si="130"/>
        <v>NAN</v>
      </c>
      <c r="BC238" s="1">
        <f t="shared" si="119"/>
        <v>11.5</v>
      </c>
      <c r="BD238" s="1">
        <f t="shared" si="120"/>
        <v>19.7</v>
      </c>
      <c r="BE238" s="1">
        <f t="shared" si="121"/>
        <v>6.4</v>
      </c>
      <c r="BF238" s="5">
        <f t="shared" si="131"/>
        <v>10.9</v>
      </c>
      <c r="BG238" s="5">
        <f t="shared" si="132"/>
        <v>10.199999999999999</v>
      </c>
      <c r="BH238" s="5">
        <f t="shared" si="133"/>
        <v>8.3000000000000007</v>
      </c>
      <c r="BI238" s="5" t="str">
        <f t="shared" si="134"/>
        <v>NAN</v>
      </c>
      <c r="BJ238" s="10">
        <f t="shared" si="135"/>
        <v>0.68600000000000005</v>
      </c>
      <c r="BK238" s="10">
        <f t="shared" si="136"/>
        <v>1.22</v>
      </c>
      <c r="BM238" s="1">
        <f t="shared" si="137"/>
        <v>2.9400000000000013</v>
      </c>
      <c r="BN238" s="1">
        <f t="shared" si="138"/>
        <v>-1.2850000000000001</v>
      </c>
    </row>
    <row r="239" spans="1:66" x14ac:dyDescent="0.2">
      <c r="A239" s="4">
        <f t="shared" si="139"/>
        <v>43699</v>
      </c>
      <c r="B239" s="1">
        <v>234</v>
      </c>
      <c r="C239" s="1">
        <v>12</v>
      </c>
      <c r="D239" s="5">
        <v>13.02</v>
      </c>
      <c r="E239" s="5">
        <v>16.09</v>
      </c>
      <c r="F239" s="5">
        <v>5.4630000000000001</v>
      </c>
      <c r="G239" s="5">
        <v>9.02</v>
      </c>
      <c r="H239" s="5">
        <v>64.86</v>
      </c>
      <c r="I239" s="5">
        <v>9.2100000000000009</v>
      </c>
      <c r="J239" s="5">
        <v>9.1300000000000008</v>
      </c>
      <c r="K239" s="5">
        <v>9.67</v>
      </c>
      <c r="L239" s="5">
        <v>9.57</v>
      </c>
      <c r="M239" s="5">
        <v>8.36</v>
      </c>
      <c r="N239" s="5">
        <v>13.83</v>
      </c>
      <c r="O239" s="5">
        <v>87.5</v>
      </c>
      <c r="P239" s="5">
        <v>24.03</v>
      </c>
      <c r="Q239" s="5">
        <v>19.82</v>
      </c>
      <c r="R239" s="5">
        <v>17.25</v>
      </c>
      <c r="S239" s="5">
        <v>10.130000000000001</v>
      </c>
      <c r="T239" s="5">
        <v>8.4499999999999993</v>
      </c>
      <c r="U239" s="5">
        <v>5.4119999999999999</v>
      </c>
      <c r="V239" s="5">
        <v>40.53</v>
      </c>
      <c r="W239" s="5">
        <v>4.7889999999999997</v>
      </c>
      <c r="X239" s="5">
        <v>4.8570000000000002</v>
      </c>
      <c r="Y239" s="5">
        <v>7.4870000000000001</v>
      </c>
      <c r="Z239" s="5">
        <v>8.8699999999999992</v>
      </c>
      <c r="AA239" s="5">
        <v>8.17</v>
      </c>
      <c r="AB239" s="5" t="s">
        <v>99</v>
      </c>
      <c r="AC239" s="5">
        <v>9.9700000000000006</v>
      </c>
      <c r="AD239" s="5">
        <v>32.200000000000003</v>
      </c>
      <c r="AE239" s="5">
        <v>4.3150000000000004</v>
      </c>
      <c r="AF239" s="5">
        <v>15.14</v>
      </c>
      <c r="AG239" s="5">
        <v>5.1970000000000001</v>
      </c>
      <c r="AI239" s="5" t="s">
        <v>99</v>
      </c>
      <c r="AK239" s="5">
        <v>0</v>
      </c>
      <c r="AN239" s="1">
        <f t="shared" si="122"/>
        <v>87.5</v>
      </c>
      <c r="AO239" s="1">
        <f t="shared" si="123"/>
        <v>64.900000000000006</v>
      </c>
      <c r="AP239" s="1">
        <f t="shared" si="124"/>
        <v>40.5</v>
      </c>
      <c r="AQ239" s="17">
        <f t="shared" si="140"/>
        <v>0.64</v>
      </c>
      <c r="AR239" s="22">
        <f t="shared" si="125"/>
        <v>0.94</v>
      </c>
      <c r="AT239" s="19">
        <f t="shared" si="117"/>
        <v>43699</v>
      </c>
      <c r="AU239" s="20">
        <f t="shared" si="118"/>
        <v>234</v>
      </c>
      <c r="AV239" s="1">
        <f t="shared" si="126"/>
        <v>9</v>
      </c>
      <c r="AW239" s="1">
        <f t="shared" si="127"/>
        <v>13.8</v>
      </c>
      <c r="AX239" s="1">
        <f t="shared" si="128"/>
        <v>5.4</v>
      </c>
      <c r="AY239" s="1">
        <f t="shared" si="115"/>
        <v>64.900000000000006</v>
      </c>
      <c r="AZ239" s="1">
        <f t="shared" si="116"/>
        <v>40.5</v>
      </c>
      <c r="BA239" s="1">
        <f t="shared" si="129"/>
        <v>0</v>
      </c>
      <c r="BB239" s="5" t="str">
        <f t="shared" si="130"/>
        <v>NAN</v>
      </c>
      <c r="BC239" s="1">
        <f t="shared" si="119"/>
        <v>10</v>
      </c>
      <c r="BD239" s="1">
        <f t="shared" si="120"/>
        <v>32.200000000000003</v>
      </c>
      <c r="BE239" s="1">
        <f t="shared" si="121"/>
        <v>4.3</v>
      </c>
      <c r="BF239" s="5">
        <f t="shared" si="131"/>
        <v>9.6999999999999993</v>
      </c>
      <c r="BG239" s="5">
        <f t="shared" si="132"/>
        <v>9.6</v>
      </c>
      <c r="BH239" s="5">
        <f t="shared" si="133"/>
        <v>8.4</v>
      </c>
      <c r="BI239" s="5" t="str">
        <f t="shared" si="134"/>
        <v>NAN</v>
      </c>
      <c r="BJ239" s="10">
        <f t="shared" si="135"/>
        <v>0.64</v>
      </c>
      <c r="BK239" s="10">
        <f t="shared" si="136"/>
        <v>0.94</v>
      </c>
      <c r="BM239" s="1">
        <f t="shared" si="137"/>
        <v>18.370000000000005</v>
      </c>
      <c r="BN239" s="1">
        <f t="shared" si="138"/>
        <v>-1.0969999999999995</v>
      </c>
    </row>
    <row r="240" spans="1:66" x14ac:dyDescent="0.2">
      <c r="A240" s="4">
        <f t="shared" si="139"/>
        <v>43700</v>
      </c>
      <c r="B240" s="1">
        <v>235</v>
      </c>
      <c r="C240" s="1">
        <v>12</v>
      </c>
      <c r="D240" s="5">
        <v>12.86</v>
      </c>
      <c r="E240" s="5">
        <v>11.13</v>
      </c>
      <c r="F240" s="5">
        <v>7.2679999999999998</v>
      </c>
      <c r="G240" s="5">
        <v>9.1</v>
      </c>
      <c r="H240" s="5">
        <v>74.66</v>
      </c>
      <c r="I240" s="5">
        <v>8.5299999999999994</v>
      </c>
      <c r="J240" s="5">
        <v>8.59</v>
      </c>
      <c r="K240" s="5">
        <v>9.02</v>
      </c>
      <c r="L240" s="5">
        <v>9.19</v>
      </c>
      <c r="M240" s="5">
        <v>8.31</v>
      </c>
      <c r="N240" s="5">
        <v>11.72</v>
      </c>
      <c r="O240" s="5">
        <v>95.5</v>
      </c>
      <c r="P240" s="5">
        <v>12.25</v>
      </c>
      <c r="Q240" s="5">
        <v>12.15</v>
      </c>
      <c r="R240" s="5">
        <v>10.55</v>
      </c>
      <c r="S240" s="5">
        <v>9.69</v>
      </c>
      <c r="T240" s="5">
        <v>8.44</v>
      </c>
      <c r="U240" s="5">
        <v>6.8920000000000003</v>
      </c>
      <c r="V240" s="5">
        <v>46.42</v>
      </c>
      <c r="W240" s="5">
        <v>6.0380000000000003</v>
      </c>
      <c r="X240" s="5">
        <v>6.0860000000000003</v>
      </c>
      <c r="Y240" s="5">
        <v>7.7050000000000001</v>
      </c>
      <c r="Z240" s="5">
        <v>8.92</v>
      </c>
      <c r="AA240" s="5">
        <v>8.16</v>
      </c>
      <c r="AB240" s="5" t="s">
        <v>99</v>
      </c>
      <c r="AC240" s="5">
        <v>8.61</v>
      </c>
      <c r="AD240" s="5">
        <v>14.66</v>
      </c>
      <c r="AE240" s="5">
        <v>5.1970000000000001</v>
      </c>
      <c r="AF240" s="5">
        <v>11.55</v>
      </c>
      <c r="AG240" s="5">
        <v>6.6070000000000002</v>
      </c>
      <c r="AI240" s="5" t="s">
        <v>99</v>
      </c>
      <c r="AK240" s="5">
        <v>0</v>
      </c>
      <c r="AN240" s="1">
        <f t="shared" si="122"/>
        <v>95.5</v>
      </c>
      <c r="AO240" s="1">
        <f t="shared" si="123"/>
        <v>74.7</v>
      </c>
      <c r="AP240" s="1">
        <f t="shared" si="124"/>
        <v>46.4</v>
      </c>
      <c r="AQ240" s="17">
        <f t="shared" si="140"/>
        <v>0.63900000000000001</v>
      </c>
      <c r="AR240" s="22">
        <f t="shared" si="125"/>
        <v>0.73799999999999999</v>
      </c>
      <c r="AT240" s="19">
        <f t="shared" si="117"/>
        <v>43700</v>
      </c>
      <c r="AU240" s="20">
        <f t="shared" si="118"/>
        <v>235</v>
      </c>
      <c r="AV240" s="1">
        <f t="shared" si="126"/>
        <v>9.1</v>
      </c>
      <c r="AW240" s="1">
        <f t="shared" si="127"/>
        <v>11.7</v>
      </c>
      <c r="AX240" s="1">
        <f t="shared" si="128"/>
        <v>6.9</v>
      </c>
      <c r="AY240" s="1">
        <f t="shared" si="115"/>
        <v>74.7</v>
      </c>
      <c r="AZ240" s="1">
        <f t="shared" si="116"/>
        <v>46.4</v>
      </c>
      <c r="BA240" s="1">
        <f t="shared" si="129"/>
        <v>0</v>
      </c>
      <c r="BB240" s="5" t="str">
        <f t="shared" si="130"/>
        <v>NAN</v>
      </c>
      <c r="BC240" s="1">
        <f t="shared" si="119"/>
        <v>8.6</v>
      </c>
      <c r="BD240" s="1">
        <f t="shared" si="120"/>
        <v>14.7</v>
      </c>
      <c r="BE240" s="1">
        <f t="shared" si="121"/>
        <v>5.2</v>
      </c>
      <c r="BF240" s="5">
        <f t="shared" si="131"/>
        <v>9</v>
      </c>
      <c r="BG240" s="5">
        <f t="shared" si="132"/>
        <v>9.1999999999999993</v>
      </c>
      <c r="BH240" s="5">
        <f t="shared" si="133"/>
        <v>8.3000000000000007</v>
      </c>
      <c r="BI240" s="5" t="str">
        <f t="shared" si="134"/>
        <v>NAN</v>
      </c>
      <c r="BJ240" s="10">
        <f t="shared" si="135"/>
        <v>0.63900000000000001</v>
      </c>
      <c r="BK240" s="10">
        <f t="shared" si="136"/>
        <v>0.73799999999999999</v>
      </c>
      <c r="BM240" s="1">
        <f t="shared" si="137"/>
        <v>2.9399999999999995</v>
      </c>
      <c r="BN240" s="1">
        <f t="shared" si="138"/>
        <v>-1.6950000000000003</v>
      </c>
    </row>
    <row r="241" spans="1:66" x14ac:dyDescent="0.2">
      <c r="A241" s="4">
        <f t="shared" si="139"/>
        <v>43701</v>
      </c>
      <c r="B241" s="1">
        <v>236</v>
      </c>
      <c r="C241" s="1">
        <v>12</v>
      </c>
      <c r="D241" s="5">
        <v>13.03</v>
      </c>
      <c r="E241" s="5">
        <v>13.61</v>
      </c>
      <c r="F241" s="5">
        <v>5.117</v>
      </c>
      <c r="G241" s="5">
        <v>8.19</v>
      </c>
      <c r="H241" s="5">
        <v>60.03</v>
      </c>
      <c r="I241" s="5">
        <v>8.15</v>
      </c>
      <c r="J241" s="5">
        <v>8.1199999999999992</v>
      </c>
      <c r="K241" s="5">
        <v>8.23</v>
      </c>
      <c r="L241" s="5">
        <v>8.61</v>
      </c>
      <c r="M241" s="5">
        <v>8.19</v>
      </c>
      <c r="N241" s="5">
        <v>13.33</v>
      </c>
      <c r="O241" s="5">
        <v>85.4</v>
      </c>
      <c r="P241" s="5">
        <v>18.88</v>
      </c>
      <c r="Q241" s="5">
        <v>17.66</v>
      </c>
      <c r="R241" s="5">
        <v>13.36</v>
      </c>
      <c r="S241" s="5">
        <v>9.11</v>
      </c>
      <c r="T241" s="5">
        <v>8.32</v>
      </c>
      <c r="U241" s="5">
        <v>4.3650000000000002</v>
      </c>
      <c r="V241" s="5">
        <v>37.299999999999997</v>
      </c>
      <c r="W241" s="5">
        <v>3.7829999999999999</v>
      </c>
      <c r="X241" s="5">
        <v>3.851</v>
      </c>
      <c r="Y241" s="5">
        <v>6.4329999999999998</v>
      </c>
      <c r="Z241" s="5">
        <v>8.06</v>
      </c>
      <c r="AA241" s="5">
        <v>8.0399999999999991</v>
      </c>
      <c r="AB241" s="5" t="s">
        <v>99</v>
      </c>
      <c r="AC241" s="5">
        <v>8.15</v>
      </c>
      <c r="AD241" s="5">
        <v>28.38</v>
      </c>
      <c r="AE241" s="5">
        <v>3.6269999999999998</v>
      </c>
      <c r="AF241" s="5">
        <v>14</v>
      </c>
      <c r="AG241" s="5">
        <v>4.2469999999999999</v>
      </c>
      <c r="AI241" s="5" t="s">
        <v>99</v>
      </c>
      <c r="AK241" s="5">
        <v>0</v>
      </c>
      <c r="AN241" s="1">
        <f t="shared" si="122"/>
        <v>85.4</v>
      </c>
      <c r="AO241" s="1">
        <f t="shared" si="123"/>
        <v>60</v>
      </c>
      <c r="AP241" s="1">
        <f t="shared" si="124"/>
        <v>37.299999999999997</v>
      </c>
      <c r="AQ241" s="17">
        <f t="shared" si="140"/>
        <v>0.57099999999999995</v>
      </c>
      <c r="AR241" s="22">
        <f t="shared" si="125"/>
        <v>0.96</v>
      </c>
      <c r="AT241" s="19">
        <f t="shared" si="117"/>
        <v>43701</v>
      </c>
      <c r="AU241" s="20">
        <f t="shared" si="118"/>
        <v>236</v>
      </c>
      <c r="AV241" s="1">
        <f t="shared" si="126"/>
        <v>8.1999999999999993</v>
      </c>
      <c r="AW241" s="1">
        <f t="shared" si="127"/>
        <v>13.3</v>
      </c>
      <c r="AX241" s="1">
        <f t="shared" si="128"/>
        <v>4.4000000000000004</v>
      </c>
      <c r="AY241" s="1">
        <f t="shared" si="115"/>
        <v>60</v>
      </c>
      <c r="AZ241" s="1">
        <f t="shared" si="116"/>
        <v>37.299999999999997</v>
      </c>
      <c r="BA241" s="1">
        <f t="shared" si="129"/>
        <v>0</v>
      </c>
      <c r="BB241" s="5" t="str">
        <f t="shared" si="130"/>
        <v>NAN</v>
      </c>
      <c r="BC241" s="1">
        <f t="shared" si="119"/>
        <v>8.1999999999999993</v>
      </c>
      <c r="BD241" s="1">
        <f t="shared" si="120"/>
        <v>28.4</v>
      </c>
      <c r="BE241" s="1">
        <f t="shared" si="121"/>
        <v>3.6</v>
      </c>
      <c r="BF241" s="5">
        <f t="shared" si="131"/>
        <v>8.1999999999999993</v>
      </c>
      <c r="BG241" s="5">
        <f t="shared" si="132"/>
        <v>8.6</v>
      </c>
      <c r="BH241" s="5">
        <f t="shared" si="133"/>
        <v>8.1999999999999993</v>
      </c>
      <c r="BI241" s="5" t="str">
        <f t="shared" si="134"/>
        <v>NAN</v>
      </c>
      <c r="BJ241" s="10">
        <f t="shared" si="135"/>
        <v>0.57099999999999995</v>
      </c>
      <c r="BK241" s="10">
        <f t="shared" si="136"/>
        <v>0.96</v>
      </c>
      <c r="BM241" s="1">
        <f t="shared" si="137"/>
        <v>15.049999999999999</v>
      </c>
      <c r="BN241" s="1">
        <f t="shared" si="138"/>
        <v>-0.73800000000000043</v>
      </c>
    </row>
    <row r="242" spans="1:66" x14ac:dyDescent="0.2">
      <c r="A242" s="4">
        <f t="shared" si="139"/>
        <v>43702</v>
      </c>
      <c r="B242" s="1">
        <v>237</v>
      </c>
      <c r="C242" s="1">
        <v>12</v>
      </c>
      <c r="D242" s="5">
        <v>13.06</v>
      </c>
      <c r="E242" s="5">
        <v>10.27</v>
      </c>
      <c r="F242" s="5">
        <v>4.4509999999999996</v>
      </c>
      <c r="G242" s="5">
        <v>5.9649999999999999</v>
      </c>
      <c r="H242" s="5">
        <v>87.7</v>
      </c>
      <c r="I242" s="5">
        <v>5.9770000000000003</v>
      </c>
      <c r="J242" s="5">
        <v>5.875</v>
      </c>
      <c r="K242" s="5">
        <v>7.7</v>
      </c>
      <c r="L242" s="5">
        <v>8.19</v>
      </c>
      <c r="M242" s="5">
        <v>8.0299999999999994</v>
      </c>
      <c r="N242" s="5">
        <v>10.06</v>
      </c>
      <c r="O242" s="5">
        <v>97.4</v>
      </c>
      <c r="P242" s="5">
        <v>13</v>
      </c>
      <c r="Q242" s="5">
        <v>12.2</v>
      </c>
      <c r="R242" s="5">
        <v>10.77</v>
      </c>
      <c r="S242" s="5">
        <v>8.66</v>
      </c>
      <c r="T242" s="5">
        <v>8.17</v>
      </c>
      <c r="U242" s="5">
        <v>4.1630000000000003</v>
      </c>
      <c r="V242" s="5">
        <v>61.62</v>
      </c>
      <c r="W242" s="5">
        <v>3.6760000000000002</v>
      </c>
      <c r="X242" s="5">
        <v>3.6989999999999998</v>
      </c>
      <c r="Y242" s="5">
        <v>6.3280000000000003</v>
      </c>
      <c r="Z242" s="5">
        <v>7.81</v>
      </c>
      <c r="AA242" s="5">
        <v>7.9009999999999998</v>
      </c>
      <c r="AB242" s="5" t="s">
        <v>99</v>
      </c>
      <c r="AC242" s="5">
        <v>6.6539999999999999</v>
      </c>
      <c r="AD242" s="5">
        <v>18.91</v>
      </c>
      <c r="AE242" s="5">
        <v>3.556</v>
      </c>
      <c r="AF242" s="5">
        <v>9.69</v>
      </c>
      <c r="AG242" s="5">
        <v>3.9319999999999999</v>
      </c>
      <c r="AI242" s="5" t="s">
        <v>99</v>
      </c>
      <c r="AK242" s="5">
        <v>0</v>
      </c>
      <c r="AN242" s="1">
        <f t="shared" si="122"/>
        <v>97.4</v>
      </c>
      <c r="AO242" s="1">
        <f t="shared" si="123"/>
        <v>87.7</v>
      </c>
      <c r="AP242" s="1">
        <f t="shared" si="124"/>
        <v>61.6</v>
      </c>
      <c r="AQ242" s="17">
        <f t="shared" si="140"/>
        <v>0.75900000000000001</v>
      </c>
      <c r="AR242" s="22">
        <f t="shared" si="125"/>
        <v>0.47299999999999998</v>
      </c>
      <c r="AT242" s="19">
        <f t="shared" si="117"/>
        <v>43702</v>
      </c>
      <c r="AU242" s="20">
        <f t="shared" si="118"/>
        <v>237</v>
      </c>
      <c r="AV242" s="1">
        <f t="shared" si="126"/>
        <v>6</v>
      </c>
      <c r="AW242" s="1">
        <f t="shared" si="127"/>
        <v>10.1</v>
      </c>
      <c r="AX242" s="1">
        <f t="shared" si="128"/>
        <v>4.2</v>
      </c>
      <c r="AY242" s="1">
        <f t="shared" si="115"/>
        <v>87.7</v>
      </c>
      <c r="AZ242" s="1">
        <f t="shared" si="116"/>
        <v>61.6</v>
      </c>
      <c r="BA242" s="1">
        <f t="shared" si="129"/>
        <v>0</v>
      </c>
      <c r="BB242" s="5" t="str">
        <f t="shared" si="130"/>
        <v>NAN</v>
      </c>
      <c r="BC242" s="1">
        <f t="shared" si="119"/>
        <v>6.7</v>
      </c>
      <c r="BD242" s="1">
        <f t="shared" si="120"/>
        <v>18.899999999999999</v>
      </c>
      <c r="BE242" s="1">
        <f t="shared" si="121"/>
        <v>3.6</v>
      </c>
      <c r="BF242" s="5">
        <f t="shared" si="131"/>
        <v>7.7</v>
      </c>
      <c r="BG242" s="5">
        <f t="shared" si="132"/>
        <v>8.1999999999999993</v>
      </c>
      <c r="BH242" s="5">
        <f t="shared" si="133"/>
        <v>8</v>
      </c>
      <c r="BI242" s="5" t="str">
        <f t="shared" si="134"/>
        <v>NAN</v>
      </c>
      <c r="BJ242" s="10">
        <f t="shared" si="135"/>
        <v>0.75900000000000001</v>
      </c>
      <c r="BK242" s="10">
        <f t="shared" si="136"/>
        <v>0.47299999999999998</v>
      </c>
      <c r="BM242" s="1">
        <f t="shared" si="137"/>
        <v>8.85</v>
      </c>
      <c r="BN242" s="1">
        <f t="shared" si="138"/>
        <v>-0.60700000000000021</v>
      </c>
    </row>
    <row r="243" spans="1:66" x14ac:dyDescent="0.2">
      <c r="A243" s="4">
        <f t="shared" si="139"/>
        <v>43703</v>
      </c>
      <c r="B243" s="1">
        <v>238</v>
      </c>
      <c r="C243" s="1">
        <v>12</v>
      </c>
      <c r="D243" s="5">
        <v>13.05</v>
      </c>
      <c r="E243" s="5">
        <v>13.73</v>
      </c>
      <c r="F243" s="5">
        <v>3.5489999999999999</v>
      </c>
      <c r="G243" s="5">
        <v>7.5609999999999999</v>
      </c>
      <c r="H243" s="5">
        <v>73.319999999999993</v>
      </c>
      <c r="I243" s="5">
        <v>7.2510000000000003</v>
      </c>
      <c r="J243" s="5">
        <v>7.2169999999999996</v>
      </c>
      <c r="K243" s="5">
        <v>8.02</v>
      </c>
      <c r="L243" s="5">
        <v>7.9790000000000001</v>
      </c>
      <c r="M243" s="5">
        <v>7.867</v>
      </c>
      <c r="N243" s="5">
        <v>12.01</v>
      </c>
      <c r="O243" s="5">
        <v>96.6</v>
      </c>
      <c r="P243" s="5">
        <v>18.68</v>
      </c>
      <c r="Q243" s="5">
        <v>16.670000000000002</v>
      </c>
      <c r="R243" s="5">
        <v>14.68</v>
      </c>
      <c r="S243" s="5">
        <v>8.6999999999999993</v>
      </c>
      <c r="T243" s="5">
        <v>8.01</v>
      </c>
      <c r="U243" s="5">
        <v>3.286</v>
      </c>
      <c r="V243" s="5">
        <v>49.78</v>
      </c>
      <c r="W243" s="5">
        <v>2.8319999999999999</v>
      </c>
      <c r="X243" s="5">
        <v>2.8889999999999998</v>
      </c>
      <c r="Y243" s="5">
        <v>5.5650000000000004</v>
      </c>
      <c r="Z243" s="5">
        <v>7.38</v>
      </c>
      <c r="AA243" s="5">
        <v>7.6840000000000002</v>
      </c>
      <c r="AB243" s="5" t="s">
        <v>99</v>
      </c>
      <c r="AC243" s="5">
        <v>7.47</v>
      </c>
      <c r="AD243" s="5">
        <v>22.98</v>
      </c>
      <c r="AE243" s="5">
        <v>2.899</v>
      </c>
      <c r="AF243" s="5">
        <v>13.09</v>
      </c>
      <c r="AG243" s="5">
        <v>3.0659999999999998</v>
      </c>
      <c r="AI243" s="5" t="s">
        <v>99</v>
      </c>
      <c r="AK243" s="5">
        <v>0</v>
      </c>
      <c r="AN243" s="1">
        <f t="shared" si="122"/>
        <v>96.6</v>
      </c>
      <c r="AO243" s="1">
        <f t="shared" si="123"/>
        <v>73.3</v>
      </c>
      <c r="AP243" s="1">
        <f t="shared" si="124"/>
        <v>49.8</v>
      </c>
      <c r="AQ243" s="17">
        <f t="shared" si="140"/>
        <v>0.69899999999999995</v>
      </c>
      <c r="AR243" s="22">
        <f t="shared" si="125"/>
        <v>0.70499999999999996</v>
      </c>
      <c r="AT243" s="19">
        <f t="shared" si="117"/>
        <v>43703</v>
      </c>
      <c r="AU243" s="20">
        <f t="shared" si="118"/>
        <v>238</v>
      </c>
      <c r="AV243" s="1">
        <f t="shared" si="126"/>
        <v>7.6</v>
      </c>
      <c r="AW243" s="1">
        <f t="shared" si="127"/>
        <v>12</v>
      </c>
      <c r="AX243" s="1">
        <f t="shared" si="128"/>
        <v>3.3</v>
      </c>
      <c r="AY243" s="1">
        <f t="shared" si="115"/>
        <v>73.3</v>
      </c>
      <c r="AZ243" s="1">
        <f t="shared" si="116"/>
        <v>49.8</v>
      </c>
      <c r="BA243" s="1">
        <f t="shared" si="129"/>
        <v>0</v>
      </c>
      <c r="BB243" s="5" t="str">
        <f t="shared" si="130"/>
        <v>NAN</v>
      </c>
      <c r="BC243" s="1">
        <f t="shared" si="119"/>
        <v>7.5</v>
      </c>
      <c r="BD243" s="1">
        <f t="shared" si="120"/>
        <v>23</v>
      </c>
      <c r="BE243" s="1">
        <f t="shared" si="121"/>
        <v>2.9</v>
      </c>
      <c r="BF243" s="5">
        <f t="shared" si="131"/>
        <v>8</v>
      </c>
      <c r="BG243" s="5">
        <f t="shared" si="132"/>
        <v>8</v>
      </c>
      <c r="BH243" s="5">
        <f t="shared" si="133"/>
        <v>7.9</v>
      </c>
      <c r="BI243" s="5" t="str">
        <f t="shared" si="134"/>
        <v>NAN</v>
      </c>
      <c r="BJ243" s="10">
        <f t="shared" si="135"/>
        <v>0.69899999999999995</v>
      </c>
      <c r="BK243" s="10">
        <f t="shared" si="136"/>
        <v>0.70499999999999996</v>
      </c>
      <c r="BM243" s="1">
        <f t="shared" si="137"/>
        <v>10.97</v>
      </c>
      <c r="BN243" s="1">
        <f t="shared" si="138"/>
        <v>-0.38700000000000001</v>
      </c>
    </row>
    <row r="244" spans="1:66" x14ac:dyDescent="0.2">
      <c r="A244" s="4">
        <f t="shared" si="139"/>
        <v>43704</v>
      </c>
      <c r="B244" s="1">
        <v>239</v>
      </c>
      <c r="C244" s="1">
        <v>12</v>
      </c>
      <c r="D244" s="5">
        <v>13.01</v>
      </c>
      <c r="E244" s="5">
        <v>22.03</v>
      </c>
      <c r="F244" s="5">
        <v>5.8959999999999999</v>
      </c>
      <c r="G244" s="5">
        <v>13.03</v>
      </c>
      <c r="H244" s="5">
        <v>52.61</v>
      </c>
      <c r="I244" s="5">
        <v>12.44</v>
      </c>
      <c r="J244" s="5">
        <v>12.49</v>
      </c>
      <c r="K244" s="5">
        <v>9.9</v>
      </c>
      <c r="L244" s="5">
        <v>8.5299999999999994</v>
      </c>
      <c r="M244" s="5">
        <v>7.7729999999999997</v>
      </c>
      <c r="N244" s="5">
        <v>19.79</v>
      </c>
      <c r="O244" s="5">
        <v>73.930000000000007</v>
      </c>
      <c r="P244" s="5">
        <v>27.04</v>
      </c>
      <c r="Q244" s="5">
        <v>25.34</v>
      </c>
      <c r="R244" s="5">
        <v>19.21</v>
      </c>
      <c r="S244" s="5">
        <v>9.75</v>
      </c>
      <c r="T244" s="5">
        <v>7.88</v>
      </c>
      <c r="U244" s="5">
        <v>5.9870000000000001</v>
      </c>
      <c r="V244" s="5">
        <v>32.11</v>
      </c>
      <c r="W244" s="5">
        <v>4.875</v>
      </c>
      <c r="X244" s="5">
        <v>5.109</v>
      </c>
      <c r="Y244" s="5">
        <v>6.2149999999999999</v>
      </c>
      <c r="Z244" s="5">
        <v>7.5970000000000004</v>
      </c>
      <c r="AA244" s="5">
        <v>7.569</v>
      </c>
      <c r="AB244" s="5" t="s">
        <v>99</v>
      </c>
      <c r="AC244" s="5">
        <v>11.61</v>
      </c>
      <c r="AD244" s="5">
        <v>32.299999999999997</v>
      </c>
      <c r="AE244" s="5">
        <v>4.335</v>
      </c>
      <c r="AF244" s="5">
        <v>21.87</v>
      </c>
      <c r="AG244" s="5">
        <v>5.7119999999999997</v>
      </c>
      <c r="AI244" s="5" t="s">
        <v>99</v>
      </c>
      <c r="AK244" s="5">
        <v>0</v>
      </c>
      <c r="AN244" s="1">
        <f t="shared" si="122"/>
        <v>73.900000000000006</v>
      </c>
      <c r="AO244" s="1">
        <f t="shared" si="123"/>
        <v>52.6</v>
      </c>
      <c r="AP244" s="1">
        <f t="shared" si="124"/>
        <v>32.1</v>
      </c>
      <c r="AQ244" s="17">
        <f t="shared" si="140"/>
        <v>0.74099999999999999</v>
      </c>
      <c r="AR244" s="22">
        <f t="shared" si="125"/>
        <v>1.5669999999999999</v>
      </c>
      <c r="AT244" s="19">
        <f t="shared" si="117"/>
        <v>43704</v>
      </c>
      <c r="AU244" s="20">
        <f t="shared" si="118"/>
        <v>239</v>
      </c>
      <c r="AV244" s="1">
        <f t="shared" si="126"/>
        <v>13</v>
      </c>
      <c r="AW244" s="1">
        <f t="shared" si="127"/>
        <v>19.8</v>
      </c>
      <c r="AX244" s="1">
        <f t="shared" si="128"/>
        <v>6</v>
      </c>
      <c r="AY244" s="1">
        <f t="shared" si="115"/>
        <v>52.6</v>
      </c>
      <c r="AZ244" s="1">
        <f t="shared" si="116"/>
        <v>32.1</v>
      </c>
      <c r="BA244" s="1">
        <f t="shared" si="129"/>
        <v>0</v>
      </c>
      <c r="BB244" s="5" t="str">
        <f t="shared" si="130"/>
        <v>NAN</v>
      </c>
      <c r="BC244" s="1">
        <f t="shared" si="119"/>
        <v>11.6</v>
      </c>
      <c r="BD244" s="1">
        <f t="shared" si="120"/>
        <v>32.299999999999997</v>
      </c>
      <c r="BE244" s="1">
        <f t="shared" si="121"/>
        <v>4.3</v>
      </c>
      <c r="BF244" s="5">
        <f t="shared" si="131"/>
        <v>9.9</v>
      </c>
      <c r="BG244" s="5">
        <f t="shared" si="132"/>
        <v>8.5</v>
      </c>
      <c r="BH244" s="5">
        <f t="shared" si="133"/>
        <v>7.8</v>
      </c>
      <c r="BI244" s="5" t="str">
        <f t="shared" si="134"/>
        <v>NAN</v>
      </c>
      <c r="BJ244" s="10">
        <f t="shared" si="135"/>
        <v>0.74099999999999999</v>
      </c>
      <c r="BK244" s="10">
        <f t="shared" si="136"/>
        <v>1.5669999999999999</v>
      </c>
      <c r="BM244" s="1">
        <f t="shared" si="137"/>
        <v>12.509999999999998</v>
      </c>
      <c r="BN244" s="1">
        <f t="shared" si="138"/>
        <v>-1.6520000000000001</v>
      </c>
    </row>
    <row r="245" spans="1:66" x14ac:dyDescent="0.2">
      <c r="A245" s="4">
        <f t="shared" si="139"/>
        <v>43705</v>
      </c>
      <c r="B245" s="1">
        <v>240</v>
      </c>
      <c r="C245" s="1">
        <v>12</v>
      </c>
      <c r="D245" s="5">
        <v>13.01</v>
      </c>
      <c r="E245" s="5">
        <v>22.08</v>
      </c>
      <c r="F245" s="5">
        <v>10.58</v>
      </c>
      <c r="G245" s="5">
        <v>14.64</v>
      </c>
      <c r="H245" s="5">
        <v>49.52</v>
      </c>
      <c r="I245" s="5">
        <v>14.05</v>
      </c>
      <c r="J245" s="5">
        <v>14.15</v>
      </c>
      <c r="K245" s="5">
        <v>11.32</v>
      </c>
      <c r="L245" s="5">
        <v>9.65</v>
      </c>
      <c r="M245" s="5">
        <v>7.859</v>
      </c>
      <c r="N245" s="5">
        <v>19.760000000000002</v>
      </c>
      <c r="O245" s="5">
        <v>66.19</v>
      </c>
      <c r="P245" s="5">
        <v>26.33</v>
      </c>
      <c r="Q245" s="5">
        <v>25.23</v>
      </c>
      <c r="R245" s="5">
        <v>19.41</v>
      </c>
      <c r="S245" s="5">
        <v>10.62</v>
      </c>
      <c r="T245" s="5">
        <v>8.01</v>
      </c>
      <c r="U245" s="5">
        <v>10.02</v>
      </c>
      <c r="V245" s="5">
        <v>34.770000000000003</v>
      </c>
      <c r="W245" s="5">
        <v>8.58</v>
      </c>
      <c r="X245" s="5">
        <v>8.83</v>
      </c>
      <c r="Y245" s="5">
        <v>8.4499999999999993</v>
      </c>
      <c r="Z245" s="5">
        <v>8.8699999999999992</v>
      </c>
      <c r="AA245" s="5">
        <v>7.6609999999999996</v>
      </c>
      <c r="AB245" s="5" t="s">
        <v>99</v>
      </c>
      <c r="AC245" s="5">
        <v>13.76</v>
      </c>
      <c r="AD245" s="5">
        <v>36.729999999999997</v>
      </c>
      <c r="AE245" s="5">
        <v>7.7069999999999999</v>
      </c>
      <c r="AF245" s="5">
        <v>21.08</v>
      </c>
      <c r="AG245" s="5">
        <v>9.94</v>
      </c>
      <c r="AI245" s="5" t="s">
        <v>99</v>
      </c>
      <c r="AK245" s="5">
        <v>0</v>
      </c>
      <c r="AN245" s="1">
        <f t="shared" si="122"/>
        <v>66.2</v>
      </c>
      <c r="AO245" s="1">
        <f t="shared" si="123"/>
        <v>49.5</v>
      </c>
      <c r="AP245" s="1">
        <f t="shared" si="124"/>
        <v>34.799999999999997</v>
      </c>
      <c r="AQ245" s="17">
        <f t="shared" si="140"/>
        <v>0.80200000000000005</v>
      </c>
      <c r="AR245" s="22">
        <f t="shared" si="125"/>
        <v>1.5029999999999999</v>
      </c>
      <c r="AT245" s="19">
        <f t="shared" si="117"/>
        <v>43705</v>
      </c>
      <c r="AU245" s="20">
        <f t="shared" si="118"/>
        <v>240</v>
      </c>
      <c r="AV245" s="1">
        <f t="shared" si="126"/>
        <v>14.6</v>
      </c>
      <c r="AW245" s="1">
        <f t="shared" si="127"/>
        <v>19.8</v>
      </c>
      <c r="AX245" s="1">
        <f t="shared" si="128"/>
        <v>10</v>
      </c>
      <c r="AY245" s="1">
        <f t="shared" si="115"/>
        <v>49.5</v>
      </c>
      <c r="AZ245" s="1">
        <f t="shared" si="116"/>
        <v>34.799999999999997</v>
      </c>
      <c r="BA245" s="1">
        <f t="shared" si="129"/>
        <v>0</v>
      </c>
      <c r="BB245" s="5" t="str">
        <f t="shared" si="130"/>
        <v>NAN</v>
      </c>
      <c r="BC245" s="1">
        <f t="shared" si="119"/>
        <v>13.8</v>
      </c>
      <c r="BD245" s="1">
        <f t="shared" si="120"/>
        <v>36.700000000000003</v>
      </c>
      <c r="BE245" s="1">
        <f t="shared" si="121"/>
        <v>7.7</v>
      </c>
      <c r="BF245" s="5">
        <f t="shared" si="131"/>
        <v>11.3</v>
      </c>
      <c r="BG245" s="5">
        <f t="shared" si="132"/>
        <v>9.6999999999999993</v>
      </c>
      <c r="BH245" s="5">
        <f t="shared" si="133"/>
        <v>7.9</v>
      </c>
      <c r="BI245" s="5" t="str">
        <f t="shared" si="134"/>
        <v>NAN</v>
      </c>
      <c r="BJ245" s="10">
        <f t="shared" si="135"/>
        <v>0.80200000000000005</v>
      </c>
      <c r="BK245" s="10">
        <f t="shared" si="136"/>
        <v>1.5029999999999999</v>
      </c>
      <c r="BM245" s="1">
        <f t="shared" si="137"/>
        <v>16.969999999999995</v>
      </c>
      <c r="BN245" s="1">
        <f t="shared" si="138"/>
        <v>-2.3129999999999997</v>
      </c>
    </row>
    <row r="246" spans="1:66" x14ac:dyDescent="0.2">
      <c r="A246" s="4">
        <f t="shared" si="139"/>
        <v>43706</v>
      </c>
      <c r="B246" s="1">
        <v>241</v>
      </c>
      <c r="C246" s="1">
        <v>12</v>
      </c>
      <c r="D246" s="5">
        <v>13</v>
      </c>
      <c r="E246" s="5">
        <v>23.12</v>
      </c>
      <c r="F246" s="5">
        <v>10.52</v>
      </c>
      <c r="G246" s="5">
        <v>15.65</v>
      </c>
      <c r="H246" s="5">
        <v>36.229999999999997</v>
      </c>
      <c r="I246" s="5">
        <v>14.85</v>
      </c>
      <c r="J246" s="5">
        <v>15</v>
      </c>
      <c r="K246" s="5">
        <v>11.35</v>
      </c>
      <c r="L246" s="5">
        <v>10.07</v>
      </c>
      <c r="M246" s="5">
        <v>8.0500000000000007</v>
      </c>
      <c r="N246" s="5">
        <v>21.14</v>
      </c>
      <c r="O246" s="5">
        <v>64.510000000000005</v>
      </c>
      <c r="P246" s="5">
        <v>25.86</v>
      </c>
      <c r="Q246" s="5">
        <v>26.72</v>
      </c>
      <c r="R246" s="5">
        <v>17.39</v>
      </c>
      <c r="S246" s="5">
        <v>10.79</v>
      </c>
      <c r="T246" s="5">
        <v>8.1999999999999993</v>
      </c>
      <c r="U246" s="5">
        <v>10.53</v>
      </c>
      <c r="V246" s="5">
        <v>19.48</v>
      </c>
      <c r="W246" s="5">
        <v>8.94</v>
      </c>
      <c r="X246" s="5">
        <v>9.2200000000000006</v>
      </c>
      <c r="Y246" s="5">
        <v>8.64</v>
      </c>
      <c r="Z246" s="5">
        <v>9.36</v>
      </c>
      <c r="AA246" s="5">
        <v>7.8460000000000001</v>
      </c>
      <c r="AB246" s="5" t="s">
        <v>99</v>
      </c>
      <c r="AC246" s="5">
        <v>14.49</v>
      </c>
      <c r="AD246" s="5">
        <v>39.43</v>
      </c>
      <c r="AE246" s="5">
        <v>8.08</v>
      </c>
      <c r="AF246" s="5">
        <v>22.36</v>
      </c>
      <c r="AG246" s="5">
        <v>10.35</v>
      </c>
      <c r="AI246" s="5" t="s">
        <v>99</v>
      </c>
      <c r="AK246" s="5">
        <v>0</v>
      </c>
      <c r="AN246" s="1">
        <f t="shared" si="122"/>
        <v>64.5</v>
      </c>
      <c r="AO246" s="1">
        <f t="shared" si="123"/>
        <v>36.200000000000003</v>
      </c>
      <c r="AP246" s="1">
        <f t="shared" si="124"/>
        <v>19.5</v>
      </c>
      <c r="AQ246" s="17">
        <f t="shared" ref="AQ246:AQ309" si="141">ROUND((0.6105*(EXP((17.273*N246)/(N246+237.3))))*AP246/100,3)</f>
        <v>0.48899999999999999</v>
      </c>
      <c r="AR246" s="22">
        <f t="shared" si="125"/>
        <v>2.0190000000000001</v>
      </c>
      <c r="AT246" s="19">
        <f t="shared" si="117"/>
        <v>43706</v>
      </c>
      <c r="AU246" s="20">
        <f t="shared" si="118"/>
        <v>241</v>
      </c>
      <c r="AV246" s="1">
        <f t="shared" si="126"/>
        <v>15.7</v>
      </c>
      <c r="AW246" s="1">
        <f t="shared" si="127"/>
        <v>21.1</v>
      </c>
      <c r="AX246" s="1">
        <f t="shared" si="128"/>
        <v>10.5</v>
      </c>
      <c r="AY246" s="1">
        <f t="shared" si="115"/>
        <v>36.200000000000003</v>
      </c>
      <c r="AZ246" s="1">
        <f t="shared" si="116"/>
        <v>19.5</v>
      </c>
      <c r="BA246" s="1">
        <f t="shared" si="129"/>
        <v>0</v>
      </c>
      <c r="BB246" s="5" t="str">
        <f t="shared" si="130"/>
        <v>NAN</v>
      </c>
      <c r="BC246" s="1">
        <f t="shared" si="119"/>
        <v>14.5</v>
      </c>
      <c r="BD246" s="1">
        <f t="shared" si="120"/>
        <v>39.4</v>
      </c>
      <c r="BE246" s="1">
        <f t="shared" si="121"/>
        <v>8.1</v>
      </c>
      <c r="BF246" s="5">
        <f t="shared" si="131"/>
        <v>11.4</v>
      </c>
      <c r="BG246" s="5">
        <f t="shared" si="132"/>
        <v>10.1</v>
      </c>
      <c r="BH246" s="5">
        <f t="shared" si="133"/>
        <v>8.1</v>
      </c>
      <c r="BI246" s="5" t="str">
        <f t="shared" si="134"/>
        <v>NAN</v>
      </c>
      <c r="BJ246" s="10">
        <f t="shared" si="135"/>
        <v>0.48899999999999999</v>
      </c>
      <c r="BK246" s="10">
        <f t="shared" si="136"/>
        <v>2.0190000000000001</v>
      </c>
      <c r="BM246" s="1">
        <f t="shared" si="137"/>
        <v>18.29</v>
      </c>
      <c r="BN246" s="1">
        <f t="shared" si="138"/>
        <v>-2.4499999999999993</v>
      </c>
    </row>
    <row r="247" spans="1:66" x14ac:dyDescent="0.2">
      <c r="A247" s="4">
        <f t="shared" si="139"/>
        <v>43707</v>
      </c>
      <c r="B247" s="1">
        <v>242</v>
      </c>
      <c r="C247" s="1">
        <v>12</v>
      </c>
      <c r="D247" s="5">
        <v>13</v>
      </c>
      <c r="E247" s="5">
        <v>18.690000000000001</v>
      </c>
      <c r="F247" s="5">
        <v>11.4</v>
      </c>
      <c r="G247" s="5">
        <v>13.75</v>
      </c>
      <c r="H247" s="5">
        <v>68.12</v>
      </c>
      <c r="I247" s="5">
        <v>13.64</v>
      </c>
      <c r="J247" s="5">
        <v>13.65</v>
      </c>
      <c r="K247" s="5">
        <v>11.94</v>
      </c>
      <c r="L247" s="5">
        <v>10.44</v>
      </c>
      <c r="M247" s="5">
        <v>8.1999999999999993</v>
      </c>
      <c r="N247" s="5">
        <v>18.18</v>
      </c>
      <c r="O247" s="5">
        <v>83.9</v>
      </c>
      <c r="P247" s="5">
        <v>24.86</v>
      </c>
      <c r="Q247" s="5">
        <v>21.45</v>
      </c>
      <c r="R247" s="5">
        <v>17.05</v>
      </c>
      <c r="S247" s="5">
        <v>11.07</v>
      </c>
      <c r="T247" s="5">
        <v>8.36</v>
      </c>
      <c r="U247" s="5">
        <v>11.07</v>
      </c>
      <c r="V247" s="5">
        <v>46.7</v>
      </c>
      <c r="W247" s="5">
        <v>10.47</v>
      </c>
      <c r="X247" s="5">
        <v>10.76</v>
      </c>
      <c r="Y247" s="5">
        <v>10.07</v>
      </c>
      <c r="Z247" s="5">
        <v>9.91</v>
      </c>
      <c r="AA247" s="5">
        <v>8.06</v>
      </c>
      <c r="AB247" s="5" t="s">
        <v>99</v>
      </c>
      <c r="AC247" s="5">
        <v>13.95</v>
      </c>
      <c r="AD247" s="5">
        <v>29.39</v>
      </c>
      <c r="AE247" s="5">
        <v>9.98</v>
      </c>
      <c r="AF247" s="5">
        <v>18.78</v>
      </c>
      <c r="AG247" s="5">
        <v>10.94</v>
      </c>
      <c r="AI247" s="5" t="s">
        <v>99</v>
      </c>
      <c r="AK247" s="5">
        <v>0</v>
      </c>
      <c r="AN247" s="1">
        <f t="shared" si="122"/>
        <v>83.9</v>
      </c>
      <c r="AO247" s="1">
        <f t="shared" si="123"/>
        <v>68.099999999999994</v>
      </c>
      <c r="AP247" s="1">
        <f t="shared" si="124"/>
        <v>46.7</v>
      </c>
      <c r="AQ247" s="17">
        <f t="shared" si="141"/>
        <v>0.97499999999999998</v>
      </c>
      <c r="AR247" s="22">
        <f t="shared" si="125"/>
        <v>1.113</v>
      </c>
      <c r="AT247" s="19">
        <f t="shared" si="117"/>
        <v>43707</v>
      </c>
      <c r="AU247" s="20">
        <f t="shared" si="118"/>
        <v>242</v>
      </c>
      <c r="AV247" s="1">
        <f t="shared" si="126"/>
        <v>13.8</v>
      </c>
      <c r="AW247" s="1">
        <f t="shared" si="127"/>
        <v>18.2</v>
      </c>
      <c r="AX247" s="1">
        <f t="shared" si="128"/>
        <v>11.1</v>
      </c>
      <c r="AY247" s="1">
        <f t="shared" si="115"/>
        <v>68.099999999999994</v>
      </c>
      <c r="AZ247" s="1">
        <f t="shared" si="116"/>
        <v>46.7</v>
      </c>
      <c r="BA247" s="1">
        <f t="shared" si="129"/>
        <v>0</v>
      </c>
      <c r="BB247" s="5" t="str">
        <f t="shared" si="130"/>
        <v>NAN</v>
      </c>
      <c r="BC247" s="1">
        <f t="shared" si="119"/>
        <v>14</v>
      </c>
      <c r="BD247" s="1">
        <f t="shared" si="120"/>
        <v>29.4</v>
      </c>
      <c r="BE247" s="1">
        <f t="shared" si="121"/>
        <v>10</v>
      </c>
      <c r="BF247" s="5">
        <f t="shared" si="131"/>
        <v>11.9</v>
      </c>
      <c r="BG247" s="5">
        <f t="shared" si="132"/>
        <v>10.4</v>
      </c>
      <c r="BH247" s="5">
        <f t="shared" si="133"/>
        <v>8.1999999999999993</v>
      </c>
      <c r="BI247" s="5" t="str">
        <f t="shared" si="134"/>
        <v>NAN</v>
      </c>
      <c r="BJ247" s="10">
        <f t="shared" si="135"/>
        <v>0.97499999999999998</v>
      </c>
      <c r="BK247" s="10">
        <f t="shared" si="136"/>
        <v>1.113</v>
      </c>
      <c r="BM247" s="1">
        <f t="shared" si="137"/>
        <v>11.21</v>
      </c>
      <c r="BN247" s="1">
        <f t="shared" si="138"/>
        <v>-1.0899999999999999</v>
      </c>
    </row>
    <row r="248" spans="1:66" x14ac:dyDescent="0.2">
      <c r="A248" s="4">
        <f t="shared" si="139"/>
        <v>43708</v>
      </c>
      <c r="B248" s="1">
        <v>243</v>
      </c>
      <c r="C248" s="1">
        <v>12</v>
      </c>
      <c r="D248" s="5">
        <v>12.92</v>
      </c>
      <c r="E248" s="5">
        <v>19.47</v>
      </c>
      <c r="F248" s="5">
        <v>11.29</v>
      </c>
      <c r="G248" s="5">
        <v>13.39</v>
      </c>
      <c r="H248" s="5">
        <v>74.98</v>
      </c>
      <c r="I248" s="5">
        <v>12.94</v>
      </c>
      <c r="J248" s="5">
        <v>13.01</v>
      </c>
      <c r="K248" s="5">
        <v>11.94</v>
      </c>
      <c r="L248" s="5">
        <v>10.71</v>
      </c>
      <c r="M248" s="5">
        <v>8.36</v>
      </c>
      <c r="N248" s="5">
        <v>18.579999999999998</v>
      </c>
      <c r="O248" s="5">
        <v>91.7</v>
      </c>
      <c r="P248" s="5">
        <v>22.97</v>
      </c>
      <c r="Q248" s="5">
        <v>22.02</v>
      </c>
      <c r="R248" s="5">
        <v>16.22</v>
      </c>
      <c r="S248" s="5">
        <v>11.2</v>
      </c>
      <c r="T248" s="5">
        <v>8.5</v>
      </c>
      <c r="U248" s="5">
        <v>10.96</v>
      </c>
      <c r="V248" s="5">
        <v>46.32</v>
      </c>
      <c r="W248" s="5">
        <v>9.36</v>
      </c>
      <c r="X248" s="5">
        <v>10.039999999999999</v>
      </c>
      <c r="Y248" s="5">
        <v>10.55</v>
      </c>
      <c r="Z248" s="5">
        <v>10.29</v>
      </c>
      <c r="AA248" s="5">
        <v>8.23</v>
      </c>
      <c r="AB248" s="5" t="s">
        <v>99</v>
      </c>
      <c r="AC248" s="5">
        <v>13.03</v>
      </c>
      <c r="AD248" s="5">
        <v>27.1</v>
      </c>
      <c r="AE248" s="5">
        <v>9.3000000000000007</v>
      </c>
      <c r="AF248" s="5">
        <v>18.93</v>
      </c>
      <c r="AG248" s="5">
        <v>10.14</v>
      </c>
      <c r="AI248" s="5" t="s">
        <v>99</v>
      </c>
      <c r="AK248" s="5">
        <v>0</v>
      </c>
      <c r="AN248" s="1">
        <f t="shared" si="122"/>
        <v>91.7</v>
      </c>
      <c r="AO248" s="1">
        <f t="shared" si="123"/>
        <v>75</v>
      </c>
      <c r="AP248" s="1">
        <f t="shared" si="124"/>
        <v>46.3</v>
      </c>
      <c r="AQ248" s="17">
        <f t="shared" si="141"/>
        <v>0.99099999999999999</v>
      </c>
      <c r="AR248" s="22">
        <f t="shared" si="125"/>
        <v>1.149</v>
      </c>
      <c r="AT248" s="19">
        <f t="shared" si="117"/>
        <v>43708</v>
      </c>
      <c r="AU248" s="20">
        <f t="shared" si="118"/>
        <v>243</v>
      </c>
      <c r="AV248" s="1">
        <f t="shared" si="126"/>
        <v>13.4</v>
      </c>
      <c r="AW248" s="1">
        <f t="shared" si="127"/>
        <v>18.600000000000001</v>
      </c>
      <c r="AX248" s="1">
        <f t="shared" si="128"/>
        <v>11</v>
      </c>
      <c r="AY248" s="1">
        <f t="shared" si="115"/>
        <v>75</v>
      </c>
      <c r="AZ248" s="1">
        <f t="shared" si="116"/>
        <v>46.3</v>
      </c>
      <c r="BA248" s="1">
        <f t="shared" si="129"/>
        <v>0</v>
      </c>
      <c r="BB248" s="5" t="str">
        <f t="shared" si="130"/>
        <v>NAN</v>
      </c>
      <c r="BC248" s="1">
        <f t="shared" si="119"/>
        <v>13</v>
      </c>
      <c r="BD248" s="1">
        <f t="shared" si="120"/>
        <v>27.1</v>
      </c>
      <c r="BE248" s="1">
        <f t="shared" si="121"/>
        <v>9.3000000000000007</v>
      </c>
      <c r="BF248" s="5">
        <f t="shared" si="131"/>
        <v>11.9</v>
      </c>
      <c r="BG248" s="5">
        <f t="shared" si="132"/>
        <v>10.7</v>
      </c>
      <c r="BH248" s="5">
        <f t="shared" si="133"/>
        <v>8.4</v>
      </c>
      <c r="BI248" s="5" t="str">
        <f t="shared" si="134"/>
        <v>NAN</v>
      </c>
      <c r="BJ248" s="10">
        <f t="shared" si="135"/>
        <v>0.99099999999999999</v>
      </c>
      <c r="BK248" s="10">
        <f t="shared" si="136"/>
        <v>1.149</v>
      </c>
      <c r="BM248" s="1">
        <f t="shared" si="137"/>
        <v>8.5200000000000031</v>
      </c>
      <c r="BN248" s="1">
        <f t="shared" si="138"/>
        <v>-1.6600000000000001</v>
      </c>
    </row>
    <row r="249" spans="1:66" x14ac:dyDescent="0.2">
      <c r="A249" s="4">
        <f t="shared" si="139"/>
        <v>43709</v>
      </c>
      <c r="B249" s="1">
        <v>244</v>
      </c>
      <c r="C249" s="1">
        <v>12</v>
      </c>
      <c r="D249" s="5">
        <v>13.01</v>
      </c>
      <c r="E249" s="5">
        <v>19.100000000000001</v>
      </c>
      <c r="F249" s="5">
        <v>8.5</v>
      </c>
      <c r="G249" s="5">
        <v>11.67</v>
      </c>
      <c r="H249" s="5">
        <v>71.94</v>
      </c>
      <c r="I249" s="5">
        <v>11.74</v>
      </c>
      <c r="J249" s="5">
        <v>11.7</v>
      </c>
      <c r="K249" s="5">
        <v>11.45</v>
      </c>
      <c r="L249" s="5">
        <v>10.5</v>
      </c>
      <c r="M249" s="5">
        <v>8.4700000000000006</v>
      </c>
      <c r="N249" s="5">
        <v>17.77</v>
      </c>
      <c r="O249" s="5">
        <v>87.1</v>
      </c>
      <c r="P249" s="5">
        <v>23.37</v>
      </c>
      <c r="Q249" s="5">
        <v>21.91</v>
      </c>
      <c r="R249" s="5">
        <v>18.88</v>
      </c>
      <c r="S249" s="5">
        <v>11.15</v>
      </c>
      <c r="T249" s="5">
        <v>8.57</v>
      </c>
      <c r="U249" s="5">
        <v>8.4499999999999993</v>
      </c>
      <c r="V249" s="5">
        <v>44.23</v>
      </c>
      <c r="W249" s="5">
        <v>7.6319999999999997</v>
      </c>
      <c r="X249" s="5">
        <v>7.8129999999999997</v>
      </c>
      <c r="Y249" s="5">
        <v>9.2799999999999994</v>
      </c>
      <c r="Z249" s="5">
        <v>9.8800000000000008</v>
      </c>
      <c r="AA249" s="5">
        <v>8.31</v>
      </c>
      <c r="AB249" s="5" t="s">
        <v>99</v>
      </c>
      <c r="AC249" s="5">
        <v>11.81</v>
      </c>
      <c r="AD249" s="5">
        <v>28.7</v>
      </c>
      <c r="AE249" s="5">
        <v>7.2160000000000002</v>
      </c>
      <c r="AF249" s="5">
        <v>18.7</v>
      </c>
      <c r="AG249" s="5">
        <v>8.14</v>
      </c>
      <c r="AI249" s="5" t="s">
        <v>99</v>
      </c>
      <c r="AK249" s="5">
        <v>0</v>
      </c>
      <c r="AN249" s="1">
        <f t="shared" si="122"/>
        <v>87.1</v>
      </c>
      <c r="AO249" s="1">
        <f t="shared" si="123"/>
        <v>71.900000000000006</v>
      </c>
      <c r="AP249" s="1">
        <f t="shared" si="124"/>
        <v>44.2</v>
      </c>
      <c r="AQ249" s="17">
        <f t="shared" si="141"/>
        <v>0.89900000000000002</v>
      </c>
      <c r="AR249" s="22">
        <f t="shared" si="125"/>
        <v>1.135</v>
      </c>
      <c r="AT249" s="19">
        <f t="shared" si="117"/>
        <v>43709</v>
      </c>
      <c r="AU249" s="20">
        <f t="shared" si="118"/>
        <v>244</v>
      </c>
      <c r="AV249" s="1">
        <f t="shared" si="126"/>
        <v>11.7</v>
      </c>
      <c r="AW249" s="1">
        <f t="shared" si="127"/>
        <v>17.8</v>
      </c>
      <c r="AX249" s="1">
        <f t="shared" si="128"/>
        <v>8.5</v>
      </c>
      <c r="AY249" s="1">
        <f t="shared" si="115"/>
        <v>71.900000000000006</v>
      </c>
      <c r="AZ249" s="1">
        <f t="shared" si="116"/>
        <v>44.2</v>
      </c>
      <c r="BA249" s="1">
        <f t="shared" si="129"/>
        <v>0</v>
      </c>
      <c r="BB249" s="5" t="str">
        <f t="shared" si="130"/>
        <v>NAN</v>
      </c>
      <c r="BC249" s="1">
        <f t="shared" si="119"/>
        <v>11.8</v>
      </c>
      <c r="BD249" s="1">
        <f t="shared" si="120"/>
        <v>28.7</v>
      </c>
      <c r="BE249" s="1">
        <f t="shared" si="121"/>
        <v>7.2</v>
      </c>
      <c r="BF249" s="5">
        <f t="shared" si="131"/>
        <v>11.5</v>
      </c>
      <c r="BG249" s="5">
        <f t="shared" si="132"/>
        <v>10.5</v>
      </c>
      <c r="BH249" s="5">
        <f t="shared" si="133"/>
        <v>8.5</v>
      </c>
      <c r="BI249" s="5" t="str">
        <f t="shared" si="134"/>
        <v>NAN</v>
      </c>
      <c r="BJ249" s="10">
        <f t="shared" si="135"/>
        <v>0.89900000000000002</v>
      </c>
      <c r="BK249" s="10">
        <f t="shared" si="136"/>
        <v>1.135</v>
      </c>
      <c r="BM249" s="1">
        <f t="shared" si="137"/>
        <v>10.93</v>
      </c>
      <c r="BN249" s="1">
        <f t="shared" si="138"/>
        <v>-1.2339999999999991</v>
      </c>
    </row>
    <row r="250" spans="1:66" x14ac:dyDescent="0.2">
      <c r="A250" s="4">
        <f t="shared" si="139"/>
        <v>43710</v>
      </c>
      <c r="B250" s="1">
        <v>245</v>
      </c>
      <c r="C250" s="1">
        <v>12</v>
      </c>
      <c r="D250" s="5">
        <v>13.03</v>
      </c>
      <c r="E250" s="5">
        <v>18.71</v>
      </c>
      <c r="F250" s="5">
        <v>7.2450000000000001</v>
      </c>
      <c r="G250" s="5">
        <v>11.35</v>
      </c>
      <c r="H250" s="5">
        <v>65.55</v>
      </c>
      <c r="I250" s="5">
        <v>11.29</v>
      </c>
      <c r="J250" s="5">
        <v>11.3</v>
      </c>
      <c r="K250" s="5">
        <v>10.77</v>
      </c>
      <c r="L250" s="5">
        <v>10.210000000000001</v>
      </c>
      <c r="M250" s="5">
        <v>8.49</v>
      </c>
      <c r="N250" s="5">
        <v>16.079999999999998</v>
      </c>
      <c r="O250" s="5">
        <v>88</v>
      </c>
      <c r="P250" s="5">
        <v>23.13</v>
      </c>
      <c r="Q250" s="5">
        <v>21.79</v>
      </c>
      <c r="R250" s="5">
        <v>18.3</v>
      </c>
      <c r="S250" s="5">
        <v>10.81</v>
      </c>
      <c r="T250" s="5">
        <v>8.6</v>
      </c>
      <c r="U250" s="5">
        <v>7.2969999999999997</v>
      </c>
      <c r="V250" s="5">
        <v>39.67</v>
      </c>
      <c r="W250" s="5">
        <v>6.7030000000000003</v>
      </c>
      <c r="X250" s="5">
        <v>6.82</v>
      </c>
      <c r="Y250" s="5">
        <v>8.35</v>
      </c>
      <c r="Z250" s="5">
        <v>9.5</v>
      </c>
      <c r="AA250" s="5">
        <v>8.2799999999999994</v>
      </c>
      <c r="AB250" s="5" t="s">
        <v>99</v>
      </c>
      <c r="AC250" s="5">
        <v>11.82</v>
      </c>
      <c r="AD250" s="5">
        <v>33.89</v>
      </c>
      <c r="AE250" s="5">
        <v>6.2</v>
      </c>
      <c r="AF250" s="5">
        <v>17.670000000000002</v>
      </c>
      <c r="AG250" s="5">
        <v>7.0110000000000001</v>
      </c>
      <c r="AI250" s="5" t="s">
        <v>99</v>
      </c>
      <c r="AK250" s="5">
        <v>0</v>
      </c>
      <c r="AN250" s="1">
        <f t="shared" si="122"/>
        <v>88</v>
      </c>
      <c r="AO250" s="1">
        <f t="shared" si="123"/>
        <v>65.599999999999994</v>
      </c>
      <c r="AP250" s="1">
        <f t="shared" si="124"/>
        <v>39.700000000000003</v>
      </c>
      <c r="AQ250" s="17">
        <f t="shared" si="141"/>
        <v>0.72499999999999998</v>
      </c>
      <c r="AR250" s="22">
        <f t="shared" si="125"/>
        <v>1.101</v>
      </c>
      <c r="AT250" s="19">
        <f t="shared" si="117"/>
        <v>43710</v>
      </c>
      <c r="AU250" s="20">
        <f t="shared" si="118"/>
        <v>245</v>
      </c>
      <c r="AV250" s="1">
        <f t="shared" si="126"/>
        <v>11.4</v>
      </c>
      <c r="AW250" s="1">
        <f t="shared" si="127"/>
        <v>16.100000000000001</v>
      </c>
      <c r="AX250" s="1">
        <f t="shared" si="128"/>
        <v>7.3</v>
      </c>
      <c r="AY250" s="1">
        <f t="shared" si="115"/>
        <v>65.599999999999994</v>
      </c>
      <c r="AZ250" s="1">
        <f t="shared" si="116"/>
        <v>39.700000000000003</v>
      </c>
      <c r="BA250" s="1">
        <f t="shared" si="129"/>
        <v>0</v>
      </c>
      <c r="BB250" s="5" t="str">
        <f t="shared" si="130"/>
        <v>NAN</v>
      </c>
      <c r="BC250" s="1">
        <f t="shared" si="119"/>
        <v>11.8</v>
      </c>
      <c r="BD250" s="1">
        <f t="shared" si="120"/>
        <v>33.9</v>
      </c>
      <c r="BE250" s="1">
        <f t="shared" si="121"/>
        <v>6.2</v>
      </c>
      <c r="BF250" s="5">
        <f t="shared" si="131"/>
        <v>10.8</v>
      </c>
      <c r="BG250" s="5">
        <f t="shared" si="132"/>
        <v>10.199999999999999</v>
      </c>
      <c r="BH250" s="5">
        <f t="shared" si="133"/>
        <v>8.5</v>
      </c>
      <c r="BI250" s="5" t="str">
        <f t="shared" si="134"/>
        <v>NAN</v>
      </c>
      <c r="BJ250" s="10">
        <f t="shared" si="135"/>
        <v>0.72499999999999998</v>
      </c>
      <c r="BK250" s="10">
        <f t="shared" si="136"/>
        <v>1.101</v>
      </c>
      <c r="BM250" s="1">
        <f t="shared" si="137"/>
        <v>17.810000000000002</v>
      </c>
      <c r="BN250" s="1">
        <f t="shared" si="138"/>
        <v>-1.0969999999999995</v>
      </c>
    </row>
    <row r="251" spans="1:66" x14ac:dyDescent="0.2">
      <c r="A251" s="4">
        <f t="shared" si="139"/>
        <v>43711</v>
      </c>
      <c r="B251" s="1">
        <v>246</v>
      </c>
      <c r="C251" s="1">
        <v>12</v>
      </c>
      <c r="D251" s="5">
        <v>12.98</v>
      </c>
      <c r="E251" s="5">
        <v>23.78</v>
      </c>
      <c r="F251" s="5">
        <v>7.3330000000000002</v>
      </c>
      <c r="G251" s="5">
        <v>13.19</v>
      </c>
      <c r="H251" s="5">
        <v>57.09</v>
      </c>
      <c r="I251" s="5">
        <v>13.01</v>
      </c>
      <c r="J251" s="5">
        <v>13.02</v>
      </c>
      <c r="K251" s="5">
        <v>11.35</v>
      </c>
      <c r="L251" s="5">
        <v>10.210000000000001</v>
      </c>
      <c r="M251" s="5">
        <v>8.49</v>
      </c>
      <c r="N251" s="5">
        <v>21.07</v>
      </c>
      <c r="O251" s="5">
        <v>96</v>
      </c>
      <c r="P251" s="5">
        <v>28.51</v>
      </c>
      <c r="Q251" s="5">
        <v>26.85</v>
      </c>
      <c r="R251" s="5">
        <v>19.5</v>
      </c>
      <c r="S251" s="5">
        <v>11.17</v>
      </c>
      <c r="T251" s="5">
        <v>8.6199999999999992</v>
      </c>
      <c r="U251" s="5">
        <v>5.98</v>
      </c>
      <c r="V251" s="5">
        <v>29</v>
      </c>
      <c r="W251" s="5">
        <v>5.58</v>
      </c>
      <c r="X251" s="5">
        <v>5.4889999999999999</v>
      </c>
      <c r="Y251" s="5">
        <v>8.39</v>
      </c>
      <c r="Z251" s="5">
        <v>9.42</v>
      </c>
      <c r="AA251" s="5">
        <v>8.2200000000000006</v>
      </c>
      <c r="AB251" s="5" t="s">
        <v>99</v>
      </c>
      <c r="AC251" s="5">
        <v>13.63</v>
      </c>
      <c r="AD251" s="5">
        <v>39.51</v>
      </c>
      <c r="AE251" s="5">
        <v>6.0970000000000004</v>
      </c>
      <c r="AF251" s="5">
        <v>23.39</v>
      </c>
      <c r="AG251" s="5">
        <v>5.859</v>
      </c>
      <c r="AI251" s="5" t="s">
        <v>99</v>
      </c>
      <c r="AK251" s="5">
        <v>0</v>
      </c>
      <c r="AN251" s="1">
        <f t="shared" si="122"/>
        <v>96</v>
      </c>
      <c r="AO251" s="1">
        <f t="shared" si="123"/>
        <v>57.1</v>
      </c>
      <c r="AP251" s="1">
        <f t="shared" si="124"/>
        <v>29</v>
      </c>
      <c r="AQ251" s="17">
        <f t="shared" si="141"/>
        <v>0.72399999999999998</v>
      </c>
      <c r="AR251" s="22">
        <f t="shared" si="125"/>
        <v>1.7729999999999999</v>
      </c>
      <c r="AT251" s="19">
        <f t="shared" si="117"/>
        <v>43711</v>
      </c>
      <c r="AU251" s="20">
        <f t="shared" si="118"/>
        <v>246</v>
      </c>
      <c r="AV251" s="1">
        <f t="shared" si="126"/>
        <v>13.2</v>
      </c>
      <c r="AW251" s="1">
        <f t="shared" si="127"/>
        <v>21.1</v>
      </c>
      <c r="AX251" s="1">
        <f t="shared" si="128"/>
        <v>6</v>
      </c>
      <c r="AY251" s="1">
        <f t="shared" si="115"/>
        <v>57.1</v>
      </c>
      <c r="AZ251" s="1">
        <f t="shared" si="116"/>
        <v>29</v>
      </c>
      <c r="BA251" s="1">
        <f t="shared" si="129"/>
        <v>0</v>
      </c>
      <c r="BB251" s="5" t="str">
        <f t="shared" si="130"/>
        <v>NAN</v>
      </c>
      <c r="BC251" s="1">
        <f t="shared" si="119"/>
        <v>13.6</v>
      </c>
      <c r="BD251" s="1">
        <f t="shared" si="120"/>
        <v>39.5</v>
      </c>
      <c r="BE251" s="1">
        <f t="shared" si="121"/>
        <v>6.1</v>
      </c>
      <c r="BF251" s="5">
        <f t="shared" si="131"/>
        <v>11.4</v>
      </c>
      <c r="BG251" s="5">
        <f t="shared" si="132"/>
        <v>10.199999999999999</v>
      </c>
      <c r="BH251" s="5">
        <f t="shared" si="133"/>
        <v>8.5</v>
      </c>
      <c r="BI251" s="5" t="str">
        <f t="shared" si="134"/>
        <v>NAN</v>
      </c>
      <c r="BJ251" s="10">
        <f t="shared" si="135"/>
        <v>0.72399999999999998</v>
      </c>
      <c r="BK251" s="10">
        <f t="shared" si="136"/>
        <v>1.7729999999999999</v>
      </c>
      <c r="BM251" s="1">
        <f t="shared" si="137"/>
        <v>18.439999999999998</v>
      </c>
      <c r="BN251" s="1">
        <f t="shared" si="138"/>
        <v>0.11699999999999999</v>
      </c>
    </row>
    <row r="252" spans="1:66" x14ac:dyDescent="0.2">
      <c r="A252" s="4">
        <f t="shared" si="139"/>
        <v>43712</v>
      </c>
      <c r="B252" s="1">
        <v>247</v>
      </c>
      <c r="C252" s="1">
        <v>12</v>
      </c>
      <c r="D252" s="5">
        <v>13.01</v>
      </c>
      <c r="E252" s="5">
        <v>17.46</v>
      </c>
      <c r="F252" s="5">
        <v>5.7</v>
      </c>
      <c r="G252" s="5">
        <v>10.52</v>
      </c>
      <c r="H252" s="5">
        <v>76.23</v>
      </c>
      <c r="I252" s="5">
        <v>9.9600000000000009</v>
      </c>
      <c r="J252" s="5">
        <v>9.83</v>
      </c>
      <c r="K252" s="5">
        <v>10.14</v>
      </c>
      <c r="L252" s="5">
        <v>9.98</v>
      </c>
      <c r="M252" s="5">
        <v>8.5</v>
      </c>
      <c r="N252" s="5">
        <v>16.739999999999998</v>
      </c>
      <c r="O252" s="5">
        <v>96.2</v>
      </c>
      <c r="P252" s="5">
        <v>20.079999999999998</v>
      </c>
      <c r="Q252" s="5">
        <v>18.809999999999999</v>
      </c>
      <c r="R252" s="5">
        <v>14.81</v>
      </c>
      <c r="S252" s="5">
        <v>10.71</v>
      </c>
      <c r="T252" s="5">
        <v>8.6199999999999992</v>
      </c>
      <c r="U252" s="5">
        <v>5.4130000000000003</v>
      </c>
      <c r="V252" s="5">
        <v>38.659999999999997</v>
      </c>
      <c r="W252" s="5">
        <v>5.085</v>
      </c>
      <c r="X252" s="5">
        <v>5.0279999999999996</v>
      </c>
      <c r="Y252" s="5">
        <v>7.9119999999999999</v>
      </c>
      <c r="Z252" s="5">
        <v>9.3800000000000008</v>
      </c>
      <c r="AA252" s="5">
        <v>8.35</v>
      </c>
      <c r="AB252" s="5" t="s">
        <v>99</v>
      </c>
      <c r="AC252" s="5">
        <v>9.7100000000000009</v>
      </c>
      <c r="AD252" s="5">
        <v>20.52</v>
      </c>
      <c r="AE252" s="5">
        <v>5.1020000000000003</v>
      </c>
      <c r="AF252" s="5">
        <v>17.05</v>
      </c>
      <c r="AG252" s="5">
        <v>5.3170000000000002</v>
      </c>
      <c r="AI252" s="5" t="s">
        <v>99</v>
      </c>
      <c r="AK252" s="5">
        <v>0</v>
      </c>
      <c r="AN252" s="1">
        <f t="shared" si="122"/>
        <v>96.2</v>
      </c>
      <c r="AO252" s="1">
        <f t="shared" si="123"/>
        <v>76.2</v>
      </c>
      <c r="AP252" s="1">
        <f t="shared" si="124"/>
        <v>38.700000000000003</v>
      </c>
      <c r="AQ252" s="17">
        <f t="shared" si="141"/>
        <v>0.73699999999999999</v>
      </c>
      <c r="AR252" s="22">
        <f t="shared" si="125"/>
        <v>1.167</v>
      </c>
      <c r="AT252" s="19">
        <f t="shared" si="117"/>
        <v>43712</v>
      </c>
      <c r="AU252" s="20">
        <f t="shared" si="118"/>
        <v>247</v>
      </c>
      <c r="AV252" s="1">
        <f t="shared" si="126"/>
        <v>10.5</v>
      </c>
      <c r="AW252" s="1">
        <f t="shared" si="127"/>
        <v>16.7</v>
      </c>
      <c r="AX252" s="1">
        <f t="shared" si="128"/>
        <v>5.4</v>
      </c>
      <c r="AY252" s="1">
        <f t="shared" si="115"/>
        <v>76.2</v>
      </c>
      <c r="AZ252" s="1">
        <f t="shared" si="116"/>
        <v>38.700000000000003</v>
      </c>
      <c r="BA252" s="1">
        <f t="shared" si="129"/>
        <v>0</v>
      </c>
      <c r="BB252" s="5" t="str">
        <f t="shared" si="130"/>
        <v>NAN</v>
      </c>
      <c r="BC252" s="1">
        <f t="shared" si="119"/>
        <v>9.6999999999999993</v>
      </c>
      <c r="BD252" s="1">
        <f t="shared" si="120"/>
        <v>20.5</v>
      </c>
      <c r="BE252" s="1">
        <f t="shared" si="121"/>
        <v>5.0999999999999996</v>
      </c>
      <c r="BF252" s="5">
        <f t="shared" si="131"/>
        <v>10.1</v>
      </c>
      <c r="BG252" s="5">
        <f t="shared" si="132"/>
        <v>10</v>
      </c>
      <c r="BH252" s="5">
        <f t="shared" si="133"/>
        <v>8.5</v>
      </c>
      <c r="BI252" s="5" t="str">
        <f t="shared" si="134"/>
        <v>NAN</v>
      </c>
      <c r="BJ252" s="10">
        <f t="shared" si="135"/>
        <v>0.73699999999999999</v>
      </c>
      <c r="BK252" s="10">
        <f t="shared" si="136"/>
        <v>1.167</v>
      </c>
      <c r="BM252" s="1">
        <f t="shared" si="137"/>
        <v>3.7800000000000011</v>
      </c>
      <c r="BN252" s="1">
        <f t="shared" si="138"/>
        <v>-0.31099999999999994</v>
      </c>
    </row>
    <row r="253" spans="1:66" x14ac:dyDescent="0.2">
      <c r="A253" s="4">
        <f t="shared" si="139"/>
        <v>43713</v>
      </c>
      <c r="B253" s="1">
        <v>248</v>
      </c>
      <c r="C253" s="1">
        <v>12</v>
      </c>
      <c r="D253" s="5">
        <v>13</v>
      </c>
      <c r="E253" s="5">
        <v>23.01</v>
      </c>
      <c r="F253" s="5">
        <v>8.83</v>
      </c>
      <c r="G253" s="5">
        <v>14.36</v>
      </c>
      <c r="H253" s="5">
        <v>53.09</v>
      </c>
      <c r="I253" s="5">
        <v>13.47</v>
      </c>
      <c r="J253" s="5">
        <v>13.59</v>
      </c>
      <c r="K253" s="5">
        <v>11.28</v>
      </c>
      <c r="L253" s="5">
        <v>10.06</v>
      </c>
      <c r="M253" s="5">
        <v>8.48</v>
      </c>
      <c r="N253" s="5">
        <v>20.97</v>
      </c>
      <c r="O253" s="5">
        <v>73.31</v>
      </c>
      <c r="P253" s="5">
        <v>27.01</v>
      </c>
      <c r="Q253" s="5">
        <v>25.22</v>
      </c>
      <c r="R253" s="5">
        <v>19.22</v>
      </c>
      <c r="S253" s="5">
        <v>11.03</v>
      </c>
      <c r="T253" s="5">
        <v>8.58</v>
      </c>
      <c r="U253" s="5">
        <v>8.89</v>
      </c>
      <c r="V253" s="5">
        <v>34.229999999999997</v>
      </c>
      <c r="W253" s="5">
        <v>7.5209999999999999</v>
      </c>
      <c r="X253" s="5">
        <v>7.76</v>
      </c>
      <c r="Y253" s="5">
        <v>8.18</v>
      </c>
      <c r="Z253" s="5">
        <v>9.2200000000000006</v>
      </c>
      <c r="AA253" s="5">
        <v>8.19</v>
      </c>
      <c r="AB253" s="5" t="s">
        <v>99</v>
      </c>
      <c r="AC253" s="5">
        <v>13.02</v>
      </c>
      <c r="AD253" s="5">
        <v>34.28</v>
      </c>
      <c r="AE253" s="5">
        <v>6.5679999999999996</v>
      </c>
      <c r="AF253" s="5">
        <v>22.81</v>
      </c>
      <c r="AG253" s="5">
        <v>8.59</v>
      </c>
      <c r="AI253" s="5" t="s">
        <v>99</v>
      </c>
      <c r="AK253" s="5">
        <v>0</v>
      </c>
      <c r="AN253" s="1">
        <f t="shared" si="122"/>
        <v>73.3</v>
      </c>
      <c r="AO253" s="1">
        <f t="shared" si="123"/>
        <v>53.1</v>
      </c>
      <c r="AP253" s="1">
        <f t="shared" si="124"/>
        <v>34.200000000000003</v>
      </c>
      <c r="AQ253" s="17">
        <f t="shared" si="141"/>
        <v>0.84899999999999998</v>
      </c>
      <c r="AR253" s="22">
        <f t="shared" si="125"/>
        <v>1.633</v>
      </c>
      <c r="AT253" s="19">
        <f t="shared" si="117"/>
        <v>43713</v>
      </c>
      <c r="AU253" s="20">
        <f t="shared" si="118"/>
        <v>248</v>
      </c>
      <c r="AV253" s="1">
        <f t="shared" si="126"/>
        <v>14.4</v>
      </c>
      <c r="AW253" s="1">
        <f t="shared" si="127"/>
        <v>21</v>
      </c>
      <c r="AX253" s="1">
        <f t="shared" si="128"/>
        <v>8.9</v>
      </c>
      <c r="AY253" s="1">
        <f t="shared" si="115"/>
        <v>53.1</v>
      </c>
      <c r="AZ253" s="1">
        <f t="shared" si="116"/>
        <v>34.200000000000003</v>
      </c>
      <c r="BA253" s="1">
        <f t="shared" si="129"/>
        <v>0</v>
      </c>
      <c r="BB253" s="5" t="str">
        <f t="shared" si="130"/>
        <v>NAN</v>
      </c>
      <c r="BC253" s="1">
        <f t="shared" si="119"/>
        <v>13</v>
      </c>
      <c r="BD253" s="1">
        <f t="shared" si="120"/>
        <v>34.299999999999997</v>
      </c>
      <c r="BE253" s="1">
        <f t="shared" si="121"/>
        <v>6.6</v>
      </c>
      <c r="BF253" s="5">
        <f t="shared" si="131"/>
        <v>11.3</v>
      </c>
      <c r="BG253" s="5">
        <f t="shared" si="132"/>
        <v>10.1</v>
      </c>
      <c r="BH253" s="5">
        <f t="shared" si="133"/>
        <v>8.5</v>
      </c>
      <c r="BI253" s="5" t="str">
        <f t="shared" si="134"/>
        <v>NAN</v>
      </c>
      <c r="BJ253" s="10">
        <f t="shared" si="135"/>
        <v>0.84899999999999998</v>
      </c>
      <c r="BK253" s="10">
        <f t="shared" si="136"/>
        <v>1.633</v>
      </c>
      <c r="BM253" s="1">
        <f t="shared" si="137"/>
        <v>13.310000000000002</v>
      </c>
      <c r="BN253" s="1">
        <f t="shared" si="138"/>
        <v>-2.322000000000001</v>
      </c>
    </row>
    <row r="254" spans="1:66" x14ac:dyDescent="0.2">
      <c r="A254" s="4">
        <f t="shared" si="139"/>
        <v>43714</v>
      </c>
      <c r="B254" s="1">
        <v>249</v>
      </c>
      <c r="C254" s="1">
        <v>12</v>
      </c>
      <c r="D254" s="5">
        <v>12.99</v>
      </c>
      <c r="E254" s="5">
        <v>22</v>
      </c>
      <c r="F254" s="5">
        <v>11.43</v>
      </c>
      <c r="G254" s="5">
        <v>14.93</v>
      </c>
      <c r="H254" s="5">
        <v>50.61</v>
      </c>
      <c r="I254" s="5">
        <v>14.46</v>
      </c>
      <c r="J254" s="5">
        <v>14.51</v>
      </c>
      <c r="K254" s="5">
        <v>11.94</v>
      </c>
      <c r="L254" s="5">
        <v>10.67</v>
      </c>
      <c r="M254" s="5">
        <v>8.5399999999999991</v>
      </c>
      <c r="N254" s="5">
        <v>20.23</v>
      </c>
      <c r="O254" s="5">
        <v>83</v>
      </c>
      <c r="P254" s="5">
        <v>25.01</v>
      </c>
      <c r="Q254" s="5">
        <v>24.26</v>
      </c>
      <c r="R254" s="5">
        <v>18.149999999999999</v>
      </c>
      <c r="S254" s="5">
        <v>11.41</v>
      </c>
      <c r="T254" s="5">
        <v>8.69</v>
      </c>
      <c r="U254" s="5">
        <v>10.93</v>
      </c>
      <c r="V254" s="5">
        <v>28.22</v>
      </c>
      <c r="W254" s="5">
        <v>9.9</v>
      </c>
      <c r="X254" s="5">
        <v>9.98</v>
      </c>
      <c r="Y254" s="5">
        <v>10.119999999999999</v>
      </c>
      <c r="Z254" s="5">
        <v>10.11</v>
      </c>
      <c r="AA254" s="5">
        <v>8.3699999999999992</v>
      </c>
      <c r="AB254" s="5" t="s">
        <v>99</v>
      </c>
      <c r="AC254" s="5">
        <v>14.33</v>
      </c>
      <c r="AD254" s="5">
        <v>31.63</v>
      </c>
      <c r="AE254" s="5">
        <v>9.34</v>
      </c>
      <c r="AF254" s="5">
        <v>21.35</v>
      </c>
      <c r="AG254" s="5">
        <v>10.81</v>
      </c>
      <c r="AI254" s="5" t="s">
        <v>99</v>
      </c>
      <c r="AK254" s="5">
        <v>0</v>
      </c>
      <c r="AN254" s="1">
        <f t="shared" si="122"/>
        <v>83</v>
      </c>
      <c r="AO254" s="1">
        <f t="shared" si="123"/>
        <v>50.6</v>
      </c>
      <c r="AP254" s="1">
        <f t="shared" si="124"/>
        <v>28.2</v>
      </c>
      <c r="AQ254" s="17">
        <f t="shared" si="141"/>
        <v>0.66900000000000004</v>
      </c>
      <c r="AR254" s="22">
        <f t="shared" si="125"/>
        <v>1.7030000000000001</v>
      </c>
      <c r="AT254" s="19">
        <f t="shared" si="117"/>
        <v>43714</v>
      </c>
      <c r="AU254" s="20">
        <f t="shared" si="118"/>
        <v>249</v>
      </c>
      <c r="AV254" s="1">
        <f t="shared" si="126"/>
        <v>14.9</v>
      </c>
      <c r="AW254" s="1">
        <f t="shared" si="127"/>
        <v>20.2</v>
      </c>
      <c r="AX254" s="1">
        <f t="shared" si="128"/>
        <v>10.9</v>
      </c>
      <c r="AY254" s="1">
        <f t="shared" si="115"/>
        <v>50.6</v>
      </c>
      <c r="AZ254" s="1">
        <f t="shared" si="116"/>
        <v>28.2</v>
      </c>
      <c r="BA254" s="1">
        <f t="shared" si="129"/>
        <v>0</v>
      </c>
      <c r="BB254" s="5" t="str">
        <f t="shared" si="130"/>
        <v>NAN</v>
      </c>
      <c r="BC254" s="1">
        <f t="shared" si="119"/>
        <v>14.3</v>
      </c>
      <c r="BD254" s="1">
        <f t="shared" si="120"/>
        <v>31.6</v>
      </c>
      <c r="BE254" s="1">
        <f t="shared" si="121"/>
        <v>9.3000000000000007</v>
      </c>
      <c r="BF254" s="5">
        <f t="shared" si="131"/>
        <v>11.9</v>
      </c>
      <c r="BG254" s="5">
        <f t="shared" si="132"/>
        <v>10.7</v>
      </c>
      <c r="BH254" s="5">
        <f t="shared" si="133"/>
        <v>8.5</v>
      </c>
      <c r="BI254" s="5" t="str">
        <f t="shared" si="134"/>
        <v>NAN</v>
      </c>
      <c r="BJ254" s="10">
        <f t="shared" si="135"/>
        <v>0.66900000000000004</v>
      </c>
      <c r="BK254" s="10">
        <f t="shared" si="136"/>
        <v>1.7030000000000001</v>
      </c>
      <c r="BM254" s="1">
        <f t="shared" si="137"/>
        <v>11.399999999999999</v>
      </c>
      <c r="BN254" s="1">
        <f t="shared" si="138"/>
        <v>-1.5899999999999999</v>
      </c>
    </row>
    <row r="255" spans="1:66" x14ac:dyDescent="0.2">
      <c r="A255" s="4">
        <f t="shared" si="139"/>
        <v>43715</v>
      </c>
      <c r="B255" s="1">
        <v>250</v>
      </c>
      <c r="C255" s="1">
        <v>12</v>
      </c>
      <c r="D255" s="5">
        <v>12.97</v>
      </c>
      <c r="E255" s="5">
        <v>19.13</v>
      </c>
      <c r="F255" s="5">
        <v>9.1</v>
      </c>
      <c r="G255" s="5">
        <v>12.85</v>
      </c>
      <c r="H255" s="5">
        <v>74.75</v>
      </c>
      <c r="I255" s="5">
        <v>12.51</v>
      </c>
      <c r="J255" s="5">
        <v>12.51</v>
      </c>
      <c r="K255" s="5">
        <v>11.58</v>
      </c>
      <c r="L255" s="5">
        <v>10.7</v>
      </c>
      <c r="M255" s="5">
        <v>8.65</v>
      </c>
      <c r="N255" s="5">
        <v>19.09</v>
      </c>
      <c r="O255" s="5">
        <v>90.9</v>
      </c>
      <c r="P255" s="5">
        <v>23.05</v>
      </c>
      <c r="Q255" s="5">
        <v>23.04</v>
      </c>
      <c r="R255" s="5">
        <v>15.91</v>
      </c>
      <c r="S255" s="5">
        <v>11.27</v>
      </c>
      <c r="T255" s="5">
        <v>8.76</v>
      </c>
      <c r="U255" s="5">
        <v>9.2200000000000006</v>
      </c>
      <c r="V255" s="5">
        <v>55.17</v>
      </c>
      <c r="W255" s="5">
        <v>8.41</v>
      </c>
      <c r="X255" s="5">
        <v>8.5299999999999994</v>
      </c>
      <c r="Y255" s="5">
        <v>9.35</v>
      </c>
      <c r="Z255" s="5">
        <v>10.06</v>
      </c>
      <c r="AA255" s="5">
        <v>8.5299999999999994</v>
      </c>
      <c r="AB255" s="5" t="s">
        <v>99</v>
      </c>
      <c r="AC255" s="5">
        <v>12.47</v>
      </c>
      <c r="AD255" s="5">
        <v>22.8</v>
      </c>
      <c r="AE255" s="5">
        <v>7.9669999999999996</v>
      </c>
      <c r="AF255" s="5">
        <v>18.96</v>
      </c>
      <c r="AG255" s="5">
        <v>8.93</v>
      </c>
      <c r="AI255" s="5" t="s">
        <v>99</v>
      </c>
      <c r="AK255" s="5">
        <v>0</v>
      </c>
      <c r="AN255" s="1">
        <f t="shared" si="122"/>
        <v>90.9</v>
      </c>
      <c r="AO255" s="1">
        <f t="shared" si="123"/>
        <v>74.8</v>
      </c>
      <c r="AP255" s="1">
        <f t="shared" si="124"/>
        <v>55.2</v>
      </c>
      <c r="AQ255" s="17">
        <f t="shared" si="141"/>
        <v>1.2190000000000001</v>
      </c>
      <c r="AR255" s="22">
        <f t="shared" si="125"/>
        <v>0.98899999999999999</v>
      </c>
      <c r="AT255" s="19">
        <f t="shared" si="117"/>
        <v>43715</v>
      </c>
      <c r="AU255" s="20">
        <f t="shared" si="118"/>
        <v>250</v>
      </c>
      <c r="AV255" s="1">
        <f t="shared" si="126"/>
        <v>12.9</v>
      </c>
      <c r="AW255" s="1">
        <f t="shared" si="127"/>
        <v>19.100000000000001</v>
      </c>
      <c r="AX255" s="1">
        <f t="shared" si="128"/>
        <v>9.1999999999999993</v>
      </c>
      <c r="AY255" s="1">
        <f t="shared" si="115"/>
        <v>74.8</v>
      </c>
      <c r="AZ255" s="1">
        <f t="shared" si="116"/>
        <v>55.2</v>
      </c>
      <c r="BA255" s="1">
        <f t="shared" si="129"/>
        <v>0</v>
      </c>
      <c r="BB255" s="5" t="str">
        <f t="shared" si="130"/>
        <v>NAN</v>
      </c>
      <c r="BC255" s="1">
        <f t="shared" si="119"/>
        <v>12.5</v>
      </c>
      <c r="BD255" s="1">
        <f t="shared" si="120"/>
        <v>22.8</v>
      </c>
      <c r="BE255" s="1">
        <f t="shared" si="121"/>
        <v>8</v>
      </c>
      <c r="BF255" s="5">
        <f t="shared" si="131"/>
        <v>11.6</v>
      </c>
      <c r="BG255" s="5">
        <f t="shared" si="132"/>
        <v>10.7</v>
      </c>
      <c r="BH255" s="5">
        <f t="shared" si="133"/>
        <v>8.6999999999999993</v>
      </c>
      <c r="BI255" s="5" t="str">
        <f t="shared" si="134"/>
        <v>NAN</v>
      </c>
      <c r="BJ255" s="10">
        <f t="shared" si="135"/>
        <v>1.2190000000000001</v>
      </c>
      <c r="BK255" s="10">
        <f t="shared" si="136"/>
        <v>0.98899999999999999</v>
      </c>
      <c r="BM255" s="1">
        <f t="shared" si="137"/>
        <v>3.7100000000000009</v>
      </c>
      <c r="BN255" s="1">
        <f t="shared" si="138"/>
        <v>-1.253000000000001</v>
      </c>
    </row>
    <row r="256" spans="1:66" x14ac:dyDescent="0.2">
      <c r="A256" s="4">
        <f t="shared" si="139"/>
        <v>43716</v>
      </c>
      <c r="B256" s="1">
        <v>251</v>
      </c>
      <c r="C256" s="1">
        <v>12</v>
      </c>
      <c r="D256" s="5">
        <v>12.84</v>
      </c>
      <c r="E256" s="5">
        <v>10.61</v>
      </c>
      <c r="F256" s="5">
        <v>5.548</v>
      </c>
      <c r="G256" s="5">
        <v>7.5529999999999999</v>
      </c>
      <c r="H256" s="5">
        <v>90.3</v>
      </c>
      <c r="I256" s="5">
        <v>7.4169999999999998</v>
      </c>
      <c r="J256" s="5">
        <v>7.3570000000000002</v>
      </c>
      <c r="K256" s="5">
        <v>9.24</v>
      </c>
      <c r="L256" s="5">
        <v>9.98</v>
      </c>
      <c r="M256" s="5">
        <v>8.68</v>
      </c>
      <c r="N256" s="5">
        <v>11.21</v>
      </c>
      <c r="O256" s="5">
        <v>96.8</v>
      </c>
      <c r="P256" s="5">
        <v>10.31</v>
      </c>
      <c r="Q256" s="5">
        <v>10.35</v>
      </c>
      <c r="R256" s="5">
        <v>10.27</v>
      </c>
      <c r="S256" s="5">
        <v>10.91</v>
      </c>
      <c r="T256" s="5">
        <v>8.77</v>
      </c>
      <c r="U256" s="5">
        <v>5.3120000000000003</v>
      </c>
      <c r="V256" s="5">
        <v>62.77</v>
      </c>
      <c r="W256" s="5">
        <v>5.2380000000000004</v>
      </c>
      <c r="X256" s="5">
        <v>5.0579999999999998</v>
      </c>
      <c r="Y256" s="5">
        <v>7.5380000000000003</v>
      </c>
      <c r="Z256" s="5">
        <v>9.27</v>
      </c>
      <c r="AA256" s="5">
        <v>8.57</v>
      </c>
      <c r="AB256" s="5" t="s">
        <v>99</v>
      </c>
      <c r="AC256" s="5">
        <v>7.8929999999999998</v>
      </c>
      <c r="AD256" s="5">
        <v>9.93</v>
      </c>
      <c r="AE256" s="5">
        <v>5.5359999999999996</v>
      </c>
      <c r="AF256" s="5">
        <v>10.52</v>
      </c>
      <c r="AG256" s="5">
        <v>5.12</v>
      </c>
      <c r="AI256" s="5" t="s">
        <v>99</v>
      </c>
      <c r="AK256" s="5">
        <v>0</v>
      </c>
      <c r="AN256" s="1">
        <f t="shared" si="122"/>
        <v>96.8</v>
      </c>
      <c r="AO256" s="1">
        <f t="shared" si="123"/>
        <v>90.3</v>
      </c>
      <c r="AP256" s="1">
        <f t="shared" si="124"/>
        <v>62.8</v>
      </c>
      <c r="AQ256" s="17">
        <f t="shared" si="141"/>
        <v>0.83599999999999997</v>
      </c>
      <c r="AR256" s="22">
        <f t="shared" si="125"/>
        <v>0.495</v>
      </c>
      <c r="AT256" s="19">
        <f t="shared" si="117"/>
        <v>43716</v>
      </c>
      <c r="AU256" s="20">
        <f t="shared" si="118"/>
        <v>251</v>
      </c>
      <c r="AV256" s="1">
        <f t="shared" si="126"/>
        <v>7.6</v>
      </c>
      <c r="AW256" s="1">
        <f t="shared" si="127"/>
        <v>11.2</v>
      </c>
      <c r="AX256" s="1">
        <f t="shared" si="128"/>
        <v>5.3</v>
      </c>
      <c r="AY256" s="1">
        <f t="shared" si="115"/>
        <v>90.3</v>
      </c>
      <c r="AZ256" s="1">
        <f t="shared" si="116"/>
        <v>62.8</v>
      </c>
      <c r="BA256" s="1">
        <f t="shared" si="129"/>
        <v>0</v>
      </c>
      <c r="BB256" s="5" t="str">
        <f t="shared" si="130"/>
        <v>NAN</v>
      </c>
      <c r="BC256" s="1">
        <f t="shared" si="119"/>
        <v>7.9</v>
      </c>
      <c r="BD256" s="1">
        <f t="shared" si="120"/>
        <v>9.9</v>
      </c>
      <c r="BE256" s="1">
        <f t="shared" si="121"/>
        <v>5.5</v>
      </c>
      <c r="BF256" s="5">
        <f t="shared" si="131"/>
        <v>9.1999999999999993</v>
      </c>
      <c r="BG256" s="5">
        <f t="shared" si="132"/>
        <v>10</v>
      </c>
      <c r="BH256" s="5">
        <f t="shared" si="133"/>
        <v>8.6999999999999993</v>
      </c>
      <c r="BI256" s="5" t="str">
        <f t="shared" si="134"/>
        <v>NAN</v>
      </c>
      <c r="BJ256" s="10">
        <f t="shared" si="135"/>
        <v>0.83599999999999997</v>
      </c>
      <c r="BK256" s="10">
        <f t="shared" si="136"/>
        <v>0.495</v>
      </c>
      <c r="BM256" s="1">
        <f t="shared" si="137"/>
        <v>-1.2800000000000011</v>
      </c>
      <c r="BN256" s="1">
        <f t="shared" si="138"/>
        <v>0.22399999999999931</v>
      </c>
    </row>
    <row r="257" spans="1:66" x14ac:dyDescent="0.2">
      <c r="A257" s="4">
        <f t="shared" si="139"/>
        <v>43717</v>
      </c>
      <c r="B257" s="1">
        <v>252</v>
      </c>
      <c r="C257" s="1">
        <v>12</v>
      </c>
      <c r="D257" s="5">
        <v>12.85</v>
      </c>
      <c r="E257" s="5">
        <v>9.39</v>
      </c>
      <c r="F257" s="5">
        <v>3.9780000000000002</v>
      </c>
      <c r="G257" s="5">
        <v>5.38</v>
      </c>
      <c r="H257" s="5">
        <v>93.5</v>
      </c>
      <c r="I257" s="5">
        <v>5.3319999999999999</v>
      </c>
      <c r="J257" s="5">
        <v>5.25</v>
      </c>
      <c r="K257" s="5">
        <v>7.1740000000000004</v>
      </c>
      <c r="L257" s="5">
        <v>8.4700000000000006</v>
      </c>
      <c r="M257" s="5">
        <v>8.39</v>
      </c>
      <c r="N257" s="5">
        <v>9.59</v>
      </c>
      <c r="O257" s="5">
        <v>96.7</v>
      </c>
      <c r="P257" s="5">
        <v>10.45</v>
      </c>
      <c r="Q257" s="5">
        <v>10.039999999999999</v>
      </c>
      <c r="R257" s="5">
        <v>10.18</v>
      </c>
      <c r="S257" s="5">
        <v>9.3699999999999992</v>
      </c>
      <c r="T257" s="5">
        <v>8.68</v>
      </c>
      <c r="U257" s="5">
        <v>3.69</v>
      </c>
      <c r="V257" s="5">
        <v>69.53</v>
      </c>
      <c r="W257" s="5">
        <v>3.5369999999999999</v>
      </c>
      <c r="X257" s="5">
        <v>3.5369999999999999</v>
      </c>
      <c r="Y257" s="5">
        <v>5.56</v>
      </c>
      <c r="Z257" s="5">
        <v>7.5759999999999996</v>
      </c>
      <c r="AA257" s="5">
        <v>7.8730000000000002</v>
      </c>
      <c r="AB257" s="5" t="s">
        <v>99</v>
      </c>
      <c r="AC257" s="5">
        <v>5.8040000000000003</v>
      </c>
      <c r="AD257" s="5">
        <v>11.82</v>
      </c>
      <c r="AE257" s="5">
        <v>1.2949999999999999</v>
      </c>
      <c r="AF257" s="5">
        <v>9.11</v>
      </c>
      <c r="AG257" s="5">
        <v>3.52</v>
      </c>
      <c r="AI257" s="5" t="s">
        <v>99</v>
      </c>
      <c r="AK257" s="5">
        <v>0</v>
      </c>
      <c r="AN257" s="1">
        <f t="shared" si="122"/>
        <v>96.7</v>
      </c>
      <c r="AO257" s="1">
        <f t="shared" si="123"/>
        <v>93.5</v>
      </c>
      <c r="AP257" s="1">
        <f t="shared" si="124"/>
        <v>69.5</v>
      </c>
      <c r="AQ257" s="17">
        <f t="shared" si="141"/>
        <v>0.83</v>
      </c>
      <c r="AR257" s="22">
        <f t="shared" si="125"/>
        <v>0.36399999999999999</v>
      </c>
      <c r="AT257" s="19">
        <f t="shared" si="117"/>
        <v>43717</v>
      </c>
      <c r="AU257" s="20">
        <f t="shared" si="118"/>
        <v>252</v>
      </c>
      <c r="AV257" s="1">
        <f t="shared" si="126"/>
        <v>5.4</v>
      </c>
      <c r="AW257" s="1">
        <f t="shared" si="127"/>
        <v>9.6</v>
      </c>
      <c r="AX257" s="1">
        <f t="shared" si="128"/>
        <v>3.7</v>
      </c>
      <c r="AY257" s="1">
        <f t="shared" si="115"/>
        <v>93.5</v>
      </c>
      <c r="AZ257" s="1">
        <f t="shared" si="116"/>
        <v>69.5</v>
      </c>
      <c r="BA257" s="1">
        <f t="shared" si="129"/>
        <v>0</v>
      </c>
      <c r="BB257" s="5" t="str">
        <f t="shared" si="130"/>
        <v>NAN</v>
      </c>
      <c r="BC257" s="1">
        <f t="shared" si="119"/>
        <v>5.8</v>
      </c>
      <c r="BD257" s="1">
        <f t="shared" si="120"/>
        <v>11.8</v>
      </c>
      <c r="BE257" s="1">
        <f t="shared" si="121"/>
        <v>1.3</v>
      </c>
      <c r="BF257" s="5">
        <f t="shared" si="131"/>
        <v>7.2</v>
      </c>
      <c r="BG257" s="5">
        <f t="shared" si="132"/>
        <v>8.5</v>
      </c>
      <c r="BH257" s="5">
        <f t="shared" si="133"/>
        <v>8.4</v>
      </c>
      <c r="BI257" s="5" t="str">
        <f t="shared" si="134"/>
        <v>NAN</v>
      </c>
      <c r="BJ257" s="10">
        <f t="shared" si="135"/>
        <v>0.83</v>
      </c>
      <c r="BK257" s="10">
        <f t="shared" si="136"/>
        <v>0.36399999999999999</v>
      </c>
      <c r="BM257" s="1">
        <f t="shared" si="137"/>
        <v>2.2300000000000004</v>
      </c>
      <c r="BN257" s="1">
        <f t="shared" si="138"/>
        <v>-2.395</v>
      </c>
    </row>
    <row r="258" spans="1:66" x14ac:dyDescent="0.2">
      <c r="A258" s="4">
        <f t="shared" si="139"/>
        <v>43718</v>
      </c>
      <c r="B258" s="1">
        <v>253</v>
      </c>
      <c r="C258" s="1">
        <v>12</v>
      </c>
      <c r="D258" s="5">
        <v>13.02</v>
      </c>
      <c r="E258" s="5">
        <v>10.45</v>
      </c>
      <c r="F258" s="5">
        <v>4.1500000000000004</v>
      </c>
      <c r="G258" s="5">
        <v>5.9850000000000003</v>
      </c>
      <c r="H258" s="5">
        <v>93.8</v>
      </c>
      <c r="I258" s="5">
        <v>6.01</v>
      </c>
      <c r="J258" s="5">
        <v>5.8840000000000003</v>
      </c>
      <c r="K258" s="5">
        <v>7.3179999999999996</v>
      </c>
      <c r="L258" s="5">
        <v>7.61</v>
      </c>
      <c r="M258" s="5">
        <v>7.9359999999999999</v>
      </c>
      <c r="N258" s="5">
        <v>9.7899999999999991</v>
      </c>
      <c r="O258" s="5">
        <v>97.2</v>
      </c>
      <c r="P258" s="5">
        <v>13.97</v>
      </c>
      <c r="Q258" s="5">
        <v>12.05</v>
      </c>
      <c r="R258" s="5">
        <v>12.11</v>
      </c>
      <c r="S258" s="5">
        <v>8.1300000000000008</v>
      </c>
      <c r="T258" s="5">
        <v>8.0399999999999991</v>
      </c>
      <c r="U258" s="5">
        <v>4.399</v>
      </c>
      <c r="V258" s="5">
        <v>72.67</v>
      </c>
      <c r="W258" s="5">
        <v>4.2729999999999997</v>
      </c>
      <c r="X258" s="5">
        <v>4.2610000000000001</v>
      </c>
      <c r="Y258" s="5">
        <v>5.6890000000000001</v>
      </c>
      <c r="Z258" s="5">
        <v>7.21</v>
      </c>
      <c r="AA258" s="5">
        <v>7.75</v>
      </c>
      <c r="AB258" s="5" t="s">
        <v>99</v>
      </c>
      <c r="AC258" s="5">
        <v>6.7690000000000001</v>
      </c>
      <c r="AD258" s="5">
        <v>19.940000000000001</v>
      </c>
      <c r="AE258" s="5">
        <v>4.4210000000000003</v>
      </c>
      <c r="AF258" s="5">
        <v>9.44</v>
      </c>
      <c r="AG258" s="5">
        <v>4.1609999999999996</v>
      </c>
      <c r="AI258" s="5" t="s">
        <v>99</v>
      </c>
      <c r="AK258" s="5">
        <v>0</v>
      </c>
      <c r="AN258" s="1">
        <f t="shared" si="122"/>
        <v>97.2</v>
      </c>
      <c r="AO258" s="1">
        <f t="shared" si="123"/>
        <v>93.8</v>
      </c>
      <c r="AP258" s="1">
        <f t="shared" si="124"/>
        <v>72.7</v>
      </c>
      <c r="AQ258" s="17">
        <f t="shared" si="141"/>
        <v>0.88</v>
      </c>
      <c r="AR258" s="22">
        <f t="shared" si="125"/>
        <v>0.33</v>
      </c>
      <c r="AT258" s="19">
        <f t="shared" si="117"/>
        <v>43718</v>
      </c>
      <c r="AU258" s="20">
        <f t="shared" si="118"/>
        <v>253</v>
      </c>
      <c r="AV258" s="1">
        <f t="shared" si="126"/>
        <v>6</v>
      </c>
      <c r="AW258" s="1">
        <f t="shared" si="127"/>
        <v>9.8000000000000007</v>
      </c>
      <c r="AX258" s="1">
        <f t="shared" si="128"/>
        <v>4.4000000000000004</v>
      </c>
      <c r="AY258" s="1">
        <f t="shared" si="115"/>
        <v>93.8</v>
      </c>
      <c r="AZ258" s="1">
        <f t="shared" si="116"/>
        <v>72.7</v>
      </c>
      <c r="BA258" s="1">
        <f t="shared" si="129"/>
        <v>0</v>
      </c>
      <c r="BB258" s="5" t="str">
        <f t="shared" si="130"/>
        <v>NAN</v>
      </c>
      <c r="BC258" s="1">
        <f t="shared" si="119"/>
        <v>6.8</v>
      </c>
      <c r="BD258" s="1">
        <f t="shared" si="120"/>
        <v>19.899999999999999</v>
      </c>
      <c r="BE258" s="1">
        <f t="shared" si="121"/>
        <v>4.4000000000000004</v>
      </c>
      <c r="BF258" s="5">
        <f t="shared" si="131"/>
        <v>7.3</v>
      </c>
      <c r="BG258" s="5">
        <f t="shared" si="132"/>
        <v>7.6</v>
      </c>
      <c r="BH258" s="5">
        <f t="shared" si="133"/>
        <v>7.9</v>
      </c>
      <c r="BI258" s="5" t="str">
        <f t="shared" si="134"/>
        <v>NAN</v>
      </c>
      <c r="BJ258" s="10">
        <f t="shared" si="135"/>
        <v>0.88</v>
      </c>
      <c r="BK258" s="10">
        <f t="shared" si="136"/>
        <v>0.33</v>
      </c>
      <c r="BM258" s="1">
        <f t="shared" si="137"/>
        <v>10.150000000000002</v>
      </c>
      <c r="BN258" s="1">
        <f t="shared" si="138"/>
        <v>2.2000000000000242E-2</v>
      </c>
    </row>
    <row r="259" spans="1:66" x14ac:dyDescent="0.2">
      <c r="A259" s="4">
        <f t="shared" si="139"/>
        <v>43719</v>
      </c>
      <c r="B259" s="1">
        <v>254</v>
      </c>
      <c r="C259" s="1">
        <v>12</v>
      </c>
      <c r="D259" s="5">
        <v>13.01</v>
      </c>
      <c r="E259" s="5">
        <v>10.81</v>
      </c>
      <c r="F259" s="5">
        <v>5.3769999999999998</v>
      </c>
      <c r="G259" s="5">
        <v>7.3239999999999998</v>
      </c>
      <c r="H259" s="5">
        <v>88.4</v>
      </c>
      <c r="I259" s="5">
        <v>7.2450000000000001</v>
      </c>
      <c r="J259" s="5">
        <v>7.0960000000000001</v>
      </c>
      <c r="K259" s="5">
        <v>8.0399999999999991</v>
      </c>
      <c r="L259" s="5">
        <v>7.8760000000000003</v>
      </c>
      <c r="M259" s="5">
        <v>7.9029999999999996</v>
      </c>
      <c r="N259" s="5">
        <v>10.77</v>
      </c>
      <c r="O259" s="5">
        <v>96.9</v>
      </c>
      <c r="P259" s="5">
        <v>14.52</v>
      </c>
      <c r="Q259" s="5">
        <v>12.3</v>
      </c>
      <c r="R259" s="5">
        <v>11.07</v>
      </c>
      <c r="S259" s="5">
        <v>8.43</v>
      </c>
      <c r="T259" s="5">
        <v>7.9969999999999999</v>
      </c>
      <c r="U259" s="5">
        <v>5.0410000000000004</v>
      </c>
      <c r="V259" s="5">
        <v>60.94</v>
      </c>
      <c r="W259" s="5">
        <v>4.9589999999999996</v>
      </c>
      <c r="X259" s="5">
        <v>4.8310000000000004</v>
      </c>
      <c r="Y259" s="5">
        <v>6.4009999999999998</v>
      </c>
      <c r="Z259" s="5">
        <v>7.44</v>
      </c>
      <c r="AA259" s="5">
        <v>7.7539999999999996</v>
      </c>
      <c r="AB259" s="5" t="s">
        <v>99</v>
      </c>
      <c r="AC259" s="5">
        <v>7.7560000000000002</v>
      </c>
      <c r="AD259" s="5">
        <v>17.600000000000001</v>
      </c>
      <c r="AE259" s="5">
        <v>5.2460000000000004</v>
      </c>
      <c r="AF259" s="5">
        <v>10.15</v>
      </c>
      <c r="AG259" s="5">
        <v>4.8470000000000004</v>
      </c>
      <c r="AI259" s="5" t="s">
        <v>99</v>
      </c>
      <c r="AK259" s="5">
        <v>0</v>
      </c>
      <c r="AN259" s="1">
        <f t="shared" si="122"/>
        <v>96.9</v>
      </c>
      <c r="AO259" s="1">
        <f t="shared" si="123"/>
        <v>88.4</v>
      </c>
      <c r="AP259" s="1">
        <f t="shared" si="124"/>
        <v>60.9</v>
      </c>
      <c r="AQ259" s="17">
        <f t="shared" si="141"/>
        <v>0.78700000000000003</v>
      </c>
      <c r="AR259" s="22">
        <f t="shared" si="125"/>
        <v>0.505</v>
      </c>
      <c r="AT259" s="19">
        <f t="shared" si="117"/>
        <v>43719</v>
      </c>
      <c r="AU259" s="20">
        <f t="shared" si="118"/>
        <v>254</v>
      </c>
      <c r="AV259" s="1">
        <f t="shared" si="126"/>
        <v>7.3</v>
      </c>
      <c r="AW259" s="1">
        <f t="shared" si="127"/>
        <v>10.8</v>
      </c>
      <c r="AX259" s="1">
        <f t="shared" si="128"/>
        <v>5</v>
      </c>
      <c r="AY259" s="1">
        <f t="shared" si="115"/>
        <v>88.4</v>
      </c>
      <c r="AZ259" s="1">
        <f t="shared" si="116"/>
        <v>60.9</v>
      </c>
      <c r="BA259" s="1">
        <f t="shared" si="129"/>
        <v>0</v>
      </c>
      <c r="BB259" s="5" t="str">
        <f t="shared" si="130"/>
        <v>NAN</v>
      </c>
      <c r="BC259" s="1">
        <f t="shared" si="119"/>
        <v>7.8</v>
      </c>
      <c r="BD259" s="1">
        <f t="shared" si="120"/>
        <v>17.600000000000001</v>
      </c>
      <c r="BE259" s="1">
        <f t="shared" si="121"/>
        <v>5.2</v>
      </c>
      <c r="BF259" s="5">
        <f t="shared" si="131"/>
        <v>8</v>
      </c>
      <c r="BG259" s="5">
        <f t="shared" si="132"/>
        <v>7.9</v>
      </c>
      <c r="BH259" s="5">
        <f t="shared" si="133"/>
        <v>7.9</v>
      </c>
      <c r="BI259" s="5" t="str">
        <f t="shared" si="134"/>
        <v>NAN</v>
      </c>
      <c r="BJ259" s="10">
        <f t="shared" si="135"/>
        <v>0.78700000000000003</v>
      </c>
      <c r="BK259" s="10">
        <f t="shared" si="136"/>
        <v>0.505</v>
      </c>
      <c r="BM259" s="1">
        <f t="shared" si="137"/>
        <v>6.8300000000000018</v>
      </c>
      <c r="BN259" s="1">
        <f t="shared" si="138"/>
        <v>0.20500000000000007</v>
      </c>
    </row>
    <row r="260" spans="1:66" x14ac:dyDescent="0.2">
      <c r="A260" s="4">
        <f t="shared" si="139"/>
        <v>43720</v>
      </c>
      <c r="B260" s="1">
        <v>255</v>
      </c>
      <c r="C260" s="1">
        <v>12</v>
      </c>
      <c r="D260" s="5">
        <v>13.01</v>
      </c>
      <c r="E260" s="5">
        <v>13.78</v>
      </c>
      <c r="F260" s="5">
        <v>5.5910000000000002</v>
      </c>
      <c r="G260" s="5">
        <v>8.48</v>
      </c>
      <c r="H260" s="5">
        <v>80.8</v>
      </c>
      <c r="I260" s="5">
        <v>8.25</v>
      </c>
      <c r="J260" s="5">
        <v>8.18</v>
      </c>
      <c r="K260" s="5">
        <v>8.32</v>
      </c>
      <c r="L260" s="5">
        <v>8.15</v>
      </c>
      <c r="M260" s="5">
        <v>7.8840000000000003</v>
      </c>
      <c r="N260" s="5">
        <v>13.02</v>
      </c>
      <c r="O260" s="5">
        <v>95.6</v>
      </c>
      <c r="P260" s="5">
        <v>14.94</v>
      </c>
      <c r="Q260" s="5">
        <v>14.16</v>
      </c>
      <c r="R260" s="5">
        <v>11.37</v>
      </c>
      <c r="S260" s="5">
        <v>8.6300000000000008</v>
      </c>
      <c r="T260" s="5">
        <v>7.9720000000000004</v>
      </c>
      <c r="U260" s="5">
        <v>5.6829999999999998</v>
      </c>
      <c r="V260" s="5">
        <v>53.46</v>
      </c>
      <c r="W260" s="5">
        <v>5.0759999999999996</v>
      </c>
      <c r="X260" s="5">
        <v>5.0419999999999998</v>
      </c>
      <c r="Y260" s="5">
        <v>6.2969999999999997</v>
      </c>
      <c r="Z260" s="5">
        <v>7.7009999999999996</v>
      </c>
      <c r="AA260" s="5">
        <v>7.7309999999999999</v>
      </c>
      <c r="AB260" s="5" t="s">
        <v>99</v>
      </c>
      <c r="AC260" s="5">
        <v>8.07</v>
      </c>
      <c r="AD260" s="5">
        <v>15.11</v>
      </c>
      <c r="AE260" s="5">
        <v>4.8259999999999996</v>
      </c>
      <c r="AF260" s="5">
        <v>13.19</v>
      </c>
      <c r="AG260" s="5">
        <v>5.2949999999999999</v>
      </c>
      <c r="AI260" s="5" t="s">
        <v>99</v>
      </c>
      <c r="AK260" s="5">
        <v>0</v>
      </c>
      <c r="AN260" s="1">
        <f t="shared" si="122"/>
        <v>95.6</v>
      </c>
      <c r="AO260" s="1">
        <f t="shared" si="123"/>
        <v>80.8</v>
      </c>
      <c r="AP260" s="1">
        <f t="shared" si="124"/>
        <v>53.5</v>
      </c>
      <c r="AQ260" s="17">
        <f t="shared" si="141"/>
        <v>0.80200000000000005</v>
      </c>
      <c r="AR260" s="22">
        <f t="shared" si="125"/>
        <v>0.69699999999999995</v>
      </c>
      <c r="AT260" s="19">
        <f t="shared" si="117"/>
        <v>43720</v>
      </c>
      <c r="AU260" s="20">
        <f t="shared" si="118"/>
        <v>255</v>
      </c>
      <c r="AV260" s="1">
        <f t="shared" si="126"/>
        <v>8.5</v>
      </c>
      <c r="AW260" s="1">
        <f t="shared" si="127"/>
        <v>13</v>
      </c>
      <c r="AX260" s="1">
        <f t="shared" si="128"/>
        <v>5.7</v>
      </c>
      <c r="AY260" s="1">
        <f t="shared" si="115"/>
        <v>80.8</v>
      </c>
      <c r="AZ260" s="1">
        <f t="shared" si="116"/>
        <v>53.5</v>
      </c>
      <c r="BA260" s="1">
        <f t="shared" si="129"/>
        <v>0</v>
      </c>
      <c r="BB260" s="5" t="str">
        <f t="shared" si="130"/>
        <v>NAN</v>
      </c>
      <c r="BC260" s="1">
        <f t="shared" si="119"/>
        <v>8.1</v>
      </c>
      <c r="BD260" s="1">
        <f t="shared" si="120"/>
        <v>15.1</v>
      </c>
      <c r="BE260" s="1">
        <f t="shared" si="121"/>
        <v>4.8</v>
      </c>
      <c r="BF260" s="5">
        <f t="shared" si="131"/>
        <v>8.3000000000000007</v>
      </c>
      <c r="BG260" s="5">
        <f t="shared" si="132"/>
        <v>8.1999999999999993</v>
      </c>
      <c r="BH260" s="5">
        <f t="shared" si="133"/>
        <v>7.9</v>
      </c>
      <c r="BI260" s="5" t="str">
        <f t="shared" si="134"/>
        <v>NAN</v>
      </c>
      <c r="BJ260" s="10">
        <f t="shared" si="135"/>
        <v>0.80200000000000005</v>
      </c>
      <c r="BK260" s="10">
        <f t="shared" si="136"/>
        <v>0.69699999999999995</v>
      </c>
      <c r="BM260" s="1">
        <f t="shared" si="137"/>
        <v>2.09</v>
      </c>
      <c r="BN260" s="1">
        <f t="shared" si="138"/>
        <v>-0.85700000000000021</v>
      </c>
    </row>
    <row r="261" spans="1:66" x14ac:dyDescent="0.2">
      <c r="A261" s="4">
        <f t="shared" si="139"/>
        <v>43721</v>
      </c>
      <c r="B261" s="1">
        <v>256</v>
      </c>
      <c r="C261" s="1">
        <v>12</v>
      </c>
      <c r="D261" s="5">
        <v>12.98</v>
      </c>
      <c r="E261" s="5">
        <v>9.2799999999999994</v>
      </c>
      <c r="F261" s="5">
        <v>4.665</v>
      </c>
      <c r="G261" s="5">
        <v>6.4630000000000001</v>
      </c>
      <c r="H261" s="5">
        <v>82.2</v>
      </c>
      <c r="I261" s="5">
        <v>6.3040000000000003</v>
      </c>
      <c r="J261" s="5">
        <v>6.2439999999999998</v>
      </c>
      <c r="K261" s="5">
        <v>7.2519999999999998</v>
      </c>
      <c r="L261" s="5">
        <v>8.01</v>
      </c>
      <c r="M261" s="5">
        <v>7.8710000000000004</v>
      </c>
      <c r="N261" s="5">
        <v>9.6999999999999993</v>
      </c>
      <c r="O261" s="5">
        <v>95</v>
      </c>
      <c r="P261" s="5">
        <v>13.11</v>
      </c>
      <c r="Q261" s="5">
        <v>12.48</v>
      </c>
      <c r="R261" s="5">
        <v>9.51</v>
      </c>
      <c r="S261" s="5">
        <v>8.49</v>
      </c>
      <c r="T261" s="5">
        <v>7.9649999999999999</v>
      </c>
      <c r="U261" s="5">
        <v>4.3319999999999999</v>
      </c>
      <c r="V261" s="5">
        <v>65.17</v>
      </c>
      <c r="W261" s="5">
        <v>3.956</v>
      </c>
      <c r="X261" s="5">
        <v>3.879</v>
      </c>
      <c r="Y261" s="5">
        <v>5.7359999999999998</v>
      </c>
      <c r="Z261" s="5">
        <v>7.6970000000000001</v>
      </c>
      <c r="AA261" s="5">
        <v>7.7629999999999999</v>
      </c>
      <c r="AB261" s="5" t="s">
        <v>99</v>
      </c>
      <c r="AC261" s="5">
        <v>6.242</v>
      </c>
      <c r="AD261" s="5">
        <v>12.41</v>
      </c>
      <c r="AE261" s="5">
        <v>3.3820000000000001</v>
      </c>
      <c r="AF261" s="5">
        <v>9.36</v>
      </c>
      <c r="AG261" s="5">
        <v>4.226</v>
      </c>
      <c r="AI261" s="5" t="s">
        <v>99</v>
      </c>
      <c r="AK261" s="5">
        <v>0</v>
      </c>
      <c r="AN261" s="1">
        <f t="shared" si="122"/>
        <v>95</v>
      </c>
      <c r="AO261" s="1">
        <f t="shared" si="123"/>
        <v>82.2</v>
      </c>
      <c r="AP261" s="1">
        <f t="shared" si="124"/>
        <v>65.2</v>
      </c>
      <c r="AQ261" s="17">
        <f t="shared" si="141"/>
        <v>0.78400000000000003</v>
      </c>
      <c r="AR261" s="22">
        <f t="shared" si="125"/>
        <v>0.41799999999999998</v>
      </c>
      <c r="AT261" s="19">
        <f t="shared" si="117"/>
        <v>43721</v>
      </c>
      <c r="AU261" s="20">
        <f t="shared" si="118"/>
        <v>256</v>
      </c>
      <c r="AV261" s="1">
        <f t="shared" si="126"/>
        <v>6.5</v>
      </c>
      <c r="AW261" s="1">
        <f t="shared" si="127"/>
        <v>9.6999999999999993</v>
      </c>
      <c r="AX261" s="1">
        <f t="shared" si="128"/>
        <v>4.3</v>
      </c>
      <c r="AY261" s="1">
        <f t="shared" ref="AY261:AY293" si="142">AO261</f>
        <v>82.2</v>
      </c>
      <c r="AZ261" s="1">
        <f t="shared" ref="AZ261:AZ293" si="143">AP261</f>
        <v>65.2</v>
      </c>
      <c r="BA261" s="1">
        <f t="shared" si="129"/>
        <v>0</v>
      </c>
      <c r="BB261" s="5" t="str">
        <f t="shared" si="130"/>
        <v>NAN</v>
      </c>
      <c r="BC261" s="1">
        <f t="shared" si="119"/>
        <v>6.2</v>
      </c>
      <c r="BD261" s="1">
        <f t="shared" si="120"/>
        <v>12.4</v>
      </c>
      <c r="BE261" s="1">
        <f t="shared" si="121"/>
        <v>3.4</v>
      </c>
      <c r="BF261" s="5">
        <f t="shared" si="131"/>
        <v>7.3</v>
      </c>
      <c r="BG261" s="5">
        <f t="shared" si="132"/>
        <v>8</v>
      </c>
      <c r="BH261" s="5">
        <f t="shared" si="133"/>
        <v>7.9</v>
      </c>
      <c r="BI261" s="5" t="str">
        <f t="shared" si="134"/>
        <v>NAN</v>
      </c>
      <c r="BJ261" s="10">
        <f t="shared" si="135"/>
        <v>0.78400000000000003</v>
      </c>
      <c r="BK261" s="10">
        <f t="shared" si="136"/>
        <v>0.41799999999999998</v>
      </c>
      <c r="BM261" s="1">
        <f t="shared" si="137"/>
        <v>2.7100000000000009</v>
      </c>
      <c r="BN261" s="1">
        <f t="shared" si="138"/>
        <v>-0.94999999999999973</v>
      </c>
    </row>
    <row r="262" spans="1:66" x14ac:dyDescent="0.2">
      <c r="A262" s="4">
        <f t="shared" si="139"/>
        <v>43722</v>
      </c>
      <c r="B262" s="1">
        <v>257</v>
      </c>
      <c r="C262" s="1">
        <v>12</v>
      </c>
      <c r="D262" s="5">
        <v>12.87</v>
      </c>
      <c r="E262" s="5">
        <v>8.8800000000000008</v>
      </c>
      <c r="F262" s="5">
        <v>4.859</v>
      </c>
      <c r="G262" s="5">
        <v>5.9960000000000004</v>
      </c>
      <c r="H262" s="5">
        <v>92.1</v>
      </c>
      <c r="I262" s="5">
        <v>5.9539999999999997</v>
      </c>
      <c r="J262" s="5">
        <v>5.8879999999999999</v>
      </c>
      <c r="K262" s="5">
        <v>7.2229999999999999</v>
      </c>
      <c r="L262" s="5">
        <v>7.6710000000000003</v>
      </c>
      <c r="M262" s="5">
        <v>7.782</v>
      </c>
      <c r="N262" s="5">
        <v>8.68</v>
      </c>
      <c r="O262" s="5">
        <v>97.5</v>
      </c>
      <c r="P262" s="5">
        <v>9.23</v>
      </c>
      <c r="Q262" s="5">
        <v>9.1199999999999992</v>
      </c>
      <c r="R262" s="5">
        <v>9.1999999999999993</v>
      </c>
      <c r="S262" s="5">
        <v>7.9969999999999999</v>
      </c>
      <c r="T262" s="5">
        <v>7.9059999999999997</v>
      </c>
      <c r="U262" s="5">
        <v>4.6360000000000001</v>
      </c>
      <c r="V262" s="5">
        <v>77.03</v>
      </c>
      <c r="W262" s="5">
        <v>4.532</v>
      </c>
      <c r="X262" s="5">
        <v>4.4870000000000001</v>
      </c>
      <c r="Y262" s="5">
        <v>6.1120000000000001</v>
      </c>
      <c r="Z262" s="5">
        <v>7.3609999999999998</v>
      </c>
      <c r="AA262" s="5">
        <v>7.6520000000000001</v>
      </c>
      <c r="AB262" s="5" t="s">
        <v>99</v>
      </c>
      <c r="AC262" s="5">
        <v>6.383</v>
      </c>
      <c r="AD262" s="5">
        <v>10.26</v>
      </c>
      <c r="AE262" s="5">
        <v>4.5609999999999999</v>
      </c>
      <c r="AF262" s="5">
        <v>8.36</v>
      </c>
      <c r="AG262" s="5">
        <v>4.4859999999999998</v>
      </c>
      <c r="AI262" s="5" t="s">
        <v>99</v>
      </c>
      <c r="AK262" s="5">
        <v>0</v>
      </c>
      <c r="AN262" s="1">
        <f t="shared" si="122"/>
        <v>97.5</v>
      </c>
      <c r="AO262" s="1">
        <f t="shared" si="123"/>
        <v>92.1</v>
      </c>
      <c r="AP262" s="1">
        <f t="shared" si="124"/>
        <v>77</v>
      </c>
      <c r="AQ262" s="17">
        <f t="shared" si="141"/>
        <v>0.86499999999999999</v>
      </c>
      <c r="AR262" s="22">
        <f t="shared" si="125"/>
        <v>0.25800000000000001</v>
      </c>
      <c r="AT262" s="19">
        <f t="shared" ref="AT262:AT325" si="144">A262</f>
        <v>43722</v>
      </c>
      <c r="AU262" s="20">
        <f t="shared" ref="AU262:AU325" si="145">B262</f>
        <v>257</v>
      </c>
      <c r="AV262" s="1">
        <f t="shared" si="126"/>
        <v>6</v>
      </c>
      <c r="AW262" s="1">
        <f t="shared" si="127"/>
        <v>8.6999999999999993</v>
      </c>
      <c r="AX262" s="1">
        <f t="shared" si="128"/>
        <v>4.5999999999999996</v>
      </c>
      <c r="AY262" s="1">
        <f t="shared" si="142"/>
        <v>92.1</v>
      </c>
      <c r="AZ262" s="1">
        <f t="shared" si="143"/>
        <v>77</v>
      </c>
      <c r="BA262" s="1">
        <f t="shared" si="129"/>
        <v>0</v>
      </c>
      <c r="BB262" s="5" t="str">
        <f t="shared" si="130"/>
        <v>NAN</v>
      </c>
      <c r="BC262" s="1">
        <f t="shared" ref="BC262:BC325" si="146">ROUND(AC262,1)</f>
        <v>6.4</v>
      </c>
      <c r="BD262" s="1">
        <f t="shared" ref="BD262:BD325" si="147">ROUND(AD262,1)</f>
        <v>10.3</v>
      </c>
      <c r="BE262" s="1">
        <f t="shared" ref="BE262:BE325" si="148">ROUND(AE262,1)</f>
        <v>4.5999999999999996</v>
      </c>
      <c r="BF262" s="5">
        <f t="shared" si="131"/>
        <v>7.2</v>
      </c>
      <c r="BG262" s="5">
        <f t="shared" si="132"/>
        <v>7.7</v>
      </c>
      <c r="BH262" s="5">
        <f t="shared" si="133"/>
        <v>7.8</v>
      </c>
      <c r="BI262" s="5" t="str">
        <f t="shared" si="134"/>
        <v>NAN</v>
      </c>
      <c r="BJ262" s="10">
        <f t="shared" si="135"/>
        <v>0.86499999999999999</v>
      </c>
      <c r="BK262" s="10">
        <f t="shared" si="136"/>
        <v>0.25800000000000001</v>
      </c>
      <c r="BM262" s="1">
        <f t="shared" si="137"/>
        <v>1.58</v>
      </c>
      <c r="BN262" s="1">
        <f t="shared" si="138"/>
        <v>-7.5000000000000178E-2</v>
      </c>
    </row>
    <row r="263" spans="1:66" x14ac:dyDescent="0.2">
      <c r="A263" s="4">
        <f t="shared" si="139"/>
        <v>43723</v>
      </c>
      <c r="B263" s="1">
        <v>258</v>
      </c>
      <c r="C263" s="1">
        <v>12</v>
      </c>
      <c r="D263" s="5">
        <v>12.84</v>
      </c>
      <c r="E263" s="5">
        <v>6.0679999999999996</v>
      </c>
      <c r="F263" s="5">
        <v>3.3769999999999998</v>
      </c>
      <c r="G263" s="5">
        <v>4.8019999999999996</v>
      </c>
      <c r="H263" s="5">
        <v>97.2</v>
      </c>
      <c r="I263" s="5">
        <v>4.8259999999999996</v>
      </c>
      <c r="J263" s="5">
        <v>4.7809999999999997</v>
      </c>
      <c r="K263" s="5">
        <v>6.26</v>
      </c>
      <c r="L263" s="5">
        <v>7.2830000000000004</v>
      </c>
      <c r="M263" s="5">
        <v>7.625</v>
      </c>
      <c r="N263" s="5">
        <v>6.1559999999999997</v>
      </c>
      <c r="O263" s="5">
        <v>97.9</v>
      </c>
      <c r="P263" s="5">
        <v>6.38</v>
      </c>
      <c r="Q263" s="5">
        <v>6.335</v>
      </c>
      <c r="R263" s="5">
        <v>7.0119999999999996</v>
      </c>
      <c r="S263" s="5">
        <v>7.726</v>
      </c>
      <c r="T263" s="5">
        <v>7.7709999999999999</v>
      </c>
      <c r="U263" s="5">
        <v>2.879</v>
      </c>
      <c r="V263" s="5">
        <v>93.4</v>
      </c>
      <c r="W263" s="5">
        <v>2.8650000000000002</v>
      </c>
      <c r="X263" s="5">
        <v>2.8410000000000002</v>
      </c>
      <c r="Y263" s="5">
        <v>5.1909999999999998</v>
      </c>
      <c r="Z263" s="5">
        <v>7</v>
      </c>
      <c r="AA263" s="5">
        <v>7.4539999999999997</v>
      </c>
      <c r="AB263" s="5" t="s">
        <v>99</v>
      </c>
      <c r="AC263" s="5">
        <v>5.1689999999999996</v>
      </c>
      <c r="AD263" s="5">
        <v>6.6740000000000004</v>
      </c>
      <c r="AE263" s="5">
        <v>3.431</v>
      </c>
      <c r="AF263" s="5">
        <v>5.931</v>
      </c>
      <c r="AG263" s="5">
        <v>2.718</v>
      </c>
      <c r="AI263" s="5" t="s">
        <v>99</v>
      </c>
      <c r="AK263" s="5">
        <v>0</v>
      </c>
      <c r="AN263" s="1">
        <f t="shared" ref="AN263:AN326" si="149">ROUND(O263*AO$1,1)</f>
        <v>97.9</v>
      </c>
      <c r="AO263" s="1">
        <f t="shared" ref="AO263:AO326" si="150">ROUND(H263*AO$1,1)</f>
        <v>97.2</v>
      </c>
      <c r="AP263" s="1">
        <f t="shared" ref="AP263:AP326" si="151">ROUND(V263*AO$1,1)</f>
        <v>93.4</v>
      </c>
      <c r="AQ263" s="17">
        <f t="shared" si="141"/>
        <v>0.88300000000000001</v>
      </c>
      <c r="AR263" s="22">
        <f t="shared" ref="AR263:AR326" si="152">ROUND(AQ263/AP263*(100-AP263),3)</f>
        <v>6.2E-2</v>
      </c>
      <c r="AT263" s="19">
        <f t="shared" si="144"/>
        <v>43723</v>
      </c>
      <c r="AU263" s="20">
        <f t="shared" si="145"/>
        <v>258</v>
      </c>
      <c r="AV263" s="1">
        <f t="shared" ref="AV263:AV293" si="153">ROUND(G263,1)</f>
        <v>4.8</v>
      </c>
      <c r="AW263" s="1">
        <f t="shared" ref="AW263:AW293" si="154">ROUND(N263,1)</f>
        <v>6.2</v>
      </c>
      <c r="AX263" s="1">
        <f t="shared" ref="AX263:AX293" si="155">ROUND(U263,1)</f>
        <v>2.9</v>
      </c>
      <c r="AY263" s="1">
        <f t="shared" si="142"/>
        <v>97.2</v>
      </c>
      <c r="AZ263" s="1">
        <f t="shared" si="143"/>
        <v>93.4</v>
      </c>
      <c r="BA263" s="1">
        <f t="shared" ref="BA263:BA326" si="156">AK263</f>
        <v>0</v>
      </c>
      <c r="BB263" s="5" t="str">
        <f t="shared" ref="BB263:BB326" si="157">IF(AL263="","NAN",AL263)</f>
        <v>NAN</v>
      </c>
      <c r="BC263" s="1">
        <f t="shared" si="146"/>
        <v>5.2</v>
      </c>
      <c r="BD263" s="1">
        <f t="shared" si="147"/>
        <v>6.7</v>
      </c>
      <c r="BE263" s="1">
        <f t="shared" si="148"/>
        <v>3.4</v>
      </c>
      <c r="BF263" s="5">
        <f t="shared" ref="BF263:BF293" si="158">ROUND(K263,1)</f>
        <v>6.3</v>
      </c>
      <c r="BG263" s="5">
        <f t="shared" ref="BG263:BG293" si="159">ROUND(L263,1)</f>
        <v>7.3</v>
      </c>
      <c r="BH263" s="5">
        <f t="shared" ref="BH263:BH293" si="160">ROUND(M263,1)</f>
        <v>7.6</v>
      </c>
      <c r="BI263" s="5" t="str">
        <f t="shared" ref="BI263:BI326" si="161">IF(AI263="NAN","NAN",ROUND(AI263,3))</f>
        <v>NAN</v>
      </c>
      <c r="BJ263" s="10">
        <f t="shared" ref="BJ263:BJ326" si="162">AQ263</f>
        <v>0.88300000000000001</v>
      </c>
      <c r="BK263" s="10">
        <f t="shared" ref="BK263:BK326" si="163">AR263</f>
        <v>6.2E-2</v>
      </c>
      <c r="BM263" s="1">
        <f t="shared" ref="BM263:BM326" si="164">AD263-N263</f>
        <v>0.51800000000000068</v>
      </c>
      <c r="BN263" s="1">
        <f t="shared" ref="BN263:BN326" si="165">AE263-U263</f>
        <v>0.55200000000000005</v>
      </c>
    </row>
    <row r="264" spans="1:66" x14ac:dyDescent="0.2">
      <c r="A264" s="4">
        <f t="shared" ref="A264:A327" si="166">A263+1</f>
        <v>43724</v>
      </c>
      <c r="B264" s="1">
        <v>259</v>
      </c>
      <c r="C264" s="1">
        <v>12</v>
      </c>
      <c r="D264" s="5">
        <v>12.86</v>
      </c>
      <c r="E264" s="5">
        <v>6.5039999999999996</v>
      </c>
      <c r="F264" s="5">
        <v>1.9470000000000001</v>
      </c>
      <c r="G264" s="5">
        <v>3.556</v>
      </c>
      <c r="H264" s="5">
        <v>93.7</v>
      </c>
      <c r="I264" s="5">
        <v>3.661</v>
      </c>
      <c r="J264" s="5">
        <v>3.4969999999999999</v>
      </c>
      <c r="K264" s="5">
        <v>5.6950000000000003</v>
      </c>
      <c r="L264" s="5">
        <v>6.7460000000000004</v>
      </c>
      <c r="M264" s="5">
        <v>7.4420000000000002</v>
      </c>
      <c r="N264" s="5">
        <v>5.92</v>
      </c>
      <c r="O264" s="5">
        <v>96.9</v>
      </c>
      <c r="P264" s="5">
        <v>7.0510000000000002</v>
      </c>
      <c r="Q264" s="5">
        <v>6.5620000000000003</v>
      </c>
      <c r="R264" s="5">
        <v>7.7190000000000003</v>
      </c>
      <c r="S264" s="5">
        <v>7.1020000000000003</v>
      </c>
      <c r="T264" s="5">
        <v>7.58</v>
      </c>
      <c r="U264" s="5">
        <v>1.67</v>
      </c>
      <c r="V264" s="5">
        <v>77.38</v>
      </c>
      <c r="W264" s="5">
        <v>1.377</v>
      </c>
      <c r="X264" s="5">
        <v>1.458</v>
      </c>
      <c r="Y264" s="5">
        <v>4.2329999999999997</v>
      </c>
      <c r="Z264" s="5">
        <v>6.4269999999999996</v>
      </c>
      <c r="AA264" s="5">
        <v>7.3079999999999998</v>
      </c>
      <c r="AB264" s="5" t="s">
        <v>99</v>
      </c>
      <c r="AC264" s="5">
        <v>4.4260000000000002</v>
      </c>
      <c r="AD264" s="5">
        <v>10.210000000000001</v>
      </c>
      <c r="AE264" s="5">
        <v>1.472</v>
      </c>
      <c r="AF264" s="5">
        <v>5.8710000000000004</v>
      </c>
      <c r="AG264" s="5">
        <v>1.472</v>
      </c>
      <c r="AI264" s="5" t="s">
        <v>99</v>
      </c>
      <c r="AK264" s="5">
        <v>0</v>
      </c>
      <c r="AN264" s="1">
        <f t="shared" si="149"/>
        <v>96.9</v>
      </c>
      <c r="AO264" s="1">
        <f t="shared" si="150"/>
        <v>93.7</v>
      </c>
      <c r="AP264" s="1">
        <f t="shared" si="151"/>
        <v>77.400000000000006</v>
      </c>
      <c r="AQ264" s="17">
        <f t="shared" si="141"/>
        <v>0.71899999999999997</v>
      </c>
      <c r="AR264" s="22">
        <f t="shared" si="152"/>
        <v>0.21</v>
      </c>
      <c r="AT264" s="19">
        <f t="shared" si="144"/>
        <v>43724</v>
      </c>
      <c r="AU264" s="20">
        <f t="shared" si="145"/>
        <v>259</v>
      </c>
      <c r="AV264" s="1">
        <f t="shared" si="153"/>
        <v>3.6</v>
      </c>
      <c r="AW264" s="1">
        <f t="shared" si="154"/>
        <v>5.9</v>
      </c>
      <c r="AX264" s="1">
        <f t="shared" si="155"/>
        <v>1.7</v>
      </c>
      <c r="AY264" s="1">
        <f t="shared" si="142"/>
        <v>93.7</v>
      </c>
      <c r="AZ264" s="1">
        <f t="shared" si="143"/>
        <v>77.400000000000006</v>
      </c>
      <c r="BA264" s="1">
        <f t="shared" si="156"/>
        <v>0</v>
      </c>
      <c r="BB264" s="5" t="str">
        <f t="shared" si="157"/>
        <v>NAN</v>
      </c>
      <c r="BC264" s="1">
        <f t="shared" si="146"/>
        <v>4.4000000000000004</v>
      </c>
      <c r="BD264" s="1">
        <f t="shared" si="147"/>
        <v>10.199999999999999</v>
      </c>
      <c r="BE264" s="1">
        <f t="shared" si="148"/>
        <v>1.5</v>
      </c>
      <c r="BF264" s="5">
        <f t="shared" si="158"/>
        <v>5.7</v>
      </c>
      <c r="BG264" s="5">
        <f t="shared" si="159"/>
        <v>6.7</v>
      </c>
      <c r="BH264" s="5">
        <f t="shared" si="160"/>
        <v>7.4</v>
      </c>
      <c r="BI264" s="5" t="str">
        <f t="shared" si="161"/>
        <v>NAN</v>
      </c>
      <c r="BJ264" s="10">
        <f t="shared" si="162"/>
        <v>0.71899999999999997</v>
      </c>
      <c r="BK264" s="10">
        <f t="shared" si="163"/>
        <v>0.21</v>
      </c>
      <c r="BM264" s="1">
        <f t="shared" si="164"/>
        <v>4.2900000000000009</v>
      </c>
      <c r="BN264" s="1">
        <f t="shared" si="165"/>
        <v>-0.19799999999999995</v>
      </c>
    </row>
    <row r="265" spans="1:66" x14ac:dyDescent="0.2">
      <c r="A265" s="4">
        <f t="shared" si="166"/>
        <v>43725</v>
      </c>
      <c r="B265" s="1">
        <v>260</v>
      </c>
      <c r="C265" s="1">
        <v>12</v>
      </c>
      <c r="D265" s="5">
        <v>12.84</v>
      </c>
      <c r="E265" s="5">
        <v>4.5789999999999997</v>
      </c>
      <c r="F265" s="5">
        <v>2.395</v>
      </c>
      <c r="G265" s="5">
        <v>2.63</v>
      </c>
      <c r="H265" s="5">
        <v>95.9</v>
      </c>
      <c r="I265" s="5">
        <v>2.73</v>
      </c>
      <c r="J265" s="5">
        <v>2.65</v>
      </c>
      <c r="K265" s="5">
        <v>4.6630000000000003</v>
      </c>
      <c r="L265" s="5">
        <v>6.258</v>
      </c>
      <c r="M265" s="5">
        <v>7.2619999999999996</v>
      </c>
      <c r="N265" s="5">
        <v>5.109</v>
      </c>
      <c r="O265" s="5">
        <v>97.5</v>
      </c>
      <c r="P265" s="5">
        <v>6.0919999999999996</v>
      </c>
      <c r="Q265" s="5">
        <v>5.6829999999999998</v>
      </c>
      <c r="R265" s="5">
        <v>6.0030000000000001</v>
      </c>
      <c r="S265" s="5">
        <v>6.74</v>
      </c>
      <c r="T265" s="5">
        <v>7.4160000000000004</v>
      </c>
      <c r="U265" s="5">
        <v>1.8380000000000001</v>
      </c>
      <c r="V265" s="5">
        <v>82</v>
      </c>
      <c r="W265" s="5">
        <v>1.31</v>
      </c>
      <c r="X265" s="5">
        <v>1.494</v>
      </c>
      <c r="Y265" s="5">
        <v>4.085</v>
      </c>
      <c r="Z265" s="5">
        <v>5.92</v>
      </c>
      <c r="AA265" s="5">
        <v>7.1020000000000003</v>
      </c>
      <c r="AB265" s="5" t="s">
        <v>99</v>
      </c>
      <c r="AC265" s="5">
        <v>3.214</v>
      </c>
      <c r="AD265" s="5">
        <v>7.2839999999999998</v>
      </c>
      <c r="AE265" s="5">
        <v>1.3029999999999999</v>
      </c>
      <c r="AF265" s="5">
        <v>4.4000000000000004</v>
      </c>
      <c r="AG265" s="5">
        <v>1.6319999999999999</v>
      </c>
      <c r="AI265" s="5" t="s">
        <v>99</v>
      </c>
      <c r="AK265" s="5">
        <v>0</v>
      </c>
      <c r="AN265" s="1">
        <f t="shared" si="149"/>
        <v>97.5</v>
      </c>
      <c r="AO265" s="1">
        <f t="shared" si="150"/>
        <v>95.9</v>
      </c>
      <c r="AP265" s="1">
        <f t="shared" si="151"/>
        <v>82</v>
      </c>
      <c r="AQ265" s="17">
        <f t="shared" si="141"/>
        <v>0.72</v>
      </c>
      <c r="AR265" s="22">
        <f t="shared" si="152"/>
        <v>0.158</v>
      </c>
      <c r="AT265" s="19">
        <f t="shared" si="144"/>
        <v>43725</v>
      </c>
      <c r="AU265" s="20">
        <f t="shared" si="145"/>
        <v>260</v>
      </c>
      <c r="AV265" s="1">
        <f t="shared" si="153"/>
        <v>2.6</v>
      </c>
      <c r="AW265" s="1">
        <f t="shared" si="154"/>
        <v>5.0999999999999996</v>
      </c>
      <c r="AX265" s="1">
        <f t="shared" si="155"/>
        <v>1.8</v>
      </c>
      <c r="AY265" s="1">
        <f t="shared" si="142"/>
        <v>95.9</v>
      </c>
      <c r="AZ265" s="1">
        <f t="shared" si="143"/>
        <v>82</v>
      </c>
      <c r="BA265" s="1">
        <f t="shared" si="156"/>
        <v>0</v>
      </c>
      <c r="BB265" s="5" t="str">
        <f t="shared" si="157"/>
        <v>NAN</v>
      </c>
      <c r="BC265" s="1">
        <f t="shared" si="146"/>
        <v>3.2</v>
      </c>
      <c r="BD265" s="1">
        <f t="shared" si="147"/>
        <v>7.3</v>
      </c>
      <c r="BE265" s="1">
        <f t="shared" si="148"/>
        <v>1.3</v>
      </c>
      <c r="BF265" s="5">
        <f t="shared" si="158"/>
        <v>4.7</v>
      </c>
      <c r="BG265" s="5">
        <f t="shared" si="159"/>
        <v>6.3</v>
      </c>
      <c r="BH265" s="5">
        <f t="shared" si="160"/>
        <v>7.3</v>
      </c>
      <c r="BI265" s="5" t="str">
        <f t="shared" si="161"/>
        <v>NAN</v>
      </c>
      <c r="BJ265" s="10">
        <f t="shared" si="162"/>
        <v>0.72</v>
      </c>
      <c r="BK265" s="10">
        <f t="shared" si="163"/>
        <v>0.158</v>
      </c>
      <c r="BM265" s="1">
        <f t="shared" si="164"/>
        <v>2.1749999999999998</v>
      </c>
      <c r="BN265" s="1">
        <f t="shared" si="165"/>
        <v>-0.53500000000000014</v>
      </c>
    </row>
    <row r="266" spans="1:66" x14ac:dyDescent="0.2">
      <c r="A266" s="4">
        <f t="shared" si="166"/>
        <v>43726</v>
      </c>
      <c r="B266" s="1">
        <v>261</v>
      </c>
      <c r="C266" s="1">
        <v>12</v>
      </c>
      <c r="D266" s="5">
        <v>12.85</v>
      </c>
      <c r="E266" s="5">
        <v>5.7880000000000003</v>
      </c>
      <c r="F266" s="5">
        <v>2.4169999999999998</v>
      </c>
      <c r="G266" s="5">
        <v>3.4209999999999998</v>
      </c>
      <c r="H266" s="5">
        <v>97.2</v>
      </c>
      <c r="I266" s="5">
        <v>3.504</v>
      </c>
      <c r="J266" s="5">
        <v>3.4289999999999998</v>
      </c>
      <c r="K266" s="5">
        <v>5.0339999999999998</v>
      </c>
      <c r="L266" s="5">
        <v>5.8949999999999996</v>
      </c>
      <c r="M266" s="5">
        <v>7.0439999999999996</v>
      </c>
      <c r="N266" s="5">
        <v>5.5140000000000002</v>
      </c>
      <c r="O266" s="5">
        <v>97.9</v>
      </c>
      <c r="P266" s="5">
        <v>6.9009999999999998</v>
      </c>
      <c r="Q266" s="5">
        <v>6.7080000000000002</v>
      </c>
      <c r="R266" s="5">
        <v>6.8689999999999998</v>
      </c>
      <c r="S266" s="5">
        <v>6.1710000000000003</v>
      </c>
      <c r="T266" s="5">
        <v>7.21</v>
      </c>
      <c r="U266" s="5">
        <v>2.3450000000000002</v>
      </c>
      <c r="V266" s="5">
        <v>96.4</v>
      </c>
      <c r="W266" s="5">
        <v>2.3940000000000001</v>
      </c>
      <c r="X266" s="5">
        <v>2.3479999999999999</v>
      </c>
      <c r="Y266" s="5">
        <v>4.0650000000000004</v>
      </c>
      <c r="Z266" s="5">
        <v>5.6050000000000004</v>
      </c>
      <c r="AA266" s="5">
        <v>6.8810000000000002</v>
      </c>
      <c r="AB266" s="5" t="s">
        <v>99</v>
      </c>
      <c r="AC266" s="5">
        <v>4.0890000000000004</v>
      </c>
      <c r="AD266" s="5">
        <v>9.7100000000000009</v>
      </c>
      <c r="AE266" s="5">
        <v>2.653</v>
      </c>
      <c r="AF266" s="5">
        <v>5.7220000000000004</v>
      </c>
      <c r="AG266" s="5">
        <v>2.194</v>
      </c>
      <c r="AI266" s="5" t="s">
        <v>99</v>
      </c>
      <c r="AK266" s="5">
        <v>0</v>
      </c>
      <c r="AN266" s="1">
        <f t="shared" si="149"/>
        <v>97.9</v>
      </c>
      <c r="AO266" s="1">
        <f t="shared" si="150"/>
        <v>97.2</v>
      </c>
      <c r="AP266" s="1">
        <f t="shared" si="151"/>
        <v>96.4</v>
      </c>
      <c r="AQ266" s="17">
        <f t="shared" si="141"/>
        <v>0.871</v>
      </c>
      <c r="AR266" s="22">
        <f t="shared" si="152"/>
        <v>3.3000000000000002E-2</v>
      </c>
      <c r="AT266" s="19">
        <f t="shared" si="144"/>
        <v>43726</v>
      </c>
      <c r="AU266" s="20">
        <f t="shared" si="145"/>
        <v>261</v>
      </c>
      <c r="AV266" s="1">
        <f t="shared" si="153"/>
        <v>3.4</v>
      </c>
      <c r="AW266" s="1">
        <f t="shared" si="154"/>
        <v>5.5</v>
      </c>
      <c r="AX266" s="1">
        <f t="shared" si="155"/>
        <v>2.2999999999999998</v>
      </c>
      <c r="AY266" s="1">
        <f t="shared" si="142"/>
        <v>97.2</v>
      </c>
      <c r="AZ266" s="1">
        <f t="shared" si="143"/>
        <v>96.4</v>
      </c>
      <c r="BA266" s="1">
        <f t="shared" si="156"/>
        <v>0</v>
      </c>
      <c r="BB266" s="5" t="str">
        <f t="shared" si="157"/>
        <v>NAN</v>
      </c>
      <c r="BC266" s="1">
        <f t="shared" si="146"/>
        <v>4.0999999999999996</v>
      </c>
      <c r="BD266" s="1">
        <f t="shared" si="147"/>
        <v>9.6999999999999993</v>
      </c>
      <c r="BE266" s="1">
        <f t="shared" si="148"/>
        <v>2.7</v>
      </c>
      <c r="BF266" s="5">
        <f t="shared" si="158"/>
        <v>5</v>
      </c>
      <c r="BG266" s="5">
        <f t="shared" si="159"/>
        <v>5.9</v>
      </c>
      <c r="BH266" s="5">
        <f t="shared" si="160"/>
        <v>7</v>
      </c>
      <c r="BI266" s="5" t="str">
        <f t="shared" si="161"/>
        <v>NAN</v>
      </c>
      <c r="BJ266" s="10">
        <f t="shared" si="162"/>
        <v>0.871</v>
      </c>
      <c r="BK266" s="10">
        <f t="shared" si="163"/>
        <v>3.3000000000000002E-2</v>
      </c>
      <c r="BM266" s="1">
        <f t="shared" si="164"/>
        <v>4.1960000000000006</v>
      </c>
      <c r="BN266" s="1">
        <f t="shared" si="165"/>
        <v>0.30799999999999983</v>
      </c>
    </row>
    <row r="267" spans="1:66" x14ac:dyDescent="0.2">
      <c r="A267" s="4">
        <f t="shared" si="166"/>
        <v>43727</v>
      </c>
      <c r="B267" s="1">
        <v>262</v>
      </c>
      <c r="C267" s="1">
        <v>12</v>
      </c>
      <c r="D267" s="5">
        <v>13.04</v>
      </c>
      <c r="E267" s="5">
        <v>7.8390000000000004</v>
      </c>
      <c r="F267" s="5">
        <v>2.2250000000000001</v>
      </c>
      <c r="G267" s="5">
        <v>4.5</v>
      </c>
      <c r="H267" s="5">
        <v>90.9</v>
      </c>
      <c r="I267" s="5">
        <v>4.4569999999999999</v>
      </c>
      <c r="J267" s="5">
        <v>4.33</v>
      </c>
      <c r="K267" s="5">
        <v>5.4290000000000003</v>
      </c>
      <c r="L267" s="5">
        <v>5.97</v>
      </c>
      <c r="M267" s="5">
        <v>6.8730000000000002</v>
      </c>
      <c r="N267" s="5">
        <v>7.77</v>
      </c>
      <c r="O267" s="5">
        <v>97</v>
      </c>
      <c r="P267" s="5">
        <v>8.75</v>
      </c>
      <c r="Q267" s="5">
        <v>8.17</v>
      </c>
      <c r="R267" s="5">
        <v>7.2830000000000004</v>
      </c>
      <c r="S267" s="5">
        <v>6.3540000000000001</v>
      </c>
      <c r="T267" s="5">
        <v>7</v>
      </c>
      <c r="U267" s="5">
        <v>2.0739999999999998</v>
      </c>
      <c r="V267" s="5">
        <v>72.36</v>
      </c>
      <c r="W267" s="5">
        <v>1.7190000000000001</v>
      </c>
      <c r="X267" s="5">
        <v>1.7450000000000001</v>
      </c>
      <c r="Y267" s="5">
        <v>3.7429999999999999</v>
      </c>
      <c r="Z267" s="5">
        <v>5.6109999999999998</v>
      </c>
      <c r="AA267" s="5">
        <v>6.734</v>
      </c>
      <c r="AB267" s="5" t="s">
        <v>99</v>
      </c>
      <c r="AC267" s="5">
        <v>4.8550000000000004</v>
      </c>
      <c r="AD267" s="5">
        <v>12.42</v>
      </c>
      <c r="AE267" s="5">
        <v>1.6890000000000001</v>
      </c>
      <c r="AF267" s="5">
        <v>6.9550000000000001</v>
      </c>
      <c r="AG267" s="5">
        <v>1.827</v>
      </c>
      <c r="AI267" s="5" t="s">
        <v>99</v>
      </c>
      <c r="AK267" s="5">
        <v>0</v>
      </c>
      <c r="AN267" s="1">
        <f t="shared" si="149"/>
        <v>97</v>
      </c>
      <c r="AO267" s="1">
        <f t="shared" si="150"/>
        <v>90.9</v>
      </c>
      <c r="AP267" s="1">
        <f t="shared" si="151"/>
        <v>72.400000000000006</v>
      </c>
      <c r="AQ267" s="17">
        <f t="shared" si="141"/>
        <v>0.76400000000000001</v>
      </c>
      <c r="AR267" s="22">
        <f t="shared" si="152"/>
        <v>0.29099999999999998</v>
      </c>
      <c r="AT267" s="19">
        <f t="shared" si="144"/>
        <v>43727</v>
      </c>
      <c r="AU267" s="20">
        <f t="shared" si="145"/>
        <v>262</v>
      </c>
      <c r="AV267" s="1">
        <f t="shared" si="153"/>
        <v>4.5</v>
      </c>
      <c r="AW267" s="1">
        <f t="shared" si="154"/>
        <v>7.8</v>
      </c>
      <c r="AX267" s="1">
        <f t="shared" si="155"/>
        <v>2.1</v>
      </c>
      <c r="AY267" s="1">
        <f t="shared" si="142"/>
        <v>90.9</v>
      </c>
      <c r="AZ267" s="1">
        <f t="shared" si="143"/>
        <v>72.400000000000006</v>
      </c>
      <c r="BA267" s="1">
        <f t="shared" si="156"/>
        <v>0</v>
      </c>
      <c r="BB267" s="5" t="str">
        <f t="shared" si="157"/>
        <v>NAN</v>
      </c>
      <c r="BC267" s="1">
        <f t="shared" si="146"/>
        <v>4.9000000000000004</v>
      </c>
      <c r="BD267" s="1">
        <f t="shared" si="147"/>
        <v>12.4</v>
      </c>
      <c r="BE267" s="1">
        <f t="shared" si="148"/>
        <v>1.7</v>
      </c>
      <c r="BF267" s="5">
        <f t="shared" si="158"/>
        <v>5.4</v>
      </c>
      <c r="BG267" s="5">
        <f t="shared" si="159"/>
        <v>6</v>
      </c>
      <c r="BH267" s="5">
        <f t="shared" si="160"/>
        <v>6.9</v>
      </c>
      <c r="BI267" s="5" t="str">
        <f t="shared" si="161"/>
        <v>NAN</v>
      </c>
      <c r="BJ267" s="10">
        <f t="shared" si="162"/>
        <v>0.76400000000000001</v>
      </c>
      <c r="BK267" s="10">
        <f t="shared" si="163"/>
        <v>0.29099999999999998</v>
      </c>
      <c r="BM267" s="1">
        <f t="shared" si="164"/>
        <v>4.6500000000000004</v>
      </c>
      <c r="BN267" s="1">
        <f t="shared" si="165"/>
        <v>-0.38499999999999979</v>
      </c>
    </row>
    <row r="268" spans="1:66" x14ac:dyDescent="0.2">
      <c r="A268" s="4">
        <f t="shared" si="166"/>
        <v>43728</v>
      </c>
      <c r="B268" s="1">
        <v>263</v>
      </c>
      <c r="C268" s="1">
        <v>12</v>
      </c>
      <c r="D268" s="5">
        <v>12.97</v>
      </c>
      <c r="E268" s="5">
        <v>6.6559999999999997</v>
      </c>
      <c r="F268" s="5">
        <v>2.5870000000000002</v>
      </c>
      <c r="G268" s="5">
        <v>4.2119999999999997</v>
      </c>
      <c r="H268" s="5">
        <v>91.1</v>
      </c>
      <c r="I268" s="5">
        <v>4.133</v>
      </c>
      <c r="J268" s="5">
        <v>4.0430000000000001</v>
      </c>
      <c r="K268" s="5">
        <v>5.617</v>
      </c>
      <c r="L268" s="5">
        <v>6.1929999999999996</v>
      </c>
      <c r="M268" s="5">
        <v>6.7679999999999998</v>
      </c>
      <c r="N268" s="5">
        <v>6.6630000000000003</v>
      </c>
      <c r="O268" s="5">
        <v>97.8</v>
      </c>
      <c r="P268" s="5">
        <v>9.26</v>
      </c>
      <c r="Q268" s="5">
        <v>9.66</v>
      </c>
      <c r="R268" s="5">
        <v>8.32</v>
      </c>
      <c r="S268" s="5">
        <v>6.524</v>
      </c>
      <c r="T268" s="5">
        <v>6.8630000000000004</v>
      </c>
      <c r="U268" s="5">
        <v>2.508</v>
      </c>
      <c r="V268" s="5">
        <v>71.760000000000005</v>
      </c>
      <c r="W268" s="5">
        <v>2.0779999999999998</v>
      </c>
      <c r="X268" s="5">
        <v>2.056</v>
      </c>
      <c r="Y268" s="5">
        <v>4.1829999999999998</v>
      </c>
      <c r="Z268" s="5">
        <v>5.9580000000000002</v>
      </c>
      <c r="AA268" s="5">
        <v>6.6630000000000003</v>
      </c>
      <c r="AB268" s="5" t="s">
        <v>99</v>
      </c>
      <c r="AC268" s="5">
        <v>4.4180000000000001</v>
      </c>
      <c r="AD268" s="5">
        <v>10.44</v>
      </c>
      <c r="AE268" s="5">
        <v>2.0710000000000002</v>
      </c>
      <c r="AF268" s="5">
        <v>6.2169999999999996</v>
      </c>
      <c r="AG268" s="5">
        <v>2.1909999999999998</v>
      </c>
      <c r="AI268" s="5" t="s">
        <v>99</v>
      </c>
      <c r="AK268" s="5">
        <v>0</v>
      </c>
      <c r="AN268" s="1">
        <f t="shared" si="149"/>
        <v>97.8</v>
      </c>
      <c r="AO268" s="1">
        <f t="shared" si="150"/>
        <v>91.1</v>
      </c>
      <c r="AP268" s="1">
        <f t="shared" si="151"/>
        <v>71.8</v>
      </c>
      <c r="AQ268" s="17">
        <f t="shared" si="141"/>
        <v>0.70299999999999996</v>
      </c>
      <c r="AR268" s="22">
        <f t="shared" si="152"/>
        <v>0.27600000000000002</v>
      </c>
      <c r="AT268" s="19">
        <f t="shared" si="144"/>
        <v>43728</v>
      </c>
      <c r="AU268" s="20">
        <f t="shared" si="145"/>
        <v>263</v>
      </c>
      <c r="AV268" s="1">
        <f t="shared" si="153"/>
        <v>4.2</v>
      </c>
      <c r="AW268" s="1">
        <f t="shared" si="154"/>
        <v>6.7</v>
      </c>
      <c r="AX268" s="1">
        <f t="shared" si="155"/>
        <v>2.5</v>
      </c>
      <c r="AY268" s="1">
        <f t="shared" si="142"/>
        <v>91.1</v>
      </c>
      <c r="AZ268" s="1">
        <f t="shared" si="143"/>
        <v>71.8</v>
      </c>
      <c r="BA268" s="1">
        <f t="shared" si="156"/>
        <v>0</v>
      </c>
      <c r="BB268" s="5" t="str">
        <f t="shared" si="157"/>
        <v>NAN</v>
      </c>
      <c r="BC268" s="1">
        <f t="shared" si="146"/>
        <v>4.4000000000000004</v>
      </c>
      <c r="BD268" s="1">
        <f t="shared" si="147"/>
        <v>10.4</v>
      </c>
      <c r="BE268" s="1">
        <f t="shared" si="148"/>
        <v>2.1</v>
      </c>
      <c r="BF268" s="5">
        <f t="shared" si="158"/>
        <v>5.6</v>
      </c>
      <c r="BG268" s="5">
        <f t="shared" si="159"/>
        <v>6.2</v>
      </c>
      <c r="BH268" s="5">
        <f t="shared" si="160"/>
        <v>6.8</v>
      </c>
      <c r="BI268" s="5" t="str">
        <f t="shared" si="161"/>
        <v>NAN</v>
      </c>
      <c r="BJ268" s="10">
        <f t="shared" si="162"/>
        <v>0.70299999999999996</v>
      </c>
      <c r="BK268" s="10">
        <f t="shared" si="163"/>
        <v>0.27600000000000002</v>
      </c>
      <c r="BM268" s="1">
        <f t="shared" si="164"/>
        <v>3.7769999999999992</v>
      </c>
      <c r="BN268" s="1">
        <f t="shared" si="165"/>
        <v>-0.43699999999999983</v>
      </c>
    </row>
    <row r="269" spans="1:66" x14ac:dyDescent="0.2">
      <c r="A269" s="4">
        <f t="shared" si="166"/>
        <v>43729</v>
      </c>
      <c r="B269" s="1">
        <v>264</v>
      </c>
      <c r="C269" s="1">
        <v>12</v>
      </c>
      <c r="D269" s="5">
        <v>13.06</v>
      </c>
      <c r="E269" s="5">
        <v>15.39</v>
      </c>
      <c r="F269" s="5">
        <v>2.8010000000000002</v>
      </c>
      <c r="G269" s="5">
        <v>7.3780000000000001</v>
      </c>
      <c r="H269" s="5">
        <v>82.3</v>
      </c>
      <c r="I269" s="5">
        <v>7.0439999999999996</v>
      </c>
      <c r="J269" s="5">
        <v>6.9569999999999999</v>
      </c>
      <c r="K269" s="5">
        <v>6.5270000000000001</v>
      </c>
      <c r="L269" s="5">
        <v>6.2549999999999999</v>
      </c>
      <c r="M269" s="5">
        <v>6.6980000000000004</v>
      </c>
      <c r="N269" s="5">
        <v>13.23</v>
      </c>
      <c r="O269" s="5">
        <v>96.1</v>
      </c>
      <c r="P269" s="5">
        <v>17.13</v>
      </c>
      <c r="Q269" s="5">
        <v>16.739999999999998</v>
      </c>
      <c r="R269" s="5">
        <v>11.89</v>
      </c>
      <c r="S269" s="5">
        <v>7.1219999999999999</v>
      </c>
      <c r="T269" s="5">
        <v>6.8129999999999997</v>
      </c>
      <c r="U269" s="5">
        <v>3.5939999999999999</v>
      </c>
      <c r="V269" s="5">
        <v>57.5</v>
      </c>
      <c r="W269" s="5">
        <v>2.8929999999999998</v>
      </c>
      <c r="X269" s="5">
        <v>2.7669999999999999</v>
      </c>
      <c r="Y269" s="5">
        <v>4.1630000000000003</v>
      </c>
      <c r="Z269" s="5">
        <v>5.6440000000000001</v>
      </c>
      <c r="AA269" s="5">
        <v>6.4189999999999996</v>
      </c>
      <c r="AB269" s="5" t="s">
        <v>99</v>
      </c>
      <c r="AC269" s="5">
        <v>6.5940000000000003</v>
      </c>
      <c r="AD269" s="5">
        <v>18.149999999999999</v>
      </c>
      <c r="AE269" s="5">
        <v>2.2400000000000002</v>
      </c>
      <c r="AF269" s="5">
        <v>14</v>
      </c>
      <c r="AG269" s="5">
        <v>3.3090000000000002</v>
      </c>
      <c r="AI269" s="5" t="s">
        <v>99</v>
      </c>
      <c r="AK269" s="5">
        <v>0</v>
      </c>
      <c r="AN269" s="1">
        <f t="shared" si="149"/>
        <v>96.1</v>
      </c>
      <c r="AO269" s="1">
        <f t="shared" si="150"/>
        <v>82.3</v>
      </c>
      <c r="AP269" s="1">
        <f t="shared" si="151"/>
        <v>57.5</v>
      </c>
      <c r="AQ269" s="17">
        <f t="shared" si="141"/>
        <v>0.874</v>
      </c>
      <c r="AR269" s="22">
        <f t="shared" si="152"/>
        <v>0.64600000000000002</v>
      </c>
      <c r="AT269" s="19">
        <f t="shared" si="144"/>
        <v>43729</v>
      </c>
      <c r="AU269" s="20">
        <f t="shared" si="145"/>
        <v>264</v>
      </c>
      <c r="AV269" s="1">
        <f t="shared" si="153"/>
        <v>7.4</v>
      </c>
      <c r="AW269" s="1">
        <f t="shared" si="154"/>
        <v>13.2</v>
      </c>
      <c r="AX269" s="1">
        <f t="shared" si="155"/>
        <v>3.6</v>
      </c>
      <c r="AY269" s="1">
        <f t="shared" si="142"/>
        <v>82.3</v>
      </c>
      <c r="AZ269" s="1">
        <f t="shared" si="143"/>
        <v>57.5</v>
      </c>
      <c r="BA269" s="1">
        <f t="shared" si="156"/>
        <v>0</v>
      </c>
      <c r="BB269" s="5" t="str">
        <f t="shared" si="157"/>
        <v>NAN</v>
      </c>
      <c r="BC269" s="1">
        <f t="shared" si="146"/>
        <v>6.6</v>
      </c>
      <c r="BD269" s="1">
        <f t="shared" si="147"/>
        <v>18.2</v>
      </c>
      <c r="BE269" s="1">
        <f t="shared" si="148"/>
        <v>2.2000000000000002</v>
      </c>
      <c r="BF269" s="5">
        <f t="shared" si="158"/>
        <v>6.5</v>
      </c>
      <c r="BG269" s="5">
        <f t="shared" si="159"/>
        <v>6.3</v>
      </c>
      <c r="BH269" s="5">
        <f t="shared" si="160"/>
        <v>6.7</v>
      </c>
      <c r="BI269" s="5" t="str">
        <f t="shared" si="161"/>
        <v>NAN</v>
      </c>
      <c r="BJ269" s="10">
        <f t="shared" si="162"/>
        <v>0.874</v>
      </c>
      <c r="BK269" s="10">
        <f t="shared" si="163"/>
        <v>0.64600000000000002</v>
      </c>
      <c r="BM269" s="1">
        <f t="shared" si="164"/>
        <v>4.9199999999999982</v>
      </c>
      <c r="BN269" s="1">
        <f t="shared" si="165"/>
        <v>-1.3539999999999996</v>
      </c>
    </row>
    <row r="270" spans="1:66" x14ac:dyDescent="0.2">
      <c r="A270" s="4">
        <f t="shared" si="166"/>
        <v>43730</v>
      </c>
      <c r="B270" s="1">
        <v>265</v>
      </c>
      <c r="C270" s="1">
        <v>12</v>
      </c>
      <c r="D270" s="5">
        <v>12.98</v>
      </c>
      <c r="E270" s="5">
        <v>7.774</v>
      </c>
      <c r="F270" s="5">
        <v>4.5789999999999997</v>
      </c>
      <c r="G270" s="5">
        <v>6.0170000000000003</v>
      </c>
      <c r="H270" s="5">
        <v>94.4</v>
      </c>
      <c r="I270" s="5">
        <v>5.7969999999999997</v>
      </c>
      <c r="J270" s="5">
        <v>5.7889999999999997</v>
      </c>
      <c r="K270" s="5">
        <v>6.4660000000000002</v>
      </c>
      <c r="L270" s="5">
        <v>6.71</v>
      </c>
      <c r="M270" s="5">
        <v>6.6980000000000004</v>
      </c>
      <c r="N270" s="5">
        <v>8.2100000000000009</v>
      </c>
      <c r="O270" s="5">
        <v>97.9</v>
      </c>
      <c r="P270" s="5">
        <v>8.49</v>
      </c>
      <c r="Q270" s="5">
        <v>8.35</v>
      </c>
      <c r="R270" s="5">
        <v>7.8310000000000004</v>
      </c>
      <c r="S270" s="5">
        <v>6.9930000000000003</v>
      </c>
      <c r="T270" s="5">
        <v>6.7990000000000004</v>
      </c>
      <c r="U270" s="5">
        <v>4.5</v>
      </c>
      <c r="V270" s="5">
        <v>84.5</v>
      </c>
      <c r="W270" s="5">
        <v>4.0830000000000002</v>
      </c>
      <c r="X270" s="5">
        <v>4.0919999999999996</v>
      </c>
      <c r="Y270" s="5">
        <v>5.24</v>
      </c>
      <c r="Z270" s="5">
        <v>6.4009999999999998</v>
      </c>
      <c r="AA270" s="5">
        <v>6.5780000000000003</v>
      </c>
      <c r="AB270" s="5" t="s">
        <v>99</v>
      </c>
      <c r="AC270" s="5">
        <v>5.8739999999999997</v>
      </c>
      <c r="AD270" s="5">
        <v>8.8000000000000007</v>
      </c>
      <c r="AE270" s="5">
        <v>3.7810000000000001</v>
      </c>
      <c r="AF270" s="5">
        <v>7.9169999999999998</v>
      </c>
      <c r="AG270" s="5">
        <v>4.3559999999999999</v>
      </c>
      <c r="AI270" s="5" t="s">
        <v>99</v>
      </c>
      <c r="AK270" s="5">
        <v>0</v>
      </c>
      <c r="AN270" s="1">
        <f t="shared" si="149"/>
        <v>97.9</v>
      </c>
      <c r="AO270" s="1">
        <f t="shared" si="150"/>
        <v>94.4</v>
      </c>
      <c r="AP270" s="1">
        <f t="shared" si="151"/>
        <v>84.5</v>
      </c>
      <c r="AQ270" s="17">
        <f t="shared" si="141"/>
        <v>0.91900000000000004</v>
      </c>
      <c r="AR270" s="22">
        <f t="shared" si="152"/>
        <v>0.16900000000000001</v>
      </c>
      <c r="AT270" s="19">
        <f t="shared" si="144"/>
        <v>43730</v>
      </c>
      <c r="AU270" s="20">
        <f t="shared" si="145"/>
        <v>265</v>
      </c>
      <c r="AV270" s="1">
        <f t="shared" si="153"/>
        <v>6</v>
      </c>
      <c r="AW270" s="1">
        <f t="shared" si="154"/>
        <v>8.1999999999999993</v>
      </c>
      <c r="AX270" s="1">
        <f t="shared" si="155"/>
        <v>4.5</v>
      </c>
      <c r="AY270" s="1">
        <f t="shared" si="142"/>
        <v>94.4</v>
      </c>
      <c r="AZ270" s="1">
        <f t="shared" si="143"/>
        <v>84.5</v>
      </c>
      <c r="BA270" s="1">
        <f t="shared" si="156"/>
        <v>0</v>
      </c>
      <c r="BB270" s="5" t="str">
        <f t="shared" si="157"/>
        <v>NAN</v>
      </c>
      <c r="BC270" s="1">
        <f t="shared" si="146"/>
        <v>5.9</v>
      </c>
      <c r="BD270" s="1">
        <f t="shared" si="147"/>
        <v>8.8000000000000007</v>
      </c>
      <c r="BE270" s="1">
        <f t="shared" si="148"/>
        <v>3.8</v>
      </c>
      <c r="BF270" s="5">
        <f t="shared" si="158"/>
        <v>6.5</v>
      </c>
      <c r="BG270" s="5">
        <f t="shared" si="159"/>
        <v>6.7</v>
      </c>
      <c r="BH270" s="5">
        <f t="shared" si="160"/>
        <v>6.7</v>
      </c>
      <c r="BI270" s="5" t="str">
        <f t="shared" si="161"/>
        <v>NAN</v>
      </c>
      <c r="BJ270" s="10">
        <f t="shared" si="162"/>
        <v>0.91900000000000004</v>
      </c>
      <c r="BK270" s="10">
        <f t="shared" si="163"/>
        <v>0.16900000000000001</v>
      </c>
      <c r="BM270" s="1">
        <f t="shared" si="164"/>
        <v>0.58999999999999986</v>
      </c>
      <c r="BN270" s="1">
        <f t="shared" si="165"/>
        <v>-0.71899999999999986</v>
      </c>
    </row>
    <row r="271" spans="1:66" x14ac:dyDescent="0.2">
      <c r="A271" s="4">
        <f t="shared" si="166"/>
        <v>43731</v>
      </c>
      <c r="B271" s="1">
        <v>266</v>
      </c>
      <c r="C271" s="1">
        <v>12</v>
      </c>
      <c r="D271" s="5">
        <v>12.87</v>
      </c>
      <c r="E271" s="5">
        <v>4.9020000000000001</v>
      </c>
      <c r="F271" s="5">
        <v>3.4430000000000001</v>
      </c>
      <c r="G271" s="5">
        <v>3.8149999999999999</v>
      </c>
      <c r="H271" s="5">
        <v>94.7</v>
      </c>
      <c r="I271" s="5">
        <v>3.702</v>
      </c>
      <c r="J271" s="5">
        <v>3.633</v>
      </c>
      <c r="K271" s="5">
        <v>5.1879999999999997</v>
      </c>
      <c r="L271" s="5">
        <v>6.2939999999999996</v>
      </c>
      <c r="M271" s="5">
        <v>6.6950000000000003</v>
      </c>
      <c r="N271" s="5">
        <v>4.67</v>
      </c>
      <c r="O271" s="5">
        <v>97.9</v>
      </c>
      <c r="P271" s="5">
        <v>4.6150000000000002</v>
      </c>
      <c r="Q271" s="5">
        <v>4.4550000000000001</v>
      </c>
      <c r="R271" s="5">
        <v>5.9160000000000004</v>
      </c>
      <c r="S271" s="5">
        <v>6.8259999999999996</v>
      </c>
      <c r="T271" s="5">
        <v>6.7770000000000001</v>
      </c>
      <c r="U271" s="5">
        <v>2.71</v>
      </c>
      <c r="V271" s="5">
        <v>83</v>
      </c>
      <c r="W271" s="5">
        <v>2.778</v>
      </c>
      <c r="X271" s="5">
        <v>2.6640000000000001</v>
      </c>
      <c r="Y271" s="5">
        <v>4.7519999999999998</v>
      </c>
      <c r="Z271" s="5">
        <v>5.9020000000000001</v>
      </c>
      <c r="AA271" s="5">
        <v>6.5919999999999996</v>
      </c>
      <c r="AB271" s="5" t="s">
        <v>99</v>
      </c>
      <c r="AC271" s="5">
        <v>3.9</v>
      </c>
      <c r="AD271" s="5">
        <v>5.5789999999999997</v>
      </c>
      <c r="AE271" s="5">
        <v>2.6520000000000001</v>
      </c>
      <c r="AF271" s="5">
        <v>4.3780000000000001</v>
      </c>
      <c r="AG271" s="5">
        <v>2.7290000000000001</v>
      </c>
      <c r="AI271" s="5" t="s">
        <v>99</v>
      </c>
      <c r="AK271" s="5">
        <v>0</v>
      </c>
      <c r="AN271" s="1">
        <f t="shared" si="149"/>
        <v>97.9</v>
      </c>
      <c r="AO271" s="1">
        <f t="shared" si="150"/>
        <v>94.7</v>
      </c>
      <c r="AP271" s="1">
        <f t="shared" si="151"/>
        <v>83</v>
      </c>
      <c r="AQ271" s="17">
        <f t="shared" si="141"/>
        <v>0.70699999999999996</v>
      </c>
      <c r="AR271" s="22">
        <f t="shared" si="152"/>
        <v>0.14499999999999999</v>
      </c>
      <c r="AT271" s="19">
        <f t="shared" si="144"/>
        <v>43731</v>
      </c>
      <c r="AU271" s="20">
        <f t="shared" si="145"/>
        <v>266</v>
      </c>
      <c r="AV271" s="1">
        <f t="shared" si="153"/>
        <v>3.8</v>
      </c>
      <c r="AW271" s="1">
        <f t="shared" si="154"/>
        <v>4.7</v>
      </c>
      <c r="AX271" s="1">
        <f t="shared" si="155"/>
        <v>2.7</v>
      </c>
      <c r="AY271" s="1">
        <f t="shared" si="142"/>
        <v>94.7</v>
      </c>
      <c r="AZ271" s="1">
        <f t="shared" si="143"/>
        <v>83</v>
      </c>
      <c r="BA271" s="1">
        <f t="shared" si="156"/>
        <v>0</v>
      </c>
      <c r="BB271" s="5" t="str">
        <f t="shared" si="157"/>
        <v>NAN</v>
      </c>
      <c r="BC271" s="1">
        <f t="shared" si="146"/>
        <v>3.9</v>
      </c>
      <c r="BD271" s="1">
        <f t="shared" si="147"/>
        <v>5.6</v>
      </c>
      <c r="BE271" s="1">
        <f t="shared" si="148"/>
        <v>2.7</v>
      </c>
      <c r="BF271" s="5">
        <f t="shared" si="158"/>
        <v>5.2</v>
      </c>
      <c r="BG271" s="5">
        <f t="shared" si="159"/>
        <v>6.3</v>
      </c>
      <c r="BH271" s="5">
        <f t="shared" si="160"/>
        <v>6.7</v>
      </c>
      <c r="BI271" s="5" t="str">
        <f t="shared" si="161"/>
        <v>NAN</v>
      </c>
      <c r="BJ271" s="10">
        <f t="shared" si="162"/>
        <v>0.70699999999999996</v>
      </c>
      <c r="BK271" s="10">
        <f t="shared" si="163"/>
        <v>0.14499999999999999</v>
      </c>
      <c r="BM271" s="1">
        <f t="shared" si="164"/>
        <v>0.90899999999999981</v>
      </c>
      <c r="BN271" s="1">
        <f t="shared" si="165"/>
        <v>-5.7999999999999829E-2</v>
      </c>
    </row>
    <row r="272" spans="1:66" x14ac:dyDescent="0.2">
      <c r="A272" s="4">
        <f t="shared" si="166"/>
        <v>43732</v>
      </c>
      <c r="B272" s="1">
        <v>267</v>
      </c>
      <c r="C272" s="1">
        <v>12</v>
      </c>
      <c r="D272" s="5">
        <v>13.07</v>
      </c>
      <c r="E272" s="5">
        <v>8.59</v>
      </c>
      <c r="F272" s="5">
        <v>0.96899999999999997</v>
      </c>
      <c r="G272" s="5">
        <v>4.0129999999999999</v>
      </c>
      <c r="H272" s="5">
        <v>80.599999999999994</v>
      </c>
      <c r="I272" s="5">
        <v>3.8839999999999999</v>
      </c>
      <c r="J272" s="5">
        <v>3.75</v>
      </c>
      <c r="K272" s="5">
        <v>4.9669999999999996</v>
      </c>
      <c r="L272" s="5">
        <v>5.8310000000000004</v>
      </c>
      <c r="M272" s="5">
        <v>6.5830000000000002</v>
      </c>
      <c r="N272" s="5">
        <v>7.8719999999999999</v>
      </c>
      <c r="O272" s="5">
        <v>93.6</v>
      </c>
      <c r="P272" s="5">
        <v>10.77</v>
      </c>
      <c r="Q272" s="5">
        <v>10.08</v>
      </c>
      <c r="R272" s="5">
        <v>7.4429999999999996</v>
      </c>
      <c r="S272" s="5">
        <v>6.1310000000000002</v>
      </c>
      <c r="T272" s="5">
        <v>6.718</v>
      </c>
      <c r="U272" s="5">
        <v>0.629</v>
      </c>
      <c r="V272" s="5">
        <v>58.82</v>
      </c>
      <c r="W272" s="5">
        <v>0.21199999999999999</v>
      </c>
      <c r="X272" s="5">
        <v>0.108</v>
      </c>
      <c r="Y272" s="5">
        <v>3.36</v>
      </c>
      <c r="Z272" s="5">
        <v>5.5389999999999997</v>
      </c>
      <c r="AA272" s="5">
        <v>6.4470000000000001</v>
      </c>
      <c r="AB272" s="5" t="s">
        <v>99</v>
      </c>
      <c r="AC272" s="5">
        <v>3.8069999999999999</v>
      </c>
      <c r="AD272" s="5">
        <v>11.4</v>
      </c>
      <c r="AE272" s="5">
        <v>0.4</v>
      </c>
      <c r="AF272" s="5">
        <v>7.4939999999999998</v>
      </c>
      <c r="AG272" s="5">
        <v>0.52700000000000002</v>
      </c>
      <c r="AI272" s="5" t="s">
        <v>99</v>
      </c>
      <c r="AK272" s="5">
        <v>0</v>
      </c>
      <c r="AN272" s="1">
        <f t="shared" si="149"/>
        <v>93.6</v>
      </c>
      <c r="AO272" s="1">
        <f t="shared" si="150"/>
        <v>80.599999999999994</v>
      </c>
      <c r="AP272" s="1">
        <f t="shared" si="151"/>
        <v>58.8</v>
      </c>
      <c r="AQ272" s="17">
        <f t="shared" si="141"/>
        <v>0.625</v>
      </c>
      <c r="AR272" s="22">
        <f t="shared" si="152"/>
        <v>0.438</v>
      </c>
      <c r="AT272" s="19">
        <f t="shared" si="144"/>
        <v>43732</v>
      </c>
      <c r="AU272" s="20">
        <f t="shared" si="145"/>
        <v>267</v>
      </c>
      <c r="AV272" s="1">
        <f t="shared" si="153"/>
        <v>4</v>
      </c>
      <c r="AW272" s="1">
        <f t="shared" si="154"/>
        <v>7.9</v>
      </c>
      <c r="AX272" s="1">
        <f t="shared" si="155"/>
        <v>0.6</v>
      </c>
      <c r="AY272" s="1">
        <f t="shared" si="142"/>
        <v>80.599999999999994</v>
      </c>
      <c r="AZ272" s="1">
        <f t="shared" si="143"/>
        <v>58.8</v>
      </c>
      <c r="BA272" s="1">
        <f t="shared" si="156"/>
        <v>0</v>
      </c>
      <c r="BB272" s="5" t="str">
        <f t="shared" si="157"/>
        <v>NAN</v>
      </c>
      <c r="BC272" s="1">
        <f t="shared" si="146"/>
        <v>3.8</v>
      </c>
      <c r="BD272" s="1">
        <f t="shared" si="147"/>
        <v>11.4</v>
      </c>
      <c r="BE272" s="1">
        <f t="shared" si="148"/>
        <v>0.4</v>
      </c>
      <c r="BF272" s="5">
        <f t="shared" si="158"/>
        <v>5</v>
      </c>
      <c r="BG272" s="5">
        <f t="shared" si="159"/>
        <v>5.8</v>
      </c>
      <c r="BH272" s="5">
        <f t="shared" si="160"/>
        <v>6.6</v>
      </c>
      <c r="BI272" s="5" t="str">
        <f t="shared" si="161"/>
        <v>NAN</v>
      </c>
      <c r="BJ272" s="10">
        <f t="shared" si="162"/>
        <v>0.625</v>
      </c>
      <c r="BK272" s="10">
        <f t="shared" si="163"/>
        <v>0.438</v>
      </c>
      <c r="BM272" s="1">
        <f t="shared" si="164"/>
        <v>3.5280000000000005</v>
      </c>
      <c r="BN272" s="1">
        <f t="shared" si="165"/>
        <v>-0.22899999999999998</v>
      </c>
    </row>
    <row r="273" spans="1:66" x14ac:dyDescent="0.2">
      <c r="A273" s="4">
        <f t="shared" si="166"/>
        <v>43733</v>
      </c>
      <c r="B273" s="1">
        <v>268</v>
      </c>
      <c r="C273" s="1">
        <v>12</v>
      </c>
      <c r="D273" s="5">
        <v>12.99</v>
      </c>
      <c r="E273" s="5">
        <v>6.1130000000000004</v>
      </c>
      <c r="F273" s="5">
        <v>0.67100000000000004</v>
      </c>
      <c r="G273" s="5">
        <v>3.6080000000000001</v>
      </c>
      <c r="H273" s="5">
        <v>76.19</v>
      </c>
      <c r="I273" s="5">
        <v>3.488</v>
      </c>
      <c r="J273" s="5">
        <v>3.44</v>
      </c>
      <c r="K273" s="5">
        <v>4.2329999999999997</v>
      </c>
      <c r="L273" s="5">
        <v>5.35</v>
      </c>
      <c r="M273" s="5">
        <v>6.4260000000000002</v>
      </c>
      <c r="N273" s="5">
        <v>6.3250000000000002</v>
      </c>
      <c r="O273" s="5">
        <v>92.3</v>
      </c>
      <c r="P273" s="5">
        <v>7.9050000000000002</v>
      </c>
      <c r="Q273" s="5">
        <v>7.1449999999999996</v>
      </c>
      <c r="R273" s="5">
        <v>5.6130000000000004</v>
      </c>
      <c r="S273" s="5">
        <v>5.79</v>
      </c>
      <c r="T273" s="5">
        <v>6.5659999999999998</v>
      </c>
      <c r="U273" s="5">
        <v>0.39200000000000002</v>
      </c>
      <c r="V273" s="5">
        <v>56.97</v>
      </c>
      <c r="W273" s="5">
        <v>8.5000000000000006E-2</v>
      </c>
      <c r="X273" s="5">
        <v>2.8000000000000001E-2</v>
      </c>
      <c r="Y273" s="5">
        <v>2.855</v>
      </c>
      <c r="Z273" s="5">
        <v>4.9729999999999999</v>
      </c>
      <c r="AA273" s="5">
        <v>6.2830000000000004</v>
      </c>
      <c r="AB273" s="5" t="s">
        <v>99</v>
      </c>
      <c r="AC273" s="5">
        <v>3.4420000000000002</v>
      </c>
      <c r="AD273" s="5">
        <v>8.1</v>
      </c>
      <c r="AE273" s="5">
        <v>0.06</v>
      </c>
      <c r="AF273" s="5">
        <v>6.3049999999999997</v>
      </c>
      <c r="AG273" s="5">
        <v>0.27900000000000003</v>
      </c>
      <c r="AI273" s="5" t="s">
        <v>99</v>
      </c>
      <c r="AK273" s="5">
        <v>0</v>
      </c>
      <c r="AN273" s="1">
        <f t="shared" si="149"/>
        <v>92.3</v>
      </c>
      <c r="AO273" s="1">
        <f t="shared" si="150"/>
        <v>76.2</v>
      </c>
      <c r="AP273" s="1">
        <f t="shared" si="151"/>
        <v>57</v>
      </c>
      <c r="AQ273" s="17">
        <f t="shared" si="141"/>
        <v>0.54500000000000004</v>
      </c>
      <c r="AR273" s="22">
        <f t="shared" si="152"/>
        <v>0.41099999999999998</v>
      </c>
      <c r="AT273" s="19">
        <f t="shared" si="144"/>
        <v>43733</v>
      </c>
      <c r="AU273" s="20">
        <f t="shared" si="145"/>
        <v>268</v>
      </c>
      <c r="AV273" s="1">
        <f t="shared" si="153"/>
        <v>3.6</v>
      </c>
      <c r="AW273" s="1">
        <f t="shared" si="154"/>
        <v>6.3</v>
      </c>
      <c r="AX273" s="1">
        <f t="shared" si="155"/>
        <v>0.4</v>
      </c>
      <c r="AY273" s="1">
        <f t="shared" si="142"/>
        <v>76.2</v>
      </c>
      <c r="AZ273" s="1">
        <f t="shared" si="143"/>
        <v>57</v>
      </c>
      <c r="BA273" s="1">
        <f t="shared" si="156"/>
        <v>0</v>
      </c>
      <c r="BB273" s="5" t="str">
        <f t="shared" si="157"/>
        <v>NAN</v>
      </c>
      <c r="BC273" s="1">
        <f t="shared" si="146"/>
        <v>3.4</v>
      </c>
      <c r="BD273" s="1">
        <f t="shared" si="147"/>
        <v>8.1</v>
      </c>
      <c r="BE273" s="1">
        <f t="shared" si="148"/>
        <v>0.1</v>
      </c>
      <c r="BF273" s="5">
        <f t="shared" si="158"/>
        <v>4.2</v>
      </c>
      <c r="BG273" s="5">
        <f t="shared" si="159"/>
        <v>5.4</v>
      </c>
      <c r="BH273" s="5">
        <f t="shared" si="160"/>
        <v>6.4</v>
      </c>
      <c r="BI273" s="5" t="str">
        <f t="shared" si="161"/>
        <v>NAN</v>
      </c>
      <c r="BJ273" s="10">
        <f t="shared" si="162"/>
        <v>0.54500000000000004</v>
      </c>
      <c r="BK273" s="10">
        <f t="shared" si="163"/>
        <v>0.41099999999999998</v>
      </c>
      <c r="BM273" s="1">
        <f t="shared" si="164"/>
        <v>1.7749999999999995</v>
      </c>
      <c r="BN273" s="1">
        <f t="shared" si="165"/>
        <v>-0.33200000000000002</v>
      </c>
    </row>
    <row r="274" spans="1:66" x14ac:dyDescent="0.2">
      <c r="A274" s="4">
        <f t="shared" si="166"/>
        <v>43734</v>
      </c>
      <c r="B274" s="1">
        <v>269</v>
      </c>
      <c r="C274" s="1">
        <v>12</v>
      </c>
      <c r="D274" s="5">
        <v>13.01</v>
      </c>
      <c r="E274" s="5">
        <v>5.9820000000000002</v>
      </c>
      <c r="F274" s="5">
        <v>-0.99</v>
      </c>
      <c r="G274" s="5">
        <v>1.855</v>
      </c>
      <c r="H274" s="5">
        <v>91.6</v>
      </c>
      <c r="I274" s="5">
        <v>1.994</v>
      </c>
      <c r="J274" s="5">
        <v>1.835</v>
      </c>
      <c r="K274" s="5">
        <v>4.1100000000000003</v>
      </c>
      <c r="L274" s="5">
        <v>5.2549999999999999</v>
      </c>
      <c r="M274" s="5">
        <v>6.2</v>
      </c>
      <c r="N274" s="5">
        <v>6.5279999999999996</v>
      </c>
      <c r="O274" s="5">
        <v>97.7</v>
      </c>
      <c r="P274" s="5">
        <v>5.9820000000000002</v>
      </c>
      <c r="Q274" s="5">
        <v>6.0590000000000002</v>
      </c>
      <c r="R274" s="5">
        <v>5.3140000000000001</v>
      </c>
      <c r="S274" s="5">
        <v>5.4950000000000001</v>
      </c>
      <c r="T274" s="5">
        <v>6.4249999999999998</v>
      </c>
      <c r="U274" s="5">
        <v>-1.5680000000000001</v>
      </c>
      <c r="V274" s="5">
        <v>75.209999999999994</v>
      </c>
      <c r="W274" s="5">
        <v>-1.462</v>
      </c>
      <c r="X274" s="5">
        <v>-1.472</v>
      </c>
      <c r="Y274" s="5">
        <v>2.3109999999999999</v>
      </c>
      <c r="Z274" s="5">
        <v>4.758</v>
      </c>
      <c r="AA274" s="5">
        <v>6.0140000000000002</v>
      </c>
      <c r="AB274" s="5" t="s">
        <v>99</v>
      </c>
      <c r="AC274" s="5">
        <v>2.4319999999999999</v>
      </c>
      <c r="AD274" s="5">
        <v>7.0810000000000004</v>
      </c>
      <c r="AE274" s="5">
        <v>-0.76600000000000001</v>
      </c>
      <c r="AF274" s="5">
        <v>6.1180000000000003</v>
      </c>
      <c r="AG274" s="5">
        <v>-1.621</v>
      </c>
      <c r="AI274" s="5" t="s">
        <v>99</v>
      </c>
      <c r="AK274" s="5">
        <v>0</v>
      </c>
      <c r="AN274" s="1">
        <f t="shared" si="149"/>
        <v>97.7</v>
      </c>
      <c r="AO274" s="1">
        <f t="shared" si="150"/>
        <v>91.6</v>
      </c>
      <c r="AP274" s="1">
        <f t="shared" si="151"/>
        <v>75.2</v>
      </c>
      <c r="AQ274" s="17">
        <f t="shared" si="141"/>
        <v>0.72899999999999998</v>
      </c>
      <c r="AR274" s="22">
        <f t="shared" si="152"/>
        <v>0.24</v>
      </c>
      <c r="AT274" s="19">
        <f t="shared" si="144"/>
        <v>43734</v>
      </c>
      <c r="AU274" s="20">
        <f t="shared" si="145"/>
        <v>269</v>
      </c>
      <c r="AV274" s="1">
        <f t="shared" si="153"/>
        <v>1.9</v>
      </c>
      <c r="AW274" s="1">
        <f t="shared" si="154"/>
        <v>6.5</v>
      </c>
      <c r="AX274" s="1">
        <f t="shared" si="155"/>
        <v>-1.6</v>
      </c>
      <c r="AY274" s="1">
        <f t="shared" si="142"/>
        <v>91.6</v>
      </c>
      <c r="AZ274" s="1">
        <f t="shared" si="143"/>
        <v>75.2</v>
      </c>
      <c r="BA274" s="1">
        <f t="shared" si="156"/>
        <v>0</v>
      </c>
      <c r="BB274" s="5" t="str">
        <f t="shared" si="157"/>
        <v>NAN</v>
      </c>
      <c r="BC274" s="1">
        <f t="shared" si="146"/>
        <v>2.4</v>
      </c>
      <c r="BD274" s="1">
        <f t="shared" si="147"/>
        <v>7.1</v>
      </c>
      <c r="BE274" s="1">
        <f t="shared" si="148"/>
        <v>-0.8</v>
      </c>
      <c r="BF274" s="5">
        <f t="shared" si="158"/>
        <v>4.0999999999999996</v>
      </c>
      <c r="BG274" s="5">
        <f t="shared" si="159"/>
        <v>5.3</v>
      </c>
      <c r="BH274" s="5">
        <f t="shared" si="160"/>
        <v>6.2</v>
      </c>
      <c r="BI274" s="5" t="str">
        <f t="shared" si="161"/>
        <v>NAN</v>
      </c>
      <c r="BJ274" s="10">
        <f t="shared" si="162"/>
        <v>0.72899999999999998</v>
      </c>
      <c r="BK274" s="10">
        <f t="shared" si="163"/>
        <v>0.24</v>
      </c>
      <c r="BM274" s="1">
        <f t="shared" si="164"/>
        <v>0.55300000000000082</v>
      </c>
      <c r="BN274" s="1">
        <f t="shared" si="165"/>
        <v>0.80200000000000005</v>
      </c>
    </row>
    <row r="275" spans="1:66" x14ac:dyDescent="0.2">
      <c r="A275" s="4">
        <f t="shared" si="166"/>
        <v>43735</v>
      </c>
      <c r="B275" s="1">
        <v>270</v>
      </c>
      <c r="C275" s="1">
        <v>12</v>
      </c>
      <c r="D275" s="5">
        <v>12.94</v>
      </c>
      <c r="E275" s="5">
        <v>0.13800000000000001</v>
      </c>
      <c r="F275" s="5">
        <v>-1.907</v>
      </c>
      <c r="G275" s="5">
        <v>-1.633</v>
      </c>
      <c r="H275" s="5">
        <v>92.6</v>
      </c>
      <c r="I275" s="5">
        <v>-1.5129999999999999</v>
      </c>
      <c r="J275" s="5">
        <v>-1.6240000000000001</v>
      </c>
      <c r="K275" s="5">
        <v>2.1230000000000002</v>
      </c>
      <c r="L275" s="5">
        <v>4.2439999999999998</v>
      </c>
      <c r="M275" s="5">
        <v>6.0190000000000001</v>
      </c>
      <c r="N275" s="5">
        <v>-0.183</v>
      </c>
      <c r="O275" s="5">
        <v>95.5</v>
      </c>
      <c r="P275" s="5">
        <v>3.427</v>
      </c>
      <c r="Q275" s="5">
        <v>8.4000000000000005E-2</v>
      </c>
      <c r="R275" s="5">
        <v>2.3849999999999998</v>
      </c>
      <c r="S275" s="5">
        <v>4.8410000000000002</v>
      </c>
      <c r="T275" s="5">
        <v>6.1660000000000004</v>
      </c>
      <c r="U275" s="5">
        <v>-2.4129999999999998</v>
      </c>
      <c r="V275" s="5">
        <v>80.400000000000006</v>
      </c>
      <c r="W275" s="5">
        <v>-2.472</v>
      </c>
      <c r="X275" s="5">
        <v>-2.5870000000000002</v>
      </c>
      <c r="Y275" s="5">
        <v>1.948</v>
      </c>
      <c r="Z275" s="5">
        <v>3.8460000000000001</v>
      </c>
      <c r="AA275" s="5">
        <v>5.8440000000000003</v>
      </c>
      <c r="AB275" s="5" t="s">
        <v>99</v>
      </c>
      <c r="AC275" s="5">
        <v>-1.421</v>
      </c>
      <c r="AD275" s="5">
        <v>3.5000000000000003E-2</v>
      </c>
      <c r="AE275" s="5">
        <v>-2.657</v>
      </c>
      <c r="AF275" s="5">
        <v>-0.185</v>
      </c>
      <c r="AG275" s="5">
        <v>-2.4609999999999999</v>
      </c>
      <c r="AI275" s="5" t="s">
        <v>99</v>
      </c>
      <c r="AK275" s="5">
        <v>0</v>
      </c>
      <c r="AN275" s="1">
        <f t="shared" si="149"/>
        <v>95.5</v>
      </c>
      <c r="AO275" s="1">
        <f t="shared" si="150"/>
        <v>92.6</v>
      </c>
      <c r="AP275" s="1">
        <f t="shared" si="151"/>
        <v>80.400000000000006</v>
      </c>
      <c r="AQ275" s="17">
        <f t="shared" si="141"/>
        <v>0.48399999999999999</v>
      </c>
      <c r="AR275" s="22">
        <f t="shared" si="152"/>
        <v>0.11799999999999999</v>
      </c>
      <c r="AT275" s="19">
        <f t="shared" si="144"/>
        <v>43735</v>
      </c>
      <c r="AU275" s="20">
        <f t="shared" si="145"/>
        <v>270</v>
      </c>
      <c r="AV275" s="1">
        <f t="shared" si="153"/>
        <v>-1.6</v>
      </c>
      <c r="AW275" s="1">
        <f t="shared" si="154"/>
        <v>-0.2</v>
      </c>
      <c r="AX275" s="1">
        <f t="shared" si="155"/>
        <v>-2.4</v>
      </c>
      <c r="AY275" s="1">
        <f t="shared" si="142"/>
        <v>92.6</v>
      </c>
      <c r="AZ275" s="1">
        <f t="shared" si="143"/>
        <v>80.400000000000006</v>
      </c>
      <c r="BA275" s="1">
        <f t="shared" si="156"/>
        <v>0</v>
      </c>
      <c r="BB275" s="5" t="str">
        <f t="shared" si="157"/>
        <v>NAN</v>
      </c>
      <c r="BC275" s="1">
        <f t="shared" si="146"/>
        <v>-1.4</v>
      </c>
      <c r="BD275" s="1">
        <f t="shared" si="147"/>
        <v>0</v>
      </c>
      <c r="BE275" s="1">
        <f t="shared" si="148"/>
        <v>-2.7</v>
      </c>
      <c r="BF275" s="5">
        <f t="shared" si="158"/>
        <v>2.1</v>
      </c>
      <c r="BG275" s="5">
        <f t="shared" si="159"/>
        <v>4.2</v>
      </c>
      <c r="BH275" s="5">
        <f t="shared" si="160"/>
        <v>6</v>
      </c>
      <c r="BI275" s="5" t="str">
        <f t="shared" si="161"/>
        <v>NAN</v>
      </c>
      <c r="BJ275" s="10">
        <f t="shared" si="162"/>
        <v>0.48399999999999999</v>
      </c>
      <c r="BK275" s="10">
        <f t="shared" si="163"/>
        <v>0.11799999999999999</v>
      </c>
      <c r="BM275" s="1">
        <f t="shared" si="164"/>
        <v>0.218</v>
      </c>
      <c r="BN275" s="1">
        <f t="shared" si="165"/>
        <v>-0.24400000000000022</v>
      </c>
    </row>
    <row r="276" spans="1:66" x14ac:dyDescent="0.2">
      <c r="A276" s="4">
        <f t="shared" si="166"/>
        <v>43736</v>
      </c>
      <c r="B276" s="1">
        <v>271</v>
      </c>
      <c r="C276" s="1">
        <v>12</v>
      </c>
      <c r="D276" s="5">
        <v>12.93</v>
      </c>
      <c r="E276" s="5">
        <v>-1.46</v>
      </c>
      <c r="F276" s="5">
        <v>-5.1779999999999999</v>
      </c>
      <c r="G276" s="5">
        <v>-3.3929999999999998</v>
      </c>
      <c r="H276" s="5">
        <v>91.9</v>
      </c>
      <c r="I276" s="5">
        <v>-0.79200000000000004</v>
      </c>
      <c r="J276" s="5">
        <v>-1.9410000000000001</v>
      </c>
      <c r="K276" s="5">
        <v>1.821</v>
      </c>
      <c r="L276" s="5">
        <v>3.6680000000000001</v>
      </c>
      <c r="M276" s="5">
        <v>5.742</v>
      </c>
      <c r="N276" s="5">
        <v>-1.8049999999999999</v>
      </c>
      <c r="O276" s="5">
        <v>95.3</v>
      </c>
      <c r="P276" s="5">
        <v>-0.21</v>
      </c>
      <c r="Q276" s="5">
        <v>-0.73799999999999999</v>
      </c>
      <c r="R276" s="5">
        <v>2.0390000000000001</v>
      </c>
      <c r="S276" s="5">
        <v>3.96</v>
      </c>
      <c r="T276" s="5">
        <v>5.9550000000000001</v>
      </c>
      <c r="U276" s="5">
        <v>-5.7480000000000002</v>
      </c>
      <c r="V276" s="5">
        <v>87.4</v>
      </c>
      <c r="W276" s="5">
        <v>-1.5309999999999999</v>
      </c>
      <c r="X276" s="5">
        <v>-3.1419999999999999</v>
      </c>
      <c r="Y276" s="5">
        <v>1.657</v>
      </c>
      <c r="Z276" s="5">
        <v>3.4249999999999998</v>
      </c>
      <c r="AA276" s="5">
        <v>5.5389999999999997</v>
      </c>
      <c r="AB276" s="5" t="s">
        <v>99</v>
      </c>
      <c r="AC276" s="5">
        <v>-3.6850000000000001</v>
      </c>
      <c r="AD276" s="5">
        <v>-2.1139999999999999</v>
      </c>
      <c r="AE276" s="5">
        <v>-5.7759999999999998</v>
      </c>
      <c r="AF276" s="5">
        <v>-1.708</v>
      </c>
      <c r="AG276" s="5">
        <v>-5.851</v>
      </c>
      <c r="AI276" s="5" t="s">
        <v>99</v>
      </c>
      <c r="AK276" s="5">
        <v>0</v>
      </c>
      <c r="AN276" s="1">
        <f t="shared" si="149"/>
        <v>95.3</v>
      </c>
      <c r="AO276" s="1">
        <f t="shared" si="150"/>
        <v>91.9</v>
      </c>
      <c r="AP276" s="1">
        <f t="shared" si="151"/>
        <v>87.4</v>
      </c>
      <c r="AQ276" s="17">
        <f t="shared" si="141"/>
        <v>0.46700000000000003</v>
      </c>
      <c r="AR276" s="22">
        <f t="shared" si="152"/>
        <v>6.7000000000000004E-2</v>
      </c>
      <c r="AT276" s="19">
        <f t="shared" si="144"/>
        <v>43736</v>
      </c>
      <c r="AU276" s="20">
        <f t="shared" si="145"/>
        <v>271</v>
      </c>
      <c r="AV276" s="1">
        <f t="shared" si="153"/>
        <v>-3.4</v>
      </c>
      <c r="AW276" s="1">
        <f t="shared" si="154"/>
        <v>-1.8</v>
      </c>
      <c r="AX276" s="1">
        <f t="shared" si="155"/>
        <v>-5.7</v>
      </c>
      <c r="AY276" s="1">
        <f t="shared" si="142"/>
        <v>91.9</v>
      </c>
      <c r="AZ276" s="1">
        <f t="shared" si="143"/>
        <v>87.4</v>
      </c>
      <c r="BA276" s="1">
        <f t="shared" si="156"/>
        <v>0</v>
      </c>
      <c r="BB276" s="5" t="str">
        <f t="shared" si="157"/>
        <v>NAN</v>
      </c>
      <c r="BC276" s="1">
        <f t="shared" si="146"/>
        <v>-3.7</v>
      </c>
      <c r="BD276" s="1">
        <f t="shared" si="147"/>
        <v>-2.1</v>
      </c>
      <c r="BE276" s="1">
        <f t="shared" si="148"/>
        <v>-5.8</v>
      </c>
      <c r="BF276" s="5">
        <f t="shared" si="158"/>
        <v>1.8</v>
      </c>
      <c r="BG276" s="5">
        <f t="shared" si="159"/>
        <v>3.7</v>
      </c>
      <c r="BH276" s="5">
        <f t="shared" si="160"/>
        <v>5.7</v>
      </c>
      <c r="BI276" s="5" t="str">
        <f t="shared" si="161"/>
        <v>NAN</v>
      </c>
      <c r="BJ276" s="10">
        <f t="shared" si="162"/>
        <v>0.46700000000000003</v>
      </c>
      <c r="BK276" s="10">
        <f t="shared" si="163"/>
        <v>6.7000000000000004E-2</v>
      </c>
      <c r="BM276" s="1">
        <f t="shared" si="164"/>
        <v>-0.30899999999999994</v>
      </c>
      <c r="BN276" s="1">
        <f t="shared" si="165"/>
        <v>-2.7999999999999581E-2</v>
      </c>
    </row>
    <row r="277" spans="1:66" x14ac:dyDescent="0.2">
      <c r="A277" s="4">
        <f t="shared" si="166"/>
        <v>43737</v>
      </c>
      <c r="B277" s="1">
        <v>272</v>
      </c>
      <c r="C277" s="1">
        <v>12</v>
      </c>
      <c r="D277" s="5">
        <v>12.98</v>
      </c>
      <c r="E277" s="5">
        <v>-2.5920000000000001</v>
      </c>
      <c r="F277" s="5">
        <v>-6.2240000000000002</v>
      </c>
      <c r="G277" s="5">
        <v>-5.1740000000000004</v>
      </c>
      <c r="H277" s="5">
        <v>89.8</v>
      </c>
      <c r="I277" s="5">
        <v>-0.58199999999999996</v>
      </c>
      <c r="J277" s="5">
        <v>-2.694</v>
      </c>
      <c r="K277" s="5">
        <v>1.645</v>
      </c>
      <c r="L277" s="5">
        <v>3.351</v>
      </c>
      <c r="M277" s="5">
        <v>5.4550000000000001</v>
      </c>
      <c r="N277" s="5">
        <v>-2.984</v>
      </c>
      <c r="O277" s="5">
        <v>91.9</v>
      </c>
      <c r="P277" s="5">
        <v>-0.189</v>
      </c>
      <c r="Q277" s="5">
        <v>-1.2989999999999999</v>
      </c>
      <c r="R277" s="5">
        <v>1.7809999999999999</v>
      </c>
      <c r="S277" s="5">
        <v>3.5430000000000001</v>
      </c>
      <c r="T277" s="5">
        <v>5.6420000000000003</v>
      </c>
      <c r="U277" s="5">
        <v>-6.6269999999999998</v>
      </c>
      <c r="V277" s="5">
        <v>85</v>
      </c>
      <c r="W277" s="5">
        <v>-1.0840000000000001</v>
      </c>
      <c r="X277" s="5">
        <v>-3.6859999999999999</v>
      </c>
      <c r="Y277" s="5">
        <v>1.5149999999999999</v>
      </c>
      <c r="Z277" s="5">
        <v>3.19</v>
      </c>
      <c r="AA277" s="5">
        <v>5.2889999999999997</v>
      </c>
      <c r="AB277" s="5" t="s">
        <v>99</v>
      </c>
      <c r="AC277" s="5">
        <v>-5.508</v>
      </c>
      <c r="AD277" s="5">
        <v>-3.347</v>
      </c>
      <c r="AE277" s="5">
        <v>-7.3529999999999998</v>
      </c>
      <c r="AF277" s="5">
        <v>-2.5070000000000001</v>
      </c>
      <c r="AG277" s="5">
        <v>-6.7190000000000003</v>
      </c>
      <c r="AI277" s="5" t="s">
        <v>99</v>
      </c>
      <c r="AK277" s="5" t="s">
        <v>99</v>
      </c>
      <c r="AN277" s="1">
        <f t="shared" si="149"/>
        <v>91.9</v>
      </c>
      <c r="AO277" s="1">
        <f t="shared" si="150"/>
        <v>89.8</v>
      </c>
      <c r="AP277" s="1">
        <f t="shared" si="151"/>
        <v>85</v>
      </c>
      <c r="AQ277" s="17">
        <f t="shared" si="141"/>
        <v>0.41599999999999998</v>
      </c>
      <c r="AR277" s="22">
        <f t="shared" si="152"/>
        <v>7.2999999999999995E-2</v>
      </c>
      <c r="AT277" s="19">
        <f t="shared" si="144"/>
        <v>43737</v>
      </c>
      <c r="AU277" s="20">
        <f t="shared" si="145"/>
        <v>272</v>
      </c>
      <c r="AV277" s="1">
        <f t="shared" si="153"/>
        <v>-5.2</v>
      </c>
      <c r="AW277" s="1">
        <f t="shared" si="154"/>
        <v>-3</v>
      </c>
      <c r="AX277" s="1">
        <f t="shared" si="155"/>
        <v>-6.6</v>
      </c>
      <c r="AY277" s="1">
        <f t="shared" si="142"/>
        <v>89.8</v>
      </c>
      <c r="AZ277" s="1">
        <f t="shared" si="143"/>
        <v>85</v>
      </c>
      <c r="BA277" s="1" t="str">
        <f t="shared" si="156"/>
        <v>NAN</v>
      </c>
      <c r="BB277" s="5" t="str">
        <f t="shared" si="157"/>
        <v>NAN</v>
      </c>
      <c r="BC277" s="1">
        <f t="shared" si="146"/>
        <v>-5.5</v>
      </c>
      <c r="BD277" s="1">
        <f t="shared" si="147"/>
        <v>-3.3</v>
      </c>
      <c r="BE277" s="1">
        <f t="shared" si="148"/>
        <v>-7.4</v>
      </c>
      <c r="BF277" s="5">
        <f t="shared" si="158"/>
        <v>1.6</v>
      </c>
      <c r="BG277" s="5">
        <f t="shared" si="159"/>
        <v>3.4</v>
      </c>
      <c r="BH277" s="5">
        <f t="shared" si="160"/>
        <v>5.5</v>
      </c>
      <c r="BI277" s="5" t="str">
        <f t="shared" si="161"/>
        <v>NAN</v>
      </c>
      <c r="BJ277" s="10">
        <f t="shared" si="162"/>
        <v>0.41599999999999998</v>
      </c>
      <c r="BK277" s="10">
        <f t="shared" si="163"/>
        <v>7.2999999999999995E-2</v>
      </c>
      <c r="BM277" s="1">
        <f t="shared" si="164"/>
        <v>-0.36299999999999999</v>
      </c>
      <c r="BN277" s="1">
        <f t="shared" si="165"/>
        <v>-0.72599999999999998</v>
      </c>
    </row>
    <row r="278" spans="1:66" x14ac:dyDescent="0.2">
      <c r="A278" s="4">
        <f t="shared" si="166"/>
        <v>43738</v>
      </c>
      <c r="B278" s="1">
        <v>273</v>
      </c>
      <c r="C278" s="1">
        <v>12</v>
      </c>
      <c r="D278" s="5">
        <v>13.09</v>
      </c>
      <c r="E278" s="5">
        <v>-0.47899999999999998</v>
      </c>
      <c r="F278" s="5">
        <v>-5.94</v>
      </c>
      <c r="G278" s="5">
        <v>-4.2030000000000003</v>
      </c>
      <c r="H278" s="5">
        <v>88.6</v>
      </c>
      <c r="I278" s="5">
        <v>-8.3000000000000004E-2</v>
      </c>
      <c r="J278" s="5">
        <v>-2.4500000000000002</v>
      </c>
      <c r="K278" s="5">
        <v>1.5349999999999999</v>
      </c>
      <c r="L278" s="5">
        <v>3.1539999999999999</v>
      </c>
      <c r="M278" s="5">
        <v>5.2190000000000003</v>
      </c>
      <c r="N278" s="5">
        <v>-1.5349999999999999</v>
      </c>
      <c r="O278" s="5">
        <v>91.6</v>
      </c>
      <c r="P278" s="5">
        <v>0.13600000000000001</v>
      </c>
      <c r="Q278" s="5">
        <v>-0.33</v>
      </c>
      <c r="R278" s="5">
        <v>1.635</v>
      </c>
      <c r="S278" s="5">
        <v>3.323</v>
      </c>
      <c r="T278" s="5">
        <v>5.3890000000000002</v>
      </c>
      <c r="U278" s="5">
        <v>-6.1879999999999997</v>
      </c>
      <c r="V278" s="5">
        <v>76.48</v>
      </c>
      <c r="W278" s="5">
        <v>-0.4</v>
      </c>
      <c r="X278" s="5">
        <v>-3.645</v>
      </c>
      <c r="Y278" s="5">
        <v>1.4339999999999999</v>
      </c>
      <c r="Z278" s="5">
        <v>3.0259999999999998</v>
      </c>
      <c r="AA278" s="5">
        <v>5.07</v>
      </c>
      <c r="AB278" s="5" t="s">
        <v>99</v>
      </c>
      <c r="AC278" s="5">
        <v>-4.5279999999999996</v>
      </c>
      <c r="AD278" s="5">
        <v>-0.77900000000000003</v>
      </c>
      <c r="AE278" s="5">
        <v>-6.3959999999999999</v>
      </c>
      <c r="AF278" s="5">
        <v>-0.90800000000000003</v>
      </c>
      <c r="AG278" s="5">
        <v>-6.3840000000000003</v>
      </c>
      <c r="AI278" s="5" t="s">
        <v>99</v>
      </c>
      <c r="AK278" s="5" t="s">
        <v>99</v>
      </c>
      <c r="AN278" s="1">
        <f t="shared" si="149"/>
        <v>91.6</v>
      </c>
      <c r="AO278" s="1">
        <f t="shared" si="150"/>
        <v>88.6</v>
      </c>
      <c r="AP278" s="1">
        <f t="shared" si="151"/>
        <v>76.5</v>
      </c>
      <c r="AQ278" s="17">
        <f t="shared" si="141"/>
        <v>0.41699999999999998</v>
      </c>
      <c r="AR278" s="22">
        <f t="shared" si="152"/>
        <v>0.128</v>
      </c>
      <c r="AT278" s="19">
        <f t="shared" si="144"/>
        <v>43738</v>
      </c>
      <c r="AU278" s="20">
        <f t="shared" si="145"/>
        <v>273</v>
      </c>
      <c r="AV278" s="1">
        <f t="shared" si="153"/>
        <v>-4.2</v>
      </c>
      <c r="AW278" s="1">
        <f t="shared" si="154"/>
        <v>-1.5</v>
      </c>
      <c r="AX278" s="1">
        <f t="shared" si="155"/>
        <v>-6.2</v>
      </c>
      <c r="AY278" s="1">
        <f t="shared" si="142"/>
        <v>88.6</v>
      </c>
      <c r="AZ278" s="1">
        <f t="shared" si="143"/>
        <v>76.5</v>
      </c>
      <c r="BA278" s="1" t="str">
        <f t="shared" si="156"/>
        <v>NAN</v>
      </c>
      <c r="BB278" s="5" t="str">
        <f t="shared" si="157"/>
        <v>NAN</v>
      </c>
      <c r="BC278" s="1">
        <f t="shared" si="146"/>
        <v>-4.5</v>
      </c>
      <c r="BD278" s="1">
        <f t="shared" si="147"/>
        <v>-0.8</v>
      </c>
      <c r="BE278" s="1">
        <f t="shared" si="148"/>
        <v>-6.4</v>
      </c>
      <c r="BF278" s="5">
        <f t="shared" si="158"/>
        <v>1.5</v>
      </c>
      <c r="BG278" s="5">
        <f t="shared" si="159"/>
        <v>3.2</v>
      </c>
      <c r="BH278" s="5">
        <f t="shared" si="160"/>
        <v>5.2</v>
      </c>
      <c r="BI278" s="5" t="str">
        <f t="shared" si="161"/>
        <v>NAN</v>
      </c>
      <c r="BJ278" s="10">
        <f t="shared" si="162"/>
        <v>0.41699999999999998</v>
      </c>
      <c r="BK278" s="10">
        <f t="shared" si="163"/>
        <v>0.128</v>
      </c>
      <c r="BM278" s="1">
        <f t="shared" si="164"/>
        <v>0.75599999999999989</v>
      </c>
      <c r="BN278" s="1">
        <f t="shared" si="165"/>
        <v>-0.20800000000000018</v>
      </c>
    </row>
    <row r="279" spans="1:66" x14ac:dyDescent="0.2">
      <c r="A279" s="4">
        <f t="shared" si="166"/>
        <v>43739</v>
      </c>
      <c r="B279" s="1">
        <v>274</v>
      </c>
      <c r="C279" s="1">
        <v>12</v>
      </c>
      <c r="D279" s="5">
        <v>13.11</v>
      </c>
      <c r="E279" s="5">
        <v>2.46</v>
      </c>
      <c r="F279" s="5">
        <v>-4.7450000000000001</v>
      </c>
      <c r="G279" s="5">
        <v>-1.726</v>
      </c>
      <c r="H279" s="5">
        <v>87.2</v>
      </c>
      <c r="I279" s="5">
        <v>0.13</v>
      </c>
      <c r="J279" s="5">
        <v>-1.546</v>
      </c>
      <c r="K279" s="5">
        <v>1.4319999999999999</v>
      </c>
      <c r="L279" s="5">
        <v>3.01</v>
      </c>
      <c r="M279" s="5">
        <v>5.0250000000000004</v>
      </c>
      <c r="N279" s="5">
        <v>1.643</v>
      </c>
      <c r="O279" s="5">
        <v>92.4</v>
      </c>
      <c r="P279" s="5">
        <v>0.30599999999999999</v>
      </c>
      <c r="Q279" s="5">
        <v>0.151</v>
      </c>
      <c r="R279" s="5">
        <v>1.548</v>
      </c>
      <c r="S279" s="5">
        <v>3.1480000000000001</v>
      </c>
      <c r="T279" s="5">
        <v>5.1660000000000004</v>
      </c>
      <c r="U279" s="5">
        <v>-4.9740000000000002</v>
      </c>
      <c r="V279" s="5">
        <v>70.2</v>
      </c>
      <c r="W279" s="5">
        <v>2.3E-2</v>
      </c>
      <c r="X279" s="5">
        <v>-3.5419999999999998</v>
      </c>
      <c r="Y279" s="5">
        <v>1.282</v>
      </c>
      <c r="Z279" s="5">
        <v>2.883</v>
      </c>
      <c r="AA279" s="5">
        <v>4.8689999999999998</v>
      </c>
      <c r="AB279" s="5" t="s">
        <v>99</v>
      </c>
      <c r="AC279" s="5">
        <v>-2.875</v>
      </c>
      <c r="AD279" s="5">
        <v>0.47</v>
      </c>
      <c r="AE279" s="5">
        <v>-6.0780000000000003</v>
      </c>
      <c r="AF279" s="5">
        <v>3.8039999999999998</v>
      </c>
      <c r="AG279" s="5">
        <v>-5.2240000000000002</v>
      </c>
      <c r="AI279" s="5" t="s">
        <v>99</v>
      </c>
      <c r="AK279" s="5" t="s">
        <v>99</v>
      </c>
      <c r="AN279" s="1">
        <f t="shared" si="149"/>
        <v>92.4</v>
      </c>
      <c r="AO279" s="1">
        <f t="shared" si="150"/>
        <v>87.2</v>
      </c>
      <c r="AP279" s="1">
        <f t="shared" si="151"/>
        <v>70.2</v>
      </c>
      <c r="AQ279" s="17">
        <f t="shared" si="141"/>
        <v>0.48299999999999998</v>
      </c>
      <c r="AR279" s="22">
        <f t="shared" si="152"/>
        <v>0.20499999999999999</v>
      </c>
      <c r="AT279" s="19">
        <f t="shared" si="144"/>
        <v>43739</v>
      </c>
      <c r="AU279" s="20">
        <f t="shared" si="145"/>
        <v>274</v>
      </c>
      <c r="AV279" s="1">
        <f t="shared" si="153"/>
        <v>-1.7</v>
      </c>
      <c r="AW279" s="1">
        <f t="shared" si="154"/>
        <v>1.6</v>
      </c>
      <c r="AX279" s="1">
        <f t="shared" si="155"/>
        <v>-5</v>
      </c>
      <c r="AY279" s="1">
        <f t="shared" si="142"/>
        <v>87.2</v>
      </c>
      <c r="AZ279" s="1">
        <f t="shared" si="143"/>
        <v>70.2</v>
      </c>
      <c r="BA279" s="1" t="str">
        <f t="shared" si="156"/>
        <v>NAN</v>
      </c>
      <c r="BB279" s="5" t="str">
        <f t="shared" si="157"/>
        <v>NAN</v>
      </c>
      <c r="BC279" s="1">
        <f t="shared" si="146"/>
        <v>-2.9</v>
      </c>
      <c r="BD279" s="1">
        <f t="shared" si="147"/>
        <v>0.5</v>
      </c>
      <c r="BE279" s="1">
        <f t="shared" si="148"/>
        <v>-6.1</v>
      </c>
      <c r="BF279" s="5">
        <f t="shared" si="158"/>
        <v>1.4</v>
      </c>
      <c r="BG279" s="5">
        <f t="shared" si="159"/>
        <v>3</v>
      </c>
      <c r="BH279" s="5">
        <f t="shared" si="160"/>
        <v>5</v>
      </c>
      <c r="BI279" s="5" t="str">
        <f t="shared" si="161"/>
        <v>NAN</v>
      </c>
      <c r="BJ279" s="10">
        <f t="shared" si="162"/>
        <v>0.48299999999999998</v>
      </c>
      <c r="BK279" s="10">
        <f t="shared" si="163"/>
        <v>0.20499999999999999</v>
      </c>
      <c r="BM279" s="1">
        <f t="shared" si="164"/>
        <v>-1.173</v>
      </c>
      <c r="BN279" s="1">
        <f t="shared" si="165"/>
        <v>-1.1040000000000001</v>
      </c>
    </row>
    <row r="280" spans="1:66" x14ac:dyDescent="0.2">
      <c r="A280" s="4">
        <f t="shared" si="166"/>
        <v>43740</v>
      </c>
      <c r="B280" s="1">
        <v>275</v>
      </c>
      <c r="C280" s="1">
        <v>12</v>
      </c>
      <c r="D280" s="5">
        <v>13.06</v>
      </c>
      <c r="E280" s="5">
        <v>1.288</v>
      </c>
      <c r="F280" s="5">
        <v>-2.3140000000000001</v>
      </c>
      <c r="G280" s="5">
        <v>-1.2410000000000001</v>
      </c>
      <c r="H280" s="5">
        <v>89.7</v>
      </c>
      <c r="I280" s="5">
        <v>0.25800000000000001</v>
      </c>
      <c r="J280" s="5">
        <v>-1.133</v>
      </c>
      <c r="K280" s="5">
        <v>1.335</v>
      </c>
      <c r="L280" s="5">
        <v>2.8740000000000001</v>
      </c>
      <c r="M280" s="5">
        <v>4.8410000000000002</v>
      </c>
      <c r="N280" s="5">
        <v>0.79800000000000004</v>
      </c>
      <c r="O280" s="5">
        <v>93.1</v>
      </c>
      <c r="P280" s="5">
        <v>0.41299999999999998</v>
      </c>
      <c r="Q280" s="5">
        <v>0.154</v>
      </c>
      <c r="R280" s="5">
        <v>1.427</v>
      </c>
      <c r="S280" s="5">
        <v>2.9940000000000002</v>
      </c>
      <c r="T280" s="5">
        <v>4.9850000000000003</v>
      </c>
      <c r="U280" s="5">
        <v>-2.6160000000000001</v>
      </c>
      <c r="V280" s="5">
        <v>83.1</v>
      </c>
      <c r="W280" s="5">
        <v>5.7000000000000002E-2</v>
      </c>
      <c r="X280" s="5">
        <v>-2.8140000000000001</v>
      </c>
      <c r="Y280" s="5">
        <v>1.2250000000000001</v>
      </c>
      <c r="Z280" s="5">
        <v>2.7519999999999998</v>
      </c>
      <c r="AA280" s="5">
        <v>4.6959999999999997</v>
      </c>
      <c r="AB280" s="5" t="s">
        <v>99</v>
      </c>
      <c r="AC280" s="5">
        <v>-1.7210000000000001</v>
      </c>
      <c r="AD280" s="5">
        <v>-0.04</v>
      </c>
      <c r="AE280" s="5">
        <v>-3.669</v>
      </c>
      <c r="AF280" s="5">
        <v>1.466</v>
      </c>
      <c r="AG280" s="5">
        <v>-2.879</v>
      </c>
      <c r="AI280" s="5" t="s">
        <v>99</v>
      </c>
      <c r="AK280" s="5" t="s">
        <v>99</v>
      </c>
      <c r="AN280" s="1">
        <f t="shared" si="149"/>
        <v>93.1</v>
      </c>
      <c r="AO280" s="1">
        <f t="shared" si="150"/>
        <v>89.7</v>
      </c>
      <c r="AP280" s="1">
        <f t="shared" si="151"/>
        <v>83.1</v>
      </c>
      <c r="AQ280" s="17">
        <f t="shared" si="141"/>
        <v>0.53800000000000003</v>
      </c>
      <c r="AR280" s="22">
        <f t="shared" si="152"/>
        <v>0.109</v>
      </c>
      <c r="AT280" s="19">
        <f t="shared" si="144"/>
        <v>43740</v>
      </c>
      <c r="AU280" s="20">
        <f t="shared" si="145"/>
        <v>275</v>
      </c>
      <c r="AV280" s="1">
        <f t="shared" si="153"/>
        <v>-1.2</v>
      </c>
      <c r="AW280" s="1">
        <f t="shared" si="154"/>
        <v>0.8</v>
      </c>
      <c r="AX280" s="1">
        <f t="shared" si="155"/>
        <v>-2.6</v>
      </c>
      <c r="AY280" s="1">
        <f t="shared" si="142"/>
        <v>89.7</v>
      </c>
      <c r="AZ280" s="1">
        <f t="shared" si="143"/>
        <v>83.1</v>
      </c>
      <c r="BA280" s="1" t="str">
        <f t="shared" si="156"/>
        <v>NAN</v>
      </c>
      <c r="BB280" s="5" t="str">
        <f t="shared" si="157"/>
        <v>NAN</v>
      </c>
      <c r="BC280" s="1">
        <f t="shared" si="146"/>
        <v>-1.7</v>
      </c>
      <c r="BD280" s="1">
        <f t="shared" si="147"/>
        <v>0</v>
      </c>
      <c r="BE280" s="1">
        <f t="shared" si="148"/>
        <v>-3.7</v>
      </c>
      <c r="BF280" s="5">
        <f t="shared" si="158"/>
        <v>1.3</v>
      </c>
      <c r="BG280" s="5">
        <f t="shared" si="159"/>
        <v>2.9</v>
      </c>
      <c r="BH280" s="5">
        <f t="shared" si="160"/>
        <v>4.8</v>
      </c>
      <c r="BI280" s="5" t="str">
        <f t="shared" si="161"/>
        <v>NAN</v>
      </c>
      <c r="BJ280" s="10">
        <f t="shared" si="162"/>
        <v>0.53800000000000003</v>
      </c>
      <c r="BK280" s="10">
        <f t="shared" si="163"/>
        <v>0.109</v>
      </c>
      <c r="BM280" s="1">
        <f t="shared" si="164"/>
        <v>-0.83800000000000008</v>
      </c>
      <c r="BN280" s="1">
        <f t="shared" si="165"/>
        <v>-1.0529999999999999</v>
      </c>
    </row>
    <row r="281" spans="1:66" x14ac:dyDescent="0.2">
      <c r="A281" s="4">
        <f t="shared" si="166"/>
        <v>43741</v>
      </c>
      <c r="B281" s="1">
        <v>276</v>
      </c>
      <c r="C281" s="1">
        <v>12</v>
      </c>
      <c r="D281" s="5">
        <v>13.02</v>
      </c>
      <c r="E281" s="5">
        <v>1.159</v>
      </c>
      <c r="F281" s="5">
        <v>-2.677</v>
      </c>
      <c r="G281" s="5">
        <v>-1.095</v>
      </c>
      <c r="H281" s="5">
        <v>93.6</v>
      </c>
      <c r="I281" s="5">
        <v>0.38800000000000001</v>
      </c>
      <c r="J281" s="5">
        <v>-0.92500000000000004</v>
      </c>
      <c r="K281" s="5">
        <v>1.2889999999999999</v>
      </c>
      <c r="L281" s="5">
        <v>2.7730000000000001</v>
      </c>
      <c r="M281" s="5">
        <v>4.6749999999999998</v>
      </c>
      <c r="N281" s="5">
        <v>1.1359999999999999</v>
      </c>
      <c r="O281" s="5">
        <v>96.4</v>
      </c>
      <c r="P281" s="5">
        <v>0.53100000000000003</v>
      </c>
      <c r="Q281" s="5">
        <v>0.22800000000000001</v>
      </c>
      <c r="R281" s="5">
        <v>1.3839999999999999</v>
      </c>
      <c r="S281" s="5">
        <v>2.875</v>
      </c>
      <c r="T281" s="5">
        <v>4.8170000000000002</v>
      </c>
      <c r="U281" s="5">
        <v>-3.0550000000000002</v>
      </c>
      <c r="V281" s="5">
        <v>85.7</v>
      </c>
      <c r="W281" s="5">
        <v>0.251</v>
      </c>
      <c r="X281" s="5">
        <v>-2.3239999999999998</v>
      </c>
      <c r="Y281" s="5">
        <v>1.204</v>
      </c>
      <c r="Z281" s="5">
        <v>2.6749999999999998</v>
      </c>
      <c r="AA281" s="5">
        <v>4.5369999999999999</v>
      </c>
      <c r="AB281" s="5" t="s">
        <v>99</v>
      </c>
      <c r="AC281" s="5">
        <v>-1.419</v>
      </c>
      <c r="AD281" s="5">
        <v>0.33800000000000002</v>
      </c>
      <c r="AE281" s="5">
        <v>-2.8639999999999999</v>
      </c>
      <c r="AF281" s="5">
        <v>1.7470000000000001</v>
      </c>
      <c r="AG281" s="5">
        <v>-3.0640000000000001</v>
      </c>
      <c r="AI281" s="5" t="s">
        <v>99</v>
      </c>
      <c r="AK281" s="5" t="s">
        <v>99</v>
      </c>
      <c r="AN281" s="1">
        <f t="shared" si="149"/>
        <v>96.4</v>
      </c>
      <c r="AO281" s="1">
        <f t="shared" si="150"/>
        <v>93.6</v>
      </c>
      <c r="AP281" s="1">
        <f t="shared" si="151"/>
        <v>85.7</v>
      </c>
      <c r="AQ281" s="17">
        <f t="shared" si="141"/>
        <v>0.56799999999999995</v>
      </c>
      <c r="AR281" s="22">
        <f t="shared" si="152"/>
        <v>9.5000000000000001E-2</v>
      </c>
      <c r="AT281" s="19">
        <f t="shared" si="144"/>
        <v>43741</v>
      </c>
      <c r="AU281" s="20">
        <f t="shared" si="145"/>
        <v>276</v>
      </c>
      <c r="AV281" s="1">
        <f t="shared" si="153"/>
        <v>-1.1000000000000001</v>
      </c>
      <c r="AW281" s="1">
        <f t="shared" si="154"/>
        <v>1.1000000000000001</v>
      </c>
      <c r="AX281" s="1">
        <f t="shared" si="155"/>
        <v>-3.1</v>
      </c>
      <c r="AY281" s="1">
        <f t="shared" si="142"/>
        <v>93.6</v>
      </c>
      <c r="AZ281" s="1">
        <f t="shared" si="143"/>
        <v>85.7</v>
      </c>
      <c r="BA281" s="1" t="str">
        <f t="shared" si="156"/>
        <v>NAN</v>
      </c>
      <c r="BB281" s="5" t="str">
        <f t="shared" si="157"/>
        <v>NAN</v>
      </c>
      <c r="BC281" s="1">
        <f t="shared" si="146"/>
        <v>-1.4</v>
      </c>
      <c r="BD281" s="1">
        <f t="shared" si="147"/>
        <v>0.3</v>
      </c>
      <c r="BE281" s="1">
        <f t="shared" si="148"/>
        <v>-2.9</v>
      </c>
      <c r="BF281" s="5">
        <f t="shared" si="158"/>
        <v>1.3</v>
      </c>
      <c r="BG281" s="5">
        <f t="shared" si="159"/>
        <v>2.8</v>
      </c>
      <c r="BH281" s="5">
        <f t="shared" si="160"/>
        <v>4.7</v>
      </c>
      <c r="BI281" s="5" t="str">
        <f t="shared" si="161"/>
        <v>NAN</v>
      </c>
      <c r="BJ281" s="10">
        <f t="shared" si="162"/>
        <v>0.56799999999999995</v>
      </c>
      <c r="BK281" s="10">
        <f t="shared" si="163"/>
        <v>9.5000000000000001E-2</v>
      </c>
      <c r="BM281" s="1">
        <f t="shared" si="164"/>
        <v>-0.79799999999999982</v>
      </c>
      <c r="BN281" s="1">
        <f t="shared" si="165"/>
        <v>0.19100000000000028</v>
      </c>
    </row>
    <row r="282" spans="1:66" x14ac:dyDescent="0.2">
      <c r="A282" s="4">
        <f t="shared" si="166"/>
        <v>43742</v>
      </c>
      <c r="B282" s="1">
        <v>277</v>
      </c>
      <c r="C282" s="1">
        <v>12</v>
      </c>
      <c r="D282" s="5">
        <v>13.07</v>
      </c>
      <c r="E282" s="5">
        <v>1.7549999999999999</v>
      </c>
      <c r="F282" s="5">
        <v>-2.42</v>
      </c>
      <c r="G282" s="5">
        <v>-0.57599999999999996</v>
      </c>
      <c r="H282" s="5">
        <v>90.4</v>
      </c>
      <c r="I282" s="5">
        <v>0.40500000000000003</v>
      </c>
      <c r="J282" s="5">
        <v>-0.61899999999999999</v>
      </c>
      <c r="K282" s="5">
        <v>1.248</v>
      </c>
      <c r="L282" s="5">
        <v>2.6890000000000001</v>
      </c>
      <c r="M282" s="5">
        <v>4.53</v>
      </c>
      <c r="N282" s="5">
        <v>2.0779999999999998</v>
      </c>
      <c r="O282" s="5">
        <v>96.7</v>
      </c>
      <c r="P282" s="5">
        <v>0.56200000000000006</v>
      </c>
      <c r="Q282" s="5">
        <v>0.77800000000000002</v>
      </c>
      <c r="R282" s="5">
        <v>1.35</v>
      </c>
      <c r="S282" s="5">
        <v>2.7989999999999999</v>
      </c>
      <c r="T282" s="5">
        <v>4.6710000000000003</v>
      </c>
      <c r="U282" s="5">
        <v>-2.819</v>
      </c>
      <c r="V282" s="5">
        <v>64.09</v>
      </c>
      <c r="W282" s="5">
        <v>0.28100000000000003</v>
      </c>
      <c r="X282" s="5">
        <v>-2.7069999999999999</v>
      </c>
      <c r="Y282" s="5">
        <v>1.1659999999999999</v>
      </c>
      <c r="Z282" s="5">
        <v>2.5979999999999999</v>
      </c>
      <c r="AA282" s="5">
        <v>4.4109999999999996</v>
      </c>
      <c r="AB282" s="5" t="s">
        <v>99</v>
      </c>
      <c r="AC282" s="5">
        <v>-1.1379999999999999</v>
      </c>
      <c r="AD282" s="5">
        <v>0.217</v>
      </c>
      <c r="AE282" s="5">
        <v>-3.528</v>
      </c>
      <c r="AF282" s="5">
        <v>2.266</v>
      </c>
      <c r="AG282" s="5">
        <v>-3.0859999999999999</v>
      </c>
      <c r="AI282" s="5" t="s">
        <v>99</v>
      </c>
      <c r="AK282" s="5" t="s">
        <v>99</v>
      </c>
      <c r="AN282" s="1">
        <f t="shared" si="149"/>
        <v>96.7</v>
      </c>
      <c r="AO282" s="1">
        <f t="shared" si="150"/>
        <v>90.4</v>
      </c>
      <c r="AP282" s="1">
        <f t="shared" si="151"/>
        <v>64.099999999999994</v>
      </c>
      <c r="AQ282" s="17">
        <f t="shared" si="141"/>
        <v>0.45500000000000002</v>
      </c>
      <c r="AR282" s="22">
        <f t="shared" si="152"/>
        <v>0.255</v>
      </c>
      <c r="AT282" s="19">
        <f t="shared" si="144"/>
        <v>43742</v>
      </c>
      <c r="AU282" s="20">
        <f t="shared" si="145"/>
        <v>277</v>
      </c>
      <c r="AV282" s="1">
        <f t="shared" si="153"/>
        <v>-0.6</v>
      </c>
      <c r="AW282" s="1">
        <f t="shared" si="154"/>
        <v>2.1</v>
      </c>
      <c r="AX282" s="1">
        <f t="shared" si="155"/>
        <v>-2.8</v>
      </c>
      <c r="AY282" s="1">
        <f t="shared" si="142"/>
        <v>90.4</v>
      </c>
      <c r="AZ282" s="1">
        <f t="shared" si="143"/>
        <v>64.099999999999994</v>
      </c>
      <c r="BA282" s="1" t="str">
        <f t="shared" si="156"/>
        <v>NAN</v>
      </c>
      <c r="BB282" s="5" t="str">
        <f t="shared" si="157"/>
        <v>NAN</v>
      </c>
      <c r="BC282" s="1">
        <f t="shared" si="146"/>
        <v>-1.1000000000000001</v>
      </c>
      <c r="BD282" s="1">
        <f t="shared" si="147"/>
        <v>0.2</v>
      </c>
      <c r="BE282" s="1">
        <f t="shared" si="148"/>
        <v>-3.5</v>
      </c>
      <c r="BF282" s="5">
        <f t="shared" si="158"/>
        <v>1.2</v>
      </c>
      <c r="BG282" s="5">
        <f t="shared" si="159"/>
        <v>2.7</v>
      </c>
      <c r="BH282" s="5">
        <f t="shared" si="160"/>
        <v>4.5</v>
      </c>
      <c r="BI282" s="5" t="str">
        <f t="shared" si="161"/>
        <v>NAN</v>
      </c>
      <c r="BJ282" s="10">
        <f t="shared" si="162"/>
        <v>0.45500000000000002</v>
      </c>
      <c r="BK282" s="10">
        <f t="shared" si="163"/>
        <v>0.255</v>
      </c>
      <c r="BM282" s="1">
        <f t="shared" si="164"/>
        <v>-1.8609999999999998</v>
      </c>
      <c r="BN282" s="1">
        <f t="shared" si="165"/>
        <v>-0.70900000000000007</v>
      </c>
    </row>
    <row r="283" spans="1:66" x14ac:dyDescent="0.2">
      <c r="A283" s="4">
        <f t="shared" si="166"/>
        <v>43743</v>
      </c>
      <c r="B283" s="1">
        <v>278</v>
      </c>
      <c r="C283" s="1">
        <v>12</v>
      </c>
      <c r="D283" s="5">
        <v>13.07</v>
      </c>
      <c r="E283" s="5">
        <v>2.0529999999999999</v>
      </c>
      <c r="F283" s="5">
        <v>-1.5429999999999999</v>
      </c>
      <c r="G283" s="5">
        <v>-0.34499999999999997</v>
      </c>
      <c r="H283" s="5">
        <v>87.6</v>
      </c>
      <c r="I283" s="5">
        <v>0.38500000000000001</v>
      </c>
      <c r="J283" s="5">
        <v>-0.53600000000000003</v>
      </c>
      <c r="K283" s="5">
        <v>1.1850000000000001</v>
      </c>
      <c r="L283" s="5">
        <v>2.597</v>
      </c>
      <c r="M283" s="5">
        <v>4.3929999999999998</v>
      </c>
      <c r="N283" s="5">
        <v>2.4830000000000001</v>
      </c>
      <c r="O283" s="5">
        <v>96.6</v>
      </c>
      <c r="P283" s="5">
        <v>0.56200000000000006</v>
      </c>
      <c r="Q283" s="5">
        <v>0.64800000000000002</v>
      </c>
      <c r="R283" s="5">
        <v>1.2729999999999999</v>
      </c>
      <c r="S283" s="5">
        <v>2.7069999999999999</v>
      </c>
      <c r="T283" s="5">
        <v>4.5110000000000001</v>
      </c>
      <c r="U283" s="5">
        <v>-2.718</v>
      </c>
      <c r="V283" s="5">
        <v>68.45</v>
      </c>
      <c r="W283" s="5">
        <v>0.24099999999999999</v>
      </c>
      <c r="X283" s="5">
        <v>-2.742</v>
      </c>
      <c r="Y283" s="5">
        <v>1.0900000000000001</v>
      </c>
      <c r="Z283" s="5">
        <v>2.4809999999999999</v>
      </c>
      <c r="AA283" s="5">
        <v>4.2519999999999998</v>
      </c>
      <c r="AB283" s="5" t="s">
        <v>99</v>
      </c>
      <c r="AC283" s="5">
        <v>-1.2050000000000001</v>
      </c>
      <c r="AD283" s="5">
        <v>0.22800000000000001</v>
      </c>
      <c r="AE283" s="5">
        <v>-3.6459999999999999</v>
      </c>
      <c r="AF283" s="5">
        <v>2.3380000000000001</v>
      </c>
      <c r="AG283" s="5">
        <v>-2.9660000000000002</v>
      </c>
      <c r="AI283" s="5" t="s">
        <v>99</v>
      </c>
      <c r="AK283" s="5" t="s">
        <v>99</v>
      </c>
      <c r="AN283" s="1">
        <f t="shared" si="149"/>
        <v>96.6</v>
      </c>
      <c r="AO283" s="1">
        <f t="shared" si="150"/>
        <v>87.6</v>
      </c>
      <c r="AP283" s="1">
        <f t="shared" si="151"/>
        <v>68.5</v>
      </c>
      <c r="AQ283" s="17">
        <f t="shared" si="141"/>
        <v>0.5</v>
      </c>
      <c r="AR283" s="22">
        <f t="shared" si="152"/>
        <v>0.23</v>
      </c>
      <c r="AT283" s="19">
        <f t="shared" si="144"/>
        <v>43743</v>
      </c>
      <c r="AU283" s="20">
        <f t="shared" si="145"/>
        <v>278</v>
      </c>
      <c r="AV283" s="1">
        <f t="shared" si="153"/>
        <v>-0.3</v>
      </c>
      <c r="AW283" s="1">
        <f t="shared" si="154"/>
        <v>2.5</v>
      </c>
      <c r="AX283" s="1">
        <f t="shared" si="155"/>
        <v>-2.7</v>
      </c>
      <c r="AY283" s="1">
        <f t="shared" si="142"/>
        <v>87.6</v>
      </c>
      <c r="AZ283" s="1">
        <f t="shared" si="143"/>
        <v>68.5</v>
      </c>
      <c r="BA283" s="1" t="str">
        <f t="shared" si="156"/>
        <v>NAN</v>
      </c>
      <c r="BB283" s="5" t="str">
        <f t="shared" si="157"/>
        <v>NAN</v>
      </c>
      <c r="BC283" s="1">
        <f t="shared" si="146"/>
        <v>-1.2</v>
      </c>
      <c r="BD283" s="1">
        <f t="shared" si="147"/>
        <v>0.2</v>
      </c>
      <c r="BE283" s="1">
        <f t="shared" si="148"/>
        <v>-3.6</v>
      </c>
      <c r="BF283" s="5">
        <f t="shared" si="158"/>
        <v>1.2</v>
      </c>
      <c r="BG283" s="5">
        <f t="shared" si="159"/>
        <v>2.6</v>
      </c>
      <c r="BH283" s="5">
        <f t="shared" si="160"/>
        <v>4.4000000000000004</v>
      </c>
      <c r="BI283" s="5" t="str">
        <f t="shared" si="161"/>
        <v>NAN</v>
      </c>
      <c r="BJ283" s="10">
        <f t="shared" si="162"/>
        <v>0.5</v>
      </c>
      <c r="BK283" s="10">
        <f t="shared" si="163"/>
        <v>0.23</v>
      </c>
      <c r="BM283" s="1">
        <f t="shared" si="164"/>
        <v>-2.2549999999999999</v>
      </c>
      <c r="BN283" s="1">
        <f t="shared" si="165"/>
        <v>-0.92799999999999994</v>
      </c>
    </row>
    <row r="284" spans="1:66" x14ac:dyDescent="0.2">
      <c r="A284" s="4">
        <f t="shared" si="166"/>
        <v>43744</v>
      </c>
      <c r="B284" s="1">
        <v>279</v>
      </c>
      <c r="C284" s="1">
        <v>12</v>
      </c>
      <c r="D284" s="5">
        <v>13.1</v>
      </c>
      <c r="E284" s="5">
        <v>4.2359999999999998</v>
      </c>
      <c r="F284" s="5">
        <v>-2.7629999999999999</v>
      </c>
      <c r="G284" s="5">
        <v>0.60499999999999998</v>
      </c>
      <c r="H284" s="5">
        <v>79.12</v>
      </c>
      <c r="I284" s="5">
        <v>0.42199999999999999</v>
      </c>
      <c r="J284" s="5">
        <v>-0.86799999999999999</v>
      </c>
      <c r="K284" s="5">
        <v>1.1579999999999999</v>
      </c>
      <c r="L284" s="5">
        <v>2.5249999999999999</v>
      </c>
      <c r="M284" s="5">
        <v>4.2649999999999997</v>
      </c>
      <c r="N284" s="5">
        <v>4.2990000000000004</v>
      </c>
      <c r="O284" s="5">
        <v>90</v>
      </c>
      <c r="P284" s="5">
        <v>0.84599999999999997</v>
      </c>
      <c r="Q284" s="5">
        <v>1.3640000000000001</v>
      </c>
      <c r="R284" s="5">
        <v>1.256</v>
      </c>
      <c r="S284" s="5">
        <v>2.609</v>
      </c>
      <c r="T284" s="5">
        <v>4.3760000000000003</v>
      </c>
      <c r="U284" s="5">
        <v>-2.819</v>
      </c>
      <c r="V284" s="5">
        <v>58.34</v>
      </c>
      <c r="W284" s="5">
        <v>0.27400000000000002</v>
      </c>
      <c r="X284" s="5">
        <v>-2.9060000000000001</v>
      </c>
      <c r="Y284" s="5">
        <v>1.06</v>
      </c>
      <c r="Z284" s="5">
        <v>2.4369999999999998</v>
      </c>
      <c r="AA284" s="5">
        <v>4.1539999999999999</v>
      </c>
      <c r="AB284" s="5" t="s">
        <v>99</v>
      </c>
      <c r="AC284" s="5">
        <v>-1.2809999999999999</v>
      </c>
      <c r="AD284" s="5">
        <v>0.26800000000000002</v>
      </c>
      <c r="AE284" s="5">
        <v>-3.74</v>
      </c>
      <c r="AF284" s="5">
        <v>6.1959999999999997</v>
      </c>
      <c r="AG284" s="5">
        <v>-3.0640000000000001</v>
      </c>
      <c r="AI284" s="5" t="s">
        <v>99</v>
      </c>
      <c r="AK284" s="5" t="s">
        <v>99</v>
      </c>
      <c r="AN284" s="1">
        <f t="shared" si="149"/>
        <v>90</v>
      </c>
      <c r="AO284" s="1">
        <f t="shared" si="150"/>
        <v>79.099999999999994</v>
      </c>
      <c r="AP284" s="1">
        <f t="shared" si="151"/>
        <v>58.3</v>
      </c>
      <c r="AQ284" s="17">
        <f t="shared" si="141"/>
        <v>0.48399999999999999</v>
      </c>
      <c r="AR284" s="22">
        <f t="shared" si="152"/>
        <v>0.34599999999999997</v>
      </c>
      <c r="AT284" s="19">
        <f t="shared" si="144"/>
        <v>43744</v>
      </c>
      <c r="AU284" s="20">
        <f t="shared" si="145"/>
        <v>279</v>
      </c>
      <c r="AV284" s="1">
        <f t="shared" si="153"/>
        <v>0.6</v>
      </c>
      <c r="AW284" s="1">
        <f t="shared" si="154"/>
        <v>4.3</v>
      </c>
      <c r="AX284" s="1">
        <f t="shared" si="155"/>
        <v>-2.8</v>
      </c>
      <c r="AY284" s="1">
        <f t="shared" si="142"/>
        <v>79.099999999999994</v>
      </c>
      <c r="AZ284" s="1">
        <f t="shared" si="143"/>
        <v>58.3</v>
      </c>
      <c r="BA284" s="1" t="str">
        <f t="shared" si="156"/>
        <v>NAN</v>
      </c>
      <c r="BB284" s="5" t="str">
        <f t="shared" si="157"/>
        <v>NAN</v>
      </c>
      <c r="BC284" s="1">
        <f t="shared" si="146"/>
        <v>-1.3</v>
      </c>
      <c r="BD284" s="1">
        <f t="shared" si="147"/>
        <v>0.3</v>
      </c>
      <c r="BE284" s="1">
        <f t="shared" si="148"/>
        <v>-3.7</v>
      </c>
      <c r="BF284" s="5">
        <f t="shared" si="158"/>
        <v>1.2</v>
      </c>
      <c r="BG284" s="5">
        <f t="shared" si="159"/>
        <v>2.5</v>
      </c>
      <c r="BH284" s="5">
        <f t="shared" si="160"/>
        <v>4.3</v>
      </c>
      <c r="BI284" s="5" t="str">
        <f t="shared" si="161"/>
        <v>NAN</v>
      </c>
      <c r="BJ284" s="10">
        <f t="shared" si="162"/>
        <v>0.48399999999999999</v>
      </c>
      <c r="BK284" s="10">
        <f t="shared" si="163"/>
        <v>0.34599999999999997</v>
      </c>
      <c r="BM284" s="1">
        <f t="shared" si="164"/>
        <v>-4.0310000000000006</v>
      </c>
      <c r="BN284" s="1">
        <f t="shared" si="165"/>
        <v>-0.92100000000000026</v>
      </c>
    </row>
    <row r="285" spans="1:66" x14ac:dyDescent="0.2">
      <c r="A285" s="4">
        <f t="shared" si="166"/>
        <v>43745</v>
      </c>
      <c r="B285" s="1">
        <v>280</v>
      </c>
      <c r="C285" s="1">
        <v>12</v>
      </c>
      <c r="D285" s="5">
        <v>12.86</v>
      </c>
      <c r="E285" s="5">
        <v>3.1850000000000001</v>
      </c>
      <c r="F285" s="5">
        <v>0.58499999999999996</v>
      </c>
      <c r="G285" s="5">
        <v>2.4660000000000002</v>
      </c>
      <c r="H285" s="5">
        <v>84</v>
      </c>
      <c r="I285" s="5">
        <v>0.33</v>
      </c>
      <c r="J285" s="5">
        <v>1.01</v>
      </c>
      <c r="K285" s="5">
        <v>1.0629999999999999</v>
      </c>
      <c r="L285" s="5">
        <v>2.4239999999999999</v>
      </c>
      <c r="M285" s="5">
        <v>4.1539999999999999</v>
      </c>
      <c r="N285" s="5">
        <v>5.4539999999999997</v>
      </c>
      <c r="O285" s="5">
        <v>97.6</v>
      </c>
      <c r="P285" s="5">
        <v>0.433</v>
      </c>
      <c r="Q285" s="5">
        <v>2.9489999999999998</v>
      </c>
      <c r="R285" s="5">
        <v>1.2210000000000001</v>
      </c>
      <c r="S285" s="5">
        <v>2.5830000000000002</v>
      </c>
      <c r="T285" s="5">
        <v>4.3019999999999996</v>
      </c>
      <c r="U285" s="5">
        <v>-0.89200000000000002</v>
      </c>
      <c r="V285" s="5">
        <v>51.58</v>
      </c>
      <c r="W285" s="5">
        <v>0.222</v>
      </c>
      <c r="X285" s="5">
        <v>-1.101</v>
      </c>
      <c r="Y285" s="5">
        <v>0.89900000000000002</v>
      </c>
      <c r="Z285" s="5">
        <v>2.2029999999999998</v>
      </c>
      <c r="AA285" s="5">
        <v>3.984</v>
      </c>
      <c r="AB285" s="5" t="s">
        <v>99</v>
      </c>
      <c r="AC285" s="5">
        <v>9.4E-2</v>
      </c>
      <c r="AD285" s="5">
        <v>0.80200000000000005</v>
      </c>
      <c r="AE285" s="5">
        <v>-0.36799999999999999</v>
      </c>
      <c r="AF285" s="5">
        <v>4.9740000000000002</v>
      </c>
      <c r="AG285" s="5">
        <v>-0.51900000000000002</v>
      </c>
      <c r="AI285" s="5" t="s">
        <v>99</v>
      </c>
      <c r="AK285" s="5" t="s">
        <v>99</v>
      </c>
      <c r="AN285" s="1">
        <f t="shared" si="149"/>
        <v>97.6</v>
      </c>
      <c r="AO285" s="1">
        <f t="shared" si="150"/>
        <v>84</v>
      </c>
      <c r="AP285" s="1">
        <f t="shared" si="151"/>
        <v>51.6</v>
      </c>
      <c r="AQ285" s="17">
        <f t="shared" si="141"/>
        <v>0.46400000000000002</v>
      </c>
      <c r="AR285" s="22">
        <f t="shared" si="152"/>
        <v>0.435</v>
      </c>
      <c r="AT285" s="19">
        <f t="shared" si="144"/>
        <v>43745</v>
      </c>
      <c r="AU285" s="20">
        <f t="shared" si="145"/>
        <v>280</v>
      </c>
      <c r="AV285" s="1">
        <f t="shared" si="153"/>
        <v>2.5</v>
      </c>
      <c r="AW285" s="1">
        <f t="shared" si="154"/>
        <v>5.5</v>
      </c>
      <c r="AX285" s="1">
        <f t="shared" si="155"/>
        <v>-0.9</v>
      </c>
      <c r="AY285" s="1">
        <f t="shared" si="142"/>
        <v>84</v>
      </c>
      <c r="AZ285" s="1">
        <f t="shared" si="143"/>
        <v>51.6</v>
      </c>
      <c r="BA285" s="1" t="str">
        <f t="shared" si="156"/>
        <v>NAN</v>
      </c>
      <c r="BB285" s="5" t="str">
        <f t="shared" si="157"/>
        <v>NAN</v>
      </c>
      <c r="BC285" s="1">
        <f t="shared" si="146"/>
        <v>0.1</v>
      </c>
      <c r="BD285" s="1">
        <f t="shared" si="147"/>
        <v>0.8</v>
      </c>
      <c r="BE285" s="1">
        <f t="shared" si="148"/>
        <v>-0.4</v>
      </c>
      <c r="BF285" s="5">
        <f t="shared" si="158"/>
        <v>1.1000000000000001</v>
      </c>
      <c r="BG285" s="5">
        <f t="shared" si="159"/>
        <v>2.4</v>
      </c>
      <c r="BH285" s="5">
        <f t="shared" si="160"/>
        <v>4.2</v>
      </c>
      <c r="BI285" s="5" t="str">
        <f t="shared" si="161"/>
        <v>NAN</v>
      </c>
      <c r="BJ285" s="10">
        <f t="shared" si="162"/>
        <v>0.46400000000000002</v>
      </c>
      <c r="BK285" s="10">
        <f t="shared" si="163"/>
        <v>0.435</v>
      </c>
      <c r="BM285" s="1">
        <f t="shared" si="164"/>
        <v>-4.6519999999999992</v>
      </c>
      <c r="BN285" s="1">
        <f t="shared" si="165"/>
        <v>0.52400000000000002</v>
      </c>
    </row>
    <row r="286" spans="1:66" x14ac:dyDescent="0.2">
      <c r="A286" s="4">
        <f t="shared" si="166"/>
        <v>43746</v>
      </c>
      <c r="B286" s="1">
        <v>281</v>
      </c>
      <c r="C286" s="1">
        <v>12</v>
      </c>
      <c r="D286" s="5">
        <v>12.84</v>
      </c>
      <c r="E286" s="5">
        <v>0.98899999999999999</v>
      </c>
      <c r="F286" s="5">
        <v>-8.26</v>
      </c>
      <c r="G286" s="5">
        <v>-5.7380000000000004</v>
      </c>
      <c r="H286" s="5">
        <v>91.1</v>
      </c>
      <c r="I286" s="5">
        <v>-0.434</v>
      </c>
      <c r="J286" s="5">
        <v>-5.4349999999999996</v>
      </c>
      <c r="K286" s="5">
        <v>0.92</v>
      </c>
      <c r="L286" s="5">
        <v>2.1739999999999999</v>
      </c>
      <c r="M286" s="5">
        <v>3.93</v>
      </c>
      <c r="N286" s="5">
        <v>-0.82499999999999996</v>
      </c>
      <c r="O286" s="5">
        <v>93.9</v>
      </c>
      <c r="P286" s="5">
        <v>0.41199999999999998</v>
      </c>
      <c r="Q286" s="5">
        <v>7.0999999999999994E-2</v>
      </c>
      <c r="R286" s="5">
        <v>1.026</v>
      </c>
      <c r="S286" s="5">
        <v>2.3079999999999998</v>
      </c>
      <c r="T286" s="5">
        <v>4.1139999999999999</v>
      </c>
      <c r="U286" s="5">
        <v>-8.9600000000000009</v>
      </c>
      <c r="V286" s="5">
        <v>78.62</v>
      </c>
      <c r="W286" s="5">
        <v>-1.0129999999999999</v>
      </c>
      <c r="X286" s="5">
        <v>-8.75</v>
      </c>
      <c r="Y286" s="5">
        <v>0.76900000000000002</v>
      </c>
      <c r="Z286" s="5">
        <v>2.0720000000000001</v>
      </c>
      <c r="AA286" s="5">
        <v>3.7879999999999998</v>
      </c>
      <c r="AB286" s="5" t="s">
        <v>99</v>
      </c>
      <c r="AC286" s="5">
        <v>-4.7590000000000003</v>
      </c>
      <c r="AD286" s="5">
        <v>-0.35</v>
      </c>
      <c r="AE286" s="5">
        <v>-8.19</v>
      </c>
      <c r="AF286" s="5">
        <v>-0.53</v>
      </c>
      <c r="AG286" s="5">
        <v>-8.9499999999999993</v>
      </c>
      <c r="AI286" s="5" t="s">
        <v>99</v>
      </c>
      <c r="AK286" s="5" t="s">
        <v>99</v>
      </c>
      <c r="AN286" s="1">
        <f t="shared" si="149"/>
        <v>93.9</v>
      </c>
      <c r="AO286" s="1">
        <f t="shared" si="150"/>
        <v>91.1</v>
      </c>
      <c r="AP286" s="1">
        <f t="shared" si="151"/>
        <v>78.599999999999994</v>
      </c>
      <c r="AQ286" s="17">
        <f t="shared" si="141"/>
        <v>0.45200000000000001</v>
      </c>
      <c r="AR286" s="22">
        <f t="shared" si="152"/>
        <v>0.123</v>
      </c>
      <c r="AT286" s="19">
        <f t="shared" si="144"/>
        <v>43746</v>
      </c>
      <c r="AU286" s="20">
        <f t="shared" si="145"/>
        <v>281</v>
      </c>
      <c r="AV286" s="1">
        <f t="shared" si="153"/>
        <v>-5.7</v>
      </c>
      <c r="AW286" s="1">
        <f t="shared" si="154"/>
        <v>-0.8</v>
      </c>
      <c r="AX286" s="1">
        <f t="shared" si="155"/>
        <v>-9</v>
      </c>
      <c r="AY286" s="1">
        <f t="shared" si="142"/>
        <v>91.1</v>
      </c>
      <c r="AZ286" s="1">
        <f t="shared" si="143"/>
        <v>78.599999999999994</v>
      </c>
      <c r="BA286" s="1" t="str">
        <f t="shared" si="156"/>
        <v>NAN</v>
      </c>
      <c r="BB286" s="5" t="str">
        <f t="shared" si="157"/>
        <v>NAN</v>
      </c>
      <c r="BC286" s="1">
        <f t="shared" si="146"/>
        <v>-4.8</v>
      </c>
      <c r="BD286" s="1">
        <f t="shared" si="147"/>
        <v>-0.4</v>
      </c>
      <c r="BE286" s="1">
        <f t="shared" si="148"/>
        <v>-8.1999999999999993</v>
      </c>
      <c r="BF286" s="5">
        <f t="shared" si="158"/>
        <v>0.9</v>
      </c>
      <c r="BG286" s="5">
        <f t="shared" si="159"/>
        <v>2.2000000000000002</v>
      </c>
      <c r="BH286" s="5">
        <f t="shared" si="160"/>
        <v>3.9</v>
      </c>
      <c r="BI286" s="5" t="str">
        <f t="shared" si="161"/>
        <v>NAN</v>
      </c>
      <c r="BJ286" s="10">
        <f t="shared" si="162"/>
        <v>0.45200000000000001</v>
      </c>
      <c r="BK286" s="10">
        <f t="shared" si="163"/>
        <v>0.123</v>
      </c>
      <c r="BM286" s="1">
        <f t="shared" si="164"/>
        <v>0.47499999999999998</v>
      </c>
      <c r="BN286" s="1">
        <f t="shared" si="165"/>
        <v>0.77000000000000135</v>
      </c>
    </row>
    <row r="287" spans="1:66" x14ac:dyDescent="0.2">
      <c r="A287" s="4">
        <f t="shared" si="166"/>
        <v>43747</v>
      </c>
      <c r="B287" s="1">
        <v>282</v>
      </c>
      <c r="C287" s="1">
        <v>12</v>
      </c>
      <c r="D287" s="5">
        <v>13.13</v>
      </c>
      <c r="E287" s="5">
        <v>-3.7080000000000002</v>
      </c>
      <c r="F287" s="5">
        <v>-10.3</v>
      </c>
      <c r="G287" s="5">
        <v>-9.41</v>
      </c>
      <c r="H287" s="5">
        <v>86.7</v>
      </c>
      <c r="I287" s="5">
        <v>-0.86499999999999999</v>
      </c>
      <c r="J287" s="5">
        <v>-9.19</v>
      </c>
      <c r="K287" s="5">
        <v>0.65</v>
      </c>
      <c r="L287" s="5">
        <v>2.0649999999999999</v>
      </c>
      <c r="M287" s="5">
        <v>3.8010000000000002</v>
      </c>
      <c r="N287" s="5">
        <v>-6.7679999999999998</v>
      </c>
      <c r="O287" s="5">
        <v>90</v>
      </c>
      <c r="P287" s="5">
        <v>-0.39100000000000001</v>
      </c>
      <c r="Q287" s="5">
        <v>-2.3530000000000002</v>
      </c>
      <c r="R287" s="5">
        <v>0.86599999999999999</v>
      </c>
      <c r="S287" s="5">
        <v>2.198</v>
      </c>
      <c r="T287" s="5">
        <v>3.91</v>
      </c>
      <c r="U287" s="5">
        <v>-11.15</v>
      </c>
      <c r="V287" s="5">
        <v>77.42</v>
      </c>
      <c r="W287" s="5">
        <v>-1.292</v>
      </c>
      <c r="X287" s="5">
        <v>-10.93</v>
      </c>
      <c r="Y287" s="5">
        <v>0.39</v>
      </c>
      <c r="Z287" s="5">
        <v>1.9330000000000001</v>
      </c>
      <c r="AA287" s="5">
        <v>3.6739999999999999</v>
      </c>
      <c r="AB287" s="5" t="s">
        <v>99</v>
      </c>
      <c r="AC287" s="5">
        <v>-9</v>
      </c>
      <c r="AD287" s="5">
        <v>-5.04</v>
      </c>
      <c r="AE287" s="5">
        <v>-10.67</v>
      </c>
      <c r="AF287" s="5">
        <v>-5.101</v>
      </c>
      <c r="AG287" s="5">
        <v>-11.05</v>
      </c>
      <c r="AI287" s="5" t="s">
        <v>99</v>
      </c>
      <c r="AK287" s="5" t="s">
        <v>99</v>
      </c>
      <c r="AN287" s="1">
        <f t="shared" si="149"/>
        <v>90</v>
      </c>
      <c r="AO287" s="1">
        <f t="shared" si="150"/>
        <v>86.7</v>
      </c>
      <c r="AP287" s="1">
        <f t="shared" si="151"/>
        <v>77.400000000000006</v>
      </c>
      <c r="AQ287" s="17">
        <f t="shared" si="141"/>
        <v>0.28499999999999998</v>
      </c>
      <c r="AR287" s="22">
        <f t="shared" si="152"/>
        <v>8.3000000000000004E-2</v>
      </c>
      <c r="AT287" s="19">
        <f t="shared" si="144"/>
        <v>43747</v>
      </c>
      <c r="AU287" s="20">
        <f t="shared" si="145"/>
        <v>282</v>
      </c>
      <c r="AV287" s="1">
        <f t="shared" si="153"/>
        <v>-9.4</v>
      </c>
      <c r="AW287" s="1">
        <f t="shared" si="154"/>
        <v>-6.8</v>
      </c>
      <c r="AX287" s="1">
        <f t="shared" si="155"/>
        <v>-11.2</v>
      </c>
      <c r="AY287" s="1">
        <f t="shared" si="142"/>
        <v>86.7</v>
      </c>
      <c r="AZ287" s="1">
        <f t="shared" si="143"/>
        <v>77.400000000000006</v>
      </c>
      <c r="BA287" s="1" t="str">
        <f t="shared" si="156"/>
        <v>NAN</v>
      </c>
      <c r="BB287" s="5" t="str">
        <f t="shared" si="157"/>
        <v>NAN</v>
      </c>
      <c r="BC287" s="1">
        <f t="shared" si="146"/>
        <v>-9</v>
      </c>
      <c r="BD287" s="1">
        <f t="shared" si="147"/>
        <v>-5</v>
      </c>
      <c r="BE287" s="1">
        <f t="shared" si="148"/>
        <v>-10.7</v>
      </c>
      <c r="BF287" s="5">
        <f t="shared" si="158"/>
        <v>0.7</v>
      </c>
      <c r="BG287" s="5">
        <f t="shared" si="159"/>
        <v>2.1</v>
      </c>
      <c r="BH287" s="5">
        <f t="shared" si="160"/>
        <v>3.8</v>
      </c>
      <c r="BI287" s="5" t="str">
        <f t="shared" si="161"/>
        <v>NAN</v>
      </c>
      <c r="BJ287" s="10">
        <f t="shared" si="162"/>
        <v>0.28499999999999998</v>
      </c>
      <c r="BK287" s="10">
        <f t="shared" si="163"/>
        <v>8.3000000000000004E-2</v>
      </c>
      <c r="BM287" s="1">
        <f t="shared" si="164"/>
        <v>1.7279999999999998</v>
      </c>
      <c r="BN287" s="1">
        <f t="shared" si="165"/>
        <v>0.48000000000000043</v>
      </c>
    </row>
    <row r="288" spans="1:66" x14ac:dyDescent="0.2">
      <c r="A288" s="4">
        <f t="shared" si="166"/>
        <v>43748</v>
      </c>
      <c r="B288" s="1">
        <v>283</v>
      </c>
      <c r="C288" s="1">
        <v>12</v>
      </c>
      <c r="D288" s="5">
        <v>13.12</v>
      </c>
      <c r="E288" s="5">
        <v>2.5870000000000002</v>
      </c>
      <c r="F288" s="5">
        <v>-10.14</v>
      </c>
      <c r="G288" s="5">
        <v>-4.6500000000000004</v>
      </c>
      <c r="H288" s="5">
        <v>58.26</v>
      </c>
      <c r="I288" s="5">
        <v>-0.75700000000000001</v>
      </c>
      <c r="J288" s="5">
        <v>-5.2309999999999999</v>
      </c>
      <c r="K288" s="5">
        <v>0.308</v>
      </c>
      <c r="L288" s="5">
        <v>1.931</v>
      </c>
      <c r="M288" s="5">
        <v>3.7120000000000002</v>
      </c>
      <c r="N288" s="5">
        <v>0.58799999999999997</v>
      </c>
      <c r="O288" s="5">
        <v>83.2</v>
      </c>
      <c r="P288" s="5">
        <v>8.8999999999999996E-2</v>
      </c>
      <c r="Q288" s="5">
        <v>3.1709999999999998</v>
      </c>
      <c r="R288" s="5">
        <v>0.47099999999999997</v>
      </c>
      <c r="S288" s="5">
        <v>2.0409999999999999</v>
      </c>
      <c r="T288" s="5">
        <v>3.81</v>
      </c>
      <c r="U288" s="5">
        <v>-10.029999999999999</v>
      </c>
      <c r="V288" s="5">
        <v>28.22</v>
      </c>
      <c r="W288" s="5">
        <v>-1.335</v>
      </c>
      <c r="X288" s="5">
        <v>-10.37</v>
      </c>
      <c r="Y288" s="5">
        <v>0.14699999999999999</v>
      </c>
      <c r="Z288" s="5">
        <v>1.8009999999999999</v>
      </c>
      <c r="AA288" s="5">
        <v>3.6059999999999999</v>
      </c>
      <c r="AB288" s="5" t="s">
        <v>99</v>
      </c>
      <c r="AC288" s="5">
        <v>-6.101</v>
      </c>
      <c r="AD288" s="5">
        <v>-0.73399999999999999</v>
      </c>
      <c r="AE288" s="5">
        <v>-10.28</v>
      </c>
      <c r="AF288" s="5">
        <v>3.2559999999999998</v>
      </c>
      <c r="AG288" s="5">
        <v>-10.33</v>
      </c>
      <c r="AI288" s="5" t="s">
        <v>99</v>
      </c>
      <c r="AK288" s="5" t="s">
        <v>99</v>
      </c>
      <c r="AN288" s="1">
        <f t="shared" si="149"/>
        <v>83.2</v>
      </c>
      <c r="AO288" s="1">
        <f t="shared" si="150"/>
        <v>58.3</v>
      </c>
      <c r="AP288" s="1">
        <f t="shared" si="151"/>
        <v>28.2</v>
      </c>
      <c r="AQ288" s="17">
        <f t="shared" si="141"/>
        <v>0.18</v>
      </c>
      <c r="AR288" s="22">
        <f t="shared" si="152"/>
        <v>0.45800000000000002</v>
      </c>
      <c r="AT288" s="19">
        <f t="shared" si="144"/>
        <v>43748</v>
      </c>
      <c r="AU288" s="20">
        <f t="shared" si="145"/>
        <v>283</v>
      </c>
      <c r="AV288" s="1">
        <f t="shared" si="153"/>
        <v>-4.7</v>
      </c>
      <c r="AW288" s="1">
        <f t="shared" si="154"/>
        <v>0.6</v>
      </c>
      <c r="AX288" s="1">
        <f t="shared" si="155"/>
        <v>-10</v>
      </c>
      <c r="AY288" s="1">
        <f t="shared" si="142"/>
        <v>58.3</v>
      </c>
      <c r="AZ288" s="1">
        <f t="shared" si="143"/>
        <v>28.2</v>
      </c>
      <c r="BA288" s="1" t="str">
        <f t="shared" si="156"/>
        <v>NAN</v>
      </c>
      <c r="BB288" s="5" t="str">
        <f t="shared" si="157"/>
        <v>NAN</v>
      </c>
      <c r="BC288" s="1">
        <f t="shared" si="146"/>
        <v>-6.1</v>
      </c>
      <c r="BD288" s="1">
        <f t="shared" si="147"/>
        <v>-0.7</v>
      </c>
      <c r="BE288" s="1">
        <f t="shared" si="148"/>
        <v>-10.3</v>
      </c>
      <c r="BF288" s="5">
        <f t="shared" si="158"/>
        <v>0.3</v>
      </c>
      <c r="BG288" s="5">
        <f t="shared" si="159"/>
        <v>1.9</v>
      </c>
      <c r="BH288" s="5">
        <f t="shared" si="160"/>
        <v>3.7</v>
      </c>
      <c r="BI288" s="5" t="str">
        <f t="shared" si="161"/>
        <v>NAN</v>
      </c>
      <c r="BJ288" s="10">
        <f t="shared" si="162"/>
        <v>0.18</v>
      </c>
      <c r="BK288" s="10">
        <f t="shared" si="163"/>
        <v>0.45800000000000002</v>
      </c>
      <c r="BM288" s="1">
        <f t="shared" si="164"/>
        <v>-1.3220000000000001</v>
      </c>
      <c r="BN288" s="1">
        <f t="shared" si="165"/>
        <v>-0.25</v>
      </c>
    </row>
    <row r="289" spans="1:66" x14ac:dyDescent="0.2">
      <c r="A289" s="4">
        <f t="shared" si="166"/>
        <v>43749</v>
      </c>
      <c r="B289" s="1">
        <v>284</v>
      </c>
      <c r="C289" s="1">
        <v>12</v>
      </c>
      <c r="D289" s="5">
        <v>13.12</v>
      </c>
      <c r="E289" s="5">
        <v>3.569</v>
      </c>
      <c r="F289" s="5">
        <v>-5.2210000000000001</v>
      </c>
      <c r="G289" s="5">
        <v>-1.617</v>
      </c>
      <c r="H289" s="5">
        <v>51.21</v>
      </c>
      <c r="I289" s="5">
        <v>-0.52600000000000002</v>
      </c>
      <c r="J289" s="5">
        <v>-2.6179999999999999</v>
      </c>
      <c r="K289" s="5">
        <v>0.25600000000000001</v>
      </c>
      <c r="L289" s="5">
        <v>1.823</v>
      </c>
      <c r="M289" s="5">
        <v>3.613</v>
      </c>
      <c r="N289" s="5">
        <v>2.7919999999999998</v>
      </c>
      <c r="O289" s="5">
        <v>62.33</v>
      </c>
      <c r="P289" s="5">
        <v>0.13700000000000001</v>
      </c>
      <c r="Q289" s="5">
        <v>5.1639999999999997</v>
      </c>
      <c r="R289" s="5">
        <v>0.40100000000000002</v>
      </c>
      <c r="S289" s="5">
        <v>1.93</v>
      </c>
      <c r="T289" s="5">
        <v>3.7229999999999999</v>
      </c>
      <c r="U289" s="5">
        <v>-4.907</v>
      </c>
      <c r="V289" s="5">
        <v>35.57</v>
      </c>
      <c r="W289" s="5">
        <v>-1.0309999999999999</v>
      </c>
      <c r="X289" s="5">
        <v>-5.77</v>
      </c>
      <c r="Y289" s="5">
        <v>0.104</v>
      </c>
      <c r="Z289" s="5">
        <v>1.7050000000000001</v>
      </c>
      <c r="AA289" s="5">
        <v>3.5059999999999998</v>
      </c>
      <c r="AB289" s="5" t="s">
        <v>99</v>
      </c>
      <c r="AC289" s="5">
        <v>-3.8820000000000001</v>
      </c>
      <c r="AD289" s="5">
        <v>6.8000000000000005E-2</v>
      </c>
      <c r="AE289" s="5">
        <v>-6.6859999999999999</v>
      </c>
      <c r="AF289" s="5">
        <v>5.2370000000000001</v>
      </c>
      <c r="AG289" s="5">
        <v>-5.234</v>
      </c>
      <c r="AI289" s="5" t="s">
        <v>99</v>
      </c>
      <c r="AK289" s="5" t="s">
        <v>99</v>
      </c>
      <c r="AN289" s="1">
        <f t="shared" si="149"/>
        <v>62.3</v>
      </c>
      <c r="AO289" s="1">
        <f t="shared" si="150"/>
        <v>51.2</v>
      </c>
      <c r="AP289" s="1">
        <f t="shared" si="151"/>
        <v>35.6</v>
      </c>
      <c r="AQ289" s="17">
        <f t="shared" si="141"/>
        <v>0.26600000000000001</v>
      </c>
      <c r="AR289" s="22">
        <f t="shared" si="152"/>
        <v>0.48099999999999998</v>
      </c>
      <c r="AT289" s="19">
        <f t="shared" si="144"/>
        <v>43749</v>
      </c>
      <c r="AU289" s="20">
        <f t="shared" si="145"/>
        <v>284</v>
      </c>
      <c r="AV289" s="1">
        <f t="shared" si="153"/>
        <v>-1.6</v>
      </c>
      <c r="AW289" s="1">
        <f t="shared" si="154"/>
        <v>2.8</v>
      </c>
      <c r="AX289" s="1">
        <f t="shared" si="155"/>
        <v>-4.9000000000000004</v>
      </c>
      <c r="AY289" s="1">
        <f t="shared" si="142"/>
        <v>51.2</v>
      </c>
      <c r="AZ289" s="1">
        <f t="shared" si="143"/>
        <v>35.6</v>
      </c>
      <c r="BA289" s="1" t="str">
        <f t="shared" si="156"/>
        <v>NAN</v>
      </c>
      <c r="BB289" s="5" t="str">
        <f t="shared" si="157"/>
        <v>NAN</v>
      </c>
      <c r="BC289" s="1">
        <f t="shared" si="146"/>
        <v>-3.9</v>
      </c>
      <c r="BD289" s="1">
        <f t="shared" si="147"/>
        <v>0.1</v>
      </c>
      <c r="BE289" s="1">
        <f t="shared" si="148"/>
        <v>-6.7</v>
      </c>
      <c r="BF289" s="5">
        <f t="shared" si="158"/>
        <v>0.3</v>
      </c>
      <c r="BG289" s="5">
        <f t="shared" si="159"/>
        <v>1.8</v>
      </c>
      <c r="BH289" s="5">
        <f t="shared" si="160"/>
        <v>3.6</v>
      </c>
      <c r="BI289" s="5" t="str">
        <f t="shared" si="161"/>
        <v>NAN</v>
      </c>
      <c r="BJ289" s="10">
        <f t="shared" si="162"/>
        <v>0.26600000000000001</v>
      </c>
      <c r="BK289" s="10">
        <f t="shared" si="163"/>
        <v>0.48099999999999998</v>
      </c>
      <c r="BM289" s="1">
        <f t="shared" si="164"/>
        <v>-2.7239999999999998</v>
      </c>
      <c r="BN289" s="1">
        <f t="shared" si="165"/>
        <v>-1.7789999999999999</v>
      </c>
    </row>
    <row r="290" spans="1:66" x14ac:dyDescent="0.2">
      <c r="A290" s="4">
        <f t="shared" si="166"/>
        <v>43750</v>
      </c>
      <c r="B290" s="1">
        <v>285</v>
      </c>
      <c r="C290" s="1">
        <v>12</v>
      </c>
      <c r="D290" s="5">
        <v>13.07</v>
      </c>
      <c r="E290" s="5">
        <v>3.3570000000000002</v>
      </c>
      <c r="F290" s="5">
        <v>-3.2559999999999998</v>
      </c>
      <c r="G290" s="5">
        <v>0.28799999999999998</v>
      </c>
      <c r="H290" s="5">
        <v>52.96</v>
      </c>
      <c r="I290" s="5">
        <v>-0.313</v>
      </c>
      <c r="J290" s="5">
        <v>-0.67700000000000005</v>
      </c>
      <c r="K290" s="5">
        <v>0.28100000000000003</v>
      </c>
      <c r="L290" s="5">
        <v>1.7569999999999999</v>
      </c>
      <c r="M290" s="5">
        <v>3.5129999999999999</v>
      </c>
      <c r="N290" s="5">
        <v>3.867</v>
      </c>
      <c r="O290" s="5">
        <v>66.150000000000006</v>
      </c>
      <c r="P290" s="5">
        <v>0.13500000000000001</v>
      </c>
      <c r="Q290" s="5">
        <v>3.012</v>
      </c>
      <c r="R290" s="5">
        <v>0.45200000000000001</v>
      </c>
      <c r="S290" s="5">
        <v>1.841</v>
      </c>
      <c r="T290" s="5">
        <v>3.609</v>
      </c>
      <c r="U290" s="5">
        <v>-2.9849999999999999</v>
      </c>
      <c r="V290" s="5">
        <v>36.299999999999997</v>
      </c>
      <c r="W290" s="5">
        <v>-0.96799999999999997</v>
      </c>
      <c r="X290" s="5">
        <v>-3.7050000000000001</v>
      </c>
      <c r="Y290" s="5">
        <v>0.11600000000000001</v>
      </c>
      <c r="Z290" s="5">
        <v>1.6819999999999999</v>
      </c>
      <c r="AA290" s="5">
        <v>3.415</v>
      </c>
      <c r="AB290" s="5" t="s">
        <v>99</v>
      </c>
      <c r="AC290" s="5">
        <v>-1.8620000000000001</v>
      </c>
      <c r="AD290" s="5">
        <v>9.0999999999999998E-2</v>
      </c>
      <c r="AE290" s="5">
        <v>-4.5039999999999996</v>
      </c>
      <c r="AF290" s="5">
        <v>4.0469999999999997</v>
      </c>
      <c r="AG290" s="5">
        <v>-3.1869999999999998</v>
      </c>
      <c r="AI290" s="5" t="s">
        <v>99</v>
      </c>
      <c r="AK290" s="5" t="s">
        <v>99</v>
      </c>
      <c r="AN290" s="1">
        <f t="shared" si="149"/>
        <v>66.2</v>
      </c>
      <c r="AO290" s="1">
        <f t="shared" si="150"/>
        <v>53</v>
      </c>
      <c r="AP290" s="1">
        <f t="shared" si="151"/>
        <v>36.299999999999997</v>
      </c>
      <c r="AQ290" s="17">
        <f t="shared" si="141"/>
        <v>0.29199999999999998</v>
      </c>
      <c r="AR290" s="22">
        <f t="shared" si="152"/>
        <v>0.51200000000000001</v>
      </c>
      <c r="AT290" s="19">
        <f t="shared" si="144"/>
        <v>43750</v>
      </c>
      <c r="AU290" s="20">
        <f t="shared" si="145"/>
        <v>285</v>
      </c>
      <c r="AV290" s="1">
        <f t="shared" si="153"/>
        <v>0.3</v>
      </c>
      <c r="AW290" s="1">
        <f t="shared" si="154"/>
        <v>3.9</v>
      </c>
      <c r="AX290" s="1">
        <f t="shared" si="155"/>
        <v>-3</v>
      </c>
      <c r="AY290" s="1">
        <f t="shared" si="142"/>
        <v>53</v>
      </c>
      <c r="AZ290" s="1">
        <f t="shared" si="143"/>
        <v>36.299999999999997</v>
      </c>
      <c r="BA290" s="1" t="str">
        <f t="shared" si="156"/>
        <v>NAN</v>
      </c>
      <c r="BB290" s="5" t="str">
        <f t="shared" si="157"/>
        <v>NAN</v>
      </c>
      <c r="BC290" s="1">
        <f t="shared" si="146"/>
        <v>-1.9</v>
      </c>
      <c r="BD290" s="1">
        <f t="shared" si="147"/>
        <v>0.1</v>
      </c>
      <c r="BE290" s="1">
        <f t="shared" si="148"/>
        <v>-4.5</v>
      </c>
      <c r="BF290" s="5">
        <f t="shared" si="158"/>
        <v>0.3</v>
      </c>
      <c r="BG290" s="5">
        <f t="shared" si="159"/>
        <v>1.8</v>
      </c>
      <c r="BH290" s="5">
        <f t="shared" si="160"/>
        <v>3.5</v>
      </c>
      <c r="BI290" s="5" t="str">
        <f t="shared" si="161"/>
        <v>NAN</v>
      </c>
      <c r="BJ290" s="10">
        <f t="shared" si="162"/>
        <v>0.29199999999999998</v>
      </c>
      <c r="BK290" s="10">
        <f t="shared" si="163"/>
        <v>0.51200000000000001</v>
      </c>
      <c r="BM290" s="1">
        <f t="shared" si="164"/>
        <v>-3.7759999999999998</v>
      </c>
      <c r="BN290" s="1">
        <f t="shared" si="165"/>
        <v>-1.5189999999999997</v>
      </c>
    </row>
    <row r="291" spans="1:66" x14ac:dyDescent="0.2">
      <c r="A291" s="4">
        <f t="shared" si="166"/>
        <v>43751</v>
      </c>
      <c r="B291" s="1">
        <v>286</v>
      </c>
      <c r="C291" s="1">
        <v>12</v>
      </c>
      <c r="D291" s="5">
        <v>12.83</v>
      </c>
      <c r="E291" s="5">
        <v>0.223</v>
      </c>
      <c r="F291" s="5">
        <v>-1.417</v>
      </c>
      <c r="G291" s="5">
        <v>-0.746</v>
      </c>
      <c r="H291" s="5">
        <v>93.6</v>
      </c>
      <c r="I291" s="5">
        <v>7.9000000000000001E-2</v>
      </c>
      <c r="J291" s="5">
        <v>-0.84</v>
      </c>
      <c r="K291" s="5">
        <v>0.45100000000000001</v>
      </c>
      <c r="L291" s="5">
        <v>1.73</v>
      </c>
      <c r="M291" s="5">
        <v>3.4119999999999999</v>
      </c>
      <c r="N291" s="5">
        <v>0.93300000000000005</v>
      </c>
      <c r="O291" s="5">
        <v>96.6</v>
      </c>
      <c r="P291" s="5">
        <v>0.23200000000000001</v>
      </c>
      <c r="Q291" s="5">
        <v>7.3999999999999996E-2</v>
      </c>
      <c r="R291" s="5">
        <v>0.55600000000000005</v>
      </c>
      <c r="S291" s="5">
        <v>1.806</v>
      </c>
      <c r="T291" s="5">
        <v>3.532</v>
      </c>
      <c r="U291" s="5">
        <v>-1.873</v>
      </c>
      <c r="V291" s="5">
        <v>51.92</v>
      </c>
      <c r="W291" s="5">
        <v>-0.13300000000000001</v>
      </c>
      <c r="X291" s="5">
        <v>-2.0529999999999999</v>
      </c>
      <c r="Y291" s="5">
        <v>0.34899999999999998</v>
      </c>
      <c r="Z291" s="5">
        <v>1.65</v>
      </c>
      <c r="AA291" s="5">
        <v>3.3029999999999999</v>
      </c>
      <c r="AB291" s="5" t="s">
        <v>99</v>
      </c>
      <c r="AC291" s="5">
        <v>-0.95099999999999996</v>
      </c>
      <c r="AD291" s="5">
        <v>-0.24</v>
      </c>
      <c r="AE291" s="5">
        <v>-1.7829999999999999</v>
      </c>
      <c r="AF291" s="5">
        <v>0.36599999999999999</v>
      </c>
      <c r="AG291" s="5">
        <v>-1.903</v>
      </c>
      <c r="AI291" s="5" t="s">
        <v>99</v>
      </c>
      <c r="AK291" s="5" t="s">
        <v>99</v>
      </c>
      <c r="AN291" s="1">
        <f t="shared" si="149"/>
        <v>96.6</v>
      </c>
      <c r="AO291" s="1">
        <f t="shared" si="150"/>
        <v>93.6</v>
      </c>
      <c r="AP291" s="1">
        <f t="shared" si="151"/>
        <v>51.9</v>
      </c>
      <c r="AQ291" s="17">
        <f t="shared" si="141"/>
        <v>0.33900000000000002</v>
      </c>
      <c r="AR291" s="22">
        <f t="shared" si="152"/>
        <v>0.314</v>
      </c>
      <c r="AT291" s="19">
        <f t="shared" si="144"/>
        <v>43751</v>
      </c>
      <c r="AU291" s="20">
        <f t="shared" si="145"/>
        <v>286</v>
      </c>
      <c r="AV291" s="1">
        <f t="shared" si="153"/>
        <v>-0.7</v>
      </c>
      <c r="AW291" s="1">
        <f t="shared" si="154"/>
        <v>0.9</v>
      </c>
      <c r="AX291" s="1">
        <f t="shared" si="155"/>
        <v>-1.9</v>
      </c>
      <c r="AY291" s="1">
        <f t="shared" si="142"/>
        <v>93.6</v>
      </c>
      <c r="AZ291" s="1">
        <f t="shared" si="143"/>
        <v>51.9</v>
      </c>
      <c r="BA291" s="1" t="str">
        <f t="shared" si="156"/>
        <v>NAN</v>
      </c>
      <c r="BB291" s="5" t="str">
        <f t="shared" si="157"/>
        <v>NAN</v>
      </c>
      <c r="BC291" s="1">
        <f t="shared" si="146"/>
        <v>-1</v>
      </c>
      <c r="BD291" s="1">
        <f t="shared" si="147"/>
        <v>-0.2</v>
      </c>
      <c r="BE291" s="1">
        <f t="shared" si="148"/>
        <v>-1.8</v>
      </c>
      <c r="BF291" s="5">
        <f t="shared" si="158"/>
        <v>0.5</v>
      </c>
      <c r="BG291" s="5">
        <f t="shared" si="159"/>
        <v>1.7</v>
      </c>
      <c r="BH291" s="5">
        <f t="shared" si="160"/>
        <v>3.4</v>
      </c>
      <c r="BI291" s="5" t="str">
        <f t="shared" si="161"/>
        <v>NAN</v>
      </c>
      <c r="BJ291" s="10">
        <f t="shared" si="162"/>
        <v>0.33900000000000002</v>
      </c>
      <c r="BK291" s="10">
        <f t="shared" si="163"/>
        <v>0.314</v>
      </c>
      <c r="BM291" s="1">
        <f t="shared" si="164"/>
        <v>-1.173</v>
      </c>
      <c r="BN291" s="1">
        <f t="shared" si="165"/>
        <v>9.000000000000008E-2</v>
      </c>
    </row>
    <row r="292" spans="1:66" x14ac:dyDescent="0.2">
      <c r="A292" s="4">
        <f t="shared" si="166"/>
        <v>43752</v>
      </c>
      <c r="B292" s="1">
        <v>287</v>
      </c>
      <c r="C292" s="1">
        <v>12</v>
      </c>
      <c r="D292" s="5">
        <v>13.09</v>
      </c>
      <c r="E292" s="5">
        <v>3.0790000000000002</v>
      </c>
      <c r="F292" s="5">
        <v>-2.5259999999999998</v>
      </c>
      <c r="G292" s="5">
        <v>-1.0449999999999999</v>
      </c>
      <c r="H292" s="5">
        <v>90.2</v>
      </c>
      <c r="I292" s="5">
        <v>0.10199999999999999</v>
      </c>
      <c r="J292" s="5">
        <v>-1.345</v>
      </c>
      <c r="K292" s="5">
        <v>0.52200000000000002</v>
      </c>
      <c r="L292" s="5">
        <v>1.72</v>
      </c>
      <c r="M292" s="5">
        <v>3.3130000000000002</v>
      </c>
      <c r="N292" s="5">
        <v>2.9180000000000001</v>
      </c>
      <c r="O292" s="5">
        <v>95.7</v>
      </c>
      <c r="P292" s="5">
        <v>0.40600000000000003</v>
      </c>
      <c r="Q292" s="5">
        <v>2.6970000000000001</v>
      </c>
      <c r="R292" s="5">
        <v>0.61699999999999999</v>
      </c>
      <c r="S292" s="5">
        <v>1.8080000000000001</v>
      </c>
      <c r="T292" s="5">
        <v>3.4129999999999998</v>
      </c>
      <c r="U292" s="5">
        <v>-3.0219999999999998</v>
      </c>
      <c r="V292" s="5">
        <v>67.25</v>
      </c>
      <c r="W292" s="5">
        <v>-0.16800000000000001</v>
      </c>
      <c r="X292" s="5">
        <v>-3.4649999999999999</v>
      </c>
      <c r="Y292" s="5">
        <v>0.42599999999999999</v>
      </c>
      <c r="Z292" s="5">
        <v>1.6419999999999999</v>
      </c>
      <c r="AA292" s="5">
        <v>3.2109999999999999</v>
      </c>
      <c r="AB292" s="5" t="s">
        <v>99</v>
      </c>
      <c r="AC292" s="5">
        <v>-1.6719999999999999</v>
      </c>
      <c r="AD292" s="5">
        <v>0.189</v>
      </c>
      <c r="AE292" s="5">
        <v>-3.8610000000000002</v>
      </c>
      <c r="AF292" s="5">
        <v>4.3259999999999996</v>
      </c>
      <c r="AG292" s="5">
        <v>-3.1619999999999999</v>
      </c>
      <c r="AI292" s="5" t="s">
        <v>99</v>
      </c>
      <c r="AK292" s="5" t="s">
        <v>99</v>
      </c>
      <c r="AN292" s="1">
        <f t="shared" si="149"/>
        <v>95.7</v>
      </c>
      <c r="AO292" s="1">
        <f t="shared" si="150"/>
        <v>90.2</v>
      </c>
      <c r="AP292" s="1">
        <f t="shared" si="151"/>
        <v>67.3</v>
      </c>
      <c r="AQ292" s="17">
        <f t="shared" si="141"/>
        <v>0.50700000000000001</v>
      </c>
      <c r="AR292" s="22">
        <f t="shared" si="152"/>
        <v>0.246</v>
      </c>
      <c r="AT292" s="19">
        <f t="shared" si="144"/>
        <v>43752</v>
      </c>
      <c r="AU292" s="20">
        <f t="shared" si="145"/>
        <v>287</v>
      </c>
      <c r="AV292" s="1">
        <f t="shared" si="153"/>
        <v>-1</v>
      </c>
      <c r="AW292" s="1">
        <f t="shared" si="154"/>
        <v>2.9</v>
      </c>
      <c r="AX292" s="1">
        <f t="shared" si="155"/>
        <v>-3</v>
      </c>
      <c r="AY292" s="1">
        <f t="shared" si="142"/>
        <v>90.2</v>
      </c>
      <c r="AZ292" s="1">
        <f t="shared" si="143"/>
        <v>67.3</v>
      </c>
      <c r="BA292" s="1" t="str">
        <f t="shared" si="156"/>
        <v>NAN</v>
      </c>
      <c r="BB292" s="5" t="str">
        <f t="shared" si="157"/>
        <v>NAN</v>
      </c>
      <c r="BC292" s="1">
        <f t="shared" si="146"/>
        <v>-1.7</v>
      </c>
      <c r="BD292" s="1">
        <f t="shared" si="147"/>
        <v>0.2</v>
      </c>
      <c r="BE292" s="1">
        <f t="shared" si="148"/>
        <v>-3.9</v>
      </c>
      <c r="BF292" s="5">
        <f t="shared" si="158"/>
        <v>0.5</v>
      </c>
      <c r="BG292" s="5">
        <f t="shared" si="159"/>
        <v>1.7</v>
      </c>
      <c r="BH292" s="5">
        <f t="shared" si="160"/>
        <v>3.3</v>
      </c>
      <c r="BI292" s="5" t="str">
        <f t="shared" si="161"/>
        <v>NAN</v>
      </c>
      <c r="BJ292" s="10">
        <f t="shared" si="162"/>
        <v>0.50700000000000001</v>
      </c>
      <c r="BK292" s="10">
        <f t="shared" si="163"/>
        <v>0.246</v>
      </c>
      <c r="BM292" s="1">
        <f t="shared" si="164"/>
        <v>-2.7290000000000001</v>
      </c>
      <c r="BN292" s="1">
        <f t="shared" si="165"/>
        <v>-0.83900000000000041</v>
      </c>
    </row>
    <row r="293" spans="1:66" x14ac:dyDescent="0.2">
      <c r="A293" s="4">
        <f t="shared" si="166"/>
        <v>43753</v>
      </c>
      <c r="B293" s="1">
        <v>288</v>
      </c>
      <c r="C293" s="1">
        <v>12</v>
      </c>
      <c r="D293" s="5">
        <v>12.84</v>
      </c>
      <c r="E293" s="5">
        <v>0.309</v>
      </c>
      <c r="F293" s="5">
        <v>-1.8640000000000001</v>
      </c>
      <c r="G293" s="5">
        <v>-0.63200000000000001</v>
      </c>
      <c r="H293" s="5">
        <v>84.5</v>
      </c>
      <c r="I293" s="5">
        <v>0.106</v>
      </c>
      <c r="J293" s="5">
        <v>-1.0549999999999999</v>
      </c>
      <c r="K293" s="5">
        <v>0.58899999999999997</v>
      </c>
      <c r="L293" s="5">
        <v>1.7350000000000001</v>
      </c>
      <c r="M293" s="5">
        <v>3.2549999999999999</v>
      </c>
      <c r="N293" s="5">
        <v>0.42599999999999999</v>
      </c>
      <c r="O293" s="5">
        <v>88.3</v>
      </c>
      <c r="P293" s="5">
        <v>0.32100000000000001</v>
      </c>
      <c r="Q293" s="5">
        <v>9.0999999999999998E-2</v>
      </c>
      <c r="R293" s="5">
        <v>0.70199999999999996</v>
      </c>
      <c r="S293" s="5">
        <v>1.8089999999999999</v>
      </c>
      <c r="T293" s="5">
        <v>3.355</v>
      </c>
      <c r="U293" s="5">
        <v>-2.0750000000000002</v>
      </c>
      <c r="V293" s="5">
        <v>76.73</v>
      </c>
      <c r="W293" s="5">
        <v>-0.246</v>
      </c>
      <c r="X293" s="5">
        <v>-2.5049999999999999</v>
      </c>
      <c r="Y293" s="5">
        <v>0.48799999999999999</v>
      </c>
      <c r="Z293" s="5">
        <v>1.655</v>
      </c>
      <c r="AA293" s="5">
        <v>3.1640000000000001</v>
      </c>
      <c r="AB293" s="5" t="s">
        <v>99</v>
      </c>
      <c r="AC293" s="5">
        <v>-1.571</v>
      </c>
      <c r="AD293" s="5">
        <v>-0.32700000000000001</v>
      </c>
      <c r="AE293" s="5">
        <v>-2.931</v>
      </c>
      <c r="AF293" s="5">
        <v>0.30099999999999999</v>
      </c>
      <c r="AG293" s="5">
        <v>-2.0979999999999999</v>
      </c>
      <c r="AI293" s="5" t="s">
        <v>99</v>
      </c>
      <c r="AK293" s="5" t="s">
        <v>99</v>
      </c>
      <c r="AN293" s="1">
        <f t="shared" si="149"/>
        <v>88.3</v>
      </c>
      <c r="AO293" s="1">
        <f t="shared" si="150"/>
        <v>84.5</v>
      </c>
      <c r="AP293" s="1">
        <f t="shared" si="151"/>
        <v>76.7</v>
      </c>
      <c r="AQ293" s="17">
        <f t="shared" si="141"/>
        <v>0.48299999999999998</v>
      </c>
      <c r="AR293" s="22">
        <f t="shared" si="152"/>
        <v>0.14699999999999999</v>
      </c>
      <c r="AT293" s="19">
        <f t="shared" si="144"/>
        <v>43753</v>
      </c>
      <c r="AU293" s="20">
        <f t="shared" si="145"/>
        <v>288</v>
      </c>
      <c r="AV293" s="1">
        <f t="shared" si="153"/>
        <v>-0.6</v>
      </c>
      <c r="AW293" s="1">
        <f t="shared" si="154"/>
        <v>0.4</v>
      </c>
      <c r="AX293" s="1">
        <f t="shared" si="155"/>
        <v>-2.1</v>
      </c>
      <c r="AY293" s="1">
        <f t="shared" si="142"/>
        <v>84.5</v>
      </c>
      <c r="AZ293" s="1">
        <f t="shared" si="143"/>
        <v>76.7</v>
      </c>
      <c r="BA293" s="1" t="str">
        <f t="shared" si="156"/>
        <v>NAN</v>
      </c>
      <c r="BB293" s="5" t="str">
        <f t="shared" si="157"/>
        <v>NAN</v>
      </c>
      <c r="BC293" s="1">
        <f t="shared" si="146"/>
        <v>-1.6</v>
      </c>
      <c r="BD293" s="1">
        <f t="shared" si="147"/>
        <v>-0.3</v>
      </c>
      <c r="BE293" s="1">
        <f t="shared" si="148"/>
        <v>-2.9</v>
      </c>
      <c r="BF293" s="5">
        <f t="shared" si="158"/>
        <v>0.6</v>
      </c>
      <c r="BG293" s="5">
        <f t="shared" si="159"/>
        <v>1.7</v>
      </c>
      <c r="BH293" s="5">
        <f t="shared" si="160"/>
        <v>3.3</v>
      </c>
      <c r="BI293" s="5" t="str">
        <f t="shared" si="161"/>
        <v>NAN</v>
      </c>
      <c r="BJ293" s="10">
        <f t="shared" si="162"/>
        <v>0.48299999999999998</v>
      </c>
      <c r="BK293" s="10">
        <f t="shared" si="163"/>
        <v>0.14699999999999999</v>
      </c>
      <c r="BM293" s="1">
        <f t="shared" si="164"/>
        <v>-0.753</v>
      </c>
      <c r="BN293" s="1">
        <f t="shared" si="165"/>
        <v>-0.85599999999999987</v>
      </c>
    </row>
    <row r="294" spans="1:66" x14ac:dyDescent="0.2">
      <c r="A294" s="4">
        <f t="shared" si="166"/>
        <v>43754</v>
      </c>
      <c r="B294" s="1">
        <v>289</v>
      </c>
      <c r="C294" s="1">
        <v>12</v>
      </c>
      <c r="D294" s="5">
        <v>12.83</v>
      </c>
      <c r="E294" s="5">
        <v>2.0760000000000001</v>
      </c>
      <c r="F294" s="5">
        <v>-0.73399999999999999</v>
      </c>
      <c r="G294" s="5">
        <v>1.17</v>
      </c>
      <c r="H294" s="5">
        <v>83.3</v>
      </c>
      <c r="I294" s="5">
        <v>0.26100000000000001</v>
      </c>
      <c r="J294" s="5">
        <v>0.48299999999999998</v>
      </c>
      <c r="K294" s="5">
        <v>0.66300000000000003</v>
      </c>
      <c r="L294" s="5">
        <v>1.762</v>
      </c>
      <c r="M294" s="5">
        <v>3.214</v>
      </c>
      <c r="N294" s="5">
        <v>3.5640000000000001</v>
      </c>
      <c r="O294" s="5">
        <v>96.4</v>
      </c>
      <c r="P294" s="5">
        <v>0.39600000000000002</v>
      </c>
      <c r="Q294" s="5">
        <v>2.6960000000000002</v>
      </c>
      <c r="R294" s="5">
        <v>0.76200000000000001</v>
      </c>
      <c r="S294" s="5">
        <v>1.847</v>
      </c>
      <c r="T294" s="5">
        <v>3.3039999999999998</v>
      </c>
      <c r="U294" s="5">
        <v>-0.55400000000000005</v>
      </c>
      <c r="V294" s="5">
        <v>56.99</v>
      </c>
      <c r="W294" s="5">
        <v>0.08</v>
      </c>
      <c r="X294" s="5">
        <v>-1.089</v>
      </c>
      <c r="Y294" s="5">
        <v>0.55100000000000005</v>
      </c>
      <c r="Z294" s="5">
        <v>1.6819999999999999</v>
      </c>
      <c r="AA294" s="5">
        <v>3.1259999999999999</v>
      </c>
      <c r="AB294" s="5" t="s">
        <v>99</v>
      </c>
      <c r="AC294" s="5">
        <v>-0.45900000000000002</v>
      </c>
      <c r="AD294" s="5">
        <v>0.13100000000000001</v>
      </c>
      <c r="AE294" s="5">
        <v>-1.6259999999999999</v>
      </c>
      <c r="AF294" s="5">
        <v>3.11</v>
      </c>
      <c r="AG294" s="5">
        <v>-0.70299999999999996</v>
      </c>
      <c r="AI294" s="5" t="s">
        <v>99</v>
      </c>
      <c r="AK294" s="5" t="s">
        <v>99</v>
      </c>
      <c r="AN294" s="1">
        <f t="shared" si="149"/>
        <v>96.4</v>
      </c>
      <c r="AO294" s="1">
        <f t="shared" si="150"/>
        <v>83.3</v>
      </c>
      <c r="AP294" s="1">
        <f t="shared" si="151"/>
        <v>57</v>
      </c>
      <c r="AQ294" s="17">
        <f t="shared" si="141"/>
        <v>0.44900000000000001</v>
      </c>
      <c r="AR294" s="22">
        <f t="shared" si="152"/>
        <v>0.33900000000000002</v>
      </c>
      <c r="AT294" s="19">
        <f t="shared" si="144"/>
        <v>43754</v>
      </c>
      <c r="AU294" s="20">
        <f t="shared" si="145"/>
        <v>289</v>
      </c>
      <c r="AV294" s="1">
        <f t="shared" ref="AV294:AV338" si="167">ROUND(G294,1)</f>
        <v>1.2</v>
      </c>
      <c r="AW294" s="1">
        <f t="shared" ref="AW294:AW338" si="168">ROUND(N294,1)</f>
        <v>3.6</v>
      </c>
      <c r="AX294" s="1">
        <f t="shared" ref="AX294:AX338" si="169">ROUND(U294,1)</f>
        <v>-0.6</v>
      </c>
      <c r="AY294" s="1">
        <f t="shared" ref="AY294:AY338" si="170">AO294</f>
        <v>83.3</v>
      </c>
      <c r="AZ294" s="1">
        <f t="shared" ref="AZ294:AZ338" si="171">AP294</f>
        <v>57</v>
      </c>
      <c r="BA294" s="1" t="str">
        <f t="shared" si="156"/>
        <v>NAN</v>
      </c>
      <c r="BB294" s="5" t="str">
        <f t="shared" si="157"/>
        <v>NAN</v>
      </c>
      <c r="BC294" s="1">
        <f t="shared" si="146"/>
        <v>-0.5</v>
      </c>
      <c r="BD294" s="1">
        <f t="shared" si="147"/>
        <v>0.1</v>
      </c>
      <c r="BE294" s="1">
        <f t="shared" si="148"/>
        <v>-1.6</v>
      </c>
      <c r="BF294" s="5">
        <f t="shared" ref="BF294:BF338" si="172">ROUND(K294,1)</f>
        <v>0.7</v>
      </c>
      <c r="BG294" s="5">
        <f t="shared" ref="BG294:BG338" si="173">ROUND(L294,1)</f>
        <v>1.8</v>
      </c>
      <c r="BH294" s="5">
        <f t="shared" ref="BH294:BH338" si="174">ROUND(M294,1)</f>
        <v>3.2</v>
      </c>
      <c r="BI294" s="5" t="str">
        <f t="shared" si="161"/>
        <v>NAN</v>
      </c>
      <c r="BJ294" s="10">
        <f t="shared" si="162"/>
        <v>0.44900000000000001</v>
      </c>
      <c r="BK294" s="10">
        <f t="shared" si="163"/>
        <v>0.33900000000000002</v>
      </c>
      <c r="BM294" s="1">
        <f t="shared" si="164"/>
        <v>-3.4329999999999998</v>
      </c>
      <c r="BN294" s="1">
        <f t="shared" si="165"/>
        <v>-1.0719999999999998</v>
      </c>
    </row>
    <row r="295" spans="1:66" x14ac:dyDescent="0.2">
      <c r="A295" s="4">
        <f t="shared" si="166"/>
        <v>43755</v>
      </c>
      <c r="B295" s="1">
        <v>290</v>
      </c>
      <c r="C295" s="1">
        <v>12</v>
      </c>
      <c r="D295" s="5">
        <v>12.83</v>
      </c>
      <c r="E295" s="5">
        <v>1.5429999999999999</v>
      </c>
      <c r="F295" s="5">
        <v>-1.0760000000000001</v>
      </c>
      <c r="G295" s="5">
        <v>-0.126</v>
      </c>
      <c r="H295" s="5">
        <v>91.6</v>
      </c>
      <c r="I295" s="5">
        <v>0.28199999999999997</v>
      </c>
      <c r="J295" s="5">
        <v>-0.30499999999999999</v>
      </c>
      <c r="K295" s="5">
        <v>0.71899999999999997</v>
      </c>
      <c r="L295" s="5">
        <v>1.746</v>
      </c>
      <c r="M295" s="5">
        <v>3.1440000000000001</v>
      </c>
      <c r="N295" s="5">
        <v>1.9810000000000001</v>
      </c>
      <c r="O295" s="5">
        <v>96.6</v>
      </c>
      <c r="P295" s="5">
        <v>0.433</v>
      </c>
      <c r="Q295" s="5">
        <v>1.51</v>
      </c>
      <c r="R295" s="5">
        <v>0.83699999999999997</v>
      </c>
      <c r="S295" s="5">
        <v>1.8340000000000001</v>
      </c>
      <c r="T295" s="5">
        <v>3.2320000000000002</v>
      </c>
      <c r="U295" s="5">
        <v>-2.3460000000000001</v>
      </c>
      <c r="V295" s="5">
        <v>72.33</v>
      </c>
      <c r="W295" s="5">
        <v>0.16500000000000001</v>
      </c>
      <c r="X295" s="5">
        <v>-2.4609999999999999</v>
      </c>
      <c r="Y295" s="5">
        <v>0.60899999999999999</v>
      </c>
      <c r="Z295" s="5">
        <v>1.66</v>
      </c>
      <c r="AA295" s="5">
        <v>3.0470000000000002</v>
      </c>
      <c r="AB295" s="5">
        <v>2.1680000000000001</v>
      </c>
      <c r="AC295" s="5">
        <v>-0.57499999999999996</v>
      </c>
      <c r="AD295" s="5">
        <v>6.7000000000000004E-2</v>
      </c>
      <c r="AE295" s="5">
        <v>-2.6520000000000001</v>
      </c>
      <c r="AF295" s="5">
        <v>2.0390000000000001</v>
      </c>
      <c r="AG295" s="5">
        <v>-2.3420000000000001</v>
      </c>
      <c r="AH295" s="5">
        <v>2.177</v>
      </c>
      <c r="AI295" s="5" t="s">
        <v>99</v>
      </c>
      <c r="AJ295" s="5" t="s">
        <v>109</v>
      </c>
      <c r="AK295" s="5">
        <f t="shared" ref="AK295:AK300" si="175">AK$1-AB295</f>
        <v>0.10699999999999976</v>
      </c>
      <c r="AN295" s="1">
        <f t="shared" si="149"/>
        <v>96.6</v>
      </c>
      <c r="AO295" s="1">
        <f t="shared" si="150"/>
        <v>91.6</v>
      </c>
      <c r="AP295" s="1">
        <f t="shared" si="151"/>
        <v>72.3</v>
      </c>
      <c r="AQ295" s="17">
        <f t="shared" si="141"/>
        <v>0.50900000000000001</v>
      </c>
      <c r="AR295" s="22">
        <f t="shared" si="152"/>
        <v>0.19500000000000001</v>
      </c>
      <c r="AT295" s="19">
        <f t="shared" si="144"/>
        <v>43755</v>
      </c>
      <c r="AU295" s="20">
        <f t="shared" si="145"/>
        <v>290</v>
      </c>
      <c r="AV295" s="1">
        <f t="shared" si="167"/>
        <v>-0.1</v>
      </c>
      <c r="AW295" s="1">
        <f t="shared" si="168"/>
        <v>2</v>
      </c>
      <c r="AX295" s="1">
        <f t="shared" si="169"/>
        <v>-2.2999999999999998</v>
      </c>
      <c r="AY295" s="1">
        <f t="shared" si="170"/>
        <v>91.6</v>
      </c>
      <c r="AZ295" s="1">
        <f t="shared" si="171"/>
        <v>72.3</v>
      </c>
      <c r="BA295" s="1">
        <f t="shared" si="156"/>
        <v>0.10699999999999976</v>
      </c>
      <c r="BB295" s="5" t="str">
        <f t="shared" si="157"/>
        <v>NAN</v>
      </c>
      <c r="BC295" s="1">
        <f t="shared" si="146"/>
        <v>-0.6</v>
      </c>
      <c r="BD295" s="1">
        <f t="shared" si="147"/>
        <v>0.1</v>
      </c>
      <c r="BE295" s="1">
        <f t="shared" si="148"/>
        <v>-2.7</v>
      </c>
      <c r="BF295" s="5">
        <f t="shared" si="172"/>
        <v>0.7</v>
      </c>
      <c r="BG295" s="5">
        <f t="shared" si="173"/>
        <v>1.7</v>
      </c>
      <c r="BH295" s="5">
        <f t="shared" si="174"/>
        <v>3.1</v>
      </c>
      <c r="BI295" s="5" t="str">
        <f t="shared" si="161"/>
        <v>NAN</v>
      </c>
      <c r="BJ295" s="10">
        <f t="shared" si="162"/>
        <v>0.50900000000000001</v>
      </c>
      <c r="BK295" s="10">
        <f t="shared" si="163"/>
        <v>0.19500000000000001</v>
      </c>
      <c r="BM295" s="1">
        <f t="shared" si="164"/>
        <v>-1.9140000000000001</v>
      </c>
      <c r="BN295" s="1">
        <f t="shared" si="165"/>
        <v>-0.30600000000000005</v>
      </c>
    </row>
    <row r="296" spans="1:66" x14ac:dyDescent="0.2">
      <c r="A296" s="4">
        <f t="shared" si="166"/>
        <v>43756</v>
      </c>
      <c r="B296" s="1">
        <v>291</v>
      </c>
      <c r="C296" s="1">
        <v>12</v>
      </c>
      <c r="D296" s="5">
        <v>12.86</v>
      </c>
      <c r="E296" s="5">
        <v>-0.18099999999999999</v>
      </c>
      <c r="F296" s="5">
        <v>-3.0640000000000001</v>
      </c>
      <c r="G296" s="5">
        <v>-2.1989999999999998</v>
      </c>
      <c r="H296" s="5">
        <v>87.8</v>
      </c>
      <c r="I296" s="5">
        <v>5.0999999999999997E-2</v>
      </c>
      <c r="J296" s="5">
        <v>-2.298</v>
      </c>
      <c r="K296" s="5">
        <v>0.75700000000000001</v>
      </c>
      <c r="L296" s="5">
        <v>1.722</v>
      </c>
      <c r="M296" s="5">
        <v>3.0710000000000002</v>
      </c>
      <c r="N296" s="5">
        <v>-0.318</v>
      </c>
      <c r="O296" s="5">
        <v>95.3</v>
      </c>
      <c r="P296" s="5">
        <v>0.29699999999999999</v>
      </c>
      <c r="Q296" s="5">
        <v>-0.70699999999999996</v>
      </c>
      <c r="R296" s="5">
        <v>0.871</v>
      </c>
      <c r="S296" s="5">
        <v>1.8180000000000001</v>
      </c>
      <c r="T296" s="5">
        <v>3.177</v>
      </c>
      <c r="U296" s="5">
        <v>-3.5630000000000002</v>
      </c>
      <c r="V296" s="5">
        <v>73.38</v>
      </c>
      <c r="W296" s="5">
        <v>-0.54900000000000004</v>
      </c>
      <c r="X296" s="5">
        <v>-3.7930000000000001</v>
      </c>
      <c r="Y296" s="5">
        <v>0.66900000000000004</v>
      </c>
      <c r="Z296" s="5">
        <v>1.637</v>
      </c>
      <c r="AA296" s="5">
        <v>2.9710000000000001</v>
      </c>
      <c r="AB296" s="5">
        <v>2.1640000000000001</v>
      </c>
      <c r="AC296" s="5">
        <v>-2.7109999999999999</v>
      </c>
      <c r="AD296" s="5">
        <v>-1.3120000000000001</v>
      </c>
      <c r="AE296" s="5">
        <v>-4.3609999999999998</v>
      </c>
      <c r="AF296" s="5">
        <v>-0.217</v>
      </c>
      <c r="AG296" s="5">
        <v>-3.5920000000000001</v>
      </c>
      <c r="AH296" s="5">
        <v>2.1749999999999998</v>
      </c>
      <c r="AI296" s="5" t="s">
        <v>99</v>
      </c>
      <c r="AK296" s="5">
        <f t="shared" si="175"/>
        <v>0.11099999999999977</v>
      </c>
      <c r="AN296" s="1">
        <f t="shared" si="149"/>
        <v>95.3</v>
      </c>
      <c r="AO296" s="1">
        <f t="shared" si="150"/>
        <v>87.8</v>
      </c>
      <c r="AP296" s="1">
        <f t="shared" si="151"/>
        <v>73.400000000000006</v>
      </c>
      <c r="AQ296" s="17">
        <f t="shared" si="141"/>
        <v>0.438</v>
      </c>
      <c r="AR296" s="22">
        <f t="shared" si="152"/>
        <v>0.159</v>
      </c>
      <c r="AT296" s="19">
        <f t="shared" si="144"/>
        <v>43756</v>
      </c>
      <c r="AU296" s="20">
        <f t="shared" si="145"/>
        <v>291</v>
      </c>
      <c r="AV296" s="1">
        <f t="shared" si="167"/>
        <v>-2.2000000000000002</v>
      </c>
      <c r="AW296" s="1">
        <f t="shared" si="168"/>
        <v>-0.3</v>
      </c>
      <c r="AX296" s="1">
        <f t="shared" si="169"/>
        <v>-3.6</v>
      </c>
      <c r="AY296" s="1">
        <f t="shared" si="170"/>
        <v>87.8</v>
      </c>
      <c r="AZ296" s="1">
        <f t="shared" si="171"/>
        <v>73.400000000000006</v>
      </c>
      <c r="BA296" s="1">
        <f t="shared" si="156"/>
        <v>0.11099999999999977</v>
      </c>
      <c r="BB296" s="5" t="str">
        <f t="shared" si="157"/>
        <v>NAN</v>
      </c>
      <c r="BC296" s="1">
        <f t="shared" si="146"/>
        <v>-2.7</v>
      </c>
      <c r="BD296" s="1">
        <f t="shared" si="147"/>
        <v>-1.3</v>
      </c>
      <c r="BE296" s="1">
        <f t="shared" si="148"/>
        <v>-4.4000000000000004</v>
      </c>
      <c r="BF296" s="5">
        <f t="shared" si="172"/>
        <v>0.8</v>
      </c>
      <c r="BG296" s="5">
        <f t="shared" si="173"/>
        <v>1.7</v>
      </c>
      <c r="BH296" s="5">
        <f t="shared" si="174"/>
        <v>3.1</v>
      </c>
      <c r="BI296" s="5" t="str">
        <f t="shared" si="161"/>
        <v>NAN</v>
      </c>
      <c r="BJ296" s="10">
        <f t="shared" si="162"/>
        <v>0.438</v>
      </c>
      <c r="BK296" s="10">
        <f t="shared" si="163"/>
        <v>0.159</v>
      </c>
      <c r="BM296" s="1">
        <f t="shared" si="164"/>
        <v>-0.99399999999999999</v>
      </c>
      <c r="BN296" s="1">
        <f t="shared" si="165"/>
        <v>-0.7979999999999996</v>
      </c>
    </row>
    <row r="297" spans="1:66" x14ac:dyDescent="0.2">
      <c r="A297" s="4">
        <f t="shared" si="166"/>
        <v>43757</v>
      </c>
      <c r="B297" s="1">
        <v>292</v>
      </c>
      <c r="C297" s="1">
        <v>12</v>
      </c>
      <c r="D297" s="5">
        <v>13.04</v>
      </c>
      <c r="E297" s="5">
        <v>1.0960000000000001</v>
      </c>
      <c r="F297" s="5">
        <v>-3.8159999999999998</v>
      </c>
      <c r="G297" s="5">
        <v>-2.7429999999999999</v>
      </c>
      <c r="H297" s="5">
        <v>90.3</v>
      </c>
      <c r="I297" s="5">
        <v>0.17799999999999999</v>
      </c>
      <c r="J297" s="5">
        <v>-2.665</v>
      </c>
      <c r="K297" s="5">
        <v>0.76</v>
      </c>
      <c r="L297" s="5">
        <v>1.7150000000000001</v>
      </c>
      <c r="M297" s="5">
        <v>3.0150000000000001</v>
      </c>
      <c r="N297" s="5">
        <v>-0.48699999999999999</v>
      </c>
      <c r="O297" s="5">
        <v>94.6</v>
      </c>
      <c r="P297" s="5">
        <v>0.35199999999999998</v>
      </c>
      <c r="Q297" s="5">
        <v>0.25700000000000001</v>
      </c>
      <c r="R297" s="5">
        <v>0.86299999999999999</v>
      </c>
      <c r="S297" s="5">
        <v>1.8049999999999999</v>
      </c>
      <c r="T297" s="5">
        <v>3.1030000000000002</v>
      </c>
      <c r="U297" s="5">
        <v>-4.1669999999999998</v>
      </c>
      <c r="V297" s="5">
        <v>80.8</v>
      </c>
      <c r="W297" s="5">
        <v>-9.7000000000000003E-2</v>
      </c>
      <c r="X297" s="5">
        <v>-4.6669999999999998</v>
      </c>
      <c r="Y297" s="5">
        <v>0.67200000000000004</v>
      </c>
      <c r="Z297" s="5">
        <v>1.633</v>
      </c>
      <c r="AA297" s="5">
        <v>2.93</v>
      </c>
      <c r="AB297" s="5">
        <v>2.1629999999999998</v>
      </c>
      <c r="AC297" s="5">
        <v>-3.456</v>
      </c>
      <c r="AD297" s="5">
        <v>-0.34899999999999998</v>
      </c>
      <c r="AE297" s="5">
        <v>-5.2169999999999996</v>
      </c>
      <c r="AF297" s="5">
        <v>0.36599999999999999</v>
      </c>
      <c r="AG297" s="5">
        <v>-4.2809999999999997</v>
      </c>
      <c r="AH297" s="5">
        <v>2.177</v>
      </c>
      <c r="AI297" s="5" t="s">
        <v>99</v>
      </c>
      <c r="AK297" s="5">
        <f t="shared" si="175"/>
        <v>0.1120000000000001</v>
      </c>
      <c r="AN297" s="1">
        <f t="shared" si="149"/>
        <v>94.6</v>
      </c>
      <c r="AO297" s="1">
        <f t="shared" si="150"/>
        <v>90.3</v>
      </c>
      <c r="AP297" s="1">
        <f t="shared" si="151"/>
        <v>80.8</v>
      </c>
      <c r="AQ297" s="17">
        <f t="shared" si="141"/>
        <v>0.47599999999999998</v>
      </c>
      <c r="AR297" s="22">
        <f t="shared" si="152"/>
        <v>0.113</v>
      </c>
      <c r="AT297" s="19">
        <f t="shared" si="144"/>
        <v>43757</v>
      </c>
      <c r="AU297" s="20">
        <f t="shared" si="145"/>
        <v>292</v>
      </c>
      <c r="AV297" s="1">
        <f t="shared" si="167"/>
        <v>-2.7</v>
      </c>
      <c r="AW297" s="1">
        <f t="shared" si="168"/>
        <v>-0.5</v>
      </c>
      <c r="AX297" s="1">
        <f t="shared" si="169"/>
        <v>-4.2</v>
      </c>
      <c r="AY297" s="1">
        <f t="shared" si="170"/>
        <v>90.3</v>
      </c>
      <c r="AZ297" s="1">
        <f t="shared" si="171"/>
        <v>80.8</v>
      </c>
      <c r="BA297" s="1">
        <f t="shared" si="156"/>
        <v>0.1120000000000001</v>
      </c>
      <c r="BB297" s="5" t="str">
        <f t="shared" si="157"/>
        <v>NAN</v>
      </c>
      <c r="BC297" s="1">
        <f t="shared" si="146"/>
        <v>-3.5</v>
      </c>
      <c r="BD297" s="1">
        <f t="shared" si="147"/>
        <v>-0.3</v>
      </c>
      <c r="BE297" s="1">
        <f t="shared" si="148"/>
        <v>-5.2</v>
      </c>
      <c r="BF297" s="5">
        <f t="shared" si="172"/>
        <v>0.8</v>
      </c>
      <c r="BG297" s="5">
        <f t="shared" si="173"/>
        <v>1.7</v>
      </c>
      <c r="BH297" s="5">
        <f t="shared" si="174"/>
        <v>3</v>
      </c>
      <c r="BI297" s="5" t="str">
        <f t="shared" si="161"/>
        <v>NAN</v>
      </c>
      <c r="BJ297" s="10">
        <f t="shared" si="162"/>
        <v>0.47599999999999998</v>
      </c>
      <c r="BK297" s="10">
        <f t="shared" si="163"/>
        <v>0.113</v>
      </c>
      <c r="BM297" s="1">
        <f t="shared" si="164"/>
        <v>0.13800000000000001</v>
      </c>
      <c r="BN297" s="1">
        <f t="shared" si="165"/>
        <v>-1.0499999999999998</v>
      </c>
    </row>
    <row r="298" spans="1:66" x14ac:dyDescent="0.2">
      <c r="A298" s="4">
        <f t="shared" si="166"/>
        <v>43758</v>
      </c>
      <c r="B298" s="1">
        <v>293</v>
      </c>
      <c r="C298" s="1">
        <v>12</v>
      </c>
      <c r="D298" s="5">
        <v>12.89</v>
      </c>
      <c r="E298" s="5">
        <v>-1.821</v>
      </c>
      <c r="F298" s="5">
        <v>-3.8359999999999999</v>
      </c>
      <c r="G298" s="5">
        <v>-3.367</v>
      </c>
      <c r="H298" s="5">
        <v>90.6</v>
      </c>
      <c r="I298" s="5">
        <v>-2E-3</v>
      </c>
      <c r="J298" s="5">
        <v>-2.4809999999999999</v>
      </c>
      <c r="K298" s="5">
        <v>0.66600000000000004</v>
      </c>
      <c r="L298" s="5">
        <v>1.681</v>
      </c>
      <c r="M298" s="5">
        <v>2.9689999999999999</v>
      </c>
      <c r="N298" s="5">
        <v>-1.3979999999999999</v>
      </c>
      <c r="O298" s="5">
        <v>94.8</v>
      </c>
      <c r="P298" s="5">
        <v>0.26200000000000001</v>
      </c>
      <c r="Q298" s="5">
        <v>-1.347</v>
      </c>
      <c r="R298" s="5">
        <v>0.77500000000000002</v>
      </c>
      <c r="S298" s="5">
        <v>1.7689999999999999</v>
      </c>
      <c r="T298" s="5">
        <v>3.0510000000000002</v>
      </c>
      <c r="U298" s="5">
        <v>-4.1319999999999997</v>
      </c>
      <c r="V298" s="5">
        <v>75.31</v>
      </c>
      <c r="W298" s="5">
        <v>-0.27300000000000002</v>
      </c>
      <c r="X298" s="5">
        <v>-3.9750000000000001</v>
      </c>
      <c r="Y298" s="5">
        <v>0.58399999999999996</v>
      </c>
      <c r="Z298" s="5">
        <v>1.5780000000000001</v>
      </c>
      <c r="AA298" s="5">
        <v>2.8780000000000001</v>
      </c>
      <c r="AB298" s="5">
        <v>2.0870000000000002</v>
      </c>
      <c r="AC298" s="5">
        <v>-3.601</v>
      </c>
      <c r="AD298" s="5">
        <v>-2.1930000000000001</v>
      </c>
      <c r="AE298" s="5">
        <v>-4.66</v>
      </c>
      <c r="AF298" s="5">
        <v>-1.5509999999999999</v>
      </c>
      <c r="AG298" s="5">
        <v>-4.1829999999999998</v>
      </c>
      <c r="AH298" s="5">
        <v>2.0990000000000002</v>
      </c>
      <c r="AI298" s="5" t="s">
        <v>99</v>
      </c>
      <c r="AK298" s="5">
        <f t="shared" si="175"/>
        <v>0.18799999999999972</v>
      </c>
      <c r="AN298" s="1">
        <f t="shared" si="149"/>
        <v>94.8</v>
      </c>
      <c r="AO298" s="1">
        <f t="shared" si="150"/>
        <v>90.6</v>
      </c>
      <c r="AP298" s="1">
        <f t="shared" si="151"/>
        <v>75.3</v>
      </c>
      <c r="AQ298" s="17">
        <f t="shared" si="141"/>
        <v>0.41499999999999998</v>
      </c>
      <c r="AR298" s="22">
        <f t="shared" si="152"/>
        <v>0.13600000000000001</v>
      </c>
      <c r="AT298" s="19">
        <f t="shared" si="144"/>
        <v>43758</v>
      </c>
      <c r="AU298" s="20">
        <f t="shared" si="145"/>
        <v>293</v>
      </c>
      <c r="AV298" s="1">
        <f t="shared" si="167"/>
        <v>-3.4</v>
      </c>
      <c r="AW298" s="1">
        <f t="shared" si="168"/>
        <v>-1.4</v>
      </c>
      <c r="AX298" s="1">
        <f t="shared" si="169"/>
        <v>-4.0999999999999996</v>
      </c>
      <c r="AY298" s="1">
        <f t="shared" si="170"/>
        <v>90.6</v>
      </c>
      <c r="AZ298" s="1">
        <f t="shared" si="171"/>
        <v>75.3</v>
      </c>
      <c r="BA298" s="1">
        <f t="shared" si="156"/>
        <v>0.18799999999999972</v>
      </c>
      <c r="BB298" s="5" t="str">
        <f t="shared" si="157"/>
        <v>NAN</v>
      </c>
      <c r="BC298" s="1">
        <f t="shared" si="146"/>
        <v>-3.6</v>
      </c>
      <c r="BD298" s="1">
        <f t="shared" si="147"/>
        <v>-2.2000000000000002</v>
      </c>
      <c r="BE298" s="1">
        <f t="shared" si="148"/>
        <v>-4.7</v>
      </c>
      <c r="BF298" s="5">
        <f t="shared" si="172"/>
        <v>0.7</v>
      </c>
      <c r="BG298" s="5">
        <f t="shared" si="173"/>
        <v>1.7</v>
      </c>
      <c r="BH298" s="5">
        <f t="shared" si="174"/>
        <v>3</v>
      </c>
      <c r="BI298" s="5" t="str">
        <f t="shared" si="161"/>
        <v>NAN</v>
      </c>
      <c r="BJ298" s="10">
        <f t="shared" si="162"/>
        <v>0.41499999999999998</v>
      </c>
      <c r="BK298" s="10">
        <f t="shared" si="163"/>
        <v>0.13600000000000001</v>
      </c>
      <c r="BM298" s="1">
        <f t="shared" si="164"/>
        <v>-0.79500000000000015</v>
      </c>
      <c r="BN298" s="1">
        <f t="shared" si="165"/>
        <v>-0.52800000000000047</v>
      </c>
    </row>
    <row r="299" spans="1:66" x14ac:dyDescent="0.2">
      <c r="A299" s="4">
        <f t="shared" si="166"/>
        <v>43759</v>
      </c>
      <c r="B299" s="1">
        <v>294</v>
      </c>
      <c r="C299" s="1">
        <v>12</v>
      </c>
      <c r="D299" s="5">
        <v>12.8</v>
      </c>
      <c r="E299" s="5">
        <v>-0.67100000000000004</v>
      </c>
      <c r="F299" s="5">
        <v>-2.9350000000000001</v>
      </c>
      <c r="G299" s="5">
        <v>-1.8</v>
      </c>
      <c r="H299" s="5">
        <v>95.2</v>
      </c>
      <c r="I299" s="5">
        <v>0.23300000000000001</v>
      </c>
      <c r="J299" s="5">
        <v>-0.872</v>
      </c>
      <c r="K299" s="5">
        <v>0.70699999999999996</v>
      </c>
      <c r="L299" s="5">
        <v>1.66</v>
      </c>
      <c r="M299" s="5">
        <v>2.927</v>
      </c>
      <c r="N299" s="5">
        <v>0.29099999999999998</v>
      </c>
      <c r="O299" s="5">
        <v>96.7</v>
      </c>
      <c r="P299" s="5">
        <v>0.35499999999999998</v>
      </c>
      <c r="Q299" s="5">
        <v>-0.32700000000000001</v>
      </c>
      <c r="R299" s="5">
        <v>0.80200000000000005</v>
      </c>
      <c r="S299" s="5">
        <v>1.7350000000000001</v>
      </c>
      <c r="T299" s="5">
        <v>3.0230000000000001</v>
      </c>
      <c r="U299" s="5">
        <v>-3.1890000000000001</v>
      </c>
      <c r="V299" s="5">
        <v>93.8</v>
      </c>
      <c r="W299" s="5">
        <v>8.8999999999999996E-2</v>
      </c>
      <c r="X299" s="5">
        <v>-1.5649999999999999</v>
      </c>
      <c r="Y299" s="5">
        <v>0.59599999999999997</v>
      </c>
      <c r="Z299" s="5">
        <v>1.587</v>
      </c>
      <c r="AA299" s="5">
        <v>2.8330000000000002</v>
      </c>
      <c r="AB299" s="5">
        <v>2.0409999999999999</v>
      </c>
      <c r="AC299" s="5">
        <v>-2.077</v>
      </c>
      <c r="AD299" s="5">
        <v>-0.17499999999999999</v>
      </c>
      <c r="AE299" s="5">
        <v>-3.9529999999999998</v>
      </c>
      <c r="AF299" s="5">
        <v>-2.3E-2</v>
      </c>
      <c r="AG299" s="5">
        <v>-3.2370000000000001</v>
      </c>
      <c r="AH299" s="5">
        <v>2.04</v>
      </c>
      <c r="AI299" s="5" t="s">
        <v>99</v>
      </c>
      <c r="AK299" s="5">
        <f t="shared" si="175"/>
        <v>0.23399999999999999</v>
      </c>
      <c r="AN299" s="1">
        <f t="shared" si="149"/>
        <v>96.7</v>
      </c>
      <c r="AO299" s="1">
        <f t="shared" si="150"/>
        <v>95.2</v>
      </c>
      <c r="AP299" s="1">
        <f t="shared" si="151"/>
        <v>93.8</v>
      </c>
      <c r="AQ299" s="17">
        <f t="shared" si="141"/>
        <v>0.58499999999999996</v>
      </c>
      <c r="AR299" s="22">
        <f t="shared" si="152"/>
        <v>3.9E-2</v>
      </c>
      <c r="AT299" s="19">
        <f t="shared" si="144"/>
        <v>43759</v>
      </c>
      <c r="AU299" s="20">
        <f t="shared" si="145"/>
        <v>294</v>
      </c>
      <c r="AV299" s="1">
        <f t="shared" si="167"/>
        <v>-1.8</v>
      </c>
      <c r="AW299" s="1">
        <f t="shared" si="168"/>
        <v>0.3</v>
      </c>
      <c r="AX299" s="1">
        <f t="shared" si="169"/>
        <v>-3.2</v>
      </c>
      <c r="AY299" s="1">
        <f t="shared" si="170"/>
        <v>95.2</v>
      </c>
      <c r="AZ299" s="1">
        <f t="shared" si="171"/>
        <v>93.8</v>
      </c>
      <c r="BA299" s="1">
        <f t="shared" si="156"/>
        <v>0.23399999999999999</v>
      </c>
      <c r="BB299" s="5" t="str">
        <f t="shared" si="157"/>
        <v>NAN</v>
      </c>
      <c r="BC299" s="1">
        <f t="shared" si="146"/>
        <v>-2.1</v>
      </c>
      <c r="BD299" s="1">
        <f t="shared" si="147"/>
        <v>-0.2</v>
      </c>
      <c r="BE299" s="1">
        <f t="shared" si="148"/>
        <v>-4</v>
      </c>
      <c r="BF299" s="5">
        <f t="shared" si="172"/>
        <v>0.7</v>
      </c>
      <c r="BG299" s="5">
        <f t="shared" si="173"/>
        <v>1.7</v>
      </c>
      <c r="BH299" s="5">
        <f t="shared" si="174"/>
        <v>2.9</v>
      </c>
      <c r="BI299" s="5" t="str">
        <f t="shared" si="161"/>
        <v>NAN</v>
      </c>
      <c r="BJ299" s="10">
        <f t="shared" si="162"/>
        <v>0.58499999999999996</v>
      </c>
      <c r="BK299" s="10">
        <f t="shared" si="163"/>
        <v>3.9E-2</v>
      </c>
      <c r="BM299" s="1">
        <f t="shared" si="164"/>
        <v>-0.46599999999999997</v>
      </c>
      <c r="BN299" s="1">
        <f t="shared" si="165"/>
        <v>-0.76399999999999979</v>
      </c>
    </row>
    <row r="300" spans="1:66" x14ac:dyDescent="0.2">
      <c r="A300" s="4">
        <f t="shared" si="166"/>
        <v>43760</v>
      </c>
      <c r="B300" s="1">
        <v>295</v>
      </c>
      <c r="C300" s="1">
        <v>12</v>
      </c>
      <c r="D300" s="5">
        <v>13</v>
      </c>
      <c r="E300" s="5">
        <v>1.821</v>
      </c>
      <c r="F300" s="5">
        <v>-1.3939999999999999</v>
      </c>
      <c r="G300" s="5">
        <v>-0.13100000000000001</v>
      </c>
      <c r="H300" s="5">
        <v>90.5</v>
      </c>
      <c r="I300" s="5">
        <v>0.29499999999999998</v>
      </c>
      <c r="J300" s="5">
        <v>0</v>
      </c>
      <c r="K300" s="5">
        <v>0.73199999999999998</v>
      </c>
      <c r="L300" s="5">
        <v>1.673</v>
      </c>
      <c r="M300" s="5">
        <v>2.9039999999999999</v>
      </c>
      <c r="N300" s="5">
        <v>2.0150000000000001</v>
      </c>
      <c r="O300" s="5">
        <v>97.3</v>
      </c>
      <c r="P300" s="5">
        <v>0.38400000000000001</v>
      </c>
      <c r="Q300" s="5">
        <v>0.12</v>
      </c>
      <c r="R300" s="5">
        <v>0.84499999999999997</v>
      </c>
      <c r="S300" s="5">
        <v>1.7589999999999999</v>
      </c>
      <c r="T300" s="5">
        <v>3.0030000000000001</v>
      </c>
      <c r="U300" s="5">
        <v>-2.2440000000000002</v>
      </c>
      <c r="V300" s="5">
        <v>75.27</v>
      </c>
      <c r="W300" s="5">
        <v>0.188</v>
      </c>
      <c r="X300" s="5">
        <v>-0.39600000000000002</v>
      </c>
      <c r="Y300" s="5">
        <v>0.61499999999999999</v>
      </c>
      <c r="Z300" s="5">
        <v>1.5780000000000001</v>
      </c>
      <c r="AA300" s="5">
        <v>2.8</v>
      </c>
      <c r="AB300" s="5">
        <v>2.0680000000000001</v>
      </c>
      <c r="AC300" s="5">
        <v>-0.78100000000000003</v>
      </c>
      <c r="AD300" s="5">
        <v>7.6999999999999999E-2</v>
      </c>
      <c r="AE300" s="5">
        <v>-2.4390000000000001</v>
      </c>
      <c r="AF300" s="5">
        <v>1.962</v>
      </c>
      <c r="AG300" s="5">
        <v>-2.3149999999999999</v>
      </c>
      <c r="AH300" s="5">
        <v>2.0760000000000001</v>
      </c>
      <c r="AI300" s="5" t="s">
        <v>99</v>
      </c>
      <c r="AK300" s="5">
        <f t="shared" si="175"/>
        <v>0.20699999999999985</v>
      </c>
      <c r="AN300" s="1">
        <f t="shared" si="149"/>
        <v>97.3</v>
      </c>
      <c r="AO300" s="1">
        <f t="shared" si="150"/>
        <v>90.5</v>
      </c>
      <c r="AP300" s="1">
        <f t="shared" si="151"/>
        <v>75.3</v>
      </c>
      <c r="AQ300" s="17">
        <f t="shared" si="141"/>
        <v>0.53200000000000003</v>
      </c>
      <c r="AR300" s="22">
        <f t="shared" si="152"/>
        <v>0.17499999999999999</v>
      </c>
      <c r="AT300" s="19">
        <f t="shared" si="144"/>
        <v>43760</v>
      </c>
      <c r="AU300" s="20">
        <f t="shared" si="145"/>
        <v>295</v>
      </c>
      <c r="AV300" s="1">
        <f t="shared" si="167"/>
        <v>-0.1</v>
      </c>
      <c r="AW300" s="1">
        <f t="shared" si="168"/>
        <v>2</v>
      </c>
      <c r="AX300" s="1">
        <f t="shared" si="169"/>
        <v>-2.2000000000000002</v>
      </c>
      <c r="AY300" s="1">
        <f t="shared" si="170"/>
        <v>90.5</v>
      </c>
      <c r="AZ300" s="1">
        <f t="shared" si="171"/>
        <v>75.3</v>
      </c>
      <c r="BA300" s="1">
        <f t="shared" si="156"/>
        <v>0.20699999999999985</v>
      </c>
      <c r="BB300" s="5" t="str">
        <f t="shared" si="157"/>
        <v>NAN</v>
      </c>
      <c r="BC300" s="1">
        <f t="shared" si="146"/>
        <v>-0.8</v>
      </c>
      <c r="BD300" s="1">
        <f t="shared" si="147"/>
        <v>0.1</v>
      </c>
      <c r="BE300" s="1">
        <f t="shared" si="148"/>
        <v>-2.4</v>
      </c>
      <c r="BF300" s="5">
        <f t="shared" si="172"/>
        <v>0.7</v>
      </c>
      <c r="BG300" s="5">
        <f t="shared" si="173"/>
        <v>1.7</v>
      </c>
      <c r="BH300" s="5">
        <f t="shared" si="174"/>
        <v>2.9</v>
      </c>
      <c r="BI300" s="5" t="str">
        <f t="shared" si="161"/>
        <v>NAN</v>
      </c>
      <c r="BJ300" s="10">
        <f t="shared" si="162"/>
        <v>0.53200000000000003</v>
      </c>
      <c r="BK300" s="10">
        <f t="shared" si="163"/>
        <v>0.17499999999999999</v>
      </c>
      <c r="BM300" s="1">
        <f t="shared" si="164"/>
        <v>-1.9380000000000002</v>
      </c>
      <c r="BN300" s="1">
        <f t="shared" si="165"/>
        <v>-0.19499999999999984</v>
      </c>
    </row>
    <row r="301" spans="1:66" x14ac:dyDescent="0.2">
      <c r="A301" s="4">
        <f t="shared" si="166"/>
        <v>43761</v>
      </c>
      <c r="B301" s="1">
        <v>296</v>
      </c>
      <c r="C301" s="1">
        <v>12</v>
      </c>
      <c r="D301" s="5">
        <v>13.07</v>
      </c>
      <c r="E301" s="5">
        <v>1.5649999999999999</v>
      </c>
      <c r="F301" s="5">
        <v>-4.4619999999999997</v>
      </c>
      <c r="G301" s="5">
        <v>-2.2360000000000002</v>
      </c>
      <c r="H301" s="5">
        <v>79.69</v>
      </c>
      <c r="I301" s="5">
        <v>0.26500000000000001</v>
      </c>
      <c r="J301" s="5">
        <v>-0.89400000000000002</v>
      </c>
      <c r="K301" s="5">
        <v>0.68</v>
      </c>
      <c r="L301" s="5">
        <v>1.6180000000000001</v>
      </c>
      <c r="M301" s="5">
        <v>2.8380000000000001</v>
      </c>
      <c r="N301" s="5">
        <v>0.35699999999999998</v>
      </c>
      <c r="O301" s="5">
        <v>90.9</v>
      </c>
      <c r="P301" s="5">
        <v>0.35299999999999998</v>
      </c>
      <c r="Q301" s="5">
        <v>8.3000000000000004E-2</v>
      </c>
      <c r="R301" s="5">
        <v>0.753</v>
      </c>
      <c r="S301" s="5">
        <v>1.7110000000000001</v>
      </c>
      <c r="T301" s="5">
        <v>2.93</v>
      </c>
      <c r="U301" s="5">
        <v>-4.9429999999999996</v>
      </c>
      <c r="V301" s="5">
        <v>65</v>
      </c>
      <c r="W301" s="5">
        <v>0.17699999999999999</v>
      </c>
      <c r="X301" s="5">
        <v>-1.6319999999999999</v>
      </c>
      <c r="Y301" s="5">
        <v>0.59199999999999997</v>
      </c>
      <c r="Z301" s="5">
        <v>1.5389999999999999</v>
      </c>
      <c r="AA301" s="5">
        <v>2.7429999999999999</v>
      </c>
      <c r="AB301" s="5">
        <v>2.0640000000000001</v>
      </c>
      <c r="AC301" s="5">
        <v>-3.5329999999999999</v>
      </c>
      <c r="AD301" s="5">
        <v>-0.81699999999999995</v>
      </c>
      <c r="AE301" s="5">
        <v>-6.08</v>
      </c>
      <c r="AF301" s="5">
        <v>0.78100000000000003</v>
      </c>
      <c r="AG301" s="5">
        <v>-5.1589999999999998</v>
      </c>
      <c r="AH301" s="5">
        <v>2.0699999999999998</v>
      </c>
      <c r="AI301" s="5" t="s">
        <v>99</v>
      </c>
      <c r="AK301" s="5">
        <f t="shared" ref="AK301:AK364" si="176">AK$1-AB301</f>
        <v>0.21099999999999985</v>
      </c>
      <c r="AN301" s="1">
        <f t="shared" si="149"/>
        <v>90.9</v>
      </c>
      <c r="AO301" s="1">
        <f t="shared" si="150"/>
        <v>79.7</v>
      </c>
      <c r="AP301" s="1">
        <f t="shared" si="151"/>
        <v>65</v>
      </c>
      <c r="AQ301" s="17">
        <f t="shared" si="141"/>
        <v>0.40699999999999997</v>
      </c>
      <c r="AR301" s="22">
        <f t="shared" si="152"/>
        <v>0.219</v>
      </c>
      <c r="AT301" s="19">
        <f t="shared" si="144"/>
        <v>43761</v>
      </c>
      <c r="AU301" s="20">
        <f t="shared" si="145"/>
        <v>296</v>
      </c>
      <c r="AV301" s="1">
        <f t="shared" si="167"/>
        <v>-2.2000000000000002</v>
      </c>
      <c r="AW301" s="1">
        <f t="shared" si="168"/>
        <v>0.4</v>
      </c>
      <c r="AX301" s="1">
        <f t="shared" si="169"/>
        <v>-4.9000000000000004</v>
      </c>
      <c r="AY301" s="1">
        <f t="shared" si="170"/>
        <v>79.7</v>
      </c>
      <c r="AZ301" s="1">
        <f t="shared" si="171"/>
        <v>65</v>
      </c>
      <c r="BA301" s="1">
        <f t="shared" si="156"/>
        <v>0.21099999999999985</v>
      </c>
      <c r="BB301" s="5" t="str">
        <f t="shared" si="157"/>
        <v>NAN</v>
      </c>
      <c r="BC301" s="1">
        <f t="shared" si="146"/>
        <v>-3.5</v>
      </c>
      <c r="BD301" s="1">
        <f t="shared" si="147"/>
        <v>-0.8</v>
      </c>
      <c r="BE301" s="1">
        <f t="shared" si="148"/>
        <v>-6.1</v>
      </c>
      <c r="BF301" s="5">
        <f t="shared" si="172"/>
        <v>0.7</v>
      </c>
      <c r="BG301" s="5">
        <f t="shared" si="173"/>
        <v>1.6</v>
      </c>
      <c r="BH301" s="5">
        <f t="shared" si="174"/>
        <v>2.8</v>
      </c>
      <c r="BI301" s="5" t="str">
        <f t="shared" si="161"/>
        <v>NAN</v>
      </c>
      <c r="BJ301" s="10">
        <f t="shared" si="162"/>
        <v>0.40699999999999997</v>
      </c>
      <c r="BK301" s="10">
        <f t="shared" si="163"/>
        <v>0.219</v>
      </c>
      <c r="BM301" s="1">
        <f t="shared" si="164"/>
        <v>-1.1739999999999999</v>
      </c>
      <c r="BN301" s="1">
        <f t="shared" si="165"/>
        <v>-1.1370000000000005</v>
      </c>
    </row>
    <row r="302" spans="1:66" x14ac:dyDescent="0.2">
      <c r="A302" s="4">
        <f t="shared" si="166"/>
        <v>43762</v>
      </c>
      <c r="B302" s="1">
        <v>297</v>
      </c>
      <c r="C302" s="1">
        <v>12</v>
      </c>
      <c r="D302" s="5">
        <v>13.08</v>
      </c>
      <c r="E302" s="5">
        <v>7.5750000000000002</v>
      </c>
      <c r="F302" s="5">
        <v>-2.056</v>
      </c>
      <c r="G302" s="5">
        <v>2.7250000000000001</v>
      </c>
      <c r="H302" s="5">
        <v>79.37</v>
      </c>
      <c r="I302" s="5">
        <v>0.32200000000000001</v>
      </c>
      <c r="J302" s="5">
        <v>-0.34399999999999997</v>
      </c>
      <c r="K302" s="5">
        <v>0.68500000000000005</v>
      </c>
      <c r="L302" s="5">
        <v>1.6279999999999999</v>
      </c>
      <c r="M302" s="5">
        <v>2.8239999999999998</v>
      </c>
      <c r="N302" s="5">
        <v>7.407</v>
      </c>
      <c r="O302" s="5">
        <v>93.1</v>
      </c>
      <c r="P302" s="5">
        <v>0.43</v>
      </c>
      <c r="Q302" s="5">
        <v>0.14899999999999999</v>
      </c>
      <c r="R302" s="5">
        <v>0.80400000000000005</v>
      </c>
      <c r="S302" s="5">
        <v>1.74</v>
      </c>
      <c r="T302" s="5">
        <v>2.9420000000000002</v>
      </c>
      <c r="U302" s="5">
        <v>-1.5349999999999999</v>
      </c>
      <c r="V302" s="5">
        <v>64.05</v>
      </c>
      <c r="W302" s="5">
        <v>0.127</v>
      </c>
      <c r="X302" s="5">
        <v>-1.3660000000000001</v>
      </c>
      <c r="Y302" s="5">
        <v>0.56299999999999994</v>
      </c>
      <c r="Z302" s="5">
        <v>1.4870000000000001</v>
      </c>
      <c r="AA302" s="5">
        <v>2.581</v>
      </c>
      <c r="AB302" s="5">
        <v>2.1070000000000002</v>
      </c>
      <c r="AC302" s="5">
        <v>-0.58899999999999997</v>
      </c>
      <c r="AD302" s="5">
        <v>1.288</v>
      </c>
      <c r="AE302" s="5">
        <v>-2.6749999999999998</v>
      </c>
      <c r="AF302" s="5">
        <v>6.835</v>
      </c>
      <c r="AG302" s="5">
        <v>-2.0110000000000001</v>
      </c>
      <c r="AH302" s="5">
        <v>2.0950000000000002</v>
      </c>
      <c r="AI302" s="5" t="s">
        <v>99</v>
      </c>
      <c r="AK302" s="5">
        <f t="shared" si="176"/>
        <v>0.16799999999999971</v>
      </c>
      <c r="AN302" s="1">
        <f t="shared" si="149"/>
        <v>93.1</v>
      </c>
      <c r="AO302" s="1">
        <f t="shared" si="150"/>
        <v>79.400000000000006</v>
      </c>
      <c r="AP302" s="1">
        <f t="shared" si="151"/>
        <v>64.099999999999994</v>
      </c>
      <c r="AQ302" s="17">
        <f t="shared" si="141"/>
        <v>0.66</v>
      </c>
      <c r="AR302" s="22">
        <f t="shared" si="152"/>
        <v>0.37</v>
      </c>
      <c r="AT302" s="19">
        <f t="shared" si="144"/>
        <v>43762</v>
      </c>
      <c r="AU302" s="20">
        <f t="shared" si="145"/>
        <v>297</v>
      </c>
      <c r="AV302" s="1">
        <f t="shared" si="167"/>
        <v>2.7</v>
      </c>
      <c r="AW302" s="1">
        <f t="shared" si="168"/>
        <v>7.4</v>
      </c>
      <c r="AX302" s="1">
        <f t="shared" si="169"/>
        <v>-1.5</v>
      </c>
      <c r="AY302" s="1">
        <f t="shared" si="170"/>
        <v>79.400000000000006</v>
      </c>
      <c r="AZ302" s="1">
        <f t="shared" si="171"/>
        <v>64.099999999999994</v>
      </c>
      <c r="BA302" s="1">
        <f t="shared" si="156"/>
        <v>0.16799999999999971</v>
      </c>
      <c r="BB302" s="5" t="str">
        <f t="shared" si="157"/>
        <v>NAN</v>
      </c>
      <c r="BC302" s="1">
        <f t="shared" si="146"/>
        <v>-0.6</v>
      </c>
      <c r="BD302" s="1">
        <f t="shared" si="147"/>
        <v>1.3</v>
      </c>
      <c r="BE302" s="1">
        <f t="shared" si="148"/>
        <v>-2.7</v>
      </c>
      <c r="BF302" s="5">
        <f t="shared" si="172"/>
        <v>0.7</v>
      </c>
      <c r="BG302" s="5">
        <f t="shared" si="173"/>
        <v>1.6</v>
      </c>
      <c r="BH302" s="5">
        <f t="shared" si="174"/>
        <v>2.8</v>
      </c>
      <c r="BI302" s="5" t="str">
        <f t="shared" si="161"/>
        <v>NAN</v>
      </c>
      <c r="BJ302" s="10">
        <f t="shared" si="162"/>
        <v>0.66</v>
      </c>
      <c r="BK302" s="10">
        <f t="shared" si="163"/>
        <v>0.37</v>
      </c>
      <c r="BM302" s="1">
        <f t="shared" si="164"/>
        <v>-6.1189999999999998</v>
      </c>
      <c r="BN302" s="1">
        <f t="shared" si="165"/>
        <v>-1.1399999999999999</v>
      </c>
    </row>
    <row r="303" spans="1:66" x14ac:dyDescent="0.2">
      <c r="A303" s="4">
        <f t="shared" si="166"/>
        <v>43763</v>
      </c>
      <c r="B303" s="1">
        <v>298</v>
      </c>
      <c r="C303" s="1">
        <v>12</v>
      </c>
      <c r="D303" s="5">
        <v>12.87</v>
      </c>
      <c r="E303" s="5">
        <v>4.4279999999999999</v>
      </c>
      <c r="F303" s="5">
        <v>-4.117</v>
      </c>
      <c r="G303" s="5">
        <v>0.35599999999999998</v>
      </c>
      <c r="H303" s="5">
        <v>86.2</v>
      </c>
      <c r="I303" s="5">
        <v>0.28599999999999998</v>
      </c>
      <c r="J303" s="5">
        <v>-0.91600000000000004</v>
      </c>
      <c r="K303" s="5">
        <v>0.58799999999999997</v>
      </c>
      <c r="L303" s="5">
        <v>1.5</v>
      </c>
      <c r="M303" s="5">
        <v>2.7080000000000002</v>
      </c>
      <c r="N303" s="5">
        <v>5.109</v>
      </c>
      <c r="O303" s="5">
        <v>96</v>
      </c>
      <c r="P303" s="5">
        <v>0.442</v>
      </c>
      <c r="Q303" s="5">
        <v>2.7290000000000001</v>
      </c>
      <c r="R303" s="5">
        <v>0.68799999999999994</v>
      </c>
      <c r="S303" s="5">
        <v>1.6579999999999999</v>
      </c>
      <c r="T303" s="5">
        <v>2.8620000000000001</v>
      </c>
      <c r="U303" s="5">
        <v>-4.9080000000000004</v>
      </c>
      <c r="V303" s="5">
        <v>72.239999999999995</v>
      </c>
      <c r="W303" s="5">
        <v>0.155</v>
      </c>
      <c r="X303" s="5">
        <v>-4.6760000000000002</v>
      </c>
      <c r="Y303" s="5">
        <v>0.48499999999999999</v>
      </c>
      <c r="Z303" s="5">
        <v>1.3480000000000001</v>
      </c>
      <c r="AA303" s="5">
        <v>2.5710000000000002</v>
      </c>
      <c r="AB303" s="5">
        <v>2.1469999999999998</v>
      </c>
      <c r="AC303" s="5">
        <v>-1.419</v>
      </c>
      <c r="AD303" s="5">
        <v>1.18</v>
      </c>
      <c r="AE303" s="5">
        <v>-4.5940000000000003</v>
      </c>
      <c r="AF303" s="5">
        <v>4.6340000000000003</v>
      </c>
      <c r="AG303" s="5">
        <v>-4.8620000000000001</v>
      </c>
      <c r="AH303" s="5">
        <v>2.1659999999999999</v>
      </c>
      <c r="AI303" s="5" t="s">
        <v>99</v>
      </c>
      <c r="AK303" s="5">
        <f t="shared" si="176"/>
        <v>0.12800000000000011</v>
      </c>
      <c r="AN303" s="1">
        <f t="shared" si="149"/>
        <v>96</v>
      </c>
      <c r="AO303" s="1">
        <f t="shared" si="150"/>
        <v>86.2</v>
      </c>
      <c r="AP303" s="1">
        <f t="shared" si="151"/>
        <v>72.2</v>
      </c>
      <c r="AQ303" s="17">
        <f t="shared" si="141"/>
        <v>0.63400000000000001</v>
      </c>
      <c r="AR303" s="22">
        <f t="shared" si="152"/>
        <v>0.24399999999999999</v>
      </c>
      <c r="AT303" s="19">
        <f t="shared" si="144"/>
        <v>43763</v>
      </c>
      <c r="AU303" s="20">
        <f t="shared" si="145"/>
        <v>298</v>
      </c>
      <c r="AV303" s="1">
        <f t="shared" si="167"/>
        <v>0.4</v>
      </c>
      <c r="AW303" s="1">
        <f t="shared" si="168"/>
        <v>5.0999999999999996</v>
      </c>
      <c r="AX303" s="1">
        <f t="shared" si="169"/>
        <v>-4.9000000000000004</v>
      </c>
      <c r="AY303" s="1">
        <f t="shared" si="170"/>
        <v>86.2</v>
      </c>
      <c r="AZ303" s="1">
        <f t="shared" si="171"/>
        <v>72.2</v>
      </c>
      <c r="BA303" s="1">
        <f t="shared" si="156"/>
        <v>0.12800000000000011</v>
      </c>
      <c r="BB303" s="5" t="str">
        <f t="shared" si="157"/>
        <v>NAN</v>
      </c>
      <c r="BC303" s="1">
        <f t="shared" si="146"/>
        <v>-1.4</v>
      </c>
      <c r="BD303" s="1">
        <f t="shared" si="147"/>
        <v>1.2</v>
      </c>
      <c r="BE303" s="1">
        <f t="shared" si="148"/>
        <v>-4.5999999999999996</v>
      </c>
      <c r="BF303" s="5">
        <f t="shared" si="172"/>
        <v>0.6</v>
      </c>
      <c r="BG303" s="5">
        <f t="shared" si="173"/>
        <v>1.5</v>
      </c>
      <c r="BH303" s="5">
        <f t="shared" si="174"/>
        <v>2.7</v>
      </c>
      <c r="BI303" s="5" t="str">
        <f t="shared" si="161"/>
        <v>NAN</v>
      </c>
      <c r="BJ303" s="10">
        <f t="shared" si="162"/>
        <v>0.63400000000000001</v>
      </c>
      <c r="BK303" s="10">
        <f t="shared" si="163"/>
        <v>0.24399999999999999</v>
      </c>
      <c r="BM303" s="1">
        <f t="shared" si="164"/>
        <v>-3.9290000000000003</v>
      </c>
      <c r="BN303" s="1">
        <f t="shared" si="165"/>
        <v>0.31400000000000006</v>
      </c>
    </row>
    <row r="304" spans="1:66" x14ac:dyDescent="0.2">
      <c r="A304" s="4">
        <f t="shared" si="166"/>
        <v>43764</v>
      </c>
      <c r="B304" s="1">
        <v>299</v>
      </c>
      <c r="C304" s="1">
        <v>12</v>
      </c>
      <c r="D304" s="5">
        <v>13.01</v>
      </c>
      <c r="E304" s="5">
        <v>-2.5259999999999998</v>
      </c>
      <c r="F304" s="5">
        <v>-7.46</v>
      </c>
      <c r="G304" s="5">
        <v>-5.6520000000000001</v>
      </c>
      <c r="H304" s="5">
        <v>87.9</v>
      </c>
      <c r="I304" s="5">
        <v>-1.2999999999999999E-2</v>
      </c>
      <c r="J304" s="5">
        <v>-5.48</v>
      </c>
      <c r="K304" s="5">
        <v>0.60699999999999998</v>
      </c>
      <c r="L304" s="5">
        <v>1.4379999999999999</v>
      </c>
      <c r="M304" s="5">
        <v>2.6059999999999999</v>
      </c>
      <c r="N304" s="5">
        <v>-3.2240000000000002</v>
      </c>
      <c r="O304" s="5">
        <v>93</v>
      </c>
      <c r="P304" s="5">
        <v>0.31900000000000001</v>
      </c>
      <c r="Q304" s="5">
        <v>-1.919</v>
      </c>
      <c r="R304" s="5">
        <v>0.69399999999999995</v>
      </c>
      <c r="S304" s="5">
        <v>1.528</v>
      </c>
      <c r="T304" s="5">
        <v>2.6869999999999998</v>
      </c>
      <c r="U304" s="5">
        <v>-8.15</v>
      </c>
      <c r="V304" s="5">
        <v>76.23</v>
      </c>
      <c r="W304" s="5">
        <v>-0.69399999999999995</v>
      </c>
      <c r="X304" s="5">
        <v>-8.65</v>
      </c>
      <c r="Y304" s="5">
        <v>0.50700000000000001</v>
      </c>
      <c r="Z304" s="5">
        <v>1.353</v>
      </c>
      <c r="AA304" s="5">
        <v>2.5150000000000001</v>
      </c>
      <c r="AB304" s="5">
        <v>2.1219999999999999</v>
      </c>
      <c r="AC304" s="5">
        <v>-5.5940000000000003</v>
      </c>
      <c r="AD304" s="5">
        <v>-2.89</v>
      </c>
      <c r="AE304" s="5">
        <v>-8.8800000000000008</v>
      </c>
      <c r="AF304" s="5">
        <v>-3.0089999999999999</v>
      </c>
      <c r="AG304" s="5">
        <v>-8.2899999999999991</v>
      </c>
      <c r="AH304" s="5">
        <v>2.1539999999999999</v>
      </c>
      <c r="AI304" s="5" t="s">
        <v>99</v>
      </c>
      <c r="AK304" s="5">
        <f t="shared" si="176"/>
        <v>0.15300000000000002</v>
      </c>
      <c r="AN304" s="1">
        <f t="shared" si="149"/>
        <v>93</v>
      </c>
      <c r="AO304" s="1">
        <f t="shared" si="150"/>
        <v>87.9</v>
      </c>
      <c r="AP304" s="1">
        <f t="shared" si="151"/>
        <v>76.2</v>
      </c>
      <c r="AQ304" s="17">
        <f t="shared" si="141"/>
        <v>0.36699999999999999</v>
      </c>
      <c r="AR304" s="22">
        <f t="shared" si="152"/>
        <v>0.115</v>
      </c>
      <c r="AT304" s="19">
        <f t="shared" si="144"/>
        <v>43764</v>
      </c>
      <c r="AU304" s="20">
        <f t="shared" si="145"/>
        <v>299</v>
      </c>
      <c r="AV304" s="1">
        <f t="shared" si="167"/>
        <v>-5.7</v>
      </c>
      <c r="AW304" s="1">
        <f t="shared" si="168"/>
        <v>-3.2</v>
      </c>
      <c r="AX304" s="1">
        <f t="shared" si="169"/>
        <v>-8.1999999999999993</v>
      </c>
      <c r="AY304" s="1">
        <f t="shared" si="170"/>
        <v>87.9</v>
      </c>
      <c r="AZ304" s="1">
        <f t="shared" si="171"/>
        <v>76.2</v>
      </c>
      <c r="BA304" s="1">
        <f t="shared" si="156"/>
        <v>0.15300000000000002</v>
      </c>
      <c r="BB304" s="5" t="str">
        <f t="shared" si="157"/>
        <v>NAN</v>
      </c>
      <c r="BC304" s="1">
        <f t="shared" si="146"/>
        <v>-5.6</v>
      </c>
      <c r="BD304" s="1">
        <f t="shared" si="147"/>
        <v>-2.9</v>
      </c>
      <c r="BE304" s="1">
        <f t="shared" si="148"/>
        <v>-8.9</v>
      </c>
      <c r="BF304" s="5">
        <f t="shared" si="172"/>
        <v>0.6</v>
      </c>
      <c r="BG304" s="5">
        <f t="shared" si="173"/>
        <v>1.4</v>
      </c>
      <c r="BH304" s="5">
        <f t="shared" si="174"/>
        <v>2.6</v>
      </c>
      <c r="BI304" s="5" t="str">
        <f t="shared" si="161"/>
        <v>NAN</v>
      </c>
      <c r="BJ304" s="10">
        <f t="shared" si="162"/>
        <v>0.36699999999999999</v>
      </c>
      <c r="BK304" s="10">
        <f t="shared" si="163"/>
        <v>0.115</v>
      </c>
      <c r="BM304" s="1">
        <f t="shared" si="164"/>
        <v>0.33400000000000007</v>
      </c>
      <c r="BN304" s="1">
        <f t="shared" si="165"/>
        <v>-0.73000000000000043</v>
      </c>
    </row>
    <row r="305" spans="1:66" x14ac:dyDescent="0.2">
      <c r="A305" s="4">
        <f t="shared" si="166"/>
        <v>43765</v>
      </c>
      <c r="B305" s="1">
        <v>300</v>
      </c>
      <c r="C305" s="1">
        <v>12</v>
      </c>
      <c r="D305" s="5">
        <v>13.08</v>
      </c>
      <c r="E305" s="5">
        <v>-2.6549999999999998</v>
      </c>
      <c r="F305" s="5">
        <v>-8.7100000000000009</v>
      </c>
      <c r="G305" s="5">
        <v>-6.399</v>
      </c>
      <c r="H305" s="5">
        <v>72.44</v>
      </c>
      <c r="I305" s="5">
        <v>-0.83799999999999997</v>
      </c>
      <c r="J305" s="5">
        <v>-6.923</v>
      </c>
      <c r="K305" s="5">
        <v>0.38400000000000001</v>
      </c>
      <c r="L305" s="5">
        <v>1.395</v>
      </c>
      <c r="M305" s="5">
        <v>2.581</v>
      </c>
      <c r="N305" s="5">
        <v>-3.02</v>
      </c>
      <c r="O305" s="5">
        <v>88.4</v>
      </c>
      <c r="P305" s="5">
        <v>-0.44500000000000001</v>
      </c>
      <c r="Q305" s="5">
        <v>0</v>
      </c>
      <c r="R305" s="5">
        <v>0.60899999999999999</v>
      </c>
      <c r="S305" s="5">
        <v>1.5149999999999999</v>
      </c>
      <c r="T305" s="5">
        <v>2.6640000000000001</v>
      </c>
      <c r="U305" s="5">
        <v>-8.85</v>
      </c>
      <c r="V305" s="5">
        <v>55.52</v>
      </c>
      <c r="W305" s="5">
        <v>-1.107</v>
      </c>
      <c r="X305" s="5">
        <v>-9.2200000000000006</v>
      </c>
      <c r="Y305" s="5">
        <v>0.218</v>
      </c>
      <c r="Z305" s="5">
        <v>1.28</v>
      </c>
      <c r="AA305" s="5">
        <v>2.4710000000000001</v>
      </c>
      <c r="AB305" s="5">
        <v>2.1240000000000001</v>
      </c>
      <c r="AC305" s="5">
        <v>-7.4710000000000001</v>
      </c>
      <c r="AD305" s="5">
        <v>-3.8530000000000002</v>
      </c>
      <c r="AE305" s="5">
        <v>-9.5500000000000007</v>
      </c>
      <c r="AF305" s="5">
        <v>-3.036</v>
      </c>
      <c r="AG305" s="5">
        <v>-9.02</v>
      </c>
      <c r="AH305" s="5">
        <v>2.145</v>
      </c>
      <c r="AI305" s="5" t="s">
        <v>99</v>
      </c>
      <c r="AK305" s="5">
        <f t="shared" si="176"/>
        <v>0.1509999999999998</v>
      </c>
      <c r="AN305" s="1">
        <f t="shared" si="149"/>
        <v>88.4</v>
      </c>
      <c r="AO305" s="1">
        <f t="shared" si="150"/>
        <v>72.400000000000006</v>
      </c>
      <c r="AP305" s="1">
        <f t="shared" si="151"/>
        <v>55.5</v>
      </c>
      <c r="AQ305" s="17">
        <f t="shared" si="141"/>
        <v>0.27100000000000002</v>
      </c>
      <c r="AR305" s="22">
        <f t="shared" si="152"/>
        <v>0.217</v>
      </c>
      <c r="AT305" s="19">
        <f t="shared" si="144"/>
        <v>43765</v>
      </c>
      <c r="AU305" s="20">
        <f t="shared" si="145"/>
        <v>300</v>
      </c>
      <c r="AV305" s="1">
        <f t="shared" si="167"/>
        <v>-6.4</v>
      </c>
      <c r="AW305" s="1">
        <f t="shared" si="168"/>
        <v>-3</v>
      </c>
      <c r="AX305" s="1">
        <f t="shared" si="169"/>
        <v>-8.9</v>
      </c>
      <c r="AY305" s="1">
        <f t="shared" si="170"/>
        <v>72.400000000000006</v>
      </c>
      <c r="AZ305" s="1">
        <f t="shared" si="171"/>
        <v>55.5</v>
      </c>
      <c r="BA305" s="1">
        <f t="shared" si="156"/>
        <v>0.1509999999999998</v>
      </c>
      <c r="BB305" s="5" t="str">
        <f t="shared" si="157"/>
        <v>NAN</v>
      </c>
      <c r="BC305" s="1">
        <f t="shared" si="146"/>
        <v>-7.5</v>
      </c>
      <c r="BD305" s="1">
        <f t="shared" si="147"/>
        <v>-3.9</v>
      </c>
      <c r="BE305" s="1">
        <f t="shared" si="148"/>
        <v>-9.6</v>
      </c>
      <c r="BF305" s="5">
        <f t="shared" si="172"/>
        <v>0.4</v>
      </c>
      <c r="BG305" s="5">
        <f t="shared" si="173"/>
        <v>1.4</v>
      </c>
      <c r="BH305" s="5">
        <f t="shared" si="174"/>
        <v>2.6</v>
      </c>
      <c r="BI305" s="5" t="str">
        <f t="shared" si="161"/>
        <v>NAN</v>
      </c>
      <c r="BJ305" s="10">
        <f t="shared" si="162"/>
        <v>0.27100000000000002</v>
      </c>
      <c r="BK305" s="10">
        <f t="shared" si="163"/>
        <v>0.217</v>
      </c>
      <c r="BM305" s="1">
        <f t="shared" si="164"/>
        <v>-0.83300000000000018</v>
      </c>
      <c r="BN305" s="1">
        <f t="shared" si="165"/>
        <v>-0.70000000000000107</v>
      </c>
    </row>
    <row r="306" spans="1:66" x14ac:dyDescent="0.2">
      <c r="A306" s="4">
        <f t="shared" si="166"/>
        <v>43766</v>
      </c>
      <c r="B306" s="1">
        <v>301</v>
      </c>
      <c r="C306" s="1">
        <v>12</v>
      </c>
      <c r="D306" s="5">
        <v>13.05</v>
      </c>
      <c r="E306" s="5">
        <v>-5.1989999999999998</v>
      </c>
      <c r="F306" s="5">
        <v>-13.25</v>
      </c>
      <c r="G306" s="5">
        <v>-7.88</v>
      </c>
      <c r="H306" s="5">
        <v>65</v>
      </c>
      <c r="I306" s="5">
        <v>-1.0049999999999999</v>
      </c>
      <c r="J306" s="5">
        <v>-8.1199999999999992</v>
      </c>
      <c r="K306" s="5">
        <v>0.13600000000000001</v>
      </c>
      <c r="L306" s="5">
        <v>1.2849999999999999</v>
      </c>
      <c r="M306" s="5">
        <v>2.5449999999999999</v>
      </c>
      <c r="N306" s="5">
        <v>-4.97</v>
      </c>
      <c r="O306" s="5">
        <v>92</v>
      </c>
      <c r="P306" s="5">
        <v>-0.64600000000000002</v>
      </c>
      <c r="Q306" s="5">
        <v>-2.7879999999999998</v>
      </c>
      <c r="R306" s="5">
        <v>0.33500000000000002</v>
      </c>
      <c r="S306" s="5">
        <v>1.4239999999999999</v>
      </c>
      <c r="T306" s="5">
        <v>2.6560000000000001</v>
      </c>
      <c r="U306" s="5">
        <v>-14.09</v>
      </c>
      <c r="V306" s="5">
        <v>34.43</v>
      </c>
      <c r="W306" s="5">
        <v>-1.7390000000000001</v>
      </c>
      <c r="X306" s="5">
        <v>-14.46</v>
      </c>
      <c r="Y306" s="5">
        <v>-7.0000000000000007E-2</v>
      </c>
      <c r="Z306" s="5">
        <v>1.1399999999999999</v>
      </c>
      <c r="AA306" s="5">
        <v>2.41</v>
      </c>
      <c r="AB306" s="5">
        <v>2.1259999999999999</v>
      </c>
      <c r="AC306" s="5">
        <v>-8.4</v>
      </c>
      <c r="AD306" s="5">
        <v>-5.56</v>
      </c>
      <c r="AE306" s="5">
        <v>-14.52</v>
      </c>
      <c r="AF306" s="5">
        <v>-4.9450000000000003</v>
      </c>
      <c r="AG306" s="5">
        <v>-14.01</v>
      </c>
      <c r="AH306" s="5">
        <v>2.1829999999999998</v>
      </c>
      <c r="AI306" s="5" t="s">
        <v>99</v>
      </c>
      <c r="AK306" s="5">
        <f t="shared" si="176"/>
        <v>0.14900000000000002</v>
      </c>
      <c r="AL306" s="7">
        <f>ROUND(K306,1)</f>
        <v>0.1</v>
      </c>
      <c r="AN306" s="1">
        <f t="shared" si="149"/>
        <v>92</v>
      </c>
      <c r="AO306" s="1">
        <f t="shared" si="150"/>
        <v>65</v>
      </c>
      <c r="AP306" s="1">
        <f t="shared" si="151"/>
        <v>34.4</v>
      </c>
      <c r="AQ306" s="17">
        <f t="shared" si="141"/>
        <v>0.14499999999999999</v>
      </c>
      <c r="AR306" s="22">
        <f t="shared" si="152"/>
        <v>0.27700000000000002</v>
      </c>
      <c r="AT306" s="19">
        <f t="shared" si="144"/>
        <v>43766</v>
      </c>
      <c r="AU306" s="20">
        <f t="shared" si="145"/>
        <v>301</v>
      </c>
      <c r="AV306" s="1">
        <f t="shared" si="167"/>
        <v>-7.9</v>
      </c>
      <c r="AW306" s="1">
        <f t="shared" si="168"/>
        <v>-5</v>
      </c>
      <c r="AX306" s="1">
        <f t="shared" si="169"/>
        <v>-14.1</v>
      </c>
      <c r="AY306" s="1">
        <f t="shared" si="170"/>
        <v>65</v>
      </c>
      <c r="AZ306" s="1">
        <f t="shared" si="171"/>
        <v>34.4</v>
      </c>
      <c r="BA306" s="1">
        <f t="shared" si="156"/>
        <v>0.14900000000000002</v>
      </c>
      <c r="BB306" s="5">
        <f t="shared" si="157"/>
        <v>0.1</v>
      </c>
      <c r="BC306" s="1">
        <f t="shared" si="146"/>
        <v>-8.4</v>
      </c>
      <c r="BD306" s="1">
        <f t="shared" si="147"/>
        <v>-5.6</v>
      </c>
      <c r="BE306" s="1">
        <f t="shared" si="148"/>
        <v>-14.5</v>
      </c>
      <c r="BF306" s="5">
        <f t="shared" si="172"/>
        <v>0.1</v>
      </c>
      <c r="BG306" s="5">
        <f t="shared" si="173"/>
        <v>1.3</v>
      </c>
      <c r="BH306" s="5">
        <f t="shared" si="174"/>
        <v>2.5</v>
      </c>
      <c r="BI306" s="5" t="str">
        <f t="shared" si="161"/>
        <v>NAN</v>
      </c>
      <c r="BJ306" s="10">
        <f t="shared" si="162"/>
        <v>0.14499999999999999</v>
      </c>
      <c r="BK306" s="10">
        <f t="shared" si="163"/>
        <v>0.27700000000000002</v>
      </c>
      <c r="BM306" s="1">
        <f t="shared" si="164"/>
        <v>-0.58999999999999986</v>
      </c>
      <c r="BN306" s="1">
        <f t="shared" si="165"/>
        <v>-0.42999999999999972</v>
      </c>
    </row>
    <row r="307" spans="1:66" x14ac:dyDescent="0.2">
      <c r="A307" s="4">
        <f t="shared" si="166"/>
        <v>43767</v>
      </c>
      <c r="B307" s="1">
        <v>302</v>
      </c>
      <c r="C307" s="1">
        <v>12</v>
      </c>
      <c r="D307" s="5">
        <v>13.11</v>
      </c>
      <c r="E307" s="5">
        <v>-4.7220000000000004</v>
      </c>
      <c r="F307" s="5">
        <v>-15.14</v>
      </c>
      <c r="G307" s="5">
        <v>-10.23</v>
      </c>
      <c r="H307" s="5">
        <v>44.55</v>
      </c>
      <c r="I307" s="5">
        <v>-1.5169999999999999</v>
      </c>
      <c r="J307" s="5">
        <v>-10.63</v>
      </c>
      <c r="K307" s="5">
        <v>-0.121</v>
      </c>
      <c r="L307" s="5">
        <v>1.147</v>
      </c>
      <c r="M307" s="5">
        <v>2.464</v>
      </c>
      <c r="N307" s="5">
        <v>-5.2080000000000002</v>
      </c>
      <c r="O307" s="5">
        <v>64.66</v>
      </c>
      <c r="P307" s="5">
        <v>-0.85</v>
      </c>
      <c r="Q307" s="5">
        <v>-1.1830000000000001</v>
      </c>
      <c r="R307" s="5">
        <v>0.03</v>
      </c>
      <c r="S307" s="5">
        <v>1.2809999999999999</v>
      </c>
      <c r="T307" s="5">
        <v>2.556</v>
      </c>
      <c r="U307" s="5">
        <v>-15</v>
      </c>
      <c r="V307" s="5">
        <v>21.71</v>
      </c>
      <c r="W307" s="5">
        <v>-2.1120000000000001</v>
      </c>
      <c r="X307" s="5">
        <v>-15.27</v>
      </c>
      <c r="Y307" s="5">
        <v>-0.23599999999999999</v>
      </c>
      <c r="Z307" s="5">
        <v>1.048</v>
      </c>
      <c r="AA307" s="5">
        <v>2.3359999999999999</v>
      </c>
      <c r="AB307" s="5">
        <v>2.125</v>
      </c>
      <c r="AC307" s="5">
        <v>-10.97</v>
      </c>
      <c r="AD307" s="5">
        <v>-6.1070000000000002</v>
      </c>
      <c r="AE307" s="5">
        <v>-15.19</v>
      </c>
      <c r="AF307" s="5">
        <v>-4.7320000000000002</v>
      </c>
      <c r="AG307" s="5">
        <v>-15.24</v>
      </c>
      <c r="AH307" s="5">
        <v>2.1539999999999999</v>
      </c>
      <c r="AI307" s="5" t="s">
        <v>99</v>
      </c>
      <c r="AK307" s="5">
        <f t="shared" si="176"/>
        <v>0.14999999999999991</v>
      </c>
      <c r="AL307" s="7">
        <f t="shared" ref="AL295:AL317" si="177">ROUND(K307,1)</f>
        <v>-0.1</v>
      </c>
      <c r="AN307" s="1">
        <f t="shared" si="149"/>
        <v>64.7</v>
      </c>
      <c r="AO307" s="1">
        <f t="shared" si="150"/>
        <v>44.6</v>
      </c>
      <c r="AP307" s="1">
        <f t="shared" si="151"/>
        <v>21.7</v>
      </c>
      <c r="AQ307" s="17">
        <f t="shared" si="141"/>
        <v>0.09</v>
      </c>
      <c r="AR307" s="22">
        <f t="shared" si="152"/>
        <v>0.32500000000000001</v>
      </c>
      <c r="AT307" s="19">
        <f t="shared" si="144"/>
        <v>43767</v>
      </c>
      <c r="AU307" s="20">
        <f t="shared" si="145"/>
        <v>302</v>
      </c>
      <c r="AV307" s="1">
        <f t="shared" si="167"/>
        <v>-10.199999999999999</v>
      </c>
      <c r="AW307" s="1">
        <f t="shared" si="168"/>
        <v>-5.2</v>
      </c>
      <c r="AX307" s="1">
        <f t="shared" si="169"/>
        <v>-15</v>
      </c>
      <c r="AY307" s="1">
        <f t="shared" si="170"/>
        <v>44.6</v>
      </c>
      <c r="AZ307" s="1">
        <f t="shared" si="171"/>
        <v>21.7</v>
      </c>
      <c r="BA307" s="1">
        <f t="shared" si="156"/>
        <v>0.14999999999999991</v>
      </c>
      <c r="BB307" s="5">
        <f t="shared" si="157"/>
        <v>-0.1</v>
      </c>
      <c r="BC307" s="1">
        <f t="shared" si="146"/>
        <v>-11</v>
      </c>
      <c r="BD307" s="1">
        <f t="shared" si="147"/>
        <v>-6.1</v>
      </c>
      <c r="BE307" s="1">
        <f t="shared" si="148"/>
        <v>-15.2</v>
      </c>
      <c r="BF307" s="5">
        <f t="shared" si="172"/>
        <v>-0.1</v>
      </c>
      <c r="BG307" s="5">
        <f t="shared" si="173"/>
        <v>1.1000000000000001</v>
      </c>
      <c r="BH307" s="5">
        <f t="shared" si="174"/>
        <v>2.5</v>
      </c>
      <c r="BI307" s="5" t="str">
        <f t="shared" si="161"/>
        <v>NAN</v>
      </c>
      <c r="BJ307" s="10">
        <f t="shared" si="162"/>
        <v>0.09</v>
      </c>
      <c r="BK307" s="10">
        <f t="shared" si="163"/>
        <v>0.32500000000000001</v>
      </c>
      <c r="BM307" s="1">
        <f t="shared" si="164"/>
        <v>-0.89900000000000002</v>
      </c>
      <c r="BN307" s="1">
        <f t="shared" si="165"/>
        <v>-0.1899999999999995</v>
      </c>
    </row>
    <row r="308" spans="1:66" x14ac:dyDescent="0.2">
      <c r="A308" s="4">
        <f t="shared" si="166"/>
        <v>43768</v>
      </c>
      <c r="B308" s="1">
        <v>303</v>
      </c>
      <c r="C308" s="1">
        <v>12</v>
      </c>
      <c r="D308" s="5">
        <v>13.06</v>
      </c>
      <c r="E308" s="5">
        <v>-0.58499999999999996</v>
      </c>
      <c r="F308" s="5">
        <v>-8.73</v>
      </c>
      <c r="G308" s="5">
        <v>-4.1749999999999998</v>
      </c>
      <c r="H308" s="5">
        <v>41.72</v>
      </c>
      <c r="I308" s="5">
        <v>-0.93</v>
      </c>
      <c r="J308" s="5">
        <v>-5.3330000000000002</v>
      </c>
      <c r="K308" s="5">
        <v>-0.10299999999999999</v>
      </c>
      <c r="L308" s="5">
        <v>1.0740000000000001</v>
      </c>
      <c r="M308" s="5">
        <v>2.427</v>
      </c>
      <c r="N308" s="5">
        <v>-0.58799999999999997</v>
      </c>
      <c r="O308" s="5">
        <v>53.89</v>
      </c>
      <c r="P308" s="5">
        <v>-0.28199999999999997</v>
      </c>
      <c r="Q308" s="5">
        <v>-0.60299999999999998</v>
      </c>
      <c r="R308" s="5">
        <v>1.7999999999999999E-2</v>
      </c>
      <c r="S308" s="5">
        <v>1.169</v>
      </c>
      <c r="T308" s="5">
        <v>2.5249999999999999</v>
      </c>
      <c r="U308" s="5">
        <v>-8.92</v>
      </c>
      <c r="V308" s="5">
        <v>31.07</v>
      </c>
      <c r="W308" s="5">
        <v>-1.4259999999999999</v>
      </c>
      <c r="X308" s="5">
        <v>-9.42</v>
      </c>
      <c r="Y308" s="5">
        <v>-0.20899999999999999</v>
      </c>
      <c r="Z308" s="5">
        <v>0.98599999999999999</v>
      </c>
      <c r="AA308" s="5">
        <v>2.331</v>
      </c>
      <c r="AB308" s="5">
        <v>2.1309999999999998</v>
      </c>
      <c r="AC308" s="5">
        <v>-6.1470000000000002</v>
      </c>
      <c r="AD308" s="5">
        <v>-2.3879999999999999</v>
      </c>
      <c r="AE308" s="5">
        <v>-9.59</v>
      </c>
      <c r="AF308" s="5">
        <v>-0.51900000000000002</v>
      </c>
      <c r="AG308" s="5">
        <v>-9.0399999999999991</v>
      </c>
      <c r="AH308" s="5">
        <v>2.1419999999999999</v>
      </c>
      <c r="AI308" s="5" t="s">
        <v>99</v>
      </c>
      <c r="AK308" s="5">
        <f t="shared" si="176"/>
        <v>0.14400000000000013</v>
      </c>
      <c r="AL308" s="7">
        <f t="shared" si="177"/>
        <v>-0.1</v>
      </c>
      <c r="AN308" s="1">
        <f t="shared" si="149"/>
        <v>53.9</v>
      </c>
      <c r="AO308" s="1">
        <f t="shared" si="150"/>
        <v>41.7</v>
      </c>
      <c r="AP308" s="1">
        <f t="shared" si="151"/>
        <v>31.1</v>
      </c>
      <c r="AQ308" s="17">
        <f t="shared" si="141"/>
        <v>0.182</v>
      </c>
      <c r="AR308" s="22">
        <f t="shared" si="152"/>
        <v>0.40300000000000002</v>
      </c>
      <c r="AT308" s="19">
        <f t="shared" si="144"/>
        <v>43768</v>
      </c>
      <c r="AU308" s="20">
        <f t="shared" si="145"/>
        <v>303</v>
      </c>
      <c r="AV308" s="1">
        <f t="shared" si="167"/>
        <v>-4.2</v>
      </c>
      <c r="AW308" s="1">
        <f t="shared" si="168"/>
        <v>-0.6</v>
      </c>
      <c r="AX308" s="1">
        <f t="shared" si="169"/>
        <v>-8.9</v>
      </c>
      <c r="AY308" s="1">
        <f t="shared" si="170"/>
        <v>41.7</v>
      </c>
      <c r="AZ308" s="1">
        <f t="shared" si="171"/>
        <v>31.1</v>
      </c>
      <c r="BA308" s="1">
        <f t="shared" si="156"/>
        <v>0.14400000000000013</v>
      </c>
      <c r="BB308" s="5">
        <f t="shared" si="157"/>
        <v>-0.1</v>
      </c>
      <c r="BC308" s="1">
        <f t="shared" si="146"/>
        <v>-6.1</v>
      </c>
      <c r="BD308" s="1">
        <f t="shared" si="147"/>
        <v>-2.4</v>
      </c>
      <c r="BE308" s="1">
        <f t="shared" si="148"/>
        <v>-9.6</v>
      </c>
      <c r="BF308" s="5">
        <f t="shared" si="172"/>
        <v>-0.1</v>
      </c>
      <c r="BG308" s="5">
        <f t="shared" si="173"/>
        <v>1.1000000000000001</v>
      </c>
      <c r="BH308" s="5">
        <f t="shared" si="174"/>
        <v>2.4</v>
      </c>
      <c r="BI308" s="5" t="str">
        <f t="shared" si="161"/>
        <v>NAN</v>
      </c>
      <c r="BJ308" s="10">
        <f t="shared" si="162"/>
        <v>0.182</v>
      </c>
      <c r="BK308" s="10">
        <f t="shared" si="163"/>
        <v>0.40300000000000002</v>
      </c>
      <c r="BM308" s="1">
        <f t="shared" si="164"/>
        <v>-1.7999999999999998</v>
      </c>
      <c r="BN308" s="1">
        <f t="shared" si="165"/>
        <v>-0.66999999999999993</v>
      </c>
    </row>
    <row r="309" spans="1:66" x14ac:dyDescent="0.2">
      <c r="A309" s="4">
        <f t="shared" si="166"/>
        <v>43769</v>
      </c>
      <c r="B309" s="1">
        <v>304</v>
      </c>
      <c r="C309" s="1">
        <v>12</v>
      </c>
      <c r="D309" s="5">
        <v>13.03</v>
      </c>
      <c r="E309" s="5">
        <v>-0.77700000000000002</v>
      </c>
      <c r="F309" s="5">
        <v>-6.1390000000000002</v>
      </c>
      <c r="G309" s="5">
        <v>-3.2330000000000001</v>
      </c>
      <c r="H309" s="5">
        <v>63.5</v>
      </c>
      <c r="I309" s="5">
        <v>-0.66700000000000004</v>
      </c>
      <c r="J309" s="5">
        <v>-3.9430000000000001</v>
      </c>
      <c r="K309" s="5">
        <v>-6.8000000000000005E-2</v>
      </c>
      <c r="L309" s="5">
        <v>1.0149999999999999</v>
      </c>
      <c r="M309" s="5">
        <v>2.3570000000000002</v>
      </c>
      <c r="N309" s="5">
        <v>-0.61799999999999999</v>
      </c>
      <c r="O309" s="5">
        <v>82.8</v>
      </c>
      <c r="P309" s="5">
        <v>-0.22900000000000001</v>
      </c>
      <c r="Q309" s="5">
        <v>-0.54800000000000004</v>
      </c>
      <c r="R309" s="5">
        <v>1.9E-2</v>
      </c>
      <c r="S309" s="5">
        <v>1.1240000000000001</v>
      </c>
      <c r="T309" s="5">
        <v>2.4670000000000001</v>
      </c>
      <c r="U309" s="5">
        <v>-5.9169999999999998</v>
      </c>
      <c r="V309" s="5">
        <v>44.69</v>
      </c>
      <c r="W309" s="5">
        <v>-1.147</v>
      </c>
      <c r="X309" s="5">
        <v>-6.9669999999999996</v>
      </c>
      <c r="Y309" s="5">
        <v>-0.161</v>
      </c>
      <c r="Z309" s="5">
        <v>0.91200000000000003</v>
      </c>
      <c r="AA309" s="5">
        <v>2.2410000000000001</v>
      </c>
      <c r="AB309" s="5">
        <v>2.1269999999999998</v>
      </c>
      <c r="AC309" s="5">
        <v>-4.6639999999999997</v>
      </c>
      <c r="AD309" s="5">
        <v>-1.6679999999999999</v>
      </c>
      <c r="AE309" s="5">
        <v>-7.2640000000000002</v>
      </c>
      <c r="AF309" s="5">
        <v>-1.0269999999999999</v>
      </c>
      <c r="AG309" s="5">
        <v>-6.3780000000000001</v>
      </c>
      <c r="AH309" s="5">
        <v>2.15</v>
      </c>
      <c r="AI309" s="5" t="s">
        <v>99</v>
      </c>
      <c r="AK309" s="5">
        <f t="shared" si="176"/>
        <v>0.14800000000000013</v>
      </c>
      <c r="AL309" s="7">
        <f t="shared" si="177"/>
        <v>-0.1</v>
      </c>
      <c r="AN309" s="1">
        <f t="shared" si="149"/>
        <v>82.8</v>
      </c>
      <c r="AO309" s="1">
        <f t="shared" si="150"/>
        <v>63.5</v>
      </c>
      <c r="AP309" s="1">
        <f t="shared" si="151"/>
        <v>44.7</v>
      </c>
      <c r="AQ309" s="17">
        <f t="shared" si="141"/>
        <v>0.26100000000000001</v>
      </c>
      <c r="AR309" s="22">
        <f t="shared" si="152"/>
        <v>0.32300000000000001</v>
      </c>
      <c r="AT309" s="19">
        <f t="shared" si="144"/>
        <v>43769</v>
      </c>
      <c r="AU309" s="20">
        <f t="shared" si="145"/>
        <v>304</v>
      </c>
      <c r="AV309" s="1">
        <f t="shared" si="167"/>
        <v>-3.2</v>
      </c>
      <c r="AW309" s="1">
        <f t="shared" si="168"/>
        <v>-0.6</v>
      </c>
      <c r="AX309" s="1">
        <f t="shared" si="169"/>
        <v>-5.9</v>
      </c>
      <c r="AY309" s="1">
        <f t="shared" si="170"/>
        <v>63.5</v>
      </c>
      <c r="AZ309" s="1">
        <f t="shared" si="171"/>
        <v>44.7</v>
      </c>
      <c r="BA309" s="1">
        <f t="shared" si="156"/>
        <v>0.14800000000000013</v>
      </c>
      <c r="BB309" s="5">
        <f t="shared" si="157"/>
        <v>-0.1</v>
      </c>
      <c r="BC309" s="1">
        <f t="shared" si="146"/>
        <v>-4.7</v>
      </c>
      <c r="BD309" s="1">
        <f t="shared" si="147"/>
        <v>-1.7</v>
      </c>
      <c r="BE309" s="1">
        <f t="shared" si="148"/>
        <v>-7.3</v>
      </c>
      <c r="BF309" s="5">
        <f t="shared" si="172"/>
        <v>-0.1</v>
      </c>
      <c r="BG309" s="5">
        <f t="shared" si="173"/>
        <v>1</v>
      </c>
      <c r="BH309" s="5">
        <f t="shared" si="174"/>
        <v>2.4</v>
      </c>
      <c r="BI309" s="5" t="str">
        <f t="shared" si="161"/>
        <v>NAN</v>
      </c>
      <c r="BJ309" s="10">
        <f t="shared" si="162"/>
        <v>0.26100000000000001</v>
      </c>
      <c r="BK309" s="10">
        <f t="shared" si="163"/>
        <v>0.32300000000000001</v>
      </c>
      <c r="BM309" s="1">
        <f t="shared" si="164"/>
        <v>-1.0499999999999998</v>
      </c>
      <c r="BN309" s="1">
        <f t="shared" si="165"/>
        <v>-1.3470000000000004</v>
      </c>
    </row>
    <row r="310" spans="1:66" x14ac:dyDescent="0.2">
      <c r="A310" s="4">
        <f t="shared" si="166"/>
        <v>43770</v>
      </c>
      <c r="B310" s="1">
        <v>305</v>
      </c>
      <c r="C310" s="1">
        <v>12</v>
      </c>
      <c r="D310" s="5">
        <v>13.07</v>
      </c>
      <c r="E310" s="5">
        <v>3.0990000000000002</v>
      </c>
      <c r="F310" s="5">
        <v>-6.7080000000000002</v>
      </c>
      <c r="G310" s="5">
        <v>-1.784</v>
      </c>
      <c r="H310" s="5">
        <v>58.73</v>
      </c>
      <c r="I310" s="5">
        <v>-0.64</v>
      </c>
      <c r="J310" s="5">
        <v>-2.883</v>
      </c>
      <c r="K310" s="5">
        <v>-8.7999999999999995E-2</v>
      </c>
      <c r="L310" s="5">
        <v>0.96699999999999997</v>
      </c>
      <c r="M310" s="5">
        <v>2.2879999999999998</v>
      </c>
      <c r="N310" s="5">
        <v>2.657</v>
      </c>
      <c r="O310" s="5">
        <v>87.7</v>
      </c>
      <c r="P310" s="5">
        <v>-1.6E-2</v>
      </c>
      <c r="Q310" s="5">
        <v>3.8050000000000002</v>
      </c>
      <c r="R310" s="5">
        <v>5.8999999999999997E-2</v>
      </c>
      <c r="S310" s="5">
        <v>1.0549999999999999</v>
      </c>
      <c r="T310" s="5">
        <v>2.3839999999999999</v>
      </c>
      <c r="U310" s="5">
        <v>-6.4580000000000002</v>
      </c>
      <c r="V310" s="5">
        <v>24.7</v>
      </c>
      <c r="W310" s="5">
        <v>-1.24</v>
      </c>
      <c r="X310" s="5">
        <v>-7.2539999999999996</v>
      </c>
      <c r="Y310" s="5">
        <v>-0.218</v>
      </c>
      <c r="Z310" s="5">
        <v>0.86099999999999999</v>
      </c>
      <c r="AA310" s="5">
        <v>2.133</v>
      </c>
      <c r="AB310" s="5">
        <v>2.129</v>
      </c>
      <c r="AC310" s="5">
        <v>-3.891</v>
      </c>
      <c r="AD310" s="5">
        <v>-0.58599999999999997</v>
      </c>
      <c r="AE310" s="5">
        <v>-7.4039999999999999</v>
      </c>
      <c r="AF310" s="5">
        <v>3.1920000000000002</v>
      </c>
      <c r="AG310" s="5">
        <v>-6.7969999999999997</v>
      </c>
      <c r="AH310" s="5">
        <v>2.1230000000000002</v>
      </c>
      <c r="AI310" s="5" t="s">
        <v>99</v>
      </c>
      <c r="AK310" s="5">
        <f t="shared" si="176"/>
        <v>0.14599999999999991</v>
      </c>
      <c r="AL310" s="7">
        <f t="shared" si="177"/>
        <v>-0.1</v>
      </c>
      <c r="AN310" s="1">
        <f t="shared" si="149"/>
        <v>87.7</v>
      </c>
      <c r="AO310" s="1">
        <f t="shared" si="150"/>
        <v>58.7</v>
      </c>
      <c r="AP310" s="1">
        <f t="shared" si="151"/>
        <v>24.7</v>
      </c>
      <c r="AQ310" s="17">
        <f t="shared" ref="AQ310:AQ337" si="178">ROUND((0.6105*(EXP((17.273*N310)/(N310+237.3))))*AP310/100,3)</f>
        <v>0.183</v>
      </c>
      <c r="AR310" s="22">
        <f t="shared" si="152"/>
        <v>0.55800000000000005</v>
      </c>
      <c r="AT310" s="19">
        <f t="shared" si="144"/>
        <v>43770</v>
      </c>
      <c r="AU310" s="20">
        <f t="shared" si="145"/>
        <v>305</v>
      </c>
      <c r="AV310" s="1">
        <f t="shared" si="167"/>
        <v>-1.8</v>
      </c>
      <c r="AW310" s="1">
        <f t="shared" si="168"/>
        <v>2.7</v>
      </c>
      <c r="AX310" s="1">
        <f t="shared" si="169"/>
        <v>-6.5</v>
      </c>
      <c r="AY310" s="1">
        <f t="shared" si="170"/>
        <v>58.7</v>
      </c>
      <c r="AZ310" s="1">
        <f t="shared" si="171"/>
        <v>24.7</v>
      </c>
      <c r="BA310" s="1">
        <f t="shared" si="156"/>
        <v>0.14599999999999991</v>
      </c>
      <c r="BB310" s="5">
        <f t="shared" si="157"/>
        <v>-0.1</v>
      </c>
      <c r="BC310" s="1">
        <f t="shared" si="146"/>
        <v>-3.9</v>
      </c>
      <c r="BD310" s="1">
        <f t="shared" si="147"/>
        <v>-0.6</v>
      </c>
      <c r="BE310" s="1">
        <f t="shared" si="148"/>
        <v>-7.4</v>
      </c>
      <c r="BF310" s="5">
        <f t="shared" si="172"/>
        <v>-0.1</v>
      </c>
      <c r="BG310" s="5">
        <f t="shared" si="173"/>
        <v>1</v>
      </c>
      <c r="BH310" s="5">
        <f t="shared" si="174"/>
        <v>2.2999999999999998</v>
      </c>
      <c r="BI310" s="5" t="str">
        <f t="shared" si="161"/>
        <v>NAN</v>
      </c>
      <c r="BJ310" s="10">
        <f t="shared" si="162"/>
        <v>0.183</v>
      </c>
      <c r="BK310" s="10">
        <f t="shared" si="163"/>
        <v>0.55800000000000005</v>
      </c>
      <c r="BM310" s="1">
        <f t="shared" si="164"/>
        <v>-3.2429999999999999</v>
      </c>
      <c r="BN310" s="1">
        <f t="shared" si="165"/>
        <v>-0.94599999999999973</v>
      </c>
    </row>
    <row r="311" spans="1:66" x14ac:dyDescent="0.2">
      <c r="A311" s="4">
        <f t="shared" si="166"/>
        <v>43771</v>
      </c>
      <c r="B311" s="1">
        <v>306</v>
      </c>
      <c r="C311" s="1">
        <v>12</v>
      </c>
      <c r="D311" s="5">
        <v>13.03</v>
      </c>
      <c r="E311" s="5">
        <v>4.7709999999999999</v>
      </c>
      <c r="F311" s="5">
        <v>0.47899999999999998</v>
      </c>
      <c r="G311" s="5">
        <v>2.1680000000000001</v>
      </c>
      <c r="H311" s="5">
        <v>77.540000000000006</v>
      </c>
      <c r="I311" s="5">
        <v>-2.1000000000000001E-2</v>
      </c>
      <c r="J311" s="5">
        <v>1.069</v>
      </c>
      <c r="K311" s="5">
        <v>1.7999999999999999E-2</v>
      </c>
      <c r="L311" s="5">
        <v>0.97099999999999997</v>
      </c>
      <c r="M311" s="5">
        <v>2.2650000000000001</v>
      </c>
      <c r="N311" s="5">
        <v>4.8719999999999999</v>
      </c>
      <c r="O311" s="5">
        <v>93.6</v>
      </c>
      <c r="P311" s="5">
        <v>0.125</v>
      </c>
      <c r="Q311" s="5">
        <v>3.27</v>
      </c>
      <c r="R311" s="5">
        <v>0.112</v>
      </c>
      <c r="S311" s="5">
        <v>1.0660000000000001</v>
      </c>
      <c r="T311" s="5">
        <v>2.3690000000000002</v>
      </c>
      <c r="U311" s="5">
        <v>-0.14899999999999999</v>
      </c>
      <c r="V311" s="5">
        <v>44.45</v>
      </c>
      <c r="W311" s="5">
        <v>-0.27100000000000002</v>
      </c>
      <c r="X311" s="5">
        <v>-0.78500000000000003</v>
      </c>
      <c r="Y311" s="5">
        <v>-7.6999999999999999E-2</v>
      </c>
      <c r="Z311" s="5">
        <v>0.872</v>
      </c>
      <c r="AA311" s="5">
        <v>2.1579999999999999</v>
      </c>
      <c r="AB311" s="5">
        <v>2.13</v>
      </c>
      <c r="AC311" s="5">
        <v>-0.16600000000000001</v>
      </c>
      <c r="AD311" s="5">
        <v>0.193</v>
      </c>
      <c r="AE311" s="5">
        <v>-1.73</v>
      </c>
      <c r="AF311" s="5">
        <v>4.5090000000000003</v>
      </c>
      <c r="AG311" s="5">
        <v>-0.20599999999999999</v>
      </c>
      <c r="AH311" s="5">
        <v>2.125</v>
      </c>
      <c r="AI311" s="5" t="s">
        <v>99</v>
      </c>
      <c r="AK311" s="5">
        <f t="shared" si="176"/>
        <v>0.14500000000000002</v>
      </c>
      <c r="AL311" s="7">
        <f t="shared" si="177"/>
        <v>0</v>
      </c>
      <c r="AN311" s="1">
        <f t="shared" si="149"/>
        <v>93.6</v>
      </c>
      <c r="AO311" s="1">
        <f t="shared" si="150"/>
        <v>77.5</v>
      </c>
      <c r="AP311" s="1">
        <f t="shared" si="151"/>
        <v>44.5</v>
      </c>
      <c r="AQ311" s="17">
        <f t="shared" si="178"/>
        <v>0.38500000000000001</v>
      </c>
      <c r="AR311" s="22">
        <f t="shared" si="152"/>
        <v>0.48</v>
      </c>
      <c r="AT311" s="19">
        <f t="shared" si="144"/>
        <v>43771</v>
      </c>
      <c r="AU311" s="20">
        <f t="shared" si="145"/>
        <v>306</v>
      </c>
      <c r="AV311" s="1">
        <f t="shared" si="167"/>
        <v>2.2000000000000002</v>
      </c>
      <c r="AW311" s="1">
        <f t="shared" si="168"/>
        <v>4.9000000000000004</v>
      </c>
      <c r="AX311" s="1">
        <f t="shared" si="169"/>
        <v>-0.1</v>
      </c>
      <c r="AY311" s="1">
        <f t="shared" si="170"/>
        <v>77.5</v>
      </c>
      <c r="AZ311" s="1">
        <f t="shared" si="171"/>
        <v>44.5</v>
      </c>
      <c r="BA311" s="1">
        <f t="shared" si="156"/>
        <v>0.14500000000000002</v>
      </c>
      <c r="BB311" s="5">
        <f t="shared" si="157"/>
        <v>0</v>
      </c>
      <c r="BC311" s="1">
        <f t="shared" si="146"/>
        <v>-0.2</v>
      </c>
      <c r="BD311" s="1">
        <f t="shared" si="147"/>
        <v>0.2</v>
      </c>
      <c r="BE311" s="1">
        <f t="shared" si="148"/>
        <v>-1.7</v>
      </c>
      <c r="BF311" s="5">
        <f t="shared" si="172"/>
        <v>0</v>
      </c>
      <c r="BG311" s="5">
        <f t="shared" si="173"/>
        <v>1</v>
      </c>
      <c r="BH311" s="5">
        <f t="shared" si="174"/>
        <v>2.2999999999999998</v>
      </c>
      <c r="BI311" s="5" t="str">
        <f t="shared" si="161"/>
        <v>NAN</v>
      </c>
      <c r="BJ311" s="10">
        <f t="shared" si="162"/>
        <v>0.38500000000000001</v>
      </c>
      <c r="BK311" s="10">
        <f t="shared" si="163"/>
        <v>0.48</v>
      </c>
      <c r="BM311" s="1">
        <f t="shared" si="164"/>
        <v>-4.6790000000000003</v>
      </c>
      <c r="BN311" s="1">
        <f t="shared" si="165"/>
        <v>-1.581</v>
      </c>
    </row>
    <row r="312" spans="1:66" x14ac:dyDescent="0.2">
      <c r="A312" s="4">
        <f t="shared" si="166"/>
        <v>43772</v>
      </c>
      <c r="B312" s="1">
        <v>307</v>
      </c>
      <c r="C312" s="1">
        <v>12</v>
      </c>
      <c r="D312" s="5">
        <v>12.93</v>
      </c>
      <c r="E312" s="5">
        <v>2.1190000000000002</v>
      </c>
      <c r="F312" s="5">
        <v>-5.1999999999999998E-2</v>
      </c>
      <c r="G312" s="5">
        <v>0.60099999999999998</v>
      </c>
      <c r="H312" s="5">
        <v>86.5</v>
      </c>
      <c r="I312" s="5">
        <v>4.7E-2</v>
      </c>
      <c r="J312" s="5">
        <v>0.307</v>
      </c>
      <c r="K312" s="5">
        <v>3.5999999999999997E-2</v>
      </c>
      <c r="L312" s="5">
        <v>0.94799999999999995</v>
      </c>
      <c r="M312" s="5">
        <v>2.2080000000000002</v>
      </c>
      <c r="N312" s="5">
        <v>1.9810000000000001</v>
      </c>
      <c r="O312" s="5">
        <v>95.5</v>
      </c>
      <c r="P312" s="5">
        <v>0.13400000000000001</v>
      </c>
      <c r="Q312" s="5">
        <v>2.4</v>
      </c>
      <c r="R312" s="5">
        <v>0.108</v>
      </c>
      <c r="S312" s="5">
        <v>1.0329999999999999</v>
      </c>
      <c r="T312" s="5">
        <v>2.306</v>
      </c>
      <c r="U312" s="5">
        <v>-0.58799999999999997</v>
      </c>
      <c r="V312" s="5">
        <v>70.02</v>
      </c>
      <c r="W312" s="5">
        <v>-4.2999999999999997E-2</v>
      </c>
      <c r="X312" s="5">
        <v>-0.46300000000000002</v>
      </c>
      <c r="Y312" s="5">
        <v>-3.5999999999999997E-2</v>
      </c>
      <c r="Z312" s="5">
        <v>0.86099999999999999</v>
      </c>
      <c r="AA312" s="5">
        <v>2.12</v>
      </c>
      <c r="AB312" s="5">
        <v>2.1309999999999998</v>
      </c>
      <c r="AC312" s="5">
        <v>-0.16900000000000001</v>
      </c>
      <c r="AD312" s="5">
        <v>0.17599999999999999</v>
      </c>
      <c r="AE312" s="5">
        <v>-0.58099999999999996</v>
      </c>
      <c r="AF312" s="5">
        <v>2.1349999999999998</v>
      </c>
      <c r="AG312" s="5">
        <v>-0.60599999999999998</v>
      </c>
      <c r="AH312" s="5">
        <v>2.1280000000000001</v>
      </c>
      <c r="AI312" s="5" t="s">
        <v>99</v>
      </c>
      <c r="AK312" s="5">
        <f t="shared" si="176"/>
        <v>0.14400000000000013</v>
      </c>
      <c r="AL312" s="7">
        <f t="shared" si="177"/>
        <v>0</v>
      </c>
      <c r="AN312" s="1">
        <f t="shared" si="149"/>
        <v>95.5</v>
      </c>
      <c r="AO312" s="1">
        <f t="shared" si="150"/>
        <v>86.5</v>
      </c>
      <c r="AP312" s="1">
        <f t="shared" si="151"/>
        <v>70</v>
      </c>
      <c r="AQ312" s="17">
        <f t="shared" si="178"/>
        <v>0.49299999999999999</v>
      </c>
      <c r="AR312" s="22">
        <f t="shared" si="152"/>
        <v>0.21099999999999999</v>
      </c>
      <c r="AT312" s="19">
        <f t="shared" si="144"/>
        <v>43772</v>
      </c>
      <c r="AU312" s="20">
        <f t="shared" si="145"/>
        <v>307</v>
      </c>
      <c r="AV312" s="1">
        <f t="shared" si="167"/>
        <v>0.6</v>
      </c>
      <c r="AW312" s="1">
        <f t="shared" si="168"/>
        <v>2</v>
      </c>
      <c r="AX312" s="1">
        <f t="shared" si="169"/>
        <v>-0.6</v>
      </c>
      <c r="AY312" s="1">
        <f t="shared" si="170"/>
        <v>86.5</v>
      </c>
      <c r="AZ312" s="1">
        <f t="shared" si="171"/>
        <v>70</v>
      </c>
      <c r="BA312" s="1">
        <f t="shared" si="156"/>
        <v>0.14400000000000013</v>
      </c>
      <c r="BB312" s="5">
        <f t="shared" si="157"/>
        <v>0</v>
      </c>
      <c r="BC312" s="1">
        <f t="shared" si="146"/>
        <v>-0.2</v>
      </c>
      <c r="BD312" s="1">
        <f t="shared" si="147"/>
        <v>0.2</v>
      </c>
      <c r="BE312" s="1">
        <f t="shared" si="148"/>
        <v>-0.6</v>
      </c>
      <c r="BF312" s="5">
        <f t="shared" si="172"/>
        <v>0</v>
      </c>
      <c r="BG312" s="5">
        <f t="shared" si="173"/>
        <v>0.9</v>
      </c>
      <c r="BH312" s="5">
        <f t="shared" si="174"/>
        <v>2.2000000000000002</v>
      </c>
      <c r="BI312" s="5" t="str">
        <f t="shared" si="161"/>
        <v>NAN</v>
      </c>
      <c r="BJ312" s="10">
        <f t="shared" si="162"/>
        <v>0.49299999999999999</v>
      </c>
      <c r="BK312" s="10">
        <f t="shared" si="163"/>
        <v>0.21099999999999999</v>
      </c>
      <c r="BM312" s="1">
        <f t="shared" si="164"/>
        <v>-1.8050000000000002</v>
      </c>
      <c r="BN312" s="1">
        <f t="shared" si="165"/>
        <v>7.0000000000000062E-3</v>
      </c>
    </row>
    <row r="313" spans="1:66" x14ac:dyDescent="0.2">
      <c r="A313" s="4">
        <f t="shared" si="166"/>
        <v>43773</v>
      </c>
      <c r="B313" s="1">
        <v>308</v>
      </c>
      <c r="C313" s="1">
        <v>12</v>
      </c>
      <c r="D313" s="5">
        <v>13.05</v>
      </c>
      <c r="E313" s="5">
        <v>6.5469999999999997</v>
      </c>
      <c r="F313" s="5">
        <v>0.58499999999999996</v>
      </c>
      <c r="G313" s="5">
        <v>2.8929999999999998</v>
      </c>
      <c r="H313" s="5">
        <v>82.4</v>
      </c>
      <c r="I313" s="5">
        <v>6.2E-2</v>
      </c>
      <c r="J313" s="5">
        <v>1.623</v>
      </c>
      <c r="K313" s="5">
        <v>4.5999999999999999E-2</v>
      </c>
      <c r="L313" s="5">
        <v>0.93700000000000006</v>
      </c>
      <c r="M313" s="5">
        <v>2.1720000000000002</v>
      </c>
      <c r="N313" s="5">
        <v>6.4870000000000001</v>
      </c>
      <c r="O313" s="5">
        <v>97.2</v>
      </c>
      <c r="P313" s="5">
        <v>0.17599999999999999</v>
      </c>
      <c r="Q313" s="5">
        <v>5.0039999999999996</v>
      </c>
      <c r="R313" s="5">
        <v>0.16500000000000001</v>
      </c>
      <c r="S313" s="5">
        <v>1.024</v>
      </c>
      <c r="T313" s="5">
        <v>2.258</v>
      </c>
      <c r="U313" s="5">
        <v>0.79800000000000004</v>
      </c>
      <c r="V313" s="5">
        <v>62.21</v>
      </c>
      <c r="W313" s="5">
        <v>-0.06</v>
      </c>
      <c r="X313" s="5">
        <v>0.39200000000000002</v>
      </c>
      <c r="Y313" s="5">
        <v>-0.06</v>
      </c>
      <c r="Z313" s="5">
        <v>0.83499999999999996</v>
      </c>
      <c r="AA313" s="5">
        <v>2.0619999999999998</v>
      </c>
      <c r="AB313" s="5">
        <v>2.145</v>
      </c>
      <c r="AC313" s="5">
        <v>5.5E-2</v>
      </c>
      <c r="AD313" s="5">
        <v>0.54200000000000004</v>
      </c>
      <c r="AE313" s="5">
        <v>-0.185</v>
      </c>
      <c r="AF313" s="5">
        <v>6.0679999999999996</v>
      </c>
      <c r="AG313" s="5">
        <v>0.47299999999999998</v>
      </c>
      <c r="AH313" s="5">
        <v>2.1320000000000001</v>
      </c>
      <c r="AI313" s="5" t="s">
        <v>99</v>
      </c>
      <c r="AK313" s="5">
        <f t="shared" si="176"/>
        <v>0.12999999999999989</v>
      </c>
      <c r="AL313" s="7">
        <f t="shared" si="177"/>
        <v>0</v>
      </c>
      <c r="AN313" s="1">
        <f t="shared" si="149"/>
        <v>97.2</v>
      </c>
      <c r="AO313" s="1">
        <f t="shared" si="150"/>
        <v>82.4</v>
      </c>
      <c r="AP313" s="1">
        <f t="shared" si="151"/>
        <v>62.2</v>
      </c>
      <c r="AQ313" s="17">
        <f t="shared" si="178"/>
        <v>0.60099999999999998</v>
      </c>
      <c r="AR313" s="22">
        <f t="shared" si="152"/>
        <v>0.36499999999999999</v>
      </c>
      <c r="AT313" s="19">
        <f t="shared" si="144"/>
        <v>43773</v>
      </c>
      <c r="AU313" s="20">
        <f t="shared" si="145"/>
        <v>308</v>
      </c>
      <c r="AV313" s="1">
        <f t="shared" si="167"/>
        <v>2.9</v>
      </c>
      <c r="AW313" s="1">
        <f t="shared" si="168"/>
        <v>6.5</v>
      </c>
      <c r="AX313" s="1">
        <f t="shared" si="169"/>
        <v>0.8</v>
      </c>
      <c r="AY313" s="1">
        <f t="shared" si="170"/>
        <v>82.4</v>
      </c>
      <c r="AZ313" s="1">
        <f t="shared" si="171"/>
        <v>62.2</v>
      </c>
      <c r="BA313" s="1">
        <f t="shared" si="156"/>
        <v>0.12999999999999989</v>
      </c>
      <c r="BB313" s="5">
        <f t="shared" si="157"/>
        <v>0</v>
      </c>
      <c r="BC313" s="1">
        <f t="shared" si="146"/>
        <v>0.1</v>
      </c>
      <c r="BD313" s="1">
        <f t="shared" si="147"/>
        <v>0.5</v>
      </c>
      <c r="BE313" s="1">
        <f t="shared" si="148"/>
        <v>-0.2</v>
      </c>
      <c r="BF313" s="5">
        <f t="shared" si="172"/>
        <v>0</v>
      </c>
      <c r="BG313" s="5">
        <f t="shared" si="173"/>
        <v>0.9</v>
      </c>
      <c r="BH313" s="5">
        <f t="shared" si="174"/>
        <v>2.2000000000000002</v>
      </c>
      <c r="BI313" s="5" t="str">
        <f t="shared" si="161"/>
        <v>NAN</v>
      </c>
      <c r="BJ313" s="10">
        <f t="shared" si="162"/>
        <v>0.60099999999999998</v>
      </c>
      <c r="BK313" s="10">
        <f t="shared" si="163"/>
        <v>0.36499999999999999</v>
      </c>
      <c r="BM313" s="1">
        <f t="shared" si="164"/>
        <v>-5.9450000000000003</v>
      </c>
      <c r="BN313" s="1">
        <f t="shared" si="165"/>
        <v>-0.9830000000000001</v>
      </c>
    </row>
    <row r="314" spans="1:66" x14ac:dyDescent="0.2">
      <c r="A314" s="4">
        <f t="shared" si="166"/>
        <v>43774</v>
      </c>
      <c r="B314" s="1">
        <v>309</v>
      </c>
      <c r="C314" s="1">
        <v>12</v>
      </c>
      <c r="D314" s="5">
        <v>13.06</v>
      </c>
      <c r="E314" s="5">
        <v>4.3650000000000002</v>
      </c>
      <c r="F314" s="5">
        <v>-1.2250000000000001</v>
      </c>
      <c r="G314" s="5">
        <v>1.0469999999999999</v>
      </c>
      <c r="H314" s="5">
        <v>77.03</v>
      </c>
      <c r="I314" s="5">
        <v>6.2E-2</v>
      </c>
      <c r="J314" s="5">
        <v>0.37</v>
      </c>
      <c r="K314" s="5">
        <v>4.8000000000000001E-2</v>
      </c>
      <c r="L314" s="5">
        <v>0.90600000000000003</v>
      </c>
      <c r="M314" s="5">
        <v>2.1179999999999999</v>
      </c>
      <c r="N314" s="5">
        <v>3.6219999999999999</v>
      </c>
      <c r="O314" s="5">
        <v>92.2</v>
      </c>
      <c r="P314" s="5">
        <v>0.19900000000000001</v>
      </c>
      <c r="Q314" s="5">
        <v>4.8099999999999996</v>
      </c>
      <c r="R314" s="5">
        <v>0.129</v>
      </c>
      <c r="S314" s="5">
        <v>0.98599999999999999</v>
      </c>
      <c r="T314" s="5">
        <v>2.2229999999999999</v>
      </c>
      <c r="U314" s="5">
        <v>-2.1429999999999998</v>
      </c>
      <c r="V314" s="5">
        <v>60.02</v>
      </c>
      <c r="W314" s="5">
        <v>-0.123</v>
      </c>
      <c r="X314" s="5">
        <v>-2.149</v>
      </c>
      <c r="Y314" s="5">
        <v>-6.5000000000000002E-2</v>
      </c>
      <c r="Z314" s="5">
        <v>0.81799999999999995</v>
      </c>
      <c r="AA314" s="5">
        <v>2.004</v>
      </c>
      <c r="AB314" s="5">
        <v>2.1560000000000001</v>
      </c>
      <c r="AC314" s="5">
        <v>-0.64600000000000002</v>
      </c>
      <c r="AD314" s="5">
        <v>0.245</v>
      </c>
      <c r="AE314" s="5">
        <v>-2.0750000000000002</v>
      </c>
      <c r="AF314" s="5">
        <v>4.1820000000000004</v>
      </c>
      <c r="AG314" s="5">
        <v>-2.141</v>
      </c>
      <c r="AH314" s="5">
        <v>2.1640000000000001</v>
      </c>
      <c r="AI314" s="5" t="s">
        <v>99</v>
      </c>
      <c r="AK314" s="5">
        <f t="shared" si="176"/>
        <v>0.11899999999999977</v>
      </c>
      <c r="AL314" s="7">
        <f t="shared" si="177"/>
        <v>0</v>
      </c>
      <c r="AN314" s="1">
        <f t="shared" si="149"/>
        <v>92.2</v>
      </c>
      <c r="AO314" s="1">
        <f t="shared" si="150"/>
        <v>77</v>
      </c>
      <c r="AP314" s="1">
        <f t="shared" si="151"/>
        <v>60</v>
      </c>
      <c r="AQ314" s="17">
        <f t="shared" si="178"/>
        <v>0.47499999999999998</v>
      </c>
      <c r="AR314" s="22">
        <f t="shared" si="152"/>
        <v>0.317</v>
      </c>
      <c r="AT314" s="19">
        <f t="shared" si="144"/>
        <v>43774</v>
      </c>
      <c r="AU314" s="20">
        <f t="shared" si="145"/>
        <v>309</v>
      </c>
      <c r="AV314" s="1">
        <f t="shared" si="167"/>
        <v>1</v>
      </c>
      <c r="AW314" s="1">
        <f t="shared" si="168"/>
        <v>3.6</v>
      </c>
      <c r="AX314" s="1">
        <f t="shared" si="169"/>
        <v>-2.1</v>
      </c>
      <c r="AY314" s="1">
        <f t="shared" si="170"/>
        <v>77</v>
      </c>
      <c r="AZ314" s="1">
        <f t="shared" si="171"/>
        <v>60</v>
      </c>
      <c r="BA314" s="1">
        <f t="shared" si="156"/>
        <v>0.11899999999999977</v>
      </c>
      <c r="BB314" s="5">
        <f t="shared" si="157"/>
        <v>0</v>
      </c>
      <c r="BC314" s="1">
        <f t="shared" si="146"/>
        <v>-0.6</v>
      </c>
      <c r="BD314" s="1">
        <f t="shared" si="147"/>
        <v>0.2</v>
      </c>
      <c r="BE314" s="1">
        <f t="shared" si="148"/>
        <v>-2.1</v>
      </c>
      <c r="BF314" s="5">
        <f t="shared" si="172"/>
        <v>0</v>
      </c>
      <c r="BG314" s="5">
        <f t="shared" si="173"/>
        <v>0.9</v>
      </c>
      <c r="BH314" s="5">
        <f t="shared" si="174"/>
        <v>2.1</v>
      </c>
      <c r="BI314" s="5" t="str">
        <f t="shared" si="161"/>
        <v>NAN</v>
      </c>
      <c r="BJ314" s="10">
        <f t="shared" si="162"/>
        <v>0.47499999999999998</v>
      </c>
      <c r="BK314" s="10">
        <f t="shared" si="163"/>
        <v>0.317</v>
      </c>
      <c r="BM314" s="1">
        <f t="shared" si="164"/>
        <v>-3.3769999999999998</v>
      </c>
      <c r="BN314" s="1">
        <f t="shared" si="165"/>
        <v>6.7999999999999616E-2</v>
      </c>
    </row>
    <row r="315" spans="1:66" x14ac:dyDescent="0.2">
      <c r="A315" s="4">
        <f t="shared" si="166"/>
        <v>43775</v>
      </c>
      <c r="B315" s="1">
        <v>310</v>
      </c>
      <c r="C315" s="1">
        <v>12</v>
      </c>
      <c r="D315" s="5">
        <v>13.06</v>
      </c>
      <c r="E315" s="5">
        <v>2.2879999999999998</v>
      </c>
      <c r="F315" s="5">
        <v>-3.5790000000000002</v>
      </c>
      <c r="G315" s="5">
        <v>-2.2069999999999999</v>
      </c>
      <c r="H315" s="5">
        <v>77.819999999999993</v>
      </c>
      <c r="I315" s="5">
        <v>-0.66400000000000003</v>
      </c>
      <c r="J315" s="5">
        <v>-2.48</v>
      </c>
      <c r="K315" s="5">
        <v>2.5000000000000001E-2</v>
      </c>
      <c r="L315" s="5">
        <v>0.88500000000000001</v>
      </c>
      <c r="M315" s="5">
        <v>2.056</v>
      </c>
      <c r="N315" s="5">
        <v>1.913</v>
      </c>
      <c r="O315" s="5">
        <v>95.5</v>
      </c>
      <c r="P315" s="5">
        <v>0.10299999999999999</v>
      </c>
      <c r="Q315" s="5">
        <v>4.0549999999999997</v>
      </c>
      <c r="R315" s="5">
        <v>0.111</v>
      </c>
      <c r="S315" s="5">
        <v>0.96499999999999997</v>
      </c>
      <c r="T315" s="5">
        <v>2.1440000000000001</v>
      </c>
      <c r="U315" s="5">
        <v>-4.3040000000000003</v>
      </c>
      <c r="V315" s="5">
        <v>48.84</v>
      </c>
      <c r="W315" s="5">
        <v>-1.4370000000000001</v>
      </c>
      <c r="X315" s="5">
        <v>-4.1959999999999997</v>
      </c>
      <c r="Y315" s="5">
        <v>-8.4000000000000005E-2</v>
      </c>
      <c r="Z315" s="5">
        <v>0.76200000000000001</v>
      </c>
      <c r="AA315" s="5">
        <v>1.877</v>
      </c>
      <c r="AB315" s="5">
        <v>2.1629999999999998</v>
      </c>
      <c r="AC315" s="5">
        <v>-2.7970000000000002</v>
      </c>
      <c r="AD315" s="5">
        <v>-0.28000000000000003</v>
      </c>
      <c r="AE315" s="5">
        <v>-4.556</v>
      </c>
      <c r="AF315" s="5">
        <v>2.6549999999999998</v>
      </c>
      <c r="AG315" s="5">
        <v>-4.2450000000000001</v>
      </c>
      <c r="AH315" s="5">
        <v>2.1720000000000002</v>
      </c>
      <c r="AI315" s="5" t="s">
        <v>99</v>
      </c>
      <c r="AK315" s="5">
        <f t="shared" si="176"/>
        <v>0.1120000000000001</v>
      </c>
      <c r="AL315" s="7">
        <f t="shared" si="177"/>
        <v>0</v>
      </c>
      <c r="AN315" s="1">
        <f t="shared" si="149"/>
        <v>95.5</v>
      </c>
      <c r="AO315" s="1">
        <f t="shared" si="150"/>
        <v>77.8</v>
      </c>
      <c r="AP315" s="1">
        <f t="shared" si="151"/>
        <v>48.8</v>
      </c>
      <c r="AQ315" s="17">
        <f t="shared" si="178"/>
        <v>0.34200000000000003</v>
      </c>
      <c r="AR315" s="22">
        <f t="shared" si="152"/>
        <v>0.35899999999999999</v>
      </c>
      <c r="AT315" s="19">
        <f t="shared" si="144"/>
        <v>43775</v>
      </c>
      <c r="AU315" s="20">
        <f t="shared" si="145"/>
        <v>310</v>
      </c>
      <c r="AV315" s="1">
        <f t="shared" si="167"/>
        <v>-2.2000000000000002</v>
      </c>
      <c r="AW315" s="1">
        <f t="shared" si="168"/>
        <v>1.9</v>
      </c>
      <c r="AX315" s="1">
        <f t="shared" si="169"/>
        <v>-4.3</v>
      </c>
      <c r="AY315" s="1">
        <f t="shared" si="170"/>
        <v>77.8</v>
      </c>
      <c r="AZ315" s="1">
        <f t="shared" si="171"/>
        <v>48.8</v>
      </c>
      <c r="BA315" s="1">
        <f t="shared" si="156"/>
        <v>0.1120000000000001</v>
      </c>
      <c r="BB315" s="5">
        <f t="shared" si="157"/>
        <v>0</v>
      </c>
      <c r="BC315" s="1">
        <f t="shared" si="146"/>
        <v>-2.8</v>
      </c>
      <c r="BD315" s="1">
        <f t="shared" si="147"/>
        <v>-0.3</v>
      </c>
      <c r="BE315" s="1">
        <f t="shared" si="148"/>
        <v>-4.5999999999999996</v>
      </c>
      <c r="BF315" s="5">
        <f t="shared" si="172"/>
        <v>0</v>
      </c>
      <c r="BG315" s="5">
        <f t="shared" si="173"/>
        <v>0.9</v>
      </c>
      <c r="BH315" s="5">
        <f t="shared" si="174"/>
        <v>2.1</v>
      </c>
      <c r="BI315" s="5" t="str">
        <f t="shared" si="161"/>
        <v>NAN</v>
      </c>
      <c r="BJ315" s="10">
        <f t="shared" si="162"/>
        <v>0.34200000000000003</v>
      </c>
      <c r="BK315" s="10">
        <f t="shared" si="163"/>
        <v>0.35899999999999999</v>
      </c>
      <c r="BM315" s="1">
        <f t="shared" si="164"/>
        <v>-2.1930000000000001</v>
      </c>
      <c r="BN315" s="1">
        <f t="shared" si="165"/>
        <v>-0.25199999999999978</v>
      </c>
    </row>
    <row r="316" spans="1:66" x14ac:dyDescent="0.2">
      <c r="A316" s="4">
        <f t="shared" si="166"/>
        <v>43776</v>
      </c>
      <c r="B316" s="1">
        <v>311</v>
      </c>
      <c r="C316" s="1">
        <v>12</v>
      </c>
      <c r="D316" s="5">
        <v>13.04</v>
      </c>
      <c r="E316" s="5">
        <v>3.7210000000000001</v>
      </c>
      <c r="F316" s="5">
        <v>-3.15</v>
      </c>
      <c r="G316" s="5">
        <v>0.70899999999999996</v>
      </c>
      <c r="H316" s="5">
        <v>56.21</v>
      </c>
      <c r="I316" s="5">
        <v>-0.505</v>
      </c>
      <c r="J316" s="5">
        <v>-0.45800000000000002</v>
      </c>
      <c r="K316" s="5">
        <v>1E-3</v>
      </c>
      <c r="L316" s="5">
        <v>0.91</v>
      </c>
      <c r="M316" s="5">
        <v>2.0459999999999998</v>
      </c>
      <c r="N316" s="5">
        <v>3.7240000000000002</v>
      </c>
      <c r="O316" s="5">
        <v>81</v>
      </c>
      <c r="P316" s="5">
        <v>0.126</v>
      </c>
      <c r="Q316" s="5">
        <v>3.395</v>
      </c>
      <c r="R316" s="5">
        <v>0.126</v>
      </c>
      <c r="S316" s="5">
        <v>1.0069999999999999</v>
      </c>
      <c r="T316" s="5">
        <v>2.1379999999999999</v>
      </c>
      <c r="U316" s="5">
        <v>-2.8860000000000001</v>
      </c>
      <c r="V316" s="5">
        <v>38.86</v>
      </c>
      <c r="W316" s="5">
        <v>-1.3759999999999999</v>
      </c>
      <c r="X316" s="5">
        <v>-3.4620000000000002</v>
      </c>
      <c r="Y316" s="5">
        <v>-0.129</v>
      </c>
      <c r="Z316" s="5">
        <v>0.81899999999999995</v>
      </c>
      <c r="AA316" s="5">
        <v>1.9650000000000001</v>
      </c>
      <c r="AB316" s="5">
        <v>2.1579999999999999</v>
      </c>
      <c r="AC316" s="5">
        <v>-1.5980000000000001</v>
      </c>
      <c r="AD316" s="5">
        <v>6.2E-2</v>
      </c>
      <c r="AE316" s="5">
        <v>-4.0350000000000001</v>
      </c>
      <c r="AF316" s="5">
        <v>3.617</v>
      </c>
      <c r="AG316" s="5">
        <v>-3.194</v>
      </c>
      <c r="AH316" s="5">
        <v>2.1459999999999999</v>
      </c>
      <c r="AI316" s="5" t="s">
        <v>99</v>
      </c>
      <c r="AK316" s="5">
        <f t="shared" si="176"/>
        <v>0.11699999999999999</v>
      </c>
      <c r="AL316" s="7">
        <f t="shared" si="177"/>
        <v>0</v>
      </c>
      <c r="AN316" s="1">
        <f t="shared" si="149"/>
        <v>81</v>
      </c>
      <c r="AO316" s="1">
        <f t="shared" si="150"/>
        <v>56.2</v>
      </c>
      <c r="AP316" s="1">
        <f t="shared" si="151"/>
        <v>38.9</v>
      </c>
      <c r="AQ316" s="17">
        <f t="shared" si="178"/>
        <v>0.31</v>
      </c>
      <c r="AR316" s="22">
        <f t="shared" si="152"/>
        <v>0.48699999999999999</v>
      </c>
      <c r="AT316" s="19">
        <f t="shared" si="144"/>
        <v>43776</v>
      </c>
      <c r="AU316" s="20">
        <f t="shared" si="145"/>
        <v>311</v>
      </c>
      <c r="AV316" s="1">
        <f t="shared" si="167"/>
        <v>0.7</v>
      </c>
      <c r="AW316" s="1">
        <f t="shared" si="168"/>
        <v>3.7</v>
      </c>
      <c r="AX316" s="1">
        <f t="shared" si="169"/>
        <v>-2.9</v>
      </c>
      <c r="AY316" s="1">
        <f t="shared" si="170"/>
        <v>56.2</v>
      </c>
      <c r="AZ316" s="1">
        <f t="shared" si="171"/>
        <v>38.9</v>
      </c>
      <c r="BA316" s="1">
        <f t="shared" si="156"/>
        <v>0.11699999999999999</v>
      </c>
      <c r="BB316" s="5">
        <f t="shared" si="157"/>
        <v>0</v>
      </c>
      <c r="BC316" s="1">
        <f t="shared" si="146"/>
        <v>-1.6</v>
      </c>
      <c r="BD316" s="1">
        <f t="shared" si="147"/>
        <v>0.1</v>
      </c>
      <c r="BE316" s="1">
        <f t="shared" si="148"/>
        <v>-4</v>
      </c>
      <c r="BF316" s="5">
        <f t="shared" si="172"/>
        <v>0</v>
      </c>
      <c r="BG316" s="5">
        <f t="shared" si="173"/>
        <v>0.9</v>
      </c>
      <c r="BH316" s="5">
        <f t="shared" si="174"/>
        <v>2</v>
      </c>
      <c r="BI316" s="5" t="str">
        <f t="shared" si="161"/>
        <v>NAN</v>
      </c>
      <c r="BJ316" s="10">
        <f t="shared" si="162"/>
        <v>0.31</v>
      </c>
      <c r="BK316" s="10">
        <f t="shared" si="163"/>
        <v>0.48699999999999999</v>
      </c>
      <c r="BM316" s="1">
        <f t="shared" si="164"/>
        <v>-3.6620000000000004</v>
      </c>
      <c r="BN316" s="1">
        <f t="shared" si="165"/>
        <v>-1.149</v>
      </c>
    </row>
    <row r="317" spans="1:66" x14ac:dyDescent="0.2">
      <c r="A317" s="4">
        <f t="shared" si="166"/>
        <v>43777</v>
      </c>
      <c r="B317" s="1">
        <v>312</v>
      </c>
      <c r="C317" s="1">
        <v>12</v>
      </c>
      <c r="D317" s="5">
        <v>12.82</v>
      </c>
      <c r="E317" s="5">
        <v>5.4630000000000001</v>
      </c>
      <c r="F317" s="5">
        <v>1.4570000000000001</v>
      </c>
      <c r="G317" s="5">
        <v>4.8789999999999996</v>
      </c>
      <c r="H317" s="5">
        <v>56.43</v>
      </c>
      <c r="I317" s="5">
        <v>6.9000000000000006E-2</v>
      </c>
      <c r="J317" s="5">
        <v>2.714</v>
      </c>
      <c r="K317" s="5">
        <v>8.1000000000000003E-2</v>
      </c>
      <c r="L317" s="5">
        <v>0.93300000000000005</v>
      </c>
      <c r="M317" s="5">
        <v>2.0550000000000002</v>
      </c>
      <c r="N317" s="5">
        <v>7.2720000000000002</v>
      </c>
      <c r="O317" s="5">
        <v>67.489999999999995</v>
      </c>
      <c r="P317" s="5">
        <v>0.17599999999999999</v>
      </c>
      <c r="Q317" s="5">
        <v>4.5709999999999997</v>
      </c>
      <c r="R317" s="5">
        <v>0.16300000000000001</v>
      </c>
      <c r="S317" s="5">
        <v>1.0169999999999999</v>
      </c>
      <c r="T317" s="5">
        <v>2.1480000000000001</v>
      </c>
      <c r="U317" s="5">
        <v>2.8180000000000001</v>
      </c>
      <c r="V317" s="5">
        <v>38.22</v>
      </c>
      <c r="W317" s="5">
        <v>-4.2999999999999997E-2</v>
      </c>
      <c r="X317" s="5">
        <v>1.1140000000000001</v>
      </c>
      <c r="Y317" s="5">
        <v>-0.02</v>
      </c>
      <c r="Z317" s="5">
        <v>0.82699999999999996</v>
      </c>
      <c r="AA317" s="5">
        <v>1.97</v>
      </c>
      <c r="AB317" s="5">
        <v>2.1749999999999998</v>
      </c>
      <c r="AC317" s="5">
        <v>6.9000000000000006E-2</v>
      </c>
      <c r="AD317" s="5">
        <v>0.36899999999999999</v>
      </c>
      <c r="AE317" s="5">
        <v>-0.16400000000000001</v>
      </c>
      <c r="AF317" s="5">
        <v>6.5919999999999996</v>
      </c>
      <c r="AG317" s="5">
        <v>1.7769999999999999</v>
      </c>
      <c r="AH317" s="5">
        <v>2.1629999999999998</v>
      </c>
      <c r="AI317" s="5" t="s">
        <v>99</v>
      </c>
      <c r="AK317" s="5">
        <f t="shared" si="176"/>
        <v>0.10000000000000009</v>
      </c>
      <c r="AL317" s="7">
        <f t="shared" si="177"/>
        <v>0.1</v>
      </c>
      <c r="AN317" s="1">
        <f t="shared" si="149"/>
        <v>67.5</v>
      </c>
      <c r="AO317" s="1">
        <f t="shared" si="150"/>
        <v>56.4</v>
      </c>
      <c r="AP317" s="1">
        <f t="shared" si="151"/>
        <v>38.200000000000003</v>
      </c>
      <c r="AQ317" s="17">
        <f t="shared" si="178"/>
        <v>0.39</v>
      </c>
      <c r="AR317" s="22">
        <f t="shared" si="152"/>
        <v>0.63100000000000001</v>
      </c>
      <c r="AT317" s="19">
        <f t="shared" si="144"/>
        <v>43777</v>
      </c>
      <c r="AU317" s="20">
        <f t="shared" si="145"/>
        <v>312</v>
      </c>
      <c r="AV317" s="1">
        <f t="shared" si="167"/>
        <v>4.9000000000000004</v>
      </c>
      <c r="AW317" s="1">
        <f t="shared" si="168"/>
        <v>7.3</v>
      </c>
      <c r="AX317" s="1">
        <f t="shared" si="169"/>
        <v>2.8</v>
      </c>
      <c r="AY317" s="1">
        <f t="shared" si="170"/>
        <v>56.4</v>
      </c>
      <c r="AZ317" s="1">
        <f t="shared" si="171"/>
        <v>38.200000000000003</v>
      </c>
      <c r="BA317" s="1">
        <f t="shared" si="156"/>
        <v>0.10000000000000009</v>
      </c>
      <c r="BB317" s="5">
        <f t="shared" si="157"/>
        <v>0.1</v>
      </c>
      <c r="BC317" s="1">
        <f t="shared" si="146"/>
        <v>0.1</v>
      </c>
      <c r="BD317" s="1">
        <f t="shared" si="147"/>
        <v>0.4</v>
      </c>
      <c r="BE317" s="1">
        <f t="shared" si="148"/>
        <v>-0.2</v>
      </c>
      <c r="BF317" s="5">
        <f t="shared" si="172"/>
        <v>0.1</v>
      </c>
      <c r="BG317" s="5">
        <f t="shared" si="173"/>
        <v>0.9</v>
      </c>
      <c r="BH317" s="5">
        <f t="shared" si="174"/>
        <v>2.1</v>
      </c>
      <c r="BI317" s="5" t="str">
        <f t="shared" si="161"/>
        <v>NAN</v>
      </c>
      <c r="BJ317" s="10">
        <f t="shared" si="162"/>
        <v>0.39</v>
      </c>
      <c r="BK317" s="10">
        <f t="shared" si="163"/>
        <v>0.63100000000000001</v>
      </c>
      <c r="BM317" s="1">
        <f t="shared" si="164"/>
        <v>-6.9030000000000005</v>
      </c>
      <c r="BN317" s="1">
        <f t="shared" si="165"/>
        <v>-2.9820000000000002</v>
      </c>
    </row>
    <row r="318" spans="1:66" x14ac:dyDescent="0.2">
      <c r="A318" s="4">
        <f t="shared" si="166"/>
        <v>43778</v>
      </c>
      <c r="B318" s="1">
        <v>313</v>
      </c>
      <c r="C318" s="1">
        <v>12</v>
      </c>
      <c r="D318" s="5">
        <v>12.81</v>
      </c>
      <c r="E318" s="5">
        <v>3.42</v>
      </c>
      <c r="F318" s="5">
        <v>0.52200000000000002</v>
      </c>
      <c r="G318" s="5">
        <v>1.3640000000000001</v>
      </c>
      <c r="H318" s="5">
        <v>84.1</v>
      </c>
      <c r="I318" s="5">
        <v>7.6999999999999999E-2</v>
      </c>
      <c r="J318" s="5">
        <v>0.85599999999999998</v>
      </c>
      <c r="K318" s="5">
        <v>9.1999999999999998E-2</v>
      </c>
      <c r="L318" s="5">
        <v>0.90200000000000002</v>
      </c>
      <c r="M318" s="5">
        <v>2.0110000000000001</v>
      </c>
      <c r="N318" s="5">
        <v>3.4529999999999998</v>
      </c>
      <c r="O318" s="5">
        <v>95.7</v>
      </c>
      <c r="P318" s="5">
        <v>0.16200000000000001</v>
      </c>
      <c r="Q318" s="5">
        <v>2.0779999999999998</v>
      </c>
      <c r="R318" s="5">
        <v>0.16700000000000001</v>
      </c>
      <c r="S318" s="5">
        <v>0.98</v>
      </c>
      <c r="T318" s="5">
        <v>2.1080000000000001</v>
      </c>
      <c r="U318" s="5">
        <v>-0.29299999999999998</v>
      </c>
      <c r="V318" s="5">
        <v>47.31</v>
      </c>
      <c r="W318" s="5">
        <v>-8.9999999999999993E-3</v>
      </c>
      <c r="X318" s="5">
        <v>-0.30599999999999999</v>
      </c>
      <c r="Y318" s="5">
        <v>5.0000000000000001E-3</v>
      </c>
      <c r="Z318" s="5">
        <v>0.81399999999999995</v>
      </c>
      <c r="AA318" s="5">
        <v>1.9219999999999999</v>
      </c>
      <c r="AB318" s="5">
        <v>2.1789999999999998</v>
      </c>
      <c r="AC318" s="5">
        <v>-7.8E-2</v>
      </c>
      <c r="AD318" s="5">
        <v>0.152</v>
      </c>
      <c r="AE318" s="5">
        <v>-0.40100000000000002</v>
      </c>
      <c r="AF318" s="5">
        <v>2.891</v>
      </c>
      <c r="AG318" s="5">
        <v>-0.26700000000000002</v>
      </c>
      <c r="AH318" s="5">
        <v>2.177</v>
      </c>
      <c r="AI318" s="5" t="s">
        <v>99</v>
      </c>
      <c r="AK318" s="5">
        <f t="shared" si="176"/>
        <v>9.6000000000000085E-2</v>
      </c>
      <c r="AL318" s="7">
        <f t="shared" ref="AL318:AL340" si="179">ROUND(K318,1)</f>
        <v>0.1</v>
      </c>
      <c r="AN318" s="1">
        <f t="shared" si="149"/>
        <v>95.7</v>
      </c>
      <c r="AO318" s="1">
        <f t="shared" si="150"/>
        <v>84.1</v>
      </c>
      <c r="AP318" s="1">
        <f t="shared" si="151"/>
        <v>47.3</v>
      </c>
      <c r="AQ318" s="17">
        <f t="shared" si="178"/>
        <v>0.37</v>
      </c>
      <c r="AR318" s="22">
        <f t="shared" si="152"/>
        <v>0.41199999999999998</v>
      </c>
      <c r="AT318" s="19">
        <f t="shared" si="144"/>
        <v>43778</v>
      </c>
      <c r="AU318" s="20">
        <f t="shared" si="145"/>
        <v>313</v>
      </c>
      <c r="AV318" s="1">
        <f t="shared" si="167"/>
        <v>1.4</v>
      </c>
      <c r="AW318" s="1">
        <f t="shared" si="168"/>
        <v>3.5</v>
      </c>
      <c r="AX318" s="1">
        <f t="shared" si="169"/>
        <v>-0.3</v>
      </c>
      <c r="AY318" s="1">
        <f t="shared" si="170"/>
        <v>84.1</v>
      </c>
      <c r="AZ318" s="1">
        <f t="shared" si="171"/>
        <v>47.3</v>
      </c>
      <c r="BA318" s="1">
        <f t="shared" si="156"/>
        <v>9.6000000000000085E-2</v>
      </c>
      <c r="BB318" s="5">
        <f t="shared" si="157"/>
        <v>0.1</v>
      </c>
      <c r="BC318" s="1">
        <f t="shared" si="146"/>
        <v>-0.1</v>
      </c>
      <c r="BD318" s="1">
        <f t="shared" si="147"/>
        <v>0.2</v>
      </c>
      <c r="BE318" s="1">
        <f t="shared" si="148"/>
        <v>-0.4</v>
      </c>
      <c r="BF318" s="5">
        <f t="shared" si="172"/>
        <v>0.1</v>
      </c>
      <c r="BG318" s="5">
        <f t="shared" si="173"/>
        <v>0.9</v>
      </c>
      <c r="BH318" s="5">
        <f t="shared" si="174"/>
        <v>2</v>
      </c>
      <c r="BI318" s="5" t="str">
        <f t="shared" si="161"/>
        <v>NAN</v>
      </c>
      <c r="BJ318" s="10">
        <f t="shared" si="162"/>
        <v>0.37</v>
      </c>
      <c r="BK318" s="10">
        <f t="shared" si="163"/>
        <v>0.41199999999999998</v>
      </c>
      <c r="BM318" s="1">
        <f t="shared" si="164"/>
        <v>-3.3009999999999997</v>
      </c>
      <c r="BN318" s="1">
        <f t="shared" si="165"/>
        <v>-0.10800000000000004</v>
      </c>
    </row>
    <row r="319" spans="1:66" x14ac:dyDescent="0.2">
      <c r="A319" s="4">
        <f t="shared" si="166"/>
        <v>43779</v>
      </c>
      <c r="B319" s="1">
        <v>314</v>
      </c>
      <c r="C319" s="1">
        <v>12</v>
      </c>
      <c r="D319" s="5">
        <v>12.88</v>
      </c>
      <c r="E319" s="5">
        <v>0.52200000000000002</v>
      </c>
      <c r="F319" s="5">
        <v>-6.5540000000000003</v>
      </c>
      <c r="G319" s="5">
        <v>-2.7850000000000001</v>
      </c>
      <c r="H319" s="5">
        <v>89.8</v>
      </c>
      <c r="I319" s="5">
        <v>-0.70799999999999996</v>
      </c>
      <c r="J319" s="5">
        <v>-2.7090000000000001</v>
      </c>
      <c r="K319" s="5">
        <v>7.0999999999999994E-2</v>
      </c>
      <c r="L319" s="5">
        <v>0.876</v>
      </c>
      <c r="M319" s="5">
        <v>1.9570000000000001</v>
      </c>
      <c r="N319" s="5">
        <v>0.56100000000000005</v>
      </c>
      <c r="O319" s="5">
        <v>96.5</v>
      </c>
      <c r="P319" s="5">
        <v>0.13400000000000001</v>
      </c>
      <c r="Q319" s="5">
        <v>0.32900000000000001</v>
      </c>
      <c r="R319" s="5">
        <v>0.157</v>
      </c>
      <c r="S319" s="5">
        <v>0.96599999999999997</v>
      </c>
      <c r="T319" s="5">
        <v>2.0430000000000001</v>
      </c>
      <c r="U319" s="5">
        <v>-7.1680000000000001</v>
      </c>
      <c r="V319" s="5">
        <v>74.150000000000006</v>
      </c>
      <c r="W319" s="5">
        <v>-2.5920000000000001</v>
      </c>
      <c r="X319" s="5">
        <v>-7.2220000000000004</v>
      </c>
      <c r="Y319" s="5">
        <v>-6.2E-2</v>
      </c>
      <c r="Z319" s="5">
        <v>0.79700000000000004</v>
      </c>
      <c r="AA319" s="5">
        <v>1.8680000000000001</v>
      </c>
      <c r="AB319" s="5">
        <v>2.1789999999999998</v>
      </c>
      <c r="AC319" s="5">
        <v>-2.3050000000000002</v>
      </c>
      <c r="AD319" s="5">
        <v>-8.6999999999999994E-2</v>
      </c>
      <c r="AE319" s="5">
        <v>-6.1189999999999998</v>
      </c>
      <c r="AF319" s="5">
        <v>0.25800000000000001</v>
      </c>
      <c r="AG319" s="5">
        <v>-7.234</v>
      </c>
      <c r="AH319" s="5">
        <v>2.2029999999999998</v>
      </c>
      <c r="AI319" s="5" t="s">
        <v>99</v>
      </c>
      <c r="AK319" s="5">
        <f t="shared" si="176"/>
        <v>9.6000000000000085E-2</v>
      </c>
      <c r="AL319" s="7">
        <f t="shared" si="179"/>
        <v>0.1</v>
      </c>
      <c r="AN319" s="1">
        <f t="shared" si="149"/>
        <v>96.5</v>
      </c>
      <c r="AO319" s="1">
        <f t="shared" si="150"/>
        <v>89.8</v>
      </c>
      <c r="AP319" s="1">
        <f t="shared" si="151"/>
        <v>74.2</v>
      </c>
      <c r="AQ319" s="17">
        <f t="shared" si="178"/>
        <v>0.47199999999999998</v>
      </c>
      <c r="AR319" s="22">
        <f t="shared" si="152"/>
        <v>0.16400000000000001</v>
      </c>
      <c r="AT319" s="19">
        <f t="shared" si="144"/>
        <v>43779</v>
      </c>
      <c r="AU319" s="20">
        <f t="shared" si="145"/>
        <v>314</v>
      </c>
      <c r="AV319" s="1">
        <f t="shared" si="167"/>
        <v>-2.8</v>
      </c>
      <c r="AW319" s="1">
        <f t="shared" si="168"/>
        <v>0.6</v>
      </c>
      <c r="AX319" s="1">
        <f t="shared" si="169"/>
        <v>-7.2</v>
      </c>
      <c r="AY319" s="1">
        <f t="shared" si="170"/>
        <v>89.8</v>
      </c>
      <c r="AZ319" s="1">
        <f t="shared" si="171"/>
        <v>74.2</v>
      </c>
      <c r="BA319" s="1">
        <f t="shared" si="156"/>
        <v>9.6000000000000085E-2</v>
      </c>
      <c r="BB319" s="5">
        <f t="shared" si="157"/>
        <v>0.1</v>
      </c>
      <c r="BC319" s="1">
        <f t="shared" si="146"/>
        <v>-2.2999999999999998</v>
      </c>
      <c r="BD319" s="1">
        <f t="shared" si="147"/>
        <v>-0.1</v>
      </c>
      <c r="BE319" s="1">
        <f t="shared" si="148"/>
        <v>-6.1</v>
      </c>
      <c r="BF319" s="5">
        <f t="shared" si="172"/>
        <v>0.1</v>
      </c>
      <c r="BG319" s="5">
        <f t="shared" si="173"/>
        <v>0.9</v>
      </c>
      <c r="BH319" s="5">
        <f t="shared" si="174"/>
        <v>2</v>
      </c>
      <c r="BI319" s="5" t="str">
        <f t="shared" si="161"/>
        <v>NAN</v>
      </c>
      <c r="BJ319" s="10">
        <f t="shared" si="162"/>
        <v>0.47199999999999998</v>
      </c>
      <c r="BK319" s="10">
        <f t="shared" si="163"/>
        <v>0.16400000000000001</v>
      </c>
      <c r="BM319" s="1">
        <f t="shared" si="164"/>
        <v>-0.64800000000000002</v>
      </c>
      <c r="BN319" s="1">
        <f t="shared" si="165"/>
        <v>1.0490000000000004</v>
      </c>
    </row>
    <row r="320" spans="1:66" x14ac:dyDescent="0.2">
      <c r="A320" s="4">
        <f t="shared" si="166"/>
        <v>43780</v>
      </c>
      <c r="B320" s="1">
        <v>315</v>
      </c>
      <c r="C320" s="1">
        <v>12</v>
      </c>
      <c r="D320" s="5">
        <v>12.95</v>
      </c>
      <c r="E320" s="5">
        <v>-0.88400000000000001</v>
      </c>
      <c r="F320" s="5">
        <v>-6.5540000000000003</v>
      </c>
      <c r="G320" s="5">
        <v>-3.3660000000000001</v>
      </c>
      <c r="H320" s="5">
        <v>75.2</v>
      </c>
      <c r="I320" s="5">
        <v>-1.367</v>
      </c>
      <c r="J320" s="5">
        <v>-3.4649999999999999</v>
      </c>
      <c r="K320" s="5">
        <v>-7.6999999999999999E-2</v>
      </c>
      <c r="L320" s="5">
        <v>0.85699999999999998</v>
      </c>
      <c r="M320" s="5">
        <v>1.921</v>
      </c>
      <c r="N320" s="5">
        <v>-0.183</v>
      </c>
      <c r="O320" s="5">
        <v>84.8</v>
      </c>
      <c r="P320" s="5">
        <v>-0.111</v>
      </c>
      <c r="Q320" s="5">
        <v>-0.39200000000000002</v>
      </c>
      <c r="R320" s="5">
        <v>3.9E-2</v>
      </c>
      <c r="S320" s="5">
        <v>0.93899999999999995</v>
      </c>
      <c r="T320" s="5">
        <v>1.9970000000000001</v>
      </c>
      <c r="U320" s="5">
        <v>-6.0190000000000001</v>
      </c>
      <c r="V320" s="5">
        <v>62.15</v>
      </c>
      <c r="W320" s="5">
        <v>-2.5030000000000001</v>
      </c>
      <c r="X320" s="5">
        <v>-6.3209999999999997</v>
      </c>
      <c r="Y320" s="5">
        <v>-0.183</v>
      </c>
      <c r="Z320" s="5">
        <v>0.76400000000000001</v>
      </c>
      <c r="AA320" s="5">
        <v>1.829</v>
      </c>
      <c r="AB320" s="5">
        <v>2.1779999999999999</v>
      </c>
      <c r="AC320" s="5">
        <v>-3.3420000000000001</v>
      </c>
      <c r="AD320" s="5">
        <v>-0.96</v>
      </c>
      <c r="AE320" s="5">
        <v>-5.6609999999999996</v>
      </c>
      <c r="AF320" s="5">
        <v>-0.35699999999999998</v>
      </c>
      <c r="AG320" s="5">
        <v>-6.4279999999999999</v>
      </c>
      <c r="AH320" s="5">
        <v>2.1800000000000002</v>
      </c>
      <c r="AI320" s="5" t="s">
        <v>99</v>
      </c>
      <c r="AK320" s="5">
        <f t="shared" si="176"/>
        <v>9.6999999999999975E-2</v>
      </c>
      <c r="AL320" s="7">
        <f t="shared" si="179"/>
        <v>-0.1</v>
      </c>
      <c r="AN320" s="1">
        <f t="shared" si="149"/>
        <v>84.8</v>
      </c>
      <c r="AO320" s="1">
        <f t="shared" si="150"/>
        <v>75.2</v>
      </c>
      <c r="AP320" s="1">
        <f t="shared" si="151"/>
        <v>62.2</v>
      </c>
      <c r="AQ320" s="17">
        <f t="shared" si="178"/>
        <v>0.375</v>
      </c>
      <c r="AR320" s="22">
        <f t="shared" si="152"/>
        <v>0.22800000000000001</v>
      </c>
      <c r="AT320" s="19">
        <f t="shared" si="144"/>
        <v>43780</v>
      </c>
      <c r="AU320" s="20">
        <f t="shared" si="145"/>
        <v>315</v>
      </c>
      <c r="AV320" s="1">
        <f t="shared" si="167"/>
        <v>-3.4</v>
      </c>
      <c r="AW320" s="1">
        <f t="shared" si="168"/>
        <v>-0.2</v>
      </c>
      <c r="AX320" s="1">
        <f t="shared" si="169"/>
        <v>-6</v>
      </c>
      <c r="AY320" s="1">
        <f t="shared" si="170"/>
        <v>75.2</v>
      </c>
      <c r="AZ320" s="1">
        <f t="shared" si="171"/>
        <v>62.2</v>
      </c>
      <c r="BA320" s="1">
        <f t="shared" si="156"/>
        <v>9.6999999999999975E-2</v>
      </c>
      <c r="BB320" s="5">
        <f t="shared" si="157"/>
        <v>-0.1</v>
      </c>
      <c r="BC320" s="1">
        <f t="shared" si="146"/>
        <v>-3.3</v>
      </c>
      <c r="BD320" s="1">
        <f t="shared" si="147"/>
        <v>-1</v>
      </c>
      <c r="BE320" s="1">
        <f t="shared" si="148"/>
        <v>-5.7</v>
      </c>
      <c r="BF320" s="5">
        <f t="shared" si="172"/>
        <v>-0.1</v>
      </c>
      <c r="BG320" s="5">
        <f t="shared" si="173"/>
        <v>0.9</v>
      </c>
      <c r="BH320" s="5">
        <f t="shared" si="174"/>
        <v>1.9</v>
      </c>
      <c r="BI320" s="5" t="str">
        <f t="shared" si="161"/>
        <v>NAN</v>
      </c>
      <c r="BJ320" s="10">
        <f t="shared" si="162"/>
        <v>0.375</v>
      </c>
      <c r="BK320" s="10">
        <f t="shared" si="163"/>
        <v>0.22800000000000001</v>
      </c>
      <c r="BM320" s="1">
        <f t="shared" si="164"/>
        <v>-0.77699999999999991</v>
      </c>
      <c r="BN320" s="1">
        <f t="shared" si="165"/>
        <v>0.35800000000000054</v>
      </c>
    </row>
    <row r="321" spans="1:66" x14ac:dyDescent="0.2">
      <c r="A321" s="4">
        <f t="shared" si="166"/>
        <v>43781</v>
      </c>
      <c r="B321" s="1">
        <v>316</v>
      </c>
      <c r="C321" s="1">
        <v>12</v>
      </c>
      <c r="D321" s="5">
        <v>12.8</v>
      </c>
      <c r="E321" s="5">
        <v>-0.86099999999999999</v>
      </c>
      <c r="F321" s="5">
        <v>-2.698</v>
      </c>
      <c r="G321" s="5">
        <v>-1.77</v>
      </c>
      <c r="H321" s="5">
        <v>93.4</v>
      </c>
      <c r="I321" s="5">
        <v>-0.28199999999999997</v>
      </c>
      <c r="J321" s="5">
        <v>-1.8420000000000001</v>
      </c>
      <c r="K321" s="5">
        <v>-2.7E-2</v>
      </c>
      <c r="L321" s="5">
        <v>0.83299999999999996</v>
      </c>
      <c r="M321" s="5">
        <v>1.903</v>
      </c>
      <c r="N321" s="5">
        <v>-0.115</v>
      </c>
      <c r="O321" s="5">
        <v>96.3</v>
      </c>
      <c r="P321" s="5">
        <v>-4.5999999999999999E-2</v>
      </c>
      <c r="Q321" s="5">
        <v>-0.48199999999999998</v>
      </c>
      <c r="R321" s="5">
        <v>7.2999999999999995E-2</v>
      </c>
      <c r="S321" s="5">
        <v>0.93200000000000005</v>
      </c>
      <c r="T321" s="5">
        <v>1.998</v>
      </c>
      <c r="U321" s="5">
        <v>-3.427</v>
      </c>
      <c r="V321" s="5">
        <v>64.12</v>
      </c>
      <c r="W321" s="5">
        <v>-0.63</v>
      </c>
      <c r="X321" s="5">
        <v>-3.4079999999999999</v>
      </c>
      <c r="Y321" s="5">
        <v>-0.112</v>
      </c>
      <c r="Z321" s="5">
        <v>0.753</v>
      </c>
      <c r="AA321" s="5">
        <v>1.82</v>
      </c>
      <c r="AB321" s="5">
        <v>2.1349999999999998</v>
      </c>
      <c r="AC321" s="5">
        <v>-1.871</v>
      </c>
      <c r="AD321" s="5">
        <v>-0.59</v>
      </c>
      <c r="AE321" s="5">
        <v>-3.2290000000000001</v>
      </c>
      <c r="AF321" s="5">
        <v>-0.65400000000000003</v>
      </c>
      <c r="AG321" s="5">
        <v>-3.4009999999999998</v>
      </c>
      <c r="AH321" s="5">
        <v>2.14</v>
      </c>
      <c r="AI321" s="5" t="s">
        <v>99</v>
      </c>
      <c r="AK321" s="5">
        <f t="shared" si="176"/>
        <v>0.14000000000000012</v>
      </c>
      <c r="AL321" s="7">
        <f t="shared" si="179"/>
        <v>0</v>
      </c>
      <c r="AN321" s="1">
        <f t="shared" si="149"/>
        <v>96.3</v>
      </c>
      <c r="AO321" s="1">
        <f t="shared" si="150"/>
        <v>93.4</v>
      </c>
      <c r="AP321" s="1">
        <f t="shared" si="151"/>
        <v>64.099999999999994</v>
      </c>
      <c r="AQ321" s="17">
        <f t="shared" si="178"/>
        <v>0.38800000000000001</v>
      </c>
      <c r="AR321" s="22">
        <f t="shared" si="152"/>
        <v>0.217</v>
      </c>
      <c r="AT321" s="19">
        <f t="shared" si="144"/>
        <v>43781</v>
      </c>
      <c r="AU321" s="20">
        <f t="shared" si="145"/>
        <v>316</v>
      </c>
      <c r="AV321" s="1">
        <f t="shared" si="167"/>
        <v>-1.8</v>
      </c>
      <c r="AW321" s="1">
        <f t="shared" si="168"/>
        <v>-0.1</v>
      </c>
      <c r="AX321" s="1">
        <f t="shared" si="169"/>
        <v>-3.4</v>
      </c>
      <c r="AY321" s="1">
        <f t="shared" si="170"/>
        <v>93.4</v>
      </c>
      <c r="AZ321" s="1">
        <f t="shared" si="171"/>
        <v>64.099999999999994</v>
      </c>
      <c r="BA321" s="1">
        <f t="shared" si="156"/>
        <v>0.14000000000000012</v>
      </c>
      <c r="BB321" s="5">
        <f t="shared" si="157"/>
        <v>0</v>
      </c>
      <c r="BC321" s="1">
        <f t="shared" si="146"/>
        <v>-1.9</v>
      </c>
      <c r="BD321" s="1">
        <f t="shared" si="147"/>
        <v>-0.6</v>
      </c>
      <c r="BE321" s="1">
        <f t="shared" si="148"/>
        <v>-3.2</v>
      </c>
      <c r="BF321" s="5">
        <f t="shared" si="172"/>
        <v>0</v>
      </c>
      <c r="BG321" s="5">
        <f t="shared" si="173"/>
        <v>0.8</v>
      </c>
      <c r="BH321" s="5">
        <f t="shared" si="174"/>
        <v>1.9</v>
      </c>
      <c r="BI321" s="5" t="str">
        <f t="shared" si="161"/>
        <v>NAN</v>
      </c>
      <c r="BJ321" s="10">
        <f t="shared" si="162"/>
        <v>0.38800000000000001</v>
      </c>
      <c r="BK321" s="10">
        <f t="shared" si="163"/>
        <v>0.217</v>
      </c>
      <c r="BM321" s="1">
        <f t="shared" si="164"/>
        <v>-0.47499999999999998</v>
      </c>
      <c r="BN321" s="1">
        <f t="shared" si="165"/>
        <v>0.19799999999999995</v>
      </c>
    </row>
    <row r="322" spans="1:66" x14ac:dyDescent="0.2">
      <c r="A322" s="4">
        <f t="shared" si="166"/>
        <v>43782</v>
      </c>
      <c r="B322" s="1">
        <v>317</v>
      </c>
      <c r="C322" s="1">
        <v>12</v>
      </c>
      <c r="D322" s="5">
        <v>13.03</v>
      </c>
      <c r="E322" s="5">
        <v>1.33</v>
      </c>
      <c r="F322" s="5">
        <v>-2.3570000000000002</v>
      </c>
      <c r="G322" s="5">
        <v>-1.4059999999999999</v>
      </c>
      <c r="H322" s="5">
        <v>93.6</v>
      </c>
      <c r="I322" s="5">
        <v>-0.17499999999999999</v>
      </c>
      <c r="J322" s="5">
        <v>-1.663</v>
      </c>
      <c r="K322" s="5">
        <v>8.9999999999999993E-3</v>
      </c>
      <c r="L322" s="5">
        <v>0.82599999999999996</v>
      </c>
      <c r="M322" s="5">
        <v>1.88</v>
      </c>
      <c r="N322" s="5">
        <v>1.474</v>
      </c>
      <c r="O322" s="5">
        <v>95.6</v>
      </c>
      <c r="P322" s="5">
        <v>0.12</v>
      </c>
      <c r="Q322" s="5">
        <v>3.4529999999999998</v>
      </c>
      <c r="R322" s="5">
        <v>0.106</v>
      </c>
      <c r="S322" s="5">
        <v>0.92300000000000004</v>
      </c>
      <c r="T322" s="5">
        <v>1.988</v>
      </c>
      <c r="U322" s="5">
        <v>-2.65</v>
      </c>
      <c r="V322" s="5">
        <v>85.5</v>
      </c>
      <c r="W322" s="5">
        <v>-0.52300000000000002</v>
      </c>
      <c r="X322" s="5">
        <v>-3.048</v>
      </c>
      <c r="Y322" s="5">
        <v>-8.7999999999999995E-2</v>
      </c>
      <c r="Z322" s="5">
        <v>0.73599999999999999</v>
      </c>
      <c r="AA322" s="5">
        <v>1.7829999999999999</v>
      </c>
      <c r="AB322" s="5">
        <v>2.1389999999999998</v>
      </c>
      <c r="AC322" s="5">
        <v>-2.1539999999999999</v>
      </c>
      <c r="AD322" s="5">
        <v>8.1000000000000003E-2</v>
      </c>
      <c r="AE322" s="5">
        <v>-3.669</v>
      </c>
      <c r="AF322" s="5">
        <v>1.044</v>
      </c>
      <c r="AG322" s="5">
        <v>-2.8570000000000002</v>
      </c>
      <c r="AH322" s="5">
        <v>2.149</v>
      </c>
      <c r="AI322" s="5" t="s">
        <v>99</v>
      </c>
      <c r="AK322" s="5">
        <f t="shared" si="176"/>
        <v>0.13600000000000012</v>
      </c>
      <c r="AL322" s="7">
        <f t="shared" si="179"/>
        <v>0</v>
      </c>
      <c r="AN322" s="1">
        <f t="shared" si="149"/>
        <v>95.6</v>
      </c>
      <c r="AO322" s="1">
        <f t="shared" si="150"/>
        <v>93.6</v>
      </c>
      <c r="AP322" s="1">
        <f t="shared" si="151"/>
        <v>85.5</v>
      </c>
      <c r="AQ322" s="17">
        <f t="shared" si="178"/>
        <v>0.58099999999999996</v>
      </c>
      <c r="AR322" s="22">
        <f t="shared" si="152"/>
        <v>9.9000000000000005E-2</v>
      </c>
      <c r="AT322" s="19">
        <f t="shared" si="144"/>
        <v>43782</v>
      </c>
      <c r="AU322" s="20">
        <f t="shared" si="145"/>
        <v>317</v>
      </c>
      <c r="AV322" s="1">
        <f t="shared" si="167"/>
        <v>-1.4</v>
      </c>
      <c r="AW322" s="1">
        <f t="shared" si="168"/>
        <v>1.5</v>
      </c>
      <c r="AX322" s="1">
        <f t="shared" si="169"/>
        <v>-2.7</v>
      </c>
      <c r="AY322" s="1">
        <f t="shared" si="170"/>
        <v>93.6</v>
      </c>
      <c r="AZ322" s="1">
        <f t="shared" si="171"/>
        <v>85.5</v>
      </c>
      <c r="BA322" s="1">
        <f t="shared" si="156"/>
        <v>0.13600000000000012</v>
      </c>
      <c r="BB322" s="5">
        <f t="shared" si="157"/>
        <v>0</v>
      </c>
      <c r="BC322" s="1">
        <f t="shared" si="146"/>
        <v>-2.2000000000000002</v>
      </c>
      <c r="BD322" s="1">
        <f t="shared" si="147"/>
        <v>0.1</v>
      </c>
      <c r="BE322" s="1">
        <f t="shared" si="148"/>
        <v>-3.7</v>
      </c>
      <c r="BF322" s="5">
        <f t="shared" si="172"/>
        <v>0</v>
      </c>
      <c r="BG322" s="5">
        <f t="shared" si="173"/>
        <v>0.8</v>
      </c>
      <c r="BH322" s="5">
        <f t="shared" si="174"/>
        <v>1.9</v>
      </c>
      <c r="BI322" s="5" t="str">
        <f t="shared" si="161"/>
        <v>NAN</v>
      </c>
      <c r="BJ322" s="10">
        <f t="shared" si="162"/>
        <v>0.58099999999999996</v>
      </c>
      <c r="BK322" s="10">
        <f t="shared" si="163"/>
        <v>9.9000000000000005E-2</v>
      </c>
      <c r="BM322" s="1">
        <f t="shared" si="164"/>
        <v>-1.393</v>
      </c>
      <c r="BN322" s="1">
        <f t="shared" si="165"/>
        <v>-1.0190000000000001</v>
      </c>
    </row>
    <row r="323" spans="1:66" x14ac:dyDescent="0.2">
      <c r="A323" s="4">
        <f t="shared" si="166"/>
        <v>43783</v>
      </c>
      <c r="B323" s="1">
        <v>318</v>
      </c>
      <c r="C323" s="1">
        <v>12</v>
      </c>
      <c r="D323" s="5">
        <v>12.85</v>
      </c>
      <c r="E323" s="5">
        <v>-0.90400000000000003</v>
      </c>
      <c r="F323" s="5">
        <v>-3.0209999999999999</v>
      </c>
      <c r="G323" s="5">
        <v>-2.0539999999999998</v>
      </c>
      <c r="H323" s="5">
        <v>93.9</v>
      </c>
      <c r="I323" s="5">
        <v>-0.33200000000000002</v>
      </c>
      <c r="J323" s="5">
        <v>-2.1970000000000001</v>
      </c>
      <c r="K323" s="5">
        <v>-1.6E-2</v>
      </c>
      <c r="L323" s="5">
        <v>0.80100000000000005</v>
      </c>
      <c r="M323" s="5">
        <v>1.84</v>
      </c>
      <c r="N323" s="5">
        <v>-8.1000000000000003E-2</v>
      </c>
      <c r="O323" s="5">
        <v>96.2</v>
      </c>
      <c r="P323" s="5">
        <v>-2.1999999999999999E-2</v>
      </c>
      <c r="Q323" s="5">
        <v>-0.219</v>
      </c>
      <c r="R323" s="5">
        <v>6.7000000000000004E-2</v>
      </c>
      <c r="S323" s="5">
        <v>0.88400000000000001</v>
      </c>
      <c r="T323" s="5">
        <v>1.919</v>
      </c>
      <c r="U323" s="5">
        <v>-3.2240000000000002</v>
      </c>
      <c r="V323" s="5">
        <v>87.9</v>
      </c>
      <c r="W323" s="5">
        <v>-0.61799999999999999</v>
      </c>
      <c r="X323" s="5">
        <v>-3.5619999999999998</v>
      </c>
      <c r="Y323" s="5">
        <v>-0.11</v>
      </c>
      <c r="Z323" s="5">
        <v>0.72799999999999998</v>
      </c>
      <c r="AA323" s="5">
        <v>1.7649999999999999</v>
      </c>
      <c r="AB323" s="5">
        <v>2.145</v>
      </c>
      <c r="AC323" s="5">
        <v>-2.4889999999999999</v>
      </c>
      <c r="AD323" s="5">
        <v>-0.34399999999999997</v>
      </c>
      <c r="AE323" s="5">
        <v>-3.9950000000000001</v>
      </c>
      <c r="AF323" s="5">
        <v>-0.29799999999999999</v>
      </c>
      <c r="AG323" s="5">
        <v>-3.3690000000000002</v>
      </c>
      <c r="AH323" s="5">
        <v>2.15</v>
      </c>
      <c r="AI323" s="5" t="s">
        <v>99</v>
      </c>
      <c r="AK323" s="5">
        <f t="shared" si="176"/>
        <v>0.12999999999999989</v>
      </c>
      <c r="AL323" s="7">
        <f t="shared" si="179"/>
        <v>0</v>
      </c>
      <c r="AN323" s="1">
        <f t="shared" si="149"/>
        <v>96.2</v>
      </c>
      <c r="AO323" s="1">
        <f t="shared" si="150"/>
        <v>93.9</v>
      </c>
      <c r="AP323" s="1">
        <f t="shared" si="151"/>
        <v>87.9</v>
      </c>
      <c r="AQ323" s="17">
        <f t="shared" si="178"/>
        <v>0.53300000000000003</v>
      </c>
      <c r="AR323" s="22">
        <f t="shared" si="152"/>
        <v>7.2999999999999995E-2</v>
      </c>
      <c r="AT323" s="19">
        <f t="shared" si="144"/>
        <v>43783</v>
      </c>
      <c r="AU323" s="20">
        <f t="shared" si="145"/>
        <v>318</v>
      </c>
      <c r="AV323" s="1">
        <f t="shared" si="167"/>
        <v>-2.1</v>
      </c>
      <c r="AW323" s="1">
        <f t="shared" si="168"/>
        <v>-0.1</v>
      </c>
      <c r="AX323" s="1">
        <f t="shared" si="169"/>
        <v>-3.2</v>
      </c>
      <c r="AY323" s="1">
        <f t="shared" si="170"/>
        <v>93.9</v>
      </c>
      <c r="AZ323" s="1">
        <f t="shared" si="171"/>
        <v>87.9</v>
      </c>
      <c r="BA323" s="1">
        <f t="shared" si="156"/>
        <v>0.12999999999999989</v>
      </c>
      <c r="BB323" s="5">
        <f t="shared" si="157"/>
        <v>0</v>
      </c>
      <c r="BC323" s="1">
        <f t="shared" si="146"/>
        <v>-2.5</v>
      </c>
      <c r="BD323" s="1">
        <f t="shared" si="147"/>
        <v>-0.3</v>
      </c>
      <c r="BE323" s="1">
        <f t="shared" si="148"/>
        <v>-4</v>
      </c>
      <c r="BF323" s="5">
        <f t="shared" si="172"/>
        <v>0</v>
      </c>
      <c r="BG323" s="5">
        <f t="shared" si="173"/>
        <v>0.8</v>
      </c>
      <c r="BH323" s="5">
        <f t="shared" si="174"/>
        <v>1.8</v>
      </c>
      <c r="BI323" s="5" t="str">
        <f t="shared" si="161"/>
        <v>NAN</v>
      </c>
      <c r="BJ323" s="10">
        <f t="shared" si="162"/>
        <v>0.53300000000000003</v>
      </c>
      <c r="BK323" s="10">
        <f t="shared" si="163"/>
        <v>7.2999999999999995E-2</v>
      </c>
      <c r="BM323" s="1">
        <f t="shared" si="164"/>
        <v>-0.26299999999999996</v>
      </c>
      <c r="BN323" s="1">
        <f t="shared" si="165"/>
        <v>-0.77099999999999991</v>
      </c>
    </row>
    <row r="324" spans="1:66" x14ac:dyDescent="0.2">
      <c r="A324" s="4">
        <f t="shared" si="166"/>
        <v>43784</v>
      </c>
      <c r="B324" s="1">
        <v>319</v>
      </c>
      <c r="C324" s="1">
        <v>12</v>
      </c>
      <c r="D324" s="5">
        <v>12.8</v>
      </c>
      <c r="E324" s="5">
        <v>-0.45700000000000002</v>
      </c>
      <c r="F324" s="5">
        <v>-2.2709999999999999</v>
      </c>
      <c r="G324" s="5">
        <v>-1.6619999999999999</v>
      </c>
      <c r="H324" s="5">
        <v>95.5</v>
      </c>
      <c r="I324" s="5">
        <v>-0.21</v>
      </c>
      <c r="J324" s="5">
        <v>-1.681</v>
      </c>
      <c r="K324" s="5">
        <v>0</v>
      </c>
      <c r="L324" s="5">
        <v>0.79900000000000004</v>
      </c>
      <c r="M324" s="5">
        <v>1.821</v>
      </c>
      <c r="N324" s="5">
        <v>-0.52100000000000002</v>
      </c>
      <c r="O324" s="5">
        <v>96.7</v>
      </c>
      <c r="P324" s="5">
        <v>2.9000000000000001E-2</v>
      </c>
      <c r="Q324" s="5">
        <v>-0.39600000000000002</v>
      </c>
      <c r="R324" s="5">
        <v>8.3000000000000004E-2</v>
      </c>
      <c r="S324" s="5">
        <v>0.88</v>
      </c>
      <c r="T324" s="5">
        <v>1.92</v>
      </c>
      <c r="U324" s="5">
        <v>-2.6160000000000001</v>
      </c>
      <c r="V324" s="5">
        <v>92.8</v>
      </c>
      <c r="W324" s="5">
        <v>-0.42</v>
      </c>
      <c r="X324" s="5">
        <v>-2.6349999999999998</v>
      </c>
      <c r="Y324" s="5">
        <v>-8.6999999999999994E-2</v>
      </c>
      <c r="Z324" s="5">
        <v>0.71699999999999997</v>
      </c>
      <c r="AA324" s="5">
        <v>1.7290000000000001</v>
      </c>
      <c r="AB324" s="5">
        <v>2.1419999999999999</v>
      </c>
      <c r="AC324" s="5">
        <v>-1.796</v>
      </c>
      <c r="AD324" s="5">
        <v>-0.52400000000000002</v>
      </c>
      <c r="AE324" s="5">
        <v>-2.996</v>
      </c>
      <c r="AF324" s="5">
        <v>-0.627</v>
      </c>
      <c r="AG324" s="5">
        <v>-2.7160000000000002</v>
      </c>
      <c r="AH324" s="5">
        <v>2.1509999999999998</v>
      </c>
      <c r="AI324" s="5" t="s">
        <v>99</v>
      </c>
      <c r="AK324" s="5">
        <f t="shared" si="176"/>
        <v>0.13300000000000001</v>
      </c>
      <c r="AL324" s="7">
        <f t="shared" si="179"/>
        <v>0</v>
      </c>
      <c r="AN324" s="1">
        <f t="shared" si="149"/>
        <v>96.7</v>
      </c>
      <c r="AO324" s="1">
        <f t="shared" si="150"/>
        <v>95.5</v>
      </c>
      <c r="AP324" s="1">
        <f t="shared" si="151"/>
        <v>92.8</v>
      </c>
      <c r="AQ324" s="17">
        <f t="shared" si="178"/>
        <v>0.54500000000000004</v>
      </c>
      <c r="AR324" s="22">
        <f t="shared" si="152"/>
        <v>4.2000000000000003E-2</v>
      </c>
      <c r="AT324" s="19">
        <f t="shared" si="144"/>
        <v>43784</v>
      </c>
      <c r="AU324" s="20">
        <f t="shared" si="145"/>
        <v>319</v>
      </c>
      <c r="AV324" s="1">
        <f t="shared" si="167"/>
        <v>-1.7</v>
      </c>
      <c r="AW324" s="1">
        <f t="shared" si="168"/>
        <v>-0.5</v>
      </c>
      <c r="AX324" s="1">
        <f t="shared" si="169"/>
        <v>-2.6</v>
      </c>
      <c r="AY324" s="1">
        <f t="shared" si="170"/>
        <v>95.5</v>
      </c>
      <c r="AZ324" s="1">
        <f t="shared" si="171"/>
        <v>92.8</v>
      </c>
      <c r="BA324" s="1">
        <f t="shared" si="156"/>
        <v>0.13300000000000001</v>
      </c>
      <c r="BB324" s="5">
        <f t="shared" si="157"/>
        <v>0</v>
      </c>
      <c r="BC324" s="1">
        <f t="shared" si="146"/>
        <v>-1.8</v>
      </c>
      <c r="BD324" s="1">
        <f t="shared" si="147"/>
        <v>-0.5</v>
      </c>
      <c r="BE324" s="1">
        <f t="shared" si="148"/>
        <v>-3</v>
      </c>
      <c r="BF324" s="5">
        <f t="shared" si="172"/>
        <v>0</v>
      </c>
      <c r="BG324" s="5">
        <f t="shared" si="173"/>
        <v>0.8</v>
      </c>
      <c r="BH324" s="5">
        <f t="shared" si="174"/>
        <v>1.8</v>
      </c>
      <c r="BI324" s="5" t="str">
        <f t="shared" si="161"/>
        <v>NAN</v>
      </c>
      <c r="BJ324" s="10">
        <f t="shared" si="162"/>
        <v>0.54500000000000004</v>
      </c>
      <c r="BK324" s="10">
        <f t="shared" si="163"/>
        <v>4.2000000000000003E-2</v>
      </c>
      <c r="BM324" s="1">
        <f t="shared" si="164"/>
        <v>-3.0000000000000027E-3</v>
      </c>
      <c r="BN324" s="1">
        <f t="shared" si="165"/>
        <v>-0.37999999999999989</v>
      </c>
    </row>
    <row r="325" spans="1:66" x14ac:dyDescent="0.2">
      <c r="A325" s="4">
        <f t="shared" si="166"/>
        <v>43785</v>
      </c>
      <c r="B325" s="1">
        <v>320</v>
      </c>
      <c r="C325" s="1">
        <v>12</v>
      </c>
      <c r="D325" s="5">
        <v>12.8</v>
      </c>
      <c r="E325" s="5">
        <v>-1.97</v>
      </c>
      <c r="F325" s="5">
        <v>-3.3420000000000001</v>
      </c>
      <c r="G325" s="5">
        <v>-2.8090000000000002</v>
      </c>
      <c r="H325" s="5">
        <v>93.5</v>
      </c>
      <c r="I325" s="5">
        <v>-0.34100000000000003</v>
      </c>
      <c r="J325" s="5">
        <v>-2.637</v>
      </c>
      <c r="K325" s="5">
        <v>-2.9000000000000001E-2</v>
      </c>
      <c r="L325" s="5">
        <v>0.77200000000000002</v>
      </c>
      <c r="M325" s="5">
        <v>1.784</v>
      </c>
      <c r="N325" s="5">
        <v>-0.79</v>
      </c>
      <c r="O325" s="5">
        <v>96</v>
      </c>
      <c r="P325" s="5">
        <v>-0.14299999999999999</v>
      </c>
      <c r="Q325" s="5">
        <v>-1.175</v>
      </c>
      <c r="R325" s="5">
        <v>5.6000000000000001E-2</v>
      </c>
      <c r="S325" s="5">
        <v>0.85899999999999999</v>
      </c>
      <c r="T325" s="5">
        <v>1.8680000000000001</v>
      </c>
      <c r="U325" s="5">
        <v>-3.7989999999999999</v>
      </c>
      <c r="V325" s="5">
        <v>86.1</v>
      </c>
      <c r="W325" s="5">
        <v>-0.60599999999999998</v>
      </c>
      <c r="X325" s="5">
        <v>-3.633</v>
      </c>
      <c r="Y325" s="5">
        <v>-0.109</v>
      </c>
      <c r="Z325" s="5">
        <v>0.68400000000000005</v>
      </c>
      <c r="AA325" s="5">
        <v>1.7090000000000001</v>
      </c>
      <c r="AB325" s="5">
        <v>2.081</v>
      </c>
      <c r="AC325" s="5">
        <v>-3.0950000000000002</v>
      </c>
      <c r="AD325" s="5">
        <v>-0.94699999999999995</v>
      </c>
      <c r="AE325" s="5">
        <v>-4.1559999999999997</v>
      </c>
      <c r="AF325" s="5">
        <v>-1.4530000000000001</v>
      </c>
      <c r="AG325" s="5">
        <v>-3.9249999999999998</v>
      </c>
      <c r="AH325" s="5">
        <v>2.085</v>
      </c>
      <c r="AI325" s="5" t="s">
        <v>99</v>
      </c>
      <c r="AK325" s="5">
        <f t="shared" si="176"/>
        <v>0.19399999999999995</v>
      </c>
      <c r="AL325" s="7">
        <f t="shared" si="179"/>
        <v>0</v>
      </c>
      <c r="AN325" s="1">
        <f t="shared" si="149"/>
        <v>96</v>
      </c>
      <c r="AO325" s="1">
        <f t="shared" si="150"/>
        <v>93.5</v>
      </c>
      <c r="AP325" s="1">
        <f t="shared" si="151"/>
        <v>86.1</v>
      </c>
      <c r="AQ325" s="17">
        <f t="shared" si="178"/>
        <v>0.496</v>
      </c>
      <c r="AR325" s="22">
        <f t="shared" si="152"/>
        <v>0.08</v>
      </c>
      <c r="AT325" s="19">
        <f t="shared" si="144"/>
        <v>43785</v>
      </c>
      <c r="AU325" s="20">
        <f t="shared" si="145"/>
        <v>320</v>
      </c>
      <c r="AV325" s="1">
        <f t="shared" si="167"/>
        <v>-2.8</v>
      </c>
      <c r="AW325" s="1">
        <f t="shared" si="168"/>
        <v>-0.8</v>
      </c>
      <c r="AX325" s="1">
        <f t="shared" si="169"/>
        <v>-3.8</v>
      </c>
      <c r="AY325" s="1">
        <f t="shared" si="170"/>
        <v>93.5</v>
      </c>
      <c r="AZ325" s="1">
        <f t="shared" si="171"/>
        <v>86.1</v>
      </c>
      <c r="BA325" s="1">
        <f t="shared" si="156"/>
        <v>0.19399999999999995</v>
      </c>
      <c r="BB325" s="5">
        <f t="shared" si="157"/>
        <v>0</v>
      </c>
      <c r="BC325" s="1">
        <f t="shared" si="146"/>
        <v>-3.1</v>
      </c>
      <c r="BD325" s="1">
        <f t="shared" si="147"/>
        <v>-0.9</v>
      </c>
      <c r="BE325" s="1">
        <f t="shared" si="148"/>
        <v>-4.2</v>
      </c>
      <c r="BF325" s="5">
        <f t="shared" si="172"/>
        <v>0</v>
      </c>
      <c r="BG325" s="5">
        <f t="shared" si="173"/>
        <v>0.8</v>
      </c>
      <c r="BH325" s="5">
        <f t="shared" si="174"/>
        <v>1.8</v>
      </c>
      <c r="BI325" s="5" t="str">
        <f t="shared" si="161"/>
        <v>NAN</v>
      </c>
      <c r="BJ325" s="10">
        <f t="shared" si="162"/>
        <v>0.496</v>
      </c>
      <c r="BK325" s="10">
        <f t="shared" si="163"/>
        <v>0.08</v>
      </c>
      <c r="BM325" s="1">
        <f t="shared" si="164"/>
        <v>-0.15699999999999992</v>
      </c>
      <c r="BN325" s="1">
        <f t="shared" si="165"/>
        <v>-0.35699999999999976</v>
      </c>
    </row>
    <row r="326" spans="1:66" x14ac:dyDescent="0.2">
      <c r="A326" s="4">
        <f t="shared" si="166"/>
        <v>43786</v>
      </c>
      <c r="B326" s="1">
        <v>321</v>
      </c>
      <c r="C326" s="1">
        <v>12</v>
      </c>
      <c r="D326" s="5">
        <v>12.81</v>
      </c>
      <c r="E326" s="5">
        <v>1.97</v>
      </c>
      <c r="F326" s="5">
        <v>-2.2909999999999999</v>
      </c>
      <c r="G326" s="5">
        <v>0.98</v>
      </c>
      <c r="H326" s="5">
        <v>92.4</v>
      </c>
      <c r="I326" s="5">
        <v>1.7999999999999999E-2</v>
      </c>
      <c r="J326" s="5">
        <v>0.20699999999999999</v>
      </c>
      <c r="K326" s="5">
        <v>4.1000000000000002E-2</v>
      </c>
      <c r="L326" s="5">
        <v>0.78400000000000003</v>
      </c>
      <c r="M326" s="5">
        <v>1.7989999999999999</v>
      </c>
      <c r="N326" s="5">
        <v>2.859</v>
      </c>
      <c r="O326" s="5">
        <v>97.9</v>
      </c>
      <c r="P326" s="5">
        <v>0.13700000000000001</v>
      </c>
      <c r="Q326" s="5">
        <v>1.603</v>
      </c>
      <c r="R326" s="5">
        <v>0.13200000000000001</v>
      </c>
      <c r="S326" s="5">
        <v>0.88500000000000001</v>
      </c>
      <c r="T326" s="5">
        <v>1.889</v>
      </c>
      <c r="U326" s="5">
        <v>-1.0609999999999999</v>
      </c>
      <c r="V326" s="5">
        <v>72.23</v>
      </c>
      <c r="W326" s="5">
        <v>-0.25600000000000001</v>
      </c>
      <c r="X326" s="5">
        <v>-1.351</v>
      </c>
      <c r="Y326" s="5">
        <v>-7.4999999999999997E-2</v>
      </c>
      <c r="Z326" s="5">
        <v>0.65900000000000003</v>
      </c>
      <c r="AA326" s="5">
        <v>1.702</v>
      </c>
      <c r="AB326" s="5">
        <v>2.1230000000000002</v>
      </c>
      <c r="AC326" s="5">
        <v>-0.22600000000000001</v>
      </c>
      <c r="AD326" s="5">
        <v>0.91300000000000003</v>
      </c>
      <c r="AE326" s="5">
        <v>-2.0790000000000002</v>
      </c>
      <c r="AF326" s="5">
        <v>2.5779999999999998</v>
      </c>
      <c r="AG326" s="5">
        <v>-1.5569999999999999</v>
      </c>
      <c r="AH326" s="5">
        <v>2.1240000000000001</v>
      </c>
      <c r="AI326" s="5" t="s">
        <v>99</v>
      </c>
      <c r="AK326" s="5">
        <f t="shared" si="176"/>
        <v>0.15199999999999969</v>
      </c>
      <c r="AL326" s="7">
        <f t="shared" si="179"/>
        <v>0</v>
      </c>
      <c r="AN326" s="1">
        <f t="shared" si="149"/>
        <v>97.9</v>
      </c>
      <c r="AO326" s="1">
        <f t="shared" si="150"/>
        <v>92.4</v>
      </c>
      <c r="AP326" s="1">
        <f t="shared" si="151"/>
        <v>72.2</v>
      </c>
      <c r="AQ326" s="17">
        <f t="shared" si="178"/>
        <v>0.54100000000000004</v>
      </c>
      <c r="AR326" s="22">
        <f t="shared" si="152"/>
        <v>0.20799999999999999</v>
      </c>
      <c r="AT326" s="19">
        <f t="shared" ref="AT326:AT370" si="180">A326</f>
        <v>43786</v>
      </c>
      <c r="AU326" s="20">
        <f t="shared" ref="AU326:AU370" si="181">B326</f>
        <v>321</v>
      </c>
      <c r="AV326" s="1">
        <f t="shared" si="167"/>
        <v>1</v>
      </c>
      <c r="AW326" s="1">
        <f t="shared" si="168"/>
        <v>2.9</v>
      </c>
      <c r="AX326" s="1">
        <f t="shared" si="169"/>
        <v>-1.1000000000000001</v>
      </c>
      <c r="AY326" s="1">
        <f t="shared" si="170"/>
        <v>92.4</v>
      </c>
      <c r="AZ326" s="1">
        <f t="shared" si="171"/>
        <v>72.2</v>
      </c>
      <c r="BA326" s="1">
        <f t="shared" si="156"/>
        <v>0.15199999999999969</v>
      </c>
      <c r="BB326" s="5">
        <f t="shared" si="157"/>
        <v>0</v>
      </c>
      <c r="BC326" s="1">
        <f t="shared" ref="BC326:BC370" si="182">ROUND(AC326,1)</f>
        <v>-0.2</v>
      </c>
      <c r="BD326" s="1">
        <f t="shared" ref="BD326:BD370" si="183">ROUND(AD326,1)</f>
        <v>0.9</v>
      </c>
      <c r="BE326" s="1">
        <f t="shared" ref="BE326:BE370" si="184">ROUND(AE326,1)</f>
        <v>-2.1</v>
      </c>
      <c r="BF326" s="5">
        <f t="shared" si="172"/>
        <v>0</v>
      </c>
      <c r="BG326" s="5">
        <f t="shared" si="173"/>
        <v>0.8</v>
      </c>
      <c r="BH326" s="5">
        <f t="shared" si="174"/>
        <v>1.8</v>
      </c>
      <c r="BI326" s="5" t="str">
        <f t="shared" si="161"/>
        <v>NAN</v>
      </c>
      <c r="BJ326" s="10">
        <f t="shared" si="162"/>
        <v>0.54100000000000004</v>
      </c>
      <c r="BK326" s="10">
        <f t="shared" si="163"/>
        <v>0.20799999999999999</v>
      </c>
      <c r="BM326" s="1">
        <f t="shared" si="164"/>
        <v>-1.946</v>
      </c>
      <c r="BN326" s="1">
        <f t="shared" si="165"/>
        <v>-1.0180000000000002</v>
      </c>
    </row>
    <row r="327" spans="1:66" x14ac:dyDescent="0.2">
      <c r="A327" s="4">
        <f t="shared" si="166"/>
        <v>43787</v>
      </c>
      <c r="B327" s="1">
        <v>322</v>
      </c>
      <c r="C327" s="1">
        <v>12</v>
      </c>
      <c r="D327" s="5">
        <v>12.8</v>
      </c>
      <c r="E327" s="5">
        <v>1.1379999999999999</v>
      </c>
      <c r="F327" s="5">
        <v>-1.8640000000000001</v>
      </c>
      <c r="G327" s="5">
        <v>-0.88300000000000001</v>
      </c>
      <c r="H327" s="5">
        <v>76.52</v>
      </c>
      <c r="I327" s="5">
        <v>-9.4E-2</v>
      </c>
      <c r="J327" s="5">
        <v>-1.377</v>
      </c>
      <c r="K327" s="5">
        <v>3.4000000000000002E-2</v>
      </c>
      <c r="L327" s="5">
        <v>0.74399999999999999</v>
      </c>
      <c r="M327" s="5">
        <v>1.742</v>
      </c>
      <c r="N327" s="5">
        <v>1.677</v>
      </c>
      <c r="O327" s="5">
        <v>95.8</v>
      </c>
      <c r="P327" s="5">
        <v>0.123</v>
      </c>
      <c r="Q327" s="5">
        <v>0.65600000000000003</v>
      </c>
      <c r="R327" s="5">
        <v>0.12</v>
      </c>
      <c r="S327" s="5">
        <v>0.84299999999999997</v>
      </c>
      <c r="T327" s="5">
        <v>1.8340000000000001</v>
      </c>
      <c r="U327" s="5">
        <v>-2.6160000000000001</v>
      </c>
      <c r="V327" s="5">
        <v>40.659999999999997</v>
      </c>
      <c r="W327" s="5">
        <v>-0.29199999999999998</v>
      </c>
      <c r="X327" s="5">
        <v>-2.5960000000000001</v>
      </c>
      <c r="Y327" s="5">
        <v>-5.6000000000000001E-2</v>
      </c>
      <c r="Z327" s="5">
        <v>0.65700000000000003</v>
      </c>
      <c r="AA327" s="5">
        <v>1.66</v>
      </c>
      <c r="AB327" s="5">
        <v>2.101</v>
      </c>
      <c r="AC327" s="5">
        <v>-1.917</v>
      </c>
      <c r="AD327" s="5">
        <v>-0.317</v>
      </c>
      <c r="AE327" s="5">
        <v>-3.073</v>
      </c>
      <c r="AF327" s="5">
        <v>1.304</v>
      </c>
      <c r="AG327" s="5">
        <v>-2.5529999999999999</v>
      </c>
      <c r="AH327" s="5">
        <v>2.1080000000000001</v>
      </c>
      <c r="AI327" s="5" t="s">
        <v>99</v>
      </c>
      <c r="AK327" s="5">
        <f t="shared" si="176"/>
        <v>0.17399999999999993</v>
      </c>
      <c r="AL327" s="7">
        <f t="shared" si="179"/>
        <v>0</v>
      </c>
      <c r="AN327" s="1">
        <f t="shared" ref="AN327:AN370" si="185">ROUND(O327*AO$1,1)</f>
        <v>95.8</v>
      </c>
      <c r="AO327" s="1">
        <f t="shared" ref="AO327:AO370" si="186">ROUND(H327*AO$1,1)</f>
        <v>76.5</v>
      </c>
      <c r="AP327" s="1">
        <f t="shared" ref="AP327:AP370" si="187">ROUND(V327*AO$1,1)</f>
        <v>40.700000000000003</v>
      </c>
      <c r="AQ327" s="17">
        <f t="shared" si="178"/>
        <v>0.28000000000000003</v>
      </c>
      <c r="AR327" s="22">
        <f t="shared" ref="AR327:AR370" si="188">ROUND(AQ327/AP327*(100-AP327),3)</f>
        <v>0.40799999999999997</v>
      </c>
      <c r="AT327" s="19">
        <f t="shared" si="180"/>
        <v>43787</v>
      </c>
      <c r="AU327" s="20">
        <f t="shared" si="181"/>
        <v>322</v>
      </c>
      <c r="AV327" s="1">
        <f t="shared" si="167"/>
        <v>-0.9</v>
      </c>
      <c r="AW327" s="1">
        <f t="shared" si="168"/>
        <v>1.7</v>
      </c>
      <c r="AX327" s="1">
        <f t="shared" si="169"/>
        <v>-2.6</v>
      </c>
      <c r="AY327" s="1">
        <f t="shared" si="170"/>
        <v>76.5</v>
      </c>
      <c r="AZ327" s="1">
        <f t="shared" si="171"/>
        <v>40.700000000000003</v>
      </c>
      <c r="BA327" s="1">
        <f t="shared" ref="BA327:BA370" si="189">AK327</f>
        <v>0.17399999999999993</v>
      </c>
      <c r="BB327" s="5">
        <f t="shared" ref="BB327:BB370" si="190">IF(AL327="","NAN",AL327)</f>
        <v>0</v>
      </c>
      <c r="BC327" s="1">
        <f t="shared" si="182"/>
        <v>-1.9</v>
      </c>
      <c r="BD327" s="1">
        <f t="shared" si="183"/>
        <v>-0.3</v>
      </c>
      <c r="BE327" s="1">
        <f t="shared" si="184"/>
        <v>-3.1</v>
      </c>
      <c r="BF327" s="5">
        <f t="shared" si="172"/>
        <v>0</v>
      </c>
      <c r="BG327" s="5">
        <f t="shared" si="173"/>
        <v>0.7</v>
      </c>
      <c r="BH327" s="5">
        <f t="shared" si="174"/>
        <v>1.7</v>
      </c>
      <c r="BI327" s="5" t="str">
        <f t="shared" ref="BI327:BI370" si="191">IF(AI327="NAN","NAN",ROUND(AI327,3))</f>
        <v>NAN</v>
      </c>
      <c r="BJ327" s="10">
        <f t="shared" ref="BJ327:BJ370" si="192">AQ327</f>
        <v>0.28000000000000003</v>
      </c>
      <c r="BK327" s="10">
        <f t="shared" ref="BK327:BK370" si="193">AR327</f>
        <v>0.40799999999999997</v>
      </c>
      <c r="BM327" s="1">
        <f t="shared" ref="BM327:BM370" si="194">AD327-N327</f>
        <v>-1.994</v>
      </c>
      <c r="BN327" s="1">
        <f t="shared" ref="BN327:BN370" si="195">AE327-U327</f>
        <v>-0.45699999999999985</v>
      </c>
    </row>
    <row r="328" spans="1:66" x14ac:dyDescent="0.2">
      <c r="A328" s="4">
        <f t="shared" ref="A328:A370" si="196">A327+1</f>
        <v>43788</v>
      </c>
      <c r="B328" s="1">
        <v>323</v>
      </c>
      <c r="C328" s="1">
        <v>12</v>
      </c>
      <c r="D328" s="5">
        <v>12.79</v>
      </c>
      <c r="E328" s="5">
        <v>-1.5660000000000001</v>
      </c>
      <c r="F328" s="5">
        <v>-6.2039999999999997</v>
      </c>
      <c r="G328" s="5">
        <v>-4.2699999999999996</v>
      </c>
      <c r="H328" s="5">
        <v>93.6</v>
      </c>
      <c r="I328" s="5">
        <v>-0.19600000000000001</v>
      </c>
      <c r="J328" s="5">
        <v>-2.9550000000000001</v>
      </c>
      <c r="K328" s="5">
        <v>1.2E-2</v>
      </c>
      <c r="L328" s="5">
        <v>0.73899999999999999</v>
      </c>
      <c r="M328" s="5">
        <v>1.7050000000000001</v>
      </c>
      <c r="N328" s="5">
        <v>-1.5009999999999999</v>
      </c>
      <c r="O328" s="5">
        <v>95.4</v>
      </c>
      <c r="P328" s="5">
        <v>-4.2999999999999997E-2</v>
      </c>
      <c r="Q328" s="5">
        <v>-1.5640000000000001</v>
      </c>
      <c r="R328" s="5">
        <v>9.8000000000000004E-2</v>
      </c>
      <c r="S328" s="5">
        <v>0.81399999999999995</v>
      </c>
      <c r="T328" s="5">
        <v>1.804</v>
      </c>
      <c r="U328" s="5">
        <v>-6.7960000000000003</v>
      </c>
      <c r="V328" s="5">
        <v>91.7</v>
      </c>
      <c r="W328" s="5">
        <v>-0.39500000000000002</v>
      </c>
      <c r="X328" s="5">
        <v>-4.5490000000000004</v>
      </c>
      <c r="Y328" s="5">
        <v>-6.7000000000000004E-2</v>
      </c>
      <c r="Z328" s="5">
        <v>0.65700000000000003</v>
      </c>
      <c r="AA328" s="5">
        <v>1.6060000000000001</v>
      </c>
      <c r="AB328" s="5">
        <v>2.0609999999999999</v>
      </c>
      <c r="AC328" s="5">
        <v>-4.2539999999999996</v>
      </c>
      <c r="AD328" s="5">
        <v>-1.863</v>
      </c>
      <c r="AE328" s="5">
        <v>-6.5940000000000003</v>
      </c>
      <c r="AF328" s="5">
        <v>-1.903</v>
      </c>
      <c r="AG328" s="5">
        <v>-6.83</v>
      </c>
      <c r="AH328" s="5">
        <v>2.0859999999999999</v>
      </c>
      <c r="AI328" s="5" t="s">
        <v>99</v>
      </c>
      <c r="AK328" s="5">
        <f t="shared" si="176"/>
        <v>0.21399999999999997</v>
      </c>
      <c r="AL328" s="7">
        <f t="shared" si="179"/>
        <v>0</v>
      </c>
      <c r="AN328" s="1">
        <f t="shared" si="185"/>
        <v>95.4</v>
      </c>
      <c r="AO328" s="1">
        <f t="shared" si="186"/>
        <v>93.6</v>
      </c>
      <c r="AP328" s="1">
        <f t="shared" si="187"/>
        <v>91.7</v>
      </c>
      <c r="AQ328" s="17">
        <f t="shared" si="178"/>
        <v>0.502</v>
      </c>
      <c r="AR328" s="22">
        <f t="shared" si="188"/>
        <v>4.4999999999999998E-2</v>
      </c>
      <c r="AT328" s="19">
        <f t="shared" si="180"/>
        <v>43788</v>
      </c>
      <c r="AU328" s="20">
        <f t="shared" si="181"/>
        <v>323</v>
      </c>
      <c r="AV328" s="1">
        <f t="shared" si="167"/>
        <v>-4.3</v>
      </c>
      <c r="AW328" s="1">
        <f t="shared" si="168"/>
        <v>-1.5</v>
      </c>
      <c r="AX328" s="1">
        <f t="shared" si="169"/>
        <v>-6.8</v>
      </c>
      <c r="AY328" s="1">
        <f t="shared" si="170"/>
        <v>93.6</v>
      </c>
      <c r="AZ328" s="1">
        <f t="shared" si="171"/>
        <v>91.7</v>
      </c>
      <c r="BA328" s="1">
        <f t="shared" si="189"/>
        <v>0.21399999999999997</v>
      </c>
      <c r="BB328" s="5">
        <f t="shared" si="190"/>
        <v>0</v>
      </c>
      <c r="BC328" s="1">
        <f t="shared" si="182"/>
        <v>-4.3</v>
      </c>
      <c r="BD328" s="1">
        <f t="shared" si="183"/>
        <v>-1.9</v>
      </c>
      <c r="BE328" s="1">
        <f t="shared" si="184"/>
        <v>-6.6</v>
      </c>
      <c r="BF328" s="5">
        <f t="shared" si="172"/>
        <v>0</v>
      </c>
      <c r="BG328" s="5">
        <f t="shared" si="173"/>
        <v>0.7</v>
      </c>
      <c r="BH328" s="5">
        <f t="shared" si="174"/>
        <v>1.7</v>
      </c>
      <c r="BI328" s="5" t="str">
        <f t="shared" si="191"/>
        <v>NAN</v>
      </c>
      <c r="BJ328" s="10">
        <f t="shared" si="192"/>
        <v>0.502</v>
      </c>
      <c r="BK328" s="10">
        <f t="shared" si="193"/>
        <v>4.4999999999999998E-2</v>
      </c>
      <c r="BM328" s="1">
        <f t="shared" si="194"/>
        <v>-0.3620000000000001</v>
      </c>
      <c r="BN328" s="1">
        <f t="shared" si="195"/>
        <v>0.20199999999999996</v>
      </c>
    </row>
    <row r="329" spans="1:66" x14ac:dyDescent="0.2">
      <c r="A329" s="4">
        <f t="shared" si="196"/>
        <v>43789</v>
      </c>
      <c r="B329" s="1">
        <v>324</v>
      </c>
      <c r="C329" s="1">
        <v>12</v>
      </c>
      <c r="D329" s="5">
        <v>12.89</v>
      </c>
      <c r="E329" s="5">
        <v>-4.7220000000000004</v>
      </c>
      <c r="F329" s="5">
        <v>-8.17</v>
      </c>
      <c r="G329" s="5">
        <v>-6.6829999999999998</v>
      </c>
      <c r="H329" s="5">
        <v>90.8</v>
      </c>
      <c r="I329" s="5">
        <v>-0.437</v>
      </c>
      <c r="J329" s="5">
        <v>-5.1189999999999998</v>
      </c>
      <c r="K329" s="5">
        <v>-0.02</v>
      </c>
      <c r="L329" s="5">
        <v>0.72299999999999998</v>
      </c>
      <c r="M329" s="5">
        <v>1.669</v>
      </c>
      <c r="N329" s="5">
        <v>-3.415</v>
      </c>
      <c r="O329" s="5">
        <v>93</v>
      </c>
      <c r="P329" s="5">
        <v>-0.26400000000000001</v>
      </c>
      <c r="Q329" s="5">
        <v>-2.5390000000000001</v>
      </c>
      <c r="R329" s="5">
        <v>5.5E-2</v>
      </c>
      <c r="S329" s="5">
        <v>0.80500000000000005</v>
      </c>
      <c r="T329" s="5">
        <v>1.75</v>
      </c>
      <c r="U329" s="5">
        <v>-8.59</v>
      </c>
      <c r="V329" s="5">
        <v>87</v>
      </c>
      <c r="W329" s="5">
        <v>-0.629</v>
      </c>
      <c r="X329" s="5">
        <v>-6.5880000000000001</v>
      </c>
      <c r="Y329" s="5">
        <v>-0.10100000000000001</v>
      </c>
      <c r="Z329" s="5">
        <v>0.64300000000000002</v>
      </c>
      <c r="AA329" s="5">
        <v>1.5940000000000001</v>
      </c>
      <c r="AB329" s="5">
        <v>2.08</v>
      </c>
      <c r="AC329" s="5">
        <v>-7.3440000000000003</v>
      </c>
      <c r="AD329" s="5">
        <v>-4.8600000000000003</v>
      </c>
      <c r="AE329" s="5">
        <v>-9.1999999999999993</v>
      </c>
      <c r="AF329" s="5">
        <v>-3.9359999999999999</v>
      </c>
      <c r="AG329" s="5">
        <v>-8.66</v>
      </c>
      <c r="AH329" s="5">
        <v>2.0960000000000001</v>
      </c>
      <c r="AI329" s="5" t="s">
        <v>99</v>
      </c>
      <c r="AK329" s="5">
        <f t="shared" si="176"/>
        <v>0.19499999999999984</v>
      </c>
      <c r="AL329" s="7">
        <f t="shared" si="179"/>
        <v>0</v>
      </c>
      <c r="AN329" s="1">
        <f t="shared" si="185"/>
        <v>93</v>
      </c>
      <c r="AO329" s="1">
        <f t="shared" si="186"/>
        <v>90.8</v>
      </c>
      <c r="AP329" s="1">
        <f t="shared" si="187"/>
        <v>87</v>
      </c>
      <c r="AQ329" s="17">
        <f t="shared" si="178"/>
        <v>0.41299999999999998</v>
      </c>
      <c r="AR329" s="22">
        <f t="shared" si="188"/>
        <v>6.2E-2</v>
      </c>
      <c r="AT329" s="19">
        <f t="shared" si="180"/>
        <v>43789</v>
      </c>
      <c r="AU329" s="20">
        <f t="shared" si="181"/>
        <v>324</v>
      </c>
      <c r="AV329" s="1">
        <f t="shared" si="167"/>
        <v>-6.7</v>
      </c>
      <c r="AW329" s="1">
        <f t="shared" si="168"/>
        <v>-3.4</v>
      </c>
      <c r="AX329" s="1">
        <f t="shared" si="169"/>
        <v>-8.6</v>
      </c>
      <c r="AY329" s="1">
        <f t="shared" si="170"/>
        <v>90.8</v>
      </c>
      <c r="AZ329" s="1">
        <f t="shared" si="171"/>
        <v>87</v>
      </c>
      <c r="BA329" s="1">
        <f t="shared" si="189"/>
        <v>0.19499999999999984</v>
      </c>
      <c r="BB329" s="5">
        <f t="shared" si="190"/>
        <v>0</v>
      </c>
      <c r="BC329" s="1">
        <f t="shared" si="182"/>
        <v>-7.3</v>
      </c>
      <c r="BD329" s="1">
        <f t="shared" si="183"/>
        <v>-4.9000000000000004</v>
      </c>
      <c r="BE329" s="1">
        <f t="shared" si="184"/>
        <v>-9.1999999999999993</v>
      </c>
      <c r="BF329" s="5">
        <f t="shared" si="172"/>
        <v>0</v>
      </c>
      <c r="BG329" s="5">
        <f t="shared" si="173"/>
        <v>0.7</v>
      </c>
      <c r="BH329" s="5">
        <f t="shared" si="174"/>
        <v>1.7</v>
      </c>
      <c r="BI329" s="5" t="str">
        <f t="shared" si="191"/>
        <v>NAN</v>
      </c>
      <c r="BJ329" s="10">
        <f t="shared" si="192"/>
        <v>0.41299999999999998</v>
      </c>
      <c r="BK329" s="10">
        <f t="shared" si="193"/>
        <v>6.2E-2</v>
      </c>
      <c r="BM329" s="1">
        <f t="shared" si="194"/>
        <v>-1.4450000000000003</v>
      </c>
      <c r="BN329" s="1">
        <f t="shared" si="195"/>
        <v>-0.60999999999999943</v>
      </c>
    </row>
    <row r="330" spans="1:66" x14ac:dyDescent="0.2">
      <c r="A330" s="4">
        <f t="shared" si="196"/>
        <v>43790</v>
      </c>
      <c r="B330" s="1">
        <v>325</v>
      </c>
      <c r="C330" s="1">
        <v>12</v>
      </c>
      <c r="D330" s="5">
        <v>13.06</v>
      </c>
      <c r="E330" s="5">
        <v>1.97</v>
      </c>
      <c r="F330" s="5">
        <v>-4.7220000000000004</v>
      </c>
      <c r="G330" s="5">
        <v>-0.626</v>
      </c>
      <c r="H330" s="5">
        <v>80.599999999999994</v>
      </c>
      <c r="I330" s="5">
        <v>-0.16500000000000001</v>
      </c>
      <c r="J330" s="5">
        <v>-1.944</v>
      </c>
      <c r="K330" s="5">
        <v>1.2999999999999999E-2</v>
      </c>
      <c r="L330" s="5">
        <v>0.75700000000000001</v>
      </c>
      <c r="M330" s="5">
        <v>1.6910000000000001</v>
      </c>
      <c r="N330" s="5">
        <v>2.6829999999999998</v>
      </c>
      <c r="O330" s="5">
        <v>92.4</v>
      </c>
      <c r="P330" s="5">
        <v>0.11799999999999999</v>
      </c>
      <c r="Q330" s="5">
        <v>0.47099999999999997</v>
      </c>
      <c r="R330" s="5">
        <v>0.123</v>
      </c>
      <c r="S330" s="5">
        <v>0.85399999999999998</v>
      </c>
      <c r="T330" s="5">
        <v>1.794</v>
      </c>
      <c r="U330" s="5">
        <v>-4.0599999999999996</v>
      </c>
      <c r="V330" s="5">
        <v>46.24</v>
      </c>
      <c r="W330" s="5">
        <v>-0.438</v>
      </c>
      <c r="X330" s="5">
        <v>-4.0350000000000001</v>
      </c>
      <c r="Y330" s="5">
        <v>-0.10199999999999999</v>
      </c>
      <c r="Z330" s="5">
        <v>0.66500000000000004</v>
      </c>
      <c r="AA330" s="5">
        <v>1.6040000000000001</v>
      </c>
      <c r="AB330" s="5">
        <v>2.0870000000000002</v>
      </c>
      <c r="AC330" s="5">
        <v>-2.5270000000000001</v>
      </c>
      <c r="AD330" s="5">
        <v>6.9000000000000006E-2</v>
      </c>
      <c r="AE330" s="5">
        <v>-5.1289999999999996</v>
      </c>
      <c r="AF330" s="5">
        <v>2.4319999999999999</v>
      </c>
      <c r="AG330" s="5">
        <v>-4.2009999999999996</v>
      </c>
      <c r="AH330" s="5">
        <v>2.0920000000000001</v>
      </c>
      <c r="AI330" s="5" t="s">
        <v>99</v>
      </c>
      <c r="AK330" s="5">
        <f t="shared" si="176"/>
        <v>0.18799999999999972</v>
      </c>
      <c r="AL330" s="7">
        <f t="shared" si="179"/>
        <v>0</v>
      </c>
      <c r="AN330" s="1">
        <f t="shared" si="185"/>
        <v>92.4</v>
      </c>
      <c r="AO330" s="1">
        <f t="shared" si="186"/>
        <v>80.599999999999994</v>
      </c>
      <c r="AP330" s="1">
        <f t="shared" si="187"/>
        <v>46.2</v>
      </c>
      <c r="AQ330" s="17">
        <f t="shared" si="178"/>
        <v>0.34200000000000003</v>
      </c>
      <c r="AR330" s="22">
        <f t="shared" si="188"/>
        <v>0.39800000000000002</v>
      </c>
      <c r="AT330" s="19">
        <f t="shared" si="180"/>
        <v>43790</v>
      </c>
      <c r="AU330" s="20">
        <f t="shared" si="181"/>
        <v>325</v>
      </c>
      <c r="AV330" s="1">
        <f t="shared" si="167"/>
        <v>-0.6</v>
      </c>
      <c r="AW330" s="1">
        <f t="shared" si="168"/>
        <v>2.7</v>
      </c>
      <c r="AX330" s="1">
        <f t="shared" si="169"/>
        <v>-4.0999999999999996</v>
      </c>
      <c r="AY330" s="1">
        <f t="shared" si="170"/>
        <v>80.599999999999994</v>
      </c>
      <c r="AZ330" s="1">
        <f t="shared" si="171"/>
        <v>46.2</v>
      </c>
      <c r="BA330" s="1">
        <f t="shared" si="189"/>
        <v>0.18799999999999972</v>
      </c>
      <c r="BB330" s="5">
        <f t="shared" si="190"/>
        <v>0</v>
      </c>
      <c r="BC330" s="1">
        <f t="shared" si="182"/>
        <v>-2.5</v>
      </c>
      <c r="BD330" s="1">
        <f t="shared" si="183"/>
        <v>0.1</v>
      </c>
      <c r="BE330" s="1">
        <f t="shared" si="184"/>
        <v>-5.0999999999999996</v>
      </c>
      <c r="BF330" s="5">
        <f t="shared" si="172"/>
        <v>0</v>
      </c>
      <c r="BG330" s="5">
        <f t="shared" si="173"/>
        <v>0.8</v>
      </c>
      <c r="BH330" s="5">
        <f t="shared" si="174"/>
        <v>1.7</v>
      </c>
      <c r="BI330" s="5" t="str">
        <f t="shared" si="191"/>
        <v>NAN</v>
      </c>
      <c r="BJ330" s="10">
        <f t="shared" si="192"/>
        <v>0.34200000000000003</v>
      </c>
      <c r="BK330" s="10">
        <f t="shared" si="193"/>
        <v>0.39800000000000002</v>
      </c>
      <c r="BM330" s="1">
        <f t="shared" si="194"/>
        <v>-2.6139999999999999</v>
      </c>
      <c r="BN330" s="1">
        <f t="shared" si="195"/>
        <v>-1.069</v>
      </c>
    </row>
    <row r="331" spans="1:66" x14ac:dyDescent="0.2">
      <c r="A331" s="4">
        <f t="shared" si="196"/>
        <v>43791</v>
      </c>
      <c r="B331" s="1">
        <v>326</v>
      </c>
      <c r="C331" s="1">
        <v>12</v>
      </c>
      <c r="D331" s="5">
        <v>13.06</v>
      </c>
      <c r="E331" s="5">
        <v>1.629</v>
      </c>
      <c r="F331" s="5">
        <v>-2.3769999999999998</v>
      </c>
      <c r="G331" s="5">
        <v>-0.26100000000000001</v>
      </c>
      <c r="H331" s="5">
        <v>45.43</v>
      </c>
      <c r="I331" s="5">
        <v>-0.27600000000000002</v>
      </c>
      <c r="J331" s="5">
        <v>-3.0680000000000001</v>
      </c>
      <c r="K331" s="5">
        <v>1.7000000000000001E-2</v>
      </c>
      <c r="L331" s="5">
        <v>0.75800000000000001</v>
      </c>
      <c r="M331" s="5">
        <v>1.69</v>
      </c>
      <c r="N331" s="5">
        <v>2.6909999999999998</v>
      </c>
      <c r="O331" s="5">
        <v>66.760000000000005</v>
      </c>
      <c r="P331" s="5">
        <v>4.9000000000000002E-2</v>
      </c>
      <c r="Q331" s="5">
        <v>1.0660000000000001</v>
      </c>
      <c r="R331" s="5">
        <v>0.115</v>
      </c>
      <c r="S331" s="5">
        <v>0.86099999999999999</v>
      </c>
      <c r="T331" s="5">
        <v>1.8089999999999999</v>
      </c>
      <c r="U331" s="5">
        <v>-2.3460000000000001</v>
      </c>
      <c r="V331" s="5">
        <v>27.24</v>
      </c>
      <c r="W331" s="5">
        <v>-0.52300000000000002</v>
      </c>
      <c r="X331" s="5">
        <v>-4.9509999999999996</v>
      </c>
      <c r="Y331" s="5">
        <v>-7.5999999999999998E-2</v>
      </c>
      <c r="Z331" s="5">
        <v>0.66600000000000004</v>
      </c>
      <c r="AA331" s="5">
        <v>1.6080000000000001</v>
      </c>
      <c r="AB331" s="5">
        <v>2.0840000000000001</v>
      </c>
      <c r="AC331" s="5">
        <v>-3.4079999999999999</v>
      </c>
      <c r="AD331" s="5">
        <v>-0.86599999999999999</v>
      </c>
      <c r="AE331" s="5">
        <v>-5.2489999999999997</v>
      </c>
      <c r="AF331" s="5">
        <v>2.8490000000000002</v>
      </c>
      <c r="AG331" s="5">
        <v>-2.58</v>
      </c>
      <c r="AH331" s="5">
        <v>2.085</v>
      </c>
      <c r="AI331" s="5" t="s">
        <v>99</v>
      </c>
      <c r="AK331" s="5">
        <f t="shared" si="176"/>
        <v>0.19099999999999984</v>
      </c>
      <c r="AL331" s="7">
        <f t="shared" si="179"/>
        <v>0</v>
      </c>
      <c r="AN331" s="1">
        <f t="shared" si="185"/>
        <v>66.8</v>
      </c>
      <c r="AO331" s="1">
        <f t="shared" si="186"/>
        <v>45.4</v>
      </c>
      <c r="AP331" s="1">
        <f t="shared" si="187"/>
        <v>27.2</v>
      </c>
      <c r="AQ331" s="17">
        <f t="shared" si="178"/>
        <v>0.20200000000000001</v>
      </c>
      <c r="AR331" s="22">
        <f t="shared" si="188"/>
        <v>0.54100000000000004</v>
      </c>
      <c r="AT331" s="19">
        <f t="shared" si="180"/>
        <v>43791</v>
      </c>
      <c r="AU331" s="20">
        <f t="shared" si="181"/>
        <v>326</v>
      </c>
      <c r="AV331" s="1">
        <f t="shared" si="167"/>
        <v>-0.3</v>
      </c>
      <c r="AW331" s="1">
        <f t="shared" si="168"/>
        <v>2.7</v>
      </c>
      <c r="AX331" s="1">
        <f t="shared" si="169"/>
        <v>-2.2999999999999998</v>
      </c>
      <c r="AY331" s="1">
        <f t="shared" si="170"/>
        <v>45.4</v>
      </c>
      <c r="AZ331" s="1">
        <f t="shared" si="171"/>
        <v>27.2</v>
      </c>
      <c r="BA331" s="1">
        <f t="shared" si="189"/>
        <v>0.19099999999999984</v>
      </c>
      <c r="BB331" s="5">
        <f t="shared" si="190"/>
        <v>0</v>
      </c>
      <c r="BC331" s="1">
        <f t="shared" si="182"/>
        <v>-3.4</v>
      </c>
      <c r="BD331" s="1">
        <f t="shared" si="183"/>
        <v>-0.9</v>
      </c>
      <c r="BE331" s="1">
        <f t="shared" si="184"/>
        <v>-5.2</v>
      </c>
      <c r="BF331" s="5">
        <f t="shared" si="172"/>
        <v>0</v>
      </c>
      <c r="BG331" s="5">
        <f t="shared" si="173"/>
        <v>0.8</v>
      </c>
      <c r="BH331" s="5">
        <f t="shared" si="174"/>
        <v>1.7</v>
      </c>
      <c r="BI331" s="5" t="str">
        <f t="shared" si="191"/>
        <v>NAN</v>
      </c>
      <c r="BJ331" s="10">
        <f t="shared" si="192"/>
        <v>0.20200000000000001</v>
      </c>
      <c r="BK331" s="10">
        <f t="shared" si="193"/>
        <v>0.54100000000000004</v>
      </c>
      <c r="BM331" s="1">
        <f t="shared" si="194"/>
        <v>-3.5569999999999999</v>
      </c>
      <c r="BN331" s="1">
        <f t="shared" si="195"/>
        <v>-2.9029999999999996</v>
      </c>
    </row>
    <row r="332" spans="1:66" x14ac:dyDescent="0.2">
      <c r="A332" s="4">
        <f t="shared" si="196"/>
        <v>43792</v>
      </c>
      <c r="B332" s="1">
        <v>327</v>
      </c>
      <c r="C332" s="1">
        <v>12</v>
      </c>
      <c r="D332" s="5">
        <v>12.89</v>
      </c>
      <c r="E332" s="5">
        <v>-0.33</v>
      </c>
      <c r="F332" s="5">
        <v>-2.72</v>
      </c>
      <c r="G332" s="5">
        <v>-1.097</v>
      </c>
      <c r="H332" s="5">
        <v>81.7</v>
      </c>
      <c r="I332" s="5">
        <v>-0.17599999999999999</v>
      </c>
      <c r="J332" s="5">
        <v>-1.859</v>
      </c>
      <c r="K332" s="5">
        <v>1.4E-2</v>
      </c>
      <c r="L332" s="5">
        <v>0.73799999999999999</v>
      </c>
      <c r="M332" s="5">
        <v>1.6619999999999999</v>
      </c>
      <c r="N332" s="5">
        <v>0.42599999999999999</v>
      </c>
      <c r="O332" s="5">
        <v>89.8</v>
      </c>
      <c r="P332" s="5">
        <v>2.5000000000000001E-2</v>
      </c>
      <c r="Q332" s="5">
        <v>-0.72099999999999997</v>
      </c>
      <c r="R332" s="5">
        <v>0.108</v>
      </c>
      <c r="S332" s="5">
        <v>0.83099999999999996</v>
      </c>
      <c r="T332" s="5">
        <v>1.7450000000000001</v>
      </c>
      <c r="U332" s="5">
        <v>-2.887</v>
      </c>
      <c r="V332" s="5">
        <v>62.67</v>
      </c>
      <c r="W332" s="5">
        <v>-0.43099999999999999</v>
      </c>
      <c r="X332" s="5">
        <v>-3.5819999999999999</v>
      </c>
      <c r="Y332" s="5">
        <v>-6.2E-2</v>
      </c>
      <c r="Z332" s="5">
        <v>0.64500000000000002</v>
      </c>
      <c r="AA332" s="5">
        <v>1.577</v>
      </c>
      <c r="AB332" s="5">
        <v>2.0880000000000001</v>
      </c>
      <c r="AC332" s="5">
        <v>-2.097</v>
      </c>
      <c r="AD332" s="5">
        <v>-1.0469999999999999</v>
      </c>
      <c r="AE332" s="5">
        <v>-4.0519999999999996</v>
      </c>
      <c r="AF332" s="5">
        <v>4.2000000000000003E-2</v>
      </c>
      <c r="AG332" s="5">
        <v>-2.988</v>
      </c>
      <c r="AH332" s="5">
        <v>2.0950000000000002</v>
      </c>
      <c r="AI332" s="5" t="s">
        <v>99</v>
      </c>
      <c r="AK332" s="5">
        <f t="shared" si="176"/>
        <v>0.18699999999999983</v>
      </c>
      <c r="AL332" s="7">
        <f t="shared" si="179"/>
        <v>0</v>
      </c>
      <c r="AN332" s="1">
        <f t="shared" si="185"/>
        <v>89.8</v>
      </c>
      <c r="AO332" s="1">
        <f t="shared" si="186"/>
        <v>81.7</v>
      </c>
      <c r="AP332" s="1">
        <f t="shared" si="187"/>
        <v>62.7</v>
      </c>
      <c r="AQ332" s="17">
        <f t="shared" si="178"/>
        <v>0.39500000000000002</v>
      </c>
      <c r="AR332" s="22">
        <f t="shared" si="188"/>
        <v>0.23499999999999999</v>
      </c>
      <c r="AT332" s="19">
        <f t="shared" si="180"/>
        <v>43792</v>
      </c>
      <c r="AU332" s="20">
        <f t="shared" si="181"/>
        <v>327</v>
      </c>
      <c r="AV332" s="1">
        <f t="shared" si="167"/>
        <v>-1.1000000000000001</v>
      </c>
      <c r="AW332" s="1">
        <f t="shared" si="168"/>
        <v>0.4</v>
      </c>
      <c r="AX332" s="1">
        <f t="shared" si="169"/>
        <v>-2.9</v>
      </c>
      <c r="AY332" s="1">
        <f t="shared" si="170"/>
        <v>81.7</v>
      </c>
      <c r="AZ332" s="1">
        <f t="shared" si="171"/>
        <v>62.7</v>
      </c>
      <c r="BA332" s="1">
        <f t="shared" si="189"/>
        <v>0.18699999999999983</v>
      </c>
      <c r="BB332" s="5">
        <f t="shared" si="190"/>
        <v>0</v>
      </c>
      <c r="BC332" s="1">
        <f t="shared" si="182"/>
        <v>-2.1</v>
      </c>
      <c r="BD332" s="1">
        <f t="shared" si="183"/>
        <v>-1</v>
      </c>
      <c r="BE332" s="1">
        <f t="shared" si="184"/>
        <v>-4.0999999999999996</v>
      </c>
      <c r="BF332" s="5">
        <f t="shared" si="172"/>
        <v>0</v>
      </c>
      <c r="BG332" s="5">
        <f t="shared" si="173"/>
        <v>0.7</v>
      </c>
      <c r="BH332" s="5">
        <f t="shared" si="174"/>
        <v>1.7</v>
      </c>
      <c r="BI332" s="5" t="str">
        <f t="shared" si="191"/>
        <v>NAN</v>
      </c>
      <c r="BJ332" s="10">
        <f t="shared" si="192"/>
        <v>0.39500000000000002</v>
      </c>
      <c r="BK332" s="10">
        <f t="shared" si="193"/>
        <v>0.23499999999999999</v>
      </c>
      <c r="BM332" s="1">
        <f t="shared" si="194"/>
        <v>-1.4729999999999999</v>
      </c>
      <c r="BN332" s="1">
        <f t="shared" si="195"/>
        <v>-1.1649999999999996</v>
      </c>
    </row>
    <row r="333" spans="1:66" x14ac:dyDescent="0.2">
      <c r="A333" s="4">
        <f t="shared" si="196"/>
        <v>43793</v>
      </c>
      <c r="B333" s="1">
        <v>328</v>
      </c>
      <c r="C333" s="1">
        <v>12</v>
      </c>
      <c r="D333" s="5">
        <v>12.98</v>
      </c>
      <c r="E333" s="5">
        <v>-1.7150000000000001</v>
      </c>
      <c r="F333" s="5">
        <v>-6.0049999999999999</v>
      </c>
      <c r="G333" s="5">
        <v>-4.2050000000000001</v>
      </c>
      <c r="H333" s="5">
        <v>84.9</v>
      </c>
      <c r="I333" s="5">
        <v>-0.44400000000000001</v>
      </c>
      <c r="J333" s="5">
        <v>-4.4690000000000003</v>
      </c>
      <c r="K333" s="5">
        <v>-2.1999999999999999E-2</v>
      </c>
      <c r="L333" s="5">
        <v>0.70599999999999996</v>
      </c>
      <c r="M333" s="5">
        <v>1.6220000000000001</v>
      </c>
      <c r="N333" s="5">
        <v>-1.1970000000000001</v>
      </c>
      <c r="O333" s="5">
        <v>96</v>
      </c>
      <c r="P333" s="5">
        <v>-0.152</v>
      </c>
      <c r="Q333" s="5">
        <v>-1.2769999999999999</v>
      </c>
      <c r="R333" s="5">
        <v>6.6000000000000003E-2</v>
      </c>
      <c r="S333" s="5">
        <v>0.79500000000000004</v>
      </c>
      <c r="T333" s="5">
        <v>1.7170000000000001</v>
      </c>
      <c r="U333" s="5">
        <v>-6.492</v>
      </c>
      <c r="V333" s="5">
        <v>64.77</v>
      </c>
      <c r="W333" s="5">
        <v>-0.71199999999999997</v>
      </c>
      <c r="X333" s="5">
        <v>-6.3650000000000002</v>
      </c>
      <c r="Y333" s="5">
        <v>-0.106</v>
      </c>
      <c r="Z333" s="5">
        <v>0.626</v>
      </c>
      <c r="AA333" s="5">
        <v>1.54</v>
      </c>
      <c r="AB333" s="5">
        <v>2.081</v>
      </c>
      <c r="AC333" s="5">
        <v>-4.8470000000000004</v>
      </c>
      <c r="AD333" s="5">
        <v>-1.4950000000000001</v>
      </c>
      <c r="AE333" s="5">
        <v>-6.7629999999999999</v>
      </c>
      <c r="AF333" s="5">
        <v>-1.47</v>
      </c>
      <c r="AG333" s="5">
        <v>-6.54</v>
      </c>
      <c r="AH333" s="5">
        <v>2.1059999999999999</v>
      </c>
      <c r="AI333" s="5" t="s">
        <v>99</v>
      </c>
      <c r="AK333" s="5">
        <f t="shared" si="176"/>
        <v>0.19399999999999995</v>
      </c>
      <c r="AL333" s="7">
        <f t="shared" si="179"/>
        <v>0</v>
      </c>
      <c r="AN333" s="1">
        <f t="shared" si="185"/>
        <v>96</v>
      </c>
      <c r="AO333" s="1">
        <f t="shared" si="186"/>
        <v>84.9</v>
      </c>
      <c r="AP333" s="1">
        <f t="shared" si="187"/>
        <v>64.8</v>
      </c>
      <c r="AQ333" s="17">
        <f t="shared" si="178"/>
        <v>0.36199999999999999</v>
      </c>
      <c r="AR333" s="22">
        <f t="shared" si="188"/>
        <v>0.19700000000000001</v>
      </c>
      <c r="AT333" s="19">
        <f t="shared" si="180"/>
        <v>43793</v>
      </c>
      <c r="AU333" s="20">
        <f t="shared" si="181"/>
        <v>328</v>
      </c>
      <c r="AV333" s="1">
        <f t="shared" si="167"/>
        <v>-4.2</v>
      </c>
      <c r="AW333" s="1">
        <f t="shared" si="168"/>
        <v>-1.2</v>
      </c>
      <c r="AX333" s="1">
        <f t="shared" si="169"/>
        <v>-6.5</v>
      </c>
      <c r="AY333" s="1">
        <f t="shared" si="170"/>
        <v>84.9</v>
      </c>
      <c r="AZ333" s="1">
        <f t="shared" si="171"/>
        <v>64.8</v>
      </c>
      <c r="BA333" s="1">
        <f t="shared" si="189"/>
        <v>0.19399999999999995</v>
      </c>
      <c r="BB333" s="5">
        <f t="shared" si="190"/>
        <v>0</v>
      </c>
      <c r="BC333" s="1">
        <f t="shared" si="182"/>
        <v>-4.8</v>
      </c>
      <c r="BD333" s="1">
        <f t="shared" si="183"/>
        <v>-1.5</v>
      </c>
      <c r="BE333" s="1">
        <f t="shared" si="184"/>
        <v>-6.8</v>
      </c>
      <c r="BF333" s="5">
        <f t="shared" si="172"/>
        <v>0</v>
      </c>
      <c r="BG333" s="5">
        <f t="shared" si="173"/>
        <v>0.7</v>
      </c>
      <c r="BH333" s="5">
        <f t="shared" si="174"/>
        <v>1.6</v>
      </c>
      <c r="BI333" s="5" t="str">
        <f t="shared" si="191"/>
        <v>NAN</v>
      </c>
      <c r="BJ333" s="10">
        <f t="shared" si="192"/>
        <v>0.36199999999999999</v>
      </c>
      <c r="BK333" s="10">
        <f t="shared" si="193"/>
        <v>0.19700000000000001</v>
      </c>
      <c r="BM333" s="1">
        <f t="shared" si="194"/>
        <v>-0.29800000000000004</v>
      </c>
      <c r="BN333" s="1">
        <f t="shared" si="195"/>
        <v>-0.27099999999999991</v>
      </c>
    </row>
    <row r="334" spans="1:66" x14ac:dyDescent="0.2">
      <c r="A334" s="4">
        <f t="shared" si="196"/>
        <v>43794</v>
      </c>
      <c r="B334" s="1">
        <v>329</v>
      </c>
      <c r="C334" s="1">
        <v>12</v>
      </c>
      <c r="D334" s="5">
        <v>12.91</v>
      </c>
      <c r="E334" s="5">
        <v>-6.0049999999999999</v>
      </c>
      <c r="F334" s="5">
        <v>-10.050000000000001</v>
      </c>
      <c r="G334" s="5">
        <v>-8.19</v>
      </c>
      <c r="H334" s="5">
        <v>89.5</v>
      </c>
      <c r="I334" s="5">
        <v>-0.48399999999999999</v>
      </c>
      <c r="J334" s="5">
        <v>-5.0810000000000004</v>
      </c>
      <c r="K334" s="5">
        <v>-6.8000000000000005E-2</v>
      </c>
      <c r="L334" s="5">
        <v>0.66300000000000003</v>
      </c>
      <c r="M334" s="5">
        <v>1.58</v>
      </c>
      <c r="N334" s="5">
        <v>-6.3230000000000004</v>
      </c>
      <c r="O334" s="5">
        <v>92.1</v>
      </c>
      <c r="P334" s="5">
        <v>-0.36399999999999999</v>
      </c>
      <c r="Q334" s="5">
        <v>-3.9969999999999999</v>
      </c>
      <c r="R334" s="5">
        <v>1.4999999999999999E-2</v>
      </c>
      <c r="S334" s="5">
        <v>0.749</v>
      </c>
      <c r="T334" s="5">
        <v>1.673</v>
      </c>
      <c r="U334" s="5">
        <v>-11.15</v>
      </c>
      <c r="V334" s="5">
        <v>84.3</v>
      </c>
      <c r="W334" s="5">
        <v>-0.66200000000000003</v>
      </c>
      <c r="X334" s="5">
        <v>-7.1909999999999998</v>
      </c>
      <c r="Y334" s="5">
        <v>-0.154</v>
      </c>
      <c r="Z334" s="5">
        <v>0.57599999999999996</v>
      </c>
      <c r="AA334" s="5">
        <v>1.4830000000000001</v>
      </c>
      <c r="AB334" s="5">
        <v>2.0760000000000001</v>
      </c>
      <c r="AC334" s="5">
        <v>-8.16</v>
      </c>
      <c r="AD334" s="5">
        <v>-6.1139999999999999</v>
      </c>
      <c r="AE334" s="5">
        <v>-12.03</v>
      </c>
      <c r="AF334" s="5">
        <v>-6.54</v>
      </c>
      <c r="AG334" s="5">
        <v>-11.29</v>
      </c>
      <c r="AH334" s="5">
        <v>2.1190000000000002</v>
      </c>
      <c r="AI334" s="5" t="s">
        <v>99</v>
      </c>
      <c r="AK334" s="5">
        <f t="shared" si="176"/>
        <v>0.19899999999999984</v>
      </c>
      <c r="AL334" s="7">
        <f t="shared" si="179"/>
        <v>-0.1</v>
      </c>
      <c r="AN334" s="1">
        <f t="shared" si="185"/>
        <v>92.1</v>
      </c>
      <c r="AO334" s="1">
        <f t="shared" si="186"/>
        <v>89.5</v>
      </c>
      <c r="AP334" s="1">
        <f t="shared" si="187"/>
        <v>84.3</v>
      </c>
      <c r="AQ334" s="17">
        <f t="shared" si="178"/>
        <v>0.32100000000000001</v>
      </c>
      <c r="AR334" s="22">
        <f t="shared" si="188"/>
        <v>0.06</v>
      </c>
      <c r="AT334" s="19">
        <f t="shared" si="180"/>
        <v>43794</v>
      </c>
      <c r="AU334" s="20">
        <f t="shared" si="181"/>
        <v>329</v>
      </c>
      <c r="AV334" s="1">
        <f t="shared" si="167"/>
        <v>-8.1999999999999993</v>
      </c>
      <c r="AW334" s="1">
        <f t="shared" si="168"/>
        <v>-6.3</v>
      </c>
      <c r="AX334" s="1">
        <f t="shared" si="169"/>
        <v>-11.2</v>
      </c>
      <c r="AY334" s="1">
        <f t="shared" si="170"/>
        <v>89.5</v>
      </c>
      <c r="AZ334" s="1">
        <f t="shared" si="171"/>
        <v>84.3</v>
      </c>
      <c r="BA334" s="1">
        <f t="shared" si="189"/>
        <v>0.19899999999999984</v>
      </c>
      <c r="BB334" s="5">
        <f t="shared" si="190"/>
        <v>-0.1</v>
      </c>
      <c r="BC334" s="1">
        <f t="shared" si="182"/>
        <v>-8.1999999999999993</v>
      </c>
      <c r="BD334" s="1">
        <f t="shared" si="183"/>
        <v>-6.1</v>
      </c>
      <c r="BE334" s="1">
        <f t="shared" si="184"/>
        <v>-12</v>
      </c>
      <c r="BF334" s="5">
        <f t="shared" si="172"/>
        <v>-0.1</v>
      </c>
      <c r="BG334" s="5">
        <f t="shared" si="173"/>
        <v>0.7</v>
      </c>
      <c r="BH334" s="5">
        <f t="shared" si="174"/>
        <v>1.6</v>
      </c>
      <c r="BI334" s="5" t="str">
        <f t="shared" si="191"/>
        <v>NAN</v>
      </c>
      <c r="BJ334" s="10">
        <f t="shared" si="192"/>
        <v>0.32100000000000001</v>
      </c>
      <c r="BK334" s="10">
        <f t="shared" si="193"/>
        <v>0.06</v>
      </c>
      <c r="BM334" s="1">
        <f t="shared" si="194"/>
        <v>0.20900000000000052</v>
      </c>
      <c r="BN334" s="1">
        <f t="shared" si="195"/>
        <v>-0.87999999999999901</v>
      </c>
    </row>
    <row r="335" spans="1:66" x14ac:dyDescent="0.2">
      <c r="A335" s="4">
        <f t="shared" si="196"/>
        <v>43795</v>
      </c>
      <c r="B335" s="1">
        <v>330</v>
      </c>
      <c r="C335" s="1">
        <v>12</v>
      </c>
      <c r="D335" s="5">
        <v>13.01</v>
      </c>
      <c r="E335" s="5">
        <v>-7.415</v>
      </c>
      <c r="F335" s="5">
        <v>-13.01</v>
      </c>
      <c r="G335" s="5">
        <v>-11.45</v>
      </c>
      <c r="H335" s="5">
        <v>82.2</v>
      </c>
      <c r="I335" s="5">
        <v>-0.751</v>
      </c>
      <c r="J335" s="5">
        <v>-7.7080000000000002</v>
      </c>
      <c r="K335" s="5">
        <v>-0.126</v>
      </c>
      <c r="L335" s="5">
        <v>0.61799999999999999</v>
      </c>
      <c r="M335" s="5">
        <v>1.5349999999999999</v>
      </c>
      <c r="N335" s="5">
        <v>-8.27</v>
      </c>
      <c r="O335" s="5">
        <v>88.1</v>
      </c>
      <c r="P335" s="5">
        <v>-0.46300000000000002</v>
      </c>
      <c r="Q335" s="5">
        <v>-4.0679999999999996</v>
      </c>
      <c r="R335" s="5">
        <v>-3.4000000000000002E-2</v>
      </c>
      <c r="S335" s="5">
        <v>0.69699999999999995</v>
      </c>
      <c r="T335" s="5">
        <v>1.615</v>
      </c>
      <c r="U335" s="5">
        <v>-13.55</v>
      </c>
      <c r="V335" s="5">
        <v>71.33</v>
      </c>
      <c r="W335" s="5">
        <v>-0.95199999999999996</v>
      </c>
      <c r="X335" s="5">
        <v>-9.01</v>
      </c>
      <c r="Y335" s="5">
        <v>-0.22700000000000001</v>
      </c>
      <c r="Z335" s="5">
        <v>0.53200000000000003</v>
      </c>
      <c r="AA335" s="5">
        <v>1.4470000000000001</v>
      </c>
      <c r="AB335" s="5">
        <v>2.069</v>
      </c>
      <c r="AC335" s="5">
        <v>-11.96</v>
      </c>
      <c r="AD335" s="5">
        <v>-7.718</v>
      </c>
      <c r="AE335" s="5">
        <v>-14.04</v>
      </c>
      <c r="AF335" s="5">
        <v>-7.41</v>
      </c>
      <c r="AG335" s="5">
        <v>-13.62</v>
      </c>
      <c r="AH335" s="5">
        <v>2.117</v>
      </c>
      <c r="AI335" s="5" t="s">
        <v>99</v>
      </c>
      <c r="AK335" s="5">
        <f t="shared" si="176"/>
        <v>0.20599999999999996</v>
      </c>
      <c r="AL335" s="7">
        <f t="shared" si="179"/>
        <v>-0.1</v>
      </c>
      <c r="AN335" s="1">
        <f t="shared" si="185"/>
        <v>88.1</v>
      </c>
      <c r="AO335" s="1">
        <f t="shared" si="186"/>
        <v>82.2</v>
      </c>
      <c r="AP335" s="1">
        <f t="shared" si="187"/>
        <v>71.3</v>
      </c>
      <c r="AQ335" s="17">
        <f t="shared" si="178"/>
        <v>0.23300000000000001</v>
      </c>
      <c r="AR335" s="22">
        <f t="shared" si="188"/>
        <v>9.4E-2</v>
      </c>
      <c r="AT335" s="19">
        <f t="shared" si="180"/>
        <v>43795</v>
      </c>
      <c r="AU335" s="20">
        <f t="shared" si="181"/>
        <v>330</v>
      </c>
      <c r="AV335" s="1">
        <f t="shared" si="167"/>
        <v>-11.5</v>
      </c>
      <c r="AW335" s="1">
        <f t="shared" si="168"/>
        <v>-8.3000000000000007</v>
      </c>
      <c r="AX335" s="1">
        <f t="shared" si="169"/>
        <v>-13.6</v>
      </c>
      <c r="AY335" s="1">
        <f t="shared" si="170"/>
        <v>82.2</v>
      </c>
      <c r="AZ335" s="1">
        <f t="shared" si="171"/>
        <v>71.3</v>
      </c>
      <c r="BA335" s="1">
        <f t="shared" si="189"/>
        <v>0.20599999999999996</v>
      </c>
      <c r="BB335" s="5">
        <f t="shared" si="190"/>
        <v>-0.1</v>
      </c>
      <c r="BC335" s="1">
        <f t="shared" si="182"/>
        <v>-12</v>
      </c>
      <c r="BD335" s="1">
        <f t="shared" si="183"/>
        <v>-7.7</v>
      </c>
      <c r="BE335" s="1">
        <f t="shared" si="184"/>
        <v>-14</v>
      </c>
      <c r="BF335" s="5">
        <f t="shared" si="172"/>
        <v>-0.1</v>
      </c>
      <c r="BG335" s="5">
        <f t="shared" si="173"/>
        <v>0.6</v>
      </c>
      <c r="BH335" s="5">
        <f t="shared" si="174"/>
        <v>1.5</v>
      </c>
      <c r="BI335" s="5" t="str">
        <f t="shared" si="191"/>
        <v>NAN</v>
      </c>
      <c r="BJ335" s="10">
        <f t="shared" si="192"/>
        <v>0.23300000000000001</v>
      </c>
      <c r="BK335" s="10">
        <f t="shared" si="193"/>
        <v>9.4E-2</v>
      </c>
      <c r="BM335" s="1">
        <f t="shared" si="194"/>
        <v>0.5519999999999996</v>
      </c>
      <c r="BN335" s="1">
        <f t="shared" si="195"/>
        <v>-0.48999999999999844</v>
      </c>
    </row>
    <row r="336" spans="1:66" x14ac:dyDescent="0.2">
      <c r="A336" s="4">
        <f t="shared" si="196"/>
        <v>43796</v>
      </c>
      <c r="B336" s="1">
        <v>331</v>
      </c>
      <c r="C336" s="1">
        <v>12</v>
      </c>
      <c r="D336" s="5">
        <v>12.93</v>
      </c>
      <c r="E336" s="5">
        <v>-10.23</v>
      </c>
      <c r="F336" s="5">
        <v>-14.3</v>
      </c>
      <c r="G336" s="5">
        <v>-12.9</v>
      </c>
      <c r="H336" s="5">
        <v>79.12</v>
      </c>
      <c r="I336" s="5">
        <v>-0.91800000000000004</v>
      </c>
      <c r="J336" s="5">
        <v>-8.69</v>
      </c>
      <c r="K336" s="5">
        <v>-0.191</v>
      </c>
      <c r="L336" s="5">
        <v>0.57899999999999996</v>
      </c>
      <c r="M336" s="5">
        <v>1.504</v>
      </c>
      <c r="N336" s="5">
        <v>-10.88</v>
      </c>
      <c r="O336" s="5">
        <v>84.7</v>
      </c>
      <c r="P336" s="5">
        <v>-0.69899999999999995</v>
      </c>
      <c r="Q336" s="5">
        <v>-6.5069999999999997</v>
      </c>
      <c r="R336" s="5">
        <v>-9.4E-2</v>
      </c>
      <c r="S336" s="5">
        <v>0.66500000000000004</v>
      </c>
      <c r="T336" s="5">
        <v>1.585</v>
      </c>
      <c r="U336" s="5">
        <v>-14.73</v>
      </c>
      <c r="V336" s="5">
        <v>73.819999999999993</v>
      </c>
      <c r="W336" s="5">
        <v>-1.105</v>
      </c>
      <c r="X336" s="5">
        <v>-9.86</v>
      </c>
      <c r="Y336" s="5">
        <v>-0.29599999999999999</v>
      </c>
      <c r="Z336" s="5">
        <v>0.48399999999999999</v>
      </c>
      <c r="AA336" s="5">
        <v>1.413</v>
      </c>
      <c r="AB336" s="5">
        <v>2.0640000000000001</v>
      </c>
      <c r="AC336" s="5">
        <v>-13.06</v>
      </c>
      <c r="AD336" s="5">
        <v>-10.45</v>
      </c>
      <c r="AE336" s="5">
        <v>-15.08</v>
      </c>
      <c r="AF336" s="5">
        <v>-10.4</v>
      </c>
      <c r="AG336" s="5">
        <v>-14.84</v>
      </c>
      <c r="AH336" s="5">
        <v>2.12</v>
      </c>
      <c r="AI336" s="5" t="s">
        <v>99</v>
      </c>
      <c r="AK336" s="5">
        <f t="shared" si="176"/>
        <v>0.21099999999999985</v>
      </c>
      <c r="AL336" s="7">
        <f t="shared" si="179"/>
        <v>-0.2</v>
      </c>
      <c r="AN336" s="1">
        <f t="shared" si="185"/>
        <v>84.7</v>
      </c>
      <c r="AO336" s="1">
        <f t="shared" si="186"/>
        <v>79.099999999999994</v>
      </c>
      <c r="AP336" s="1">
        <f t="shared" si="187"/>
        <v>73.8</v>
      </c>
      <c r="AQ336" s="17">
        <f t="shared" si="178"/>
        <v>0.19600000000000001</v>
      </c>
      <c r="AR336" s="22">
        <f t="shared" si="188"/>
        <v>7.0000000000000007E-2</v>
      </c>
      <c r="AT336" s="19">
        <f t="shared" si="180"/>
        <v>43796</v>
      </c>
      <c r="AU336" s="20">
        <f t="shared" si="181"/>
        <v>331</v>
      </c>
      <c r="AV336" s="1">
        <f t="shared" si="167"/>
        <v>-12.9</v>
      </c>
      <c r="AW336" s="1">
        <f t="shared" si="168"/>
        <v>-10.9</v>
      </c>
      <c r="AX336" s="1">
        <f t="shared" si="169"/>
        <v>-14.7</v>
      </c>
      <c r="AY336" s="1">
        <f t="shared" si="170"/>
        <v>79.099999999999994</v>
      </c>
      <c r="AZ336" s="1">
        <f t="shared" si="171"/>
        <v>73.8</v>
      </c>
      <c r="BA336" s="1">
        <f t="shared" si="189"/>
        <v>0.21099999999999985</v>
      </c>
      <c r="BB336" s="5">
        <f t="shared" si="190"/>
        <v>-0.2</v>
      </c>
      <c r="BC336" s="1">
        <f t="shared" si="182"/>
        <v>-13.1</v>
      </c>
      <c r="BD336" s="1">
        <f t="shared" si="183"/>
        <v>-10.5</v>
      </c>
      <c r="BE336" s="1">
        <f t="shared" si="184"/>
        <v>-15.1</v>
      </c>
      <c r="BF336" s="5">
        <f t="shared" si="172"/>
        <v>-0.2</v>
      </c>
      <c r="BG336" s="5">
        <f t="shared" si="173"/>
        <v>0.6</v>
      </c>
      <c r="BH336" s="5">
        <f t="shared" si="174"/>
        <v>1.5</v>
      </c>
      <c r="BI336" s="5" t="str">
        <f t="shared" si="191"/>
        <v>NAN</v>
      </c>
      <c r="BJ336" s="10">
        <f t="shared" si="192"/>
        <v>0.19600000000000001</v>
      </c>
      <c r="BK336" s="10">
        <f t="shared" si="193"/>
        <v>7.0000000000000007E-2</v>
      </c>
      <c r="BM336" s="1">
        <f t="shared" si="194"/>
        <v>0.43000000000000149</v>
      </c>
      <c r="BN336" s="1">
        <f t="shared" si="195"/>
        <v>-0.34999999999999964</v>
      </c>
    </row>
    <row r="337" spans="1:66" x14ac:dyDescent="0.2">
      <c r="A337" s="4">
        <f t="shared" si="196"/>
        <v>43797</v>
      </c>
      <c r="B337" s="1">
        <v>332</v>
      </c>
      <c r="C337" s="1">
        <v>12</v>
      </c>
      <c r="D337" s="5">
        <v>12.99</v>
      </c>
      <c r="E337" s="5">
        <v>-9.8699999999999992</v>
      </c>
      <c r="F337" s="5">
        <v>-15.39</v>
      </c>
      <c r="G337" s="5">
        <v>-13.61</v>
      </c>
      <c r="H337" s="5">
        <v>75.33</v>
      </c>
      <c r="I337" s="5">
        <v>-1.06</v>
      </c>
      <c r="J337" s="5">
        <v>-9.51</v>
      </c>
      <c r="K337" s="5">
        <v>-0.27800000000000002</v>
      </c>
      <c r="L337" s="5">
        <v>0.53</v>
      </c>
      <c r="M337" s="5">
        <v>1.4690000000000001</v>
      </c>
      <c r="N337" s="5">
        <v>-10</v>
      </c>
      <c r="O337" s="5">
        <v>80.8</v>
      </c>
      <c r="P337" s="5">
        <v>-0.77100000000000002</v>
      </c>
      <c r="Q337" s="5">
        <v>-6.43</v>
      </c>
      <c r="R337" s="5">
        <v>-0.17399999999999999</v>
      </c>
      <c r="S337" s="5">
        <v>0.621</v>
      </c>
      <c r="T337" s="5">
        <v>1.542</v>
      </c>
      <c r="U337" s="5">
        <v>-15.71</v>
      </c>
      <c r="V337" s="5">
        <v>61.43</v>
      </c>
      <c r="W337" s="5">
        <v>-1.2430000000000001</v>
      </c>
      <c r="X337" s="5">
        <v>-10.74</v>
      </c>
      <c r="Y337" s="5">
        <v>-0.378</v>
      </c>
      <c r="Z337" s="5">
        <v>0.436</v>
      </c>
      <c r="AA337" s="5">
        <v>1.381</v>
      </c>
      <c r="AB337" s="5">
        <v>2.0630000000000002</v>
      </c>
      <c r="AC337" s="5">
        <v>-14.14</v>
      </c>
      <c r="AD337" s="5">
        <v>-10.97</v>
      </c>
      <c r="AE337" s="5">
        <v>-15.84</v>
      </c>
      <c r="AF337" s="5">
        <v>-10.06</v>
      </c>
      <c r="AG337" s="5">
        <v>-15.87</v>
      </c>
      <c r="AH337" s="5">
        <v>2.1179999999999999</v>
      </c>
      <c r="AI337" s="5" t="s">
        <v>99</v>
      </c>
      <c r="AK337" s="5">
        <f t="shared" si="176"/>
        <v>0.21199999999999974</v>
      </c>
      <c r="AL337" s="7">
        <f t="shared" si="179"/>
        <v>-0.3</v>
      </c>
      <c r="AN337" s="1">
        <f t="shared" si="185"/>
        <v>80.8</v>
      </c>
      <c r="AO337" s="1">
        <f t="shared" si="186"/>
        <v>75.3</v>
      </c>
      <c r="AP337" s="1">
        <f t="shared" si="187"/>
        <v>61.4</v>
      </c>
      <c r="AQ337" s="17">
        <f t="shared" si="178"/>
        <v>0.17499999999999999</v>
      </c>
      <c r="AR337" s="22">
        <f t="shared" si="188"/>
        <v>0.11</v>
      </c>
      <c r="AT337" s="19">
        <f t="shared" si="180"/>
        <v>43797</v>
      </c>
      <c r="AU337" s="20">
        <f t="shared" si="181"/>
        <v>332</v>
      </c>
      <c r="AV337" s="1">
        <f t="shared" si="167"/>
        <v>-13.6</v>
      </c>
      <c r="AW337" s="1">
        <f t="shared" si="168"/>
        <v>-10</v>
      </c>
      <c r="AX337" s="1">
        <f t="shared" si="169"/>
        <v>-15.7</v>
      </c>
      <c r="AY337" s="1">
        <f t="shared" si="170"/>
        <v>75.3</v>
      </c>
      <c r="AZ337" s="1">
        <f t="shared" si="171"/>
        <v>61.4</v>
      </c>
      <c r="BA337" s="1">
        <f t="shared" si="189"/>
        <v>0.21199999999999974</v>
      </c>
      <c r="BB337" s="5">
        <f t="shared" si="190"/>
        <v>-0.3</v>
      </c>
      <c r="BC337" s="1">
        <f t="shared" si="182"/>
        <v>-14.1</v>
      </c>
      <c r="BD337" s="1">
        <f t="shared" si="183"/>
        <v>-11</v>
      </c>
      <c r="BE337" s="1">
        <f t="shared" si="184"/>
        <v>-15.8</v>
      </c>
      <c r="BF337" s="5">
        <f t="shared" si="172"/>
        <v>-0.3</v>
      </c>
      <c r="BG337" s="5">
        <f t="shared" si="173"/>
        <v>0.5</v>
      </c>
      <c r="BH337" s="5">
        <f t="shared" si="174"/>
        <v>1.5</v>
      </c>
      <c r="BI337" s="5" t="str">
        <f t="shared" si="191"/>
        <v>NAN</v>
      </c>
      <c r="BJ337" s="10">
        <f t="shared" si="192"/>
        <v>0.17499999999999999</v>
      </c>
      <c r="BK337" s="10">
        <f t="shared" si="193"/>
        <v>0.11</v>
      </c>
      <c r="BM337" s="1">
        <f t="shared" si="194"/>
        <v>-0.97000000000000064</v>
      </c>
      <c r="BN337" s="1">
        <f t="shared" si="195"/>
        <v>-0.12999999999999901</v>
      </c>
    </row>
    <row r="338" spans="1:66" x14ac:dyDescent="0.2">
      <c r="A338" s="4">
        <f t="shared" si="196"/>
        <v>43798</v>
      </c>
      <c r="B338" s="1">
        <v>333</v>
      </c>
      <c r="C338" s="1">
        <v>12</v>
      </c>
      <c r="D338" s="5">
        <v>12.97</v>
      </c>
      <c r="E338" s="5">
        <v>-8.7100000000000009</v>
      </c>
      <c r="F338" s="5">
        <v>-14.35</v>
      </c>
      <c r="G338" s="5">
        <v>-10.98</v>
      </c>
      <c r="H338" s="5">
        <v>66.260000000000005</v>
      </c>
      <c r="I338" s="5">
        <v>-1.0860000000000001</v>
      </c>
      <c r="J338" s="5">
        <v>-8.5</v>
      </c>
      <c r="K338" s="5">
        <v>-0.35399999999999998</v>
      </c>
      <c r="L338" s="5">
        <v>0.49199999999999999</v>
      </c>
      <c r="M338" s="5">
        <v>1.4470000000000001</v>
      </c>
      <c r="N338" s="5">
        <v>-7.2590000000000003</v>
      </c>
      <c r="O338" s="5">
        <v>80.8</v>
      </c>
      <c r="P338" s="5">
        <v>-0.79600000000000004</v>
      </c>
      <c r="Q338" s="5">
        <v>-5.6749999999999998</v>
      </c>
      <c r="R338" s="5">
        <v>-0.23599999999999999</v>
      </c>
      <c r="S338" s="5">
        <v>0.57799999999999996</v>
      </c>
      <c r="T338" s="5">
        <v>1.528</v>
      </c>
      <c r="U338" s="5">
        <v>-14.83</v>
      </c>
      <c r="V338" s="5">
        <v>50.09</v>
      </c>
      <c r="W338" s="5">
        <v>-1.284</v>
      </c>
      <c r="X338" s="5">
        <v>-10.38</v>
      </c>
      <c r="Y338" s="5">
        <v>-0.44800000000000001</v>
      </c>
      <c r="Z338" s="5">
        <v>0.41899999999999998</v>
      </c>
      <c r="AA338" s="5">
        <v>1.355</v>
      </c>
      <c r="AB338" s="5">
        <v>2.0630000000000002</v>
      </c>
      <c r="AC338" s="5">
        <v>-12.24</v>
      </c>
      <c r="AD338" s="5">
        <v>-9.0399999999999991</v>
      </c>
      <c r="AE338" s="5">
        <v>-15.14</v>
      </c>
      <c r="AF338" s="5">
        <v>-7.8550000000000004</v>
      </c>
      <c r="AG338" s="5">
        <v>-14.63</v>
      </c>
      <c r="AH338" s="5">
        <v>2.0920000000000001</v>
      </c>
      <c r="AI338" s="5" t="s">
        <v>99</v>
      </c>
      <c r="AK338" s="5">
        <f t="shared" si="176"/>
        <v>0.21199999999999974</v>
      </c>
      <c r="AL338" s="7">
        <f t="shared" si="179"/>
        <v>-0.4</v>
      </c>
      <c r="AN338" s="1">
        <f t="shared" si="185"/>
        <v>80.8</v>
      </c>
      <c r="AO338" s="1">
        <f t="shared" si="186"/>
        <v>66.3</v>
      </c>
      <c r="AP338" s="1">
        <f t="shared" si="187"/>
        <v>50.1</v>
      </c>
      <c r="AQ338" s="17">
        <f t="shared" ref="AQ338:AQ370" si="197">ROUND((0.6105*(EXP((17.273*N338)/(N338+237.3))))*AP338/100,3)</f>
        <v>0.17699999999999999</v>
      </c>
      <c r="AR338" s="22">
        <f t="shared" si="188"/>
        <v>0.17599999999999999</v>
      </c>
      <c r="AT338" s="19">
        <f t="shared" si="180"/>
        <v>43798</v>
      </c>
      <c r="AU338" s="20">
        <f t="shared" si="181"/>
        <v>333</v>
      </c>
      <c r="AV338" s="1">
        <f t="shared" si="167"/>
        <v>-11</v>
      </c>
      <c r="AW338" s="1">
        <f t="shared" si="168"/>
        <v>-7.3</v>
      </c>
      <c r="AX338" s="1">
        <f t="shared" si="169"/>
        <v>-14.8</v>
      </c>
      <c r="AY338" s="1">
        <f t="shared" si="170"/>
        <v>66.3</v>
      </c>
      <c r="AZ338" s="1">
        <f t="shared" si="171"/>
        <v>50.1</v>
      </c>
      <c r="BA338" s="1">
        <f t="shared" si="189"/>
        <v>0.21199999999999974</v>
      </c>
      <c r="BB338" s="5">
        <f t="shared" si="190"/>
        <v>-0.4</v>
      </c>
      <c r="BC338" s="1">
        <f t="shared" si="182"/>
        <v>-12.2</v>
      </c>
      <c r="BD338" s="1">
        <f t="shared" si="183"/>
        <v>-9</v>
      </c>
      <c r="BE338" s="1">
        <f t="shared" si="184"/>
        <v>-15.1</v>
      </c>
      <c r="BF338" s="5">
        <f t="shared" si="172"/>
        <v>-0.4</v>
      </c>
      <c r="BG338" s="5">
        <f t="shared" si="173"/>
        <v>0.5</v>
      </c>
      <c r="BH338" s="5">
        <f t="shared" si="174"/>
        <v>1.4</v>
      </c>
      <c r="BI338" s="5" t="str">
        <f t="shared" si="191"/>
        <v>NAN</v>
      </c>
      <c r="BJ338" s="10">
        <f t="shared" si="192"/>
        <v>0.17699999999999999</v>
      </c>
      <c r="BK338" s="10">
        <f t="shared" si="193"/>
        <v>0.17599999999999999</v>
      </c>
      <c r="BM338" s="1">
        <f t="shared" si="194"/>
        <v>-1.7809999999999988</v>
      </c>
      <c r="BN338" s="1">
        <f t="shared" si="195"/>
        <v>-0.3100000000000005</v>
      </c>
    </row>
    <row r="339" spans="1:66" x14ac:dyDescent="0.2">
      <c r="A339" s="4">
        <f t="shared" si="196"/>
        <v>43799</v>
      </c>
      <c r="B339" s="1">
        <v>334</v>
      </c>
      <c r="C339" s="1">
        <v>12</v>
      </c>
      <c r="D339" s="5">
        <v>12.93</v>
      </c>
      <c r="E339" s="5">
        <v>-5.8090000000000002</v>
      </c>
      <c r="F339" s="5">
        <v>-11.72</v>
      </c>
      <c r="G339" s="5">
        <v>-8.77</v>
      </c>
      <c r="H339" s="5">
        <v>64.52</v>
      </c>
      <c r="I339" s="5">
        <v>-0.85099999999999998</v>
      </c>
      <c r="J339" s="5">
        <v>-6.9420000000000002</v>
      </c>
      <c r="K339" s="5">
        <v>-0.32800000000000001</v>
      </c>
      <c r="L339" s="5">
        <v>0.46800000000000003</v>
      </c>
      <c r="M339" s="5">
        <v>1.431</v>
      </c>
      <c r="N339" s="5">
        <v>-5.9169999999999998</v>
      </c>
      <c r="O339" s="5">
        <v>86.4</v>
      </c>
      <c r="P339" s="5">
        <v>-0.50700000000000001</v>
      </c>
      <c r="Q339" s="5">
        <v>-3.665</v>
      </c>
      <c r="R339" s="5">
        <v>-0.20899999999999999</v>
      </c>
      <c r="S339" s="5">
        <v>0.56000000000000005</v>
      </c>
      <c r="T339" s="5">
        <v>1.5269999999999999</v>
      </c>
      <c r="U339" s="5">
        <v>-12.2</v>
      </c>
      <c r="V339" s="5">
        <v>48.98</v>
      </c>
      <c r="W339" s="5">
        <v>-1.181</v>
      </c>
      <c r="X339" s="5">
        <v>-9.48</v>
      </c>
      <c r="Y339" s="5">
        <v>-0.46800000000000003</v>
      </c>
      <c r="Z339" s="5">
        <v>0.34899999999999998</v>
      </c>
      <c r="AA339" s="5">
        <v>1.3220000000000001</v>
      </c>
      <c r="AB339" s="5">
        <v>2.0659999999999998</v>
      </c>
      <c r="AC339" s="5">
        <v>-9.74</v>
      </c>
      <c r="AD339" s="5">
        <v>-7.2119999999999997</v>
      </c>
      <c r="AE339" s="5">
        <v>-12.74</v>
      </c>
      <c r="AF339" s="5">
        <v>-5.5629999999999997</v>
      </c>
      <c r="AG339" s="5">
        <v>-12.3</v>
      </c>
      <c r="AH339" s="5">
        <v>2.113</v>
      </c>
      <c r="AI339" s="5" t="s">
        <v>99</v>
      </c>
      <c r="AK339" s="5">
        <f t="shared" si="176"/>
        <v>0.20900000000000007</v>
      </c>
      <c r="AL339" s="7">
        <f t="shared" si="179"/>
        <v>-0.3</v>
      </c>
      <c r="AN339" s="1">
        <f t="shared" si="185"/>
        <v>86.4</v>
      </c>
      <c r="AO339" s="1">
        <f t="shared" si="186"/>
        <v>64.5</v>
      </c>
      <c r="AP339" s="1">
        <f t="shared" si="187"/>
        <v>49</v>
      </c>
      <c r="AQ339" s="17">
        <f t="shared" si="197"/>
        <v>0.192</v>
      </c>
      <c r="AR339" s="22">
        <f t="shared" si="188"/>
        <v>0.2</v>
      </c>
      <c r="AT339" s="19">
        <f t="shared" si="180"/>
        <v>43799</v>
      </c>
      <c r="AU339" s="20">
        <f t="shared" si="181"/>
        <v>334</v>
      </c>
      <c r="AV339" s="1">
        <f t="shared" ref="AV339:AV370" si="198">ROUND(G339,1)</f>
        <v>-8.8000000000000007</v>
      </c>
      <c r="AW339" s="1">
        <f t="shared" ref="AW339:AW370" si="199">ROUND(N339,1)</f>
        <v>-5.9</v>
      </c>
      <c r="AX339" s="1">
        <f t="shared" ref="AX339:AX370" si="200">ROUND(U339,1)</f>
        <v>-12.2</v>
      </c>
      <c r="AY339" s="1">
        <f t="shared" ref="AY339:AY370" si="201">AO339</f>
        <v>64.5</v>
      </c>
      <c r="AZ339" s="1">
        <f t="shared" ref="AZ339:AZ370" si="202">AP339</f>
        <v>49</v>
      </c>
      <c r="BA339" s="1">
        <f t="shared" si="189"/>
        <v>0.20900000000000007</v>
      </c>
      <c r="BB339" s="5">
        <f t="shared" si="190"/>
        <v>-0.3</v>
      </c>
      <c r="BC339" s="1">
        <f t="shared" si="182"/>
        <v>-9.6999999999999993</v>
      </c>
      <c r="BD339" s="1">
        <f t="shared" si="183"/>
        <v>-7.2</v>
      </c>
      <c r="BE339" s="1">
        <f t="shared" si="184"/>
        <v>-12.7</v>
      </c>
      <c r="BF339" s="5">
        <f t="shared" ref="BF339:BF370" si="203">ROUND(K339,1)</f>
        <v>-0.3</v>
      </c>
      <c r="BG339" s="5">
        <f t="shared" ref="BG339:BG370" si="204">ROUND(L339,1)</f>
        <v>0.5</v>
      </c>
      <c r="BH339" s="5">
        <f t="shared" ref="BH339:BH370" si="205">ROUND(M339,1)</f>
        <v>1.4</v>
      </c>
      <c r="BI339" s="5" t="str">
        <f t="shared" si="191"/>
        <v>NAN</v>
      </c>
      <c r="BJ339" s="10">
        <f t="shared" si="192"/>
        <v>0.192</v>
      </c>
      <c r="BK339" s="10">
        <f t="shared" si="193"/>
        <v>0.2</v>
      </c>
      <c r="BM339" s="1">
        <f t="shared" si="194"/>
        <v>-1.2949999999999999</v>
      </c>
      <c r="BN339" s="1">
        <f t="shared" si="195"/>
        <v>-0.54000000000000092</v>
      </c>
    </row>
    <row r="340" spans="1:66" x14ac:dyDescent="0.2">
      <c r="A340" s="4">
        <f t="shared" si="196"/>
        <v>43800</v>
      </c>
      <c r="B340" s="1">
        <v>335</v>
      </c>
      <c r="C340" s="1">
        <v>12</v>
      </c>
      <c r="D340" s="5">
        <v>12.82</v>
      </c>
      <c r="E340" s="5">
        <v>-6.8639999999999999</v>
      </c>
      <c r="F340" s="5">
        <v>-12.48</v>
      </c>
      <c r="G340" s="5">
        <v>-10.08</v>
      </c>
      <c r="H340" s="5">
        <v>88.5</v>
      </c>
      <c r="I340" s="5">
        <v>-0.99399999999999999</v>
      </c>
      <c r="J340" s="5">
        <v>-7.319</v>
      </c>
      <c r="K340" s="5">
        <v>-0.44400000000000001</v>
      </c>
      <c r="L340" s="5">
        <v>0.41799999999999998</v>
      </c>
      <c r="M340" s="5">
        <v>1.3819999999999999</v>
      </c>
      <c r="N340" s="5">
        <v>-6.0860000000000003</v>
      </c>
      <c r="O340" s="5">
        <v>91.7</v>
      </c>
      <c r="P340" s="5">
        <v>-0.57199999999999995</v>
      </c>
      <c r="Q340" s="5">
        <v>-4.38</v>
      </c>
      <c r="R340" s="5">
        <v>-0.28499999999999998</v>
      </c>
      <c r="S340" s="5">
        <v>0.497</v>
      </c>
      <c r="T340" s="5">
        <v>1.4590000000000001</v>
      </c>
      <c r="U340" s="5">
        <v>-12.74</v>
      </c>
      <c r="V340" s="5">
        <v>86.1</v>
      </c>
      <c r="W340" s="5">
        <v>-1.3109999999999999</v>
      </c>
      <c r="X340" s="5">
        <v>-9.8699999999999992</v>
      </c>
      <c r="Y340" s="5">
        <v>-0.57199999999999995</v>
      </c>
      <c r="Z340" s="5">
        <v>0.33600000000000002</v>
      </c>
      <c r="AA340" s="5">
        <v>1.3009999999999999</v>
      </c>
      <c r="AB340" s="5">
        <v>2.0579999999999998</v>
      </c>
      <c r="AC340" s="5">
        <v>-9.9499999999999993</v>
      </c>
      <c r="AD340" s="5">
        <v>-6.202</v>
      </c>
      <c r="AE340" s="5">
        <v>-13.09</v>
      </c>
      <c r="AF340" s="5">
        <v>-6.5010000000000003</v>
      </c>
      <c r="AG340" s="5">
        <v>-12.87</v>
      </c>
      <c r="AH340" s="5">
        <v>2.0819999999999999</v>
      </c>
      <c r="AI340" s="5" t="s">
        <v>99</v>
      </c>
      <c r="AK340" s="5">
        <f t="shared" si="176"/>
        <v>0.21700000000000008</v>
      </c>
      <c r="AL340" s="7">
        <f t="shared" si="179"/>
        <v>-0.4</v>
      </c>
      <c r="AN340" s="1">
        <f t="shared" si="185"/>
        <v>91.7</v>
      </c>
      <c r="AO340" s="1">
        <f t="shared" si="186"/>
        <v>88.5</v>
      </c>
      <c r="AP340" s="1">
        <f t="shared" si="187"/>
        <v>86.1</v>
      </c>
      <c r="AQ340" s="17">
        <f t="shared" si="197"/>
        <v>0.33400000000000002</v>
      </c>
      <c r="AR340" s="22">
        <f t="shared" si="188"/>
        <v>5.3999999999999999E-2</v>
      </c>
      <c r="AT340" s="19">
        <f t="shared" si="180"/>
        <v>43800</v>
      </c>
      <c r="AU340" s="20">
        <f t="shared" si="181"/>
        <v>335</v>
      </c>
      <c r="AV340" s="1">
        <f t="shared" si="198"/>
        <v>-10.1</v>
      </c>
      <c r="AW340" s="1">
        <f t="shared" si="199"/>
        <v>-6.1</v>
      </c>
      <c r="AX340" s="1">
        <f t="shared" si="200"/>
        <v>-12.7</v>
      </c>
      <c r="AY340" s="1">
        <f t="shared" si="201"/>
        <v>88.5</v>
      </c>
      <c r="AZ340" s="1">
        <f t="shared" si="202"/>
        <v>86.1</v>
      </c>
      <c r="BA340" s="1">
        <f t="shared" si="189"/>
        <v>0.21700000000000008</v>
      </c>
      <c r="BB340" s="5">
        <f t="shared" si="190"/>
        <v>-0.4</v>
      </c>
      <c r="BC340" s="1">
        <f t="shared" si="182"/>
        <v>-10</v>
      </c>
      <c r="BD340" s="1">
        <f t="shared" si="183"/>
        <v>-6.2</v>
      </c>
      <c r="BE340" s="1">
        <f t="shared" si="184"/>
        <v>-13.1</v>
      </c>
      <c r="BF340" s="5">
        <f t="shared" si="203"/>
        <v>-0.4</v>
      </c>
      <c r="BG340" s="5">
        <f t="shared" si="204"/>
        <v>0.4</v>
      </c>
      <c r="BH340" s="5">
        <f t="shared" si="205"/>
        <v>1.4</v>
      </c>
      <c r="BI340" s="5" t="str">
        <f t="shared" si="191"/>
        <v>NAN</v>
      </c>
      <c r="BJ340" s="10">
        <f t="shared" si="192"/>
        <v>0.33400000000000002</v>
      </c>
      <c r="BK340" s="10">
        <f t="shared" si="193"/>
        <v>5.3999999999999999E-2</v>
      </c>
      <c r="BM340" s="1">
        <f t="shared" si="194"/>
        <v>-0.11599999999999966</v>
      </c>
      <c r="BN340" s="1">
        <f t="shared" si="195"/>
        <v>-0.34999999999999964</v>
      </c>
    </row>
    <row r="341" spans="1:66" x14ac:dyDescent="0.2">
      <c r="A341" s="4">
        <f t="shared" si="196"/>
        <v>43801</v>
      </c>
      <c r="B341" s="1">
        <v>336</v>
      </c>
      <c r="C341" s="1">
        <v>12</v>
      </c>
      <c r="D341" s="5">
        <v>12.8</v>
      </c>
      <c r="E341" s="5">
        <v>-2.4630000000000001</v>
      </c>
      <c r="F341" s="5">
        <v>-6.8410000000000002</v>
      </c>
      <c r="G341" s="5">
        <v>-4.1360000000000001</v>
      </c>
      <c r="H341" s="5">
        <v>93.6</v>
      </c>
      <c r="I341" s="5">
        <v>-0.441</v>
      </c>
      <c r="J341" s="5">
        <v>-2.8380000000000001</v>
      </c>
      <c r="K341" s="5">
        <v>-0.23</v>
      </c>
      <c r="L341" s="5">
        <v>0.42</v>
      </c>
      <c r="M341" s="5">
        <v>1.379</v>
      </c>
      <c r="N341" s="5">
        <v>-2.0750000000000002</v>
      </c>
      <c r="O341" s="5">
        <v>95.2</v>
      </c>
      <c r="P341" s="5">
        <v>-0.23400000000000001</v>
      </c>
      <c r="Q341" s="5">
        <v>-1.738</v>
      </c>
      <c r="R341" s="5">
        <v>-0.10199999999999999</v>
      </c>
      <c r="S341" s="5">
        <v>0.499</v>
      </c>
      <c r="T341" s="5">
        <v>1.4570000000000001</v>
      </c>
      <c r="U341" s="5">
        <v>-6.7619999999999996</v>
      </c>
      <c r="V341" s="5">
        <v>91.4</v>
      </c>
      <c r="W341" s="5">
        <v>-0.68</v>
      </c>
      <c r="X341" s="5">
        <v>-4.45</v>
      </c>
      <c r="Y341" s="5">
        <v>-0.37</v>
      </c>
      <c r="Z341" s="5">
        <v>0.34300000000000003</v>
      </c>
      <c r="AA341" s="5">
        <v>1.306</v>
      </c>
      <c r="AB341" s="5">
        <v>2.0489999999999999</v>
      </c>
      <c r="AC341" s="5">
        <v>-4.1719999999999997</v>
      </c>
      <c r="AD341" s="5">
        <v>-2.4169999999999998</v>
      </c>
      <c r="AE341" s="5">
        <v>-6.548</v>
      </c>
      <c r="AF341" s="5">
        <v>-2.38</v>
      </c>
      <c r="AG341" s="5">
        <v>-6.83</v>
      </c>
      <c r="AH341" s="5">
        <v>2.0569999999999999</v>
      </c>
      <c r="AI341" s="5" t="s">
        <v>99</v>
      </c>
      <c r="AK341" s="5">
        <f t="shared" si="176"/>
        <v>0.22599999999999998</v>
      </c>
      <c r="AL341" s="8">
        <f t="shared" ref="AL341:AL370" si="206">ROUND(AVERAGE(J341:K341),1)</f>
        <v>-1.5</v>
      </c>
      <c r="AN341" s="1">
        <f t="shared" si="185"/>
        <v>95.2</v>
      </c>
      <c r="AO341" s="1">
        <f t="shared" si="186"/>
        <v>93.6</v>
      </c>
      <c r="AP341" s="1">
        <f t="shared" si="187"/>
        <v>91.4</v>
      </c>
      <c r="AQ341" s="17">
        <f t="shared" si="197"/>
        <v>0.47899999999999998</v>
      </c>
      <c r="AR341" s="22">
        <f t="shared" si="188"/>
        <v>4.4999999999999998E-2</v>
      </c>
      <c r="AT341" s="19">
        <f t="shared" si="180"/>
        <v>43801</v>
      </c>
      <c r="AU341" s="20">
        <f t="shared" si="181"/>
        <v>336</v>
      </c>
      <c r="AV341" s="1">
        <f t="shared" si="198"/>
        <v>-4.0999999999999996</v>
      </c>
      <c r="AW341" s="1">
        <f t="shared" si="199"/>
        <v>-2.1</v>
      </c>
      <c r="AX341" s="1">
        <f t="shared" si="200"/>
        <v>-6.8</v>
      </c>
      <c r="AY341" s="1">
        <f t="shared" si="201"/>
        <v>93.6</v>
      </c>
      <c r="AZ341" s="1">
        <f t="shared" si="202"/>
        <v>91.4</v>
      </c>
      <c r="BA341" s="1">
        <f t="shared" si="189"/>
        <v>0.22599999999999998</v>
      </c>
      <c r="BB341" s="5">
        <f t="shared" si="190"/>
        <v>-1.5</v>
      </c>
      <c r="BC341" s="1">
        <f t="shared" si="182"/>
        <v>-4.2</v>
      </c>
      <c r="BD341" s="1">
        <f t="shared" si="183"/>
        <v>-2.4</v>
      </c>
      <c r="BE341" s="1">
        <f t="shared" si="184"/>
        <v>-6.5</v>
      </c>
      <c r="BF341" s="5">
        <f t="shared" si="203"/>
        <v>-0.2</v>
      </c>
      <c r="BG341" s="5">
        <f t="shared" si="204"/>
        <v>0.4</v>
      </c>
      <c r="BH341" s="5">
        <f t="shared" si="205"/>
        <v>1.4</v>
      </c>
      <c r="BI341" s="5" t="str">
        <f t="shared" si="191"/>
        <v>NAN</v>
      </c>
      <c r="BJ341" s="10">
        <f t="shared" si="192"/>
        <v>0.47899999999999998</v>
      </c>
      <c r="BK341" s="10">
        <f t="shared" si="193"/>
        <v>4.4999999999999998E-2</v>
      </c>
      <c r="BM341" s="1">
        <f t="shared" si="194"/>
        <v>-0.34199999999999964</v>
      </c>
      <c r="BN341" s="1">
        <f t="shared" si="195"/>
        <v>0.21399999999999952</v>
      </c>
    </row>
    <row r="342" spans="1:66" x14ac:dyDescent="0.2">
      <c r="A342" s="4">
        <f t="shared" si="196"/>
        <v>43802</v>
      </c>
      <c r="B342" s="1">
        <v>337</v>
      </c>
      <c r="C342" s="1">
        <v>12</v>
      </c>
      <c r="D342" s="5">
        <v>12.8</v>
      </c>
      <c r="E342" s="5">
        <v>0.45800000000000002</v>
      </c>
      <c r="F342" s="5">
        <v>-2.5259999999999998</v>
      </c>
      <c r="G342" s="5">
        <v>-0.91</v>
      </c>
      <c r="H342" s="5">
        <v>88.9</v>
      </c>
      <c r="I342" s="5">
        <v>-0.17799999999999999</v>
      </c>
      <c r="J342" s="5">
        <v>-1.0589999999999999</v>
      </c>
      <c r="K342" s="5">
        <v>-9.0999999999999998E-2</v>
      </c>
      <c r="L342" s="5">
        <v>0.436</v>
      </c>
      <c r="M342" s="5">
        <v>1.377</v>
      </c>
      <c r="N342" s="5">
        <v>0.93300000000000005</v>
      </c>
      <c r="O342" s="5">
        <v>95.4</v>
      </c>
      <c r="P342" s="5">
        <v>1.0999999999999999E-2</v>
      </c>
      <c r="Q342" s="5">
        <v>2E-3</v>
      </c>
      <c r="R342" s="5">
        <v>1.0999999999999999E-2</v>
      </c>
      <c r="S342" s="5">
        <v>0.51800000000000002</v>
      </c>
      <c r="T342" s="5">
        <v>1.456</v>
      </c>
      <c r="U342" s="5">
        <v>-2.6160000000000001</v>
      </c>
      <c r="V342" s="5">
        <v>80.099999999999994</v>
      </c>
      <c r="W342" s="5">
        <v>-0.378</v>
      </c>
      <c r="X342" s="5">
        <v>-1.8879999999999999</v>
      </c>
      <c r="Y342" s="5">
        <v>-0.221</v>
      </c>
      <c r="Z342" s="5">
        <v>0.35099999999999998</v>
      </c>
      <c r="AA342" s="5">
        <v>1.2909999999999999</v>
      </c>
      <c r="AB342" s="5">
        <v>2.0550000000000002</v>
      </c>
      <c r="AC342" s="5">
        <v>-1.76</v>
      </c>
      <c r="AD342" s="5">
        <v>-0.254</v>
      </c>
      <c r="AE342" s="5">
        <v>-2.79</v>
      </c>
      <c r="AF342" s="5">
        <v>0.68899999999999995</v>
      </c>
      <c r="AG342" s="5">
        <v>-2.7490000000000001</v>
      </c>
      <c r="AH342" s="5">
        <v>2.0569999999999999</v>
      </c>
      <c r="AI342" s="5" t="s">
        <v>99</v>
      </c>
      <c r="AK342" s="5">
        <f t="shared" si="176"/>
        <v>0.21999999999999975</v>
      </c>
      <c r="AL342" s="8">
        <f t="shared" si="206"/>
        <v>-0.6</v>
      </c>
      <c r="AN342" s="1">
        <f t="shared" si="185"/>
        <v>95.4</v>
      </c>
      <c r="AO342" s="1">
        <f t="shared" si="186"/>
        <v>88.9</v>
      </c>
      <c r="AP342" s="1">
        <f t="shared" si="187"/>
        <v>80.099999999999994</v>
      </c>
      <c r="AQ342" s="17">
        <f t="shared" si="197"/>
        <v>0.52300000000000002</v>
      </c>
      <c r="AR342" s="22">
        <f t="shared" si="188"/>
        <v>0.13</v>
      </c>
      <c r="AT342" s="19">
        <f t="shared" si="180"/>
        <v>43802</v>
      </c>
      <c r="AU342" s="20">
        <f t="shared" si="181"/>
        <v>337</v>
      </c>
      <c r="AV342" s="1">
        <f t="shared" si="198"/>
        <v>-0.9</v>
      </c>
      <c r="AW342" s="1">
        <f t="shared" si="199"/>
        <v>0.9</v>
      </c>
      <c r="AX342" s="1">
        <f t="shared" si="200"/>
        <v>-2.6</v>
      </c>
      <c r="AY342" s="1">
        <f t="shared" si="201"/>
        <v>88.9</v>
      </c>
      <c r="AZ342" s="1">
        <f t="shared" si="202"/>
        <v>80.099999999999994</v>
      </c>
      <c r="BA342" s="1">
        <f t="shared" si="189"/>
        <v>0.21999999999999975</v>
      </c>
      <c r="BB342" s="5">
        <f t="shared" si="190"/>
        <v>-0.6</v>
      </c>
      <c r="BC342" s="1">
        <f t="shared" si="182"/>
        <v>-1.8</v>
      </c>
      <c r="BD342" s="1">
        <f t="shared" si="183"/>
        <v>-0.3</v>
      </c>
      <c r="BE342" s="1">
        <f t="shared" si="184"/>
        <v>-2.8</v>
      </c>
      <c r="BF342" s="5">
        <f t="shared" si="203"/>
        <v>-0.1</v>
      </c>
      <c r="BG342" s="5">
        <f t="shared" si="204"/>
        <v>0.4</v>
      </c>
      <c r="BH342" s="5">
        <f t="shared" si="205"/>
        <v>1.4</v>
      </c>
      <c r="BI342" s="5" t="str">
        <f t="shared" si="191"/>
        <v>NAN</v>
      </c>
      <c r="BJ342" s="10">
        <f t="shared" si="192"/>
        <v>0.52300000000000002</v>
      </c>
      <c r="BK342" s="10">
        <f t="shared" si="193"/>
        <v>0.13</v>
      </c>
      <c r="BM342" s="1">
        <f t="shared" si="194"/>
        <v>-1.1870000000000001</v>
      </c>
      <c r="BN342" s="1">
        <f t="shared" si="195"/>
        <v>-0.17399999999999993</v>
      </c>
    </row>
    <row r="343" spans="1:66" x14ac:dyDescent="0.2">
      <c r="A343" s="4">
        <f t="shared" si="196"/>
        <v>43803</v>
      </c>
      <c r="B343" s="1">
        <v>338</v>
      </c>
      <c r="C343" s="1">
        <v>12</v>
      </c>
      <c r="D343" s="5">
        <v>12.79</v>
      </c>
      <c r="E343" s="5">
        <v>-0.41599999999999998</v>
      </c>
      <c r="F343" s="5">
        <v>-6.9720000000000004</v>
      </c>
      <c r="G343" s="5">
        <v>-2.9409999999999998</v>
      </c>
      <c r="H343" s="5">
        <v>90.2</v>
      </c>
      <c r="I343" s="5">
        <v>-0.17499999999999999</v>
      </c>
      <c r="J343" s="5">
        <v>-1.708</v>
      </c>
      <c r="K343" s="5">
        <v>-6.6000000000000003E-2</v>
      </c>
      <c r="L343" s="5">
        <v>0.42099999999999999</v>
      </c>
      <c r="M343" s="5">
        <v>1.3440000000000001</v>
      </c>
      <c r="N343" s="5">
        <v>-0.14899999999999999</v>
      </c>
      <c r="O343" s="5">
        <v>95.5</v>
      </c>
      <c r="P343" s="5">
        <v>1.4E-2</v>
      </c>
      <c r="Q343" s="5">
        <v>-0.27</v>
      </c>
      <c r="R343" s="5">
        <v>4.2999999999999997E-2</v>
      </c>
      <c r="S343" s="5">
        <v>0.52200000000000002</v>
      </c>
      <c r="T343" s="5">
        <v>1.431</v>
      </c>
      <c r="U343" s="5">
        <v>-7.98</v>
      </c>
      <c r="V343" s="5">
        <v>80.3</v>
      </c>
      <c r="W343" s="5">
        <v>-0.52400000000000002</v>
      </c>
      <c r="X343" s="5">
        <v>-4.6150000000000002</v>
      </c>
      <c r="Y343" s="5">
        <v>-0.183</v>
      </c>
      <c r="Z343" s="5">
        <v>0.315</v>
      </c>
      <c r="AA343" s="5">
        <v>1.2310000000000001</v>
      </c>
      <c r="AB343" s="5">
        <v>2.0409999999999999</v>
      </c>
      <c r="AC343" s="5">
        <v>-3.5339999999999998</v>
      </c>
      <c r="AD343" s="5">
        <v>-0.84499999999999997</v>
      </c>
      <c r="AE343" s="5">
        <v>-9.16</v>
      </c>
      <c r="AF343" s="5">
        <v>-0.70299999999999996</v>
      </c>
      <c r="AG343" s="5">
        <v>-8.23</v>
      </c>
      <c r="AH343" s="5">
        <v>2.0710000000000002</v>
      </c>
      <c r="AI343" s="5" t="s">
        <v>99</v>
      </c>
      <c r="AK343" s="5">
        <f t="shared" si="176"/>
        <v>0.23399999999999999</v>
      </c>
      <c r="AL343" s="8">
        <f t="shared" si="206"/>
        <v>-0.9</v>
      </c>
      <c r="AN343" s="1">
        <f t="shared" si="185"/>
        <v>95.5</v>
      </c>
      <c r="AO343" s="1">
        <f t="shared" si="186"/>
        <v>90.2</v>
      </c>
      <c r="AP343" s="1">
        <f t="shared" si="187"/>
        <v>80.3</v>
      </c>
      <c r="AQ343" s="17">
        <f t="shared" si="197"/>
        <v>0.48499999999999999</v>
      </c>
      <c r="AR343" s="22">
        <f t="shared" si="188"/>
        <v>0.11899999999999999</v>
      </c>
      <c r="AT343" s="19">
        <f t="shared" si="180"/>
        <v>43803</v>
      </c>
      <c r="AU343" s="20">
        <f t="shared" si="181"/>
        <v>338</v>
      </c>
      <c r="AV343" s="1">
        <f t="shared" si="198"/>
        <v>-2.9</v>
      </c>
      <c r="AW343" s="1">
        <f t="shared" si="199"/>
        <v>-0.1</v>
      </c>
      <c r="AX343" s="1">
        <f t="shared" si="200"/>
        <v>-8</v>
      </c>
      <c r="AY343" s="1">
        <f t="shared" si="201"/>
        <v>90.2</v>
      </c>
      <c r="AZ343" s="1">
        <f t="shared" si="202"/>
        <v>80.3</v>
      </c>
      <c r="BA343" s="1">
        <f t="shared" si="189"/>
        <v>0.23399999999999999</v>
      </c>
      <c r="BB343" s="5">
        <f t="shared" si="190"/>
        <v>-0.9</v>
      </c>
      <c r="BC343" s="1">
        <f t="shared" si="182"/>
        <v>-3.5</v>
      </c>
      <c r="BD343" s="1">
        <f t="shared" si="183"/>
        <v>-0.8</v>
      </c>
      <c r="BE343" s="1">
        <f t="shared" si="184"/>
        <v>-9.1999999999999993</v>
      </c>
      <c r="BF343" s="5">
        <f t="shared" si="203"/>
        <v>-0.1</v>
      </c>
      <c r="BG343" s="5">
        <f t="shared" si="204"/>
        <v>0.4</v>
      </c>
      <c r="BH343" s="5">
        <f t="shared" si="205"/>
        <v>1.3</v>
      </c>
      <c r="BI343" s="5" t="str">
        <f t="shared" si="191"/>
        <v>NAN</v>
      </c>
      <c r="BJ343" s="10">
        <f t="shared" si="192"/>
        <v>0.48499999999999999</v>
      </c>
      <c r="BK343" s="10">
        <f t="shared" si="193"/>
        <v>0.11899999999999999</v>
      </c>
      <c r="BM343" s="1">
        <f t="shared" si="194"/>
        <v>-0.69599999999999995</v>
      </c>
      <c r="BN343" s="1">
        <f t="shared" si="195"/>
        <v>-1.1799999999999997</v>
      </c>
    </row>
    <row r="344" spans="1:66" x14ac:dyDescent="0.2">
      <c r="A344" s="4">
        <f t="shared" si="196"/>
        <v>43804</v>
      </c>
      <c r="B344" s="1">
        <v>339</v>
      </c>
      <c r="C344" s="1">
        <v>12</v>
      </c>
      <c r="D344" s="5">
        <v>12.79</v>
      </c>
      <c r="E344" s="5">
        <v>-2.9119999999999999</v>
      </c>
      <c r="F344" s="5">
        <v>-7.9729999999999999</v>
      </c>
      <c r="G344" s="5">
        <v>-4.8460000000000001</v>
      </c>
      <c r="H344" s="5">
        <v>87.9</v>
      </c>
      <c r="I344" s="5">
        <v>-0.44800000000000001</v>
      </c>
      <c r="J344" s="5">
        <v>-3.3740000000000001</v>
      </c>
      <c r="K344" s="5">
        <v>-0.17599999999999999</v>
      </c>
      <c r="L344" s="5">
        <v>0.39</v>
      </c>
      <c r="M344" s="5">
        <v>1.3049999999999999</v>
      </c>
      <c r="N344" s="5">
        <v>-2.5430000000000001</v>
      </c>
      <c r="O344" s="5">
        <v>95.4</v>
      </c>
      <c r="P344" s="5">
        <v>-0.246</v>
      </c>
      <c r="Q344" s="5">
        <v>-2.1869999999999998</v>
      </c>
      <c r="R344" s="5">
        <v>-7.6999999999999999E-2</v>
      </c>
      <c r="S344" s="5">
        <v>0.47799999999999998</v>
      </c>
      <c r="T344" s="5">
        <v>1.389</v>
      </c>
      <c r="U344" s="5">
        <v>-8.15</v>
      </c>
      <c r="V344" s="5">
        <v>77.08</v>
      </c>
      <c r="W344" s="5">
        <v>-0.71599999999999997</v>
      </c>
      <c r="X344" s="5">
        <v>-5.1369999999999996</v>
      </c>
      <c r="Y344" s="5">
        <v>-0.28199999999999997</v>
      </c>
      <c r="Z344" s="5">
        <v>0.307</v>
      </c>
      <c r="AA344" s="5">
        <v>1.226</v>
      </c>
      <c r="AB344" s="5">
        <v>2.0430000000000001</v>
      </c>
      <c r="AC344" s="5">
        <v>-5.593</v>
      </c>
      <c r="AD344" s="5">
        <v>-3.46</v>
      </c>
      <c r="AE344" s="5">
        <v>-9.31</v>
      </c>
      <c r="AF344" s="5">
        <v>-2.665</v>
      </c>
      <c r="AG344" s="5">
        <v>-8.42</v>
      </c>
      <c r="AH344" s="5">
        <v>2.056</v>
      </c>
      <c r="AI344" s="5" t="s">
        <v>99</v>
      </c>
      <c r="AK344" s="5">
        <f t="shared" si="176"/>
        <v>0.23199999999999976</v>
      </c>
      <c r="AL344" s="8">
        <f t="shared" si="206"/>
        <v>-1.8</v>
      </c>
      <c r="AN344" s="1">
        <f t="shared" si="185"/>
        <v>95.4</v>
      </c>
      <c r="AO344" s="1">
        <f t="shared" si="186"/>
        <v>87.9</v>
      </c>
      <c r="AP344" s="1">
        <f t="shared" si="187"/>
        <v>77.099999999999994</v>
      </c>
      <c r="AQ344" s="17">
        <f t="shared" si="197"/>
        <v>0.39</v>
      </c>
      <c r="AR344" s="22">
        <f t="shared" si="188"/>
        <v>0.11600000000000001</v>
      </c>
      <c r="AT344" s="19">
        <f t="shared" si="180"/>
        <v>43804</v>
      </c>
      <c r="AU344" s="20">
        <f t="shared" si="181"/>
        <v>339</v>
      </c>
      <c r="AV344" s="1">
        <f t="shared" si="198"/>
        <v>-4.8</v>
      </c>
      <c r="AW344" s="1">
        <f t="shared" si="199"/>
        <v>-2.5</v>
      </c>
      <c r="AX344" s="1">
        <f t="shared" si="200"/>
        <v>-8.1999999999999993</v>
      </c>
      <c r="AY344" s="1">
        <f t="shared" si="201"/>
        <v>87.9</v>
      </c>
      <c r="AZ344" s="1">
        <f t="shared" si="202"/>
        <v>77.099999999999994</v>
      </c>
      <c r="BA344" s="1">
        <f t="shared" si="189"/>
        <v>0.23199999999999976</v>
      </c>
      <c r="BB344" s="5">
        <f t="shared" si="190"/>
        <v>-1.8</v>
      </c>
      <c r="BC344" s="1">
        <f t="shared" si="182"/>
        <v>-5.6</v>
      </c>
      <c r="BD344" s="1">
        <f t="shared" si="183"/>
        <v>-3.5</v>
      </c>
      <c r="BE344" s="1">
        <f t="shared" si="184"/>
        <v>-9.3000000000000007</v>
      </c>
      <c r="BF344" s="5">
        <f t="shared" si="203"/>
        <v>-0.2</v>
      </c>
      <c r="BG344" s="5">
        <f t="shared" si="204"/>
        <v>0.4</v>
      </c>
      <c r="BH344" s="5">
        <f t="shared" si="205"/>
        <v>1.3</v>
      </c>
      <c r="BI344" s="5" t="str">
        <f t="shared" si="191"/>
        <v>NAN</v>
      </c>
      <c r="BJ344" s="10">
        <f t="shared" si="192"/>
        <v>0.39</v>
      </c>
      <c r="BK344" s="10">
        <f t="shared" si="193"/>
        <v>0.11600000000000001</v>
      </c>
      <c r="BM344" s="1">
        <f t="shared" si="194"/>
        <v>-0.91699999999999982</v>
      </c>
      <c r="BN344" s="1">
        <f t="shared" si="195"/>
        <v>-1.1600000000000001</v>
      </c>
    </row>
    <row r="345" spans="1:66" x14ac:dyDescent="0.2">
      <c r="A345" s="4">
        <f t="shared" si="196"/>
        <v>43805</v>
      </c>
      <c r="B345" s="1">
        <v>340</v>
      </c>
      <c r="C345" s="1">
        <v>12</v>
      </c>
      <c r="D345" s="5">
        <v>12.79</v>
      </c>
      <c r="E345" s="5">
        <v>-1.0329999999999999</v>
      </c>
      <c r="F345" s="5">
        <v>-3.9020000000000001</v>
      </c>
      <c r="G345" s="5">
        <v>-2.605</v>
      </c>
      <c r="H345" s="5">
        <v>93.9</v>
      </c>
      <c r="I345" s="5">
        <v>-0.23400000000000001</v>
      </c>
      <c r="J345" s="5">
        <v>-1.706</v>
      </c>
      <c r="K345" s="5">
        <v>-0.123</v>
      </c>
      <c r="L345" s="5">
        <v>0.39300000000000002</v>
      </c>
      <c r="M345" s="5">
        <v>1.3</v>
      </c>
      <c r="N345" s="5">
        <v>-0.85899999999999999</v>
      </c>
      <c r="O345" s="5">
        <v>95.4</v>
      </c>
      <c r="P345" s="5">
        <v>-5.8999999999999997E-2</v>
      </c>
      <c r="Q345" s="5">
        <v>-0.64500000000000002</v>
      </c>
      <c r="R345" s="5">
        <v>-2.5000000000000001E-2</v>
      </c>
      <c r="S345" s="5">
        <v>0.47799999999999998</v>
      </c>
      <c r="T345" s="5">
        <v>1.3759999999999999</v>
      </c>
      <c r="U345" s="5">
        <v>-3.5960000000000001</v>
      </c>
      <c r="V345" s="5">
        <v>89.8</v>
      </c>
      <c r="W345" s="5">
        <v>-0.39300000000000002</v>
      </c>
      <c r="X345" s="5">
        <v>-2.484</v>
      </c>
      <c r="Y345" s="5">
        <v>-0.222</v>
      </c>
      <c r="Z345" s="5">
        <v>0.318</v>
      </c>
      <c r="AA345" s="5">
        <v>1.2190000000000001</v>
      </c>
      <c r="AB345" s="5">
        <v>2.0449999999999999</v>
      </c>
      <c r="AC345" s="5">
        <v>-2.891</v>
      </c>
      <c r="AD345" s="5">
        <v>-1.45</v>
      </c>
      <c r="AE345" s="5">
        <v>-4.109</v>
      </c>
      <c r="AF345" s="5">
        <v>-1.1020000000000001</v>
      </c>
      <c r="AG345" s="5">
        <v>-3.8980000000000001</v>
      </c>
      <c r="AH345" s="5">
        <v>2.0569999999999999</v>
      </c>
      <c r="AI345" s="5" t="s">
        <v>99</v>
      </c>
      <c r="AK345" s="5">
        <f t="shared" si="176"/>
        <v>0.22999999999999998</v>
      </c>
      <c r="AL345" s="8">
        <f t="shared" si="206"/>
        <v>-0.9</v>
      </c>
      <c r="AN345" s="1">
        <f t="shared" si="185"/>
        <v>95.4</v>
      </c>
      <c r="AO345" s="1">
        <f t="shared" si="186"/>
        <v>93.9</v>
      </c>
      <c r="AP345" s="1">
        <f t="shared" si="187"/>
        <v>89.8</v>
      </c>
      <c r="AQ345" s="17">
        <f t="shared" si="197"/>
        <v>0.51500000000000001</v>
      </c>
      <c r="AR345" s="22">
        <f t="shared" si="188"/>
        <v>5.8000000000000003E-2</v>
      </c>
      <c r="AT345" s="19">
        <f t="shared" si="180"/>
        <v>43805</v>
      </c>
      <c r="AU345" s="20">
        <f t="shared" si="181"/>
        <v>340</v>
      </c>
      <c r="AV345" s="1">
        <f t="shared" si="198"/>
        <v>-2.6</v>
      </c>
      <c r="AW345" s="1">
        <f t="shared" si="199"/>
        <v>-0.9</v>
      </c>
      <c r="AX345" s="1">
        <f t="shared" si="200"/>
        <v>-3.6</v>
      </c>
      <c r="AY345" s="1">
        <f t="shared" si="201"/>
        <v>93.9</v>
      </c>
      <c r="AZ345" s="1">
        <f t="shared" si="202"/>
        <v>89.8</v>
      </c>
      <c r="BA345" s="1">
        <f t="shared" si="189"/>
        <v>0.22999999999999998</v>
      </c>
      <c r="BB345" s="5">
        <f t="shared" si="190"/>
        <v>-0.9</v>
      </c>
      <c r="BC345" s="1">
        <f t="shared" si="182"/>
        <v>-2.9</v>
      </c>
      <c r="BD345" s="1">
        <f t="shared" si="183"/>
        <v>-1.5</v>
      </c>
      <c r="BE345" s="1">
        <f t="shared" si="184"/>
        <v>-4.0999999999999996</v>
      </c>
      <c r="BF345" s="5">
        <f t="shared" si="203"/>
        <v>-0.1</v>
      </c>
      <c r="BG345" s="5">
        <f t="shared" si="204"/>
        <v>0.4</v>
      </c>
      <c r="BH345" s="5">
        <f t="shared" si="205"/>
        <v>1.3</v>
      </c>
      <c r="BI345" s="5" t="str">
        <f t="shared" si="191"/>
        <v>NAN</v>
      </c>
      <c r="BJ345" s="10">
        <f t="shared" si="192"/>
        <v>0.51500000000000001</v>
      </c>
      <c r="BK345" s="10">
        <f t="shared" si="193"/>
        <v>5.8000000000000003E-2</v>
      </c>
      <c r="BM345" s="1">
        <f t="shared" si="194"/>
        <v>-0.59099999999999997</v>
      </c>
      <c r="BN345" s="1">
        <f t="shared" si="195"/>
        <v>-0.5129999999999999</v>
      </c>
    </row>
    <row r="346" spans="1:66" x14ac:dyDescent="0.2">
      <c r="A346" s="4">
        <f t="shared" si="196"/>
        <v>43806</v>
      </c>
      <c r="B346" s="1">
        <v>341</v>
      </c>
      <c r="C346" s="1">
        <v>12</v>
      </c>
      <c r="D346" s="5">
        <v>12.79</v>
      </c>
      <c r="E346" s="5">
        <v>-1.629</v>
      </c>
      <c r="F346" s="5">
        <v>-3.278</v>
      </c>
      <c r="G346" s="5">
        <v>-2.4660000000000002</v>
      </c>
      <c r="H346" s="5">
        <v>95</v>
      </c>
      <c r="I346" s="5">
        <v>-0.2</v>
      </c>
      <c r="J346" s="5">
        <v>-1.4370000000000001</v>
      </c>
      <c r="K346" s="5">
        <v>-0.1</v>
      </c>
      <c r="L346" s="5">
        <v>0.38600000000000001</v>
      </c>
      <c r="M346" s="5">
        <v>1.2829999999999999</v>
      </c>
      <c r="N346" s="5">
        <v>-1.4330000000000001</v>
      </c>
      <c r="O346" s="5">
        <v>95.6</v>
      </c>
      <c r="P346" s="5">
        <v>-5.8999999999999997E-2</v>
      </c>
      <c r="Q346" s="5">
        <v>-0.77100000000000002</v>
      </c>
      <c r="R346" s="5">
        <v>2E-3</v>
      </c>
      <c r="S346" s="5">
        <v>0.46200000000000002</v>
      </c>
      <c r="T346" s="5">
        <v>1.3560000000000001</v>
      </c>
      <c r="U346" s="5">
        <v>-4.1710000000000003</v>
      </c>
      <c r="V346" s="5">
        <v>94</v>
      </c>
      <c r="W346" s="5">
        <v>-0.33900000000000002</v>
      </c>
      <c r="X346" s="5">
        <v>-2.161</v>
      </c>
      <c r="Y346" s="5">
        <v>-0.17799999999999999</v>
      </c>
      <c r="Z346" s="5">
        <v>0.30399999999999999</v>
      </c>
      <c r="AA346" s="5">
        <v>1.194</v>
      </c>
      <c r="AB346" s="5">
        <v>1.93</v>
      </c>
      <c r="AC346" s="5">
        <v>-2.657</v>
      </c>
      <c r="AD346" s="5">
        <v>-1.909</v>
      </c>
      <c r="AE346" s="5">
        <v>-4.1740000000000004</v>
      </c>
      <c r="AF346" s="5">
        <v>-1.87</v>
      </c>
      <c r="AG346" s="5">
        <v>-4.1660000000000004</v>
      </c>
      <c r="AH346" s="5">
        <v>1.9450000000000001</v>
      </c>
      <c r="AI346" s="5" t="s">
        <v>99</v>
      </c>
      <c r="AK346" s="5">
        <f t="shared" si="176"/>
        <v>0.34499999999999997</v>
      </c>
      <c r="AL346" s="8">
        <f t="shared" si="206"/>
        <v>-0.8</v>
      </c>
      <c r="AN346" s="1">
        <f t="shared" si="185"/>
        <v>95.6</v>
      </c>
      <c r="AO346" s="1">
        <f t="shared" si="186"/>
        <v>95</v>
      </c>
      <c r="AP346" s="1">
        <f t="shared" si="187"/>
        <v>94</v>
      </c>
      <c r="AQ346" s="17">
        <f t="shared" si="197"/>
        <v>0.51700000000000002</v>
      </c>
      <c r="AR346" s="22">
        <f t="shared" si="188"/>
        <v>3.3000000000000002E-2</v>
      </c>
      <c r="AT346" s="19">
        <f t="shared" si="180"/>
        <v>43806</v>
      </c>
      <c r="AU346" s="20">
        <f t="shared" si="181"/>
        <v>341</v>
      </c>
      <c r="AV346" s="1">
        <f t="shared" si="198"/>
        <v>-2.5</v>
      </c>
      <c r="AW346" s="1">
        <f t="shared" si="199"/>
        <v>-1.4</v>
      </c>
      <c r="AX346" s="1">
        <f t="shared" si="200"/>
        <v>-4.2</v>
      </c>
      <c r="AY346" s="1">
        <f t="shared" si="201"/>
        <v>95</v>
      </c>
      <c r="AZ346" s="1">
        <f t="shared" si="202"/>
        <v>94</v>
      </c>
      <c r="BA346" s="1">
        <f t="shared" si="189"/>
        <v>0.34499999999999997</v>
      </c>
      <c r="BB346" s="5">
        <f t="shared" si="190"/>
        <v>-0.8</v>
      </c>
      <c r="BC346" s="1">
        <f t="shared" si="182"/>
        <v>-2.7</v>
      </c>
      <c r="BD346" s="1">
        <f t="shared" si="183"/>
        <v>-1.9</v>
      </c>
      <c r="BE346" s="1">
        <f t="shared" si="184"/>
        <v>-4.2</v>
      </c>
      <c r="BF346" s="5">
        <f t="shared" si="203"/>
        <v>-0.1</v>
      </c>
      <c r="BG346" s="5">
        <f t="shared" si="204"/>
        <v>0.4</v>
      </c>
      <c r="BH346" s="5">
        <f t="shared" si="205"/>
        <v>1.3</v>
      </c>
      <c r="BI346" s="5" t="str">
        <f t="shared" si="191"/>
        <v>NAN</v>
      </c>
      <c r="BJ346" s="10">
        <f t="shared" si="192"/>
        <v>0.51700000000000002</v>
      </c>
      <c r="BK346" s="10">
        <f t="shared" si="193"/>
        <v>3.3000000000000002E-2</v>
      </c>
      <c r="BM346" s="1">
        <f t="shared" si="194"/>
        <v>-0.47599999999999998</v>
      </c>
      <c r="BN346" s="1">
        <f t="shared" si="195"/>
        <v>-3.0000000000001137E-3</v>
      </c>
    </row>
    <row r="347" spans="1:66" x14ac:dyDescent="0.2">
      <c r="A347" s="4">
        <f t="shared" si="196"/>
        <v>43807</v>
      </c>
      <c r="B347" s="1">
        <v>342</v>
      </c>
      <c r="C347" s="1">
        <v>12</v>
      </c>
      <c r="D347" s="5">
        <v>12.81</v>
      </c>
      <c r="E347" s="5">
        <v>-2.5059999999999998</v>
      </c>
      <c r="F347" s="5">
        <v>-10.74</v>
      </c>
      <c r="G347" s="5">
        <v>-9.2100000000000009</v>
      </c>
      <c r="H347" s="5">
        <v>88</v>
      </c>
      <c r="I347" s="5">
        <v>-0.32200000000000001</v>
      </c>
      <c r="J347" s="5">
        <v>-2.5289999999999999</v>
      </c>
      <c r="K347" s="5">
        <v>-0.13600000000000001</v>
      </c>
      <c r="L347" s="5">
        <v>0.34699999999999998</v>
      </c>
      <c r="M347" s="5">
        <v>1.236</v>
      </c>
      <c r="N347" s="5">
        <v>-4.2050000000000001</v>
      </c>
      <c r="O347" s="5">
        <v>93.9</v>
      </c>
      <c r="P347" s="5">
        <v>-0.06</v>
      </c>
      <c r="Q347" s="5">
        <v>-0.84699999999999998</v>
      </c>
      <c r="R347" s="5">
        <v>-2.1999999999999999E-2</v>
      </c>
      <c r="S347" s="5">
        <v>0.44</v>
      </c>
      <c r="T347" s="5">
        <v>1.333</v>
      </c>
      <c r="U347" s="5">
        <v>-11.79</v>
      </c>
      <c r="V347" s="5">
        <v>81.2</v>
      </c>
      <c r="W347" s="5">
        <v>-0.504</v>
      </c>
      <c r="X347" s="5">
        <v>-3.3119999999999998</v>
      </c>
      <c r="Y347" s="5">
        <v>-0.23100000000000001</v>
      </c>
      <c r="Z347" s="5">
        <v>0.26300000000000001</v>
      </c>
      <c r="AA347" s="5">
        <v>1.1499999999999999</v>
      </c>
      <c r="AB347" s="5">
        <v>1.94</v>
      </c>
      <c r="AC347" s="5">
        <v>-9.9600000000000009</v>
      </c>
      <c r="AD347" s="5">
        <v>-4.1959999999999997</v>
      </c>
      <c r="AE347" s="5">
        <v>-12.58</v>
      </c>
      <c r="AF347" s="5">
        <v>-4.1660000000000004</v>
      </c>
      <c r="AG347" s="5">
        <v>-11.92</v>
      </c>
      <c r="AH347" s="5">
        <v>1.9710000000000001</v>
      </c>
      <c r="AI347" s="5" t="s">
        <v>99</v>
      </c>
      <c r="AK347" s="5">
        <f t="shared" si="176"/>
        <v>0.33499999999999996</v>
      </c>
      <c r="AL347" s="8">
        <f t="shared" si="206"/>
        <v>-1.3</v>
      </c>
      <c r="AN347" s="1">
        <f t="shared" si="185"/>
        <v>93.9</v>
      </c>
      <c r="AO347" s="1">
        <f t="shared" si="186"/>
        <v>88</v>
      </c>
      <c r="AP347" s="1">
        <f t="shared" si="187"/>
        <v>81.2</v>
      </c>
      <c r="AQ347" s="17">
        <f t="shared" si="197"/>
        <v>0.36299999999999999</v>
      </c>
      <c r="AR347" s="22">
        <f t="shared" si="188"/>
        <v>8.4000000000000005E-2</v>
      </c>
      <c r="AT347" s="19">
        <f t="shared" si="180"/>
        <v>43807</v>
      </c>
      <c r="AU347" s="20">
        <f t="shared" si="181"/>
        <v>342</v>
      </c>
      <c r="AV347" s="1">
        <f t="shared" si="198"/>
        <v>-9.1999999999999993</v>
      </c>
      <c r="AW347" s="1">
        <f t="shared" si="199"/>
        <v>-4.2</v>
      </c>
      <c r="AX347" s="1">
        <f t="shared" si="200"/>
        <v>-11.8</v>
      </c>
      <c r="AY347" s="1">
        <f t="shared" si="201"/>
        <v>88</v>
      </c>
      <c r="AZ347" s="1">
        <f t="shared" si="202"/>
        <v>81.2</v>
      </c>
      <c r="BA347" s="1">
        <f t="shared" si="189"/>
        <v>0.33499999999999996</v>
      </c>
      <c r="BB347" s="5">
        <f t="shared" si="190"/>
        <v>-1.3</v>
      </c>
      <c r="BC347" s="1">
        <f t="shared" si="182"/>
        <v>-10</v>
      </c>
      <c r="BD347" s="1">
        <f t="shared" si="183"/>
        <v>-4.2</v>
      </c>
      <c r="BE347" s="1">
        <f t="shared" si="184"/>
        <v>-12.6</v>
      </c>
      <c r="BF347" s="5">
        <f t="shared" si="203"/>
        <v>-0.1</v>
      </c>
      <c r="BG347" s="5">
        <f t="shared" si="204"/>
        <v>0.3</v>
      </c>
      <c r="BH347" s="5">
        <f t="shared" si="205"/>
        <v>1.2</v>
      </c>
      <c r="BI347" s="5" t="str">
        <f t="shared" si="191"/>
        <v>NAN</v>
      </c>
      <c r="BJ347" s="10">
        <f t="shared" si="192"/>
        <v>0.36299999999999999</v>
      </c>
      <c r="BK347" s="10">
        <f t="shared" si="193"/>
        <v>8.4000000000000005E-2</v>
      </c>
      <c r="BM347" s="1">
        <f t="shared" si="194"/>
        <v>9.0000000000003411E-3</v>
      </c>
      <c r="BN347" s="1">
        <f t="shared" si="195"/>
        <v>-0.79000000000000092</v>
      </c>
    </row>
    <row r="348" spans="1:66" x14ac:dyDescent="0.2">
      <c r="A348" s="4">
        <f t="shared" si="196"/>
        <v>43808</v>
      </c>
      <c r="B348" s="1">
        <v>343</v>
      </c>
      <c r="C348" s="1">
        <v>12</v>
      </c>
      <c r="D348" s="5">
        <v>12.83</v>
      </c>
      <c r="E348" s="5">
        <v>-2.4630000000000001</v>
      </c>
      <c r="F348" s="5">
        <v>-9.14</v>
      </c>
      <c r="G348" s="5">
        <v>-4.6360000000000001</v>
      </c>
      <c r="H348" s="5">
        <v>79</v>
      </c>
      <c r="I348" s="5">
        <v>-0.374</v>
      </c>
      <c r="J348" s="5">
        <v>-2.621</v>
      </c>
      <c r="K348" s="5">
        <v>-0.17699999999999999</v>
      </c>
      <c r="L348" s="5">
        <v>0.35599999999999998</v>
      </c>
      <c r="M348" s="5">
        <v>1.236</v>
      </c>
      <c r="N348" s="5">
        <v>-1.095</v>
      </c>
      <c r="O348" s="5">
        <v>86</v>
      </c>
      <c r="P348" s="5">
        <v>-0.20799999999999999</v>
      </c>
      <c r="Q348" s="5">
        <v>-1.8240000000000001</v>
      </c>
      <c r="R348" s="5">
        <v>-8.1000000000000003E-2</v>
      </c>
      <c r="S348" s="5">
        <v>0.439</v>
      </c>
      <c r="T348" s="5">
        <v>1.3149999999999999</v>
      </c>
      <c r="U348" s="5">
        <v>-8.58</v>
      </c>
      <c r="V348" s="5">
        <v>65.510000000000005</v>
      </c>
      <c r="W348" s="5">
        <v>-0.53100000000000003</v>
      </c>
      <c r="X348" s="5">
        <v>-3.37</v>
      </c>
      <c r="Y348" s="5">
        <v>-0.26100000000000001</v>
      </c>
      <c r="Z348" s="5">
        <v>0.27200000000000002</v>
      </c>
      <c r="AA348" s="5">
        <v>1.151</v>
      </c>
      <c r="AB348" s="5">
        <v>1.954</v>
      </c>
      <c r="AC348" s="5">
        <v>-6.665</v>
      </c>
      <c r="AD348" s="5">
        <v>-3.8570000000000002</v>
      </c>
      <c r="AE348" s="5">
        <v>-10.06</v>
      </c>
      <c r="AF348" s="5">
        <v>-2.1619999999999999</v>
      </c>
      <c r="AG348" s="5">
        <v>-8.83</v>
      </c>
      <c r="AH348" s="5">
        <v>1.9590000000000001</v>
      </c>
      <c r="AI348" s="5" t="s">
        <v>99</v>
      </c>
      <c r="AK348" s="5">
        <f t="shared" si="176"/>
        <v>0.32099999999999995</v>
      </c>
      <c r="AL348" s="8">
        <f t="shared" si="206"/>
        <v>-1.4</v>
      </c>
      <c r="AN348" s="1">
        <f t="shared" si="185"/>
        <v>86</v>
      </c>
      <c r="AO348" s="1">
        <f t="shared" si="186"/>
        <v>79</v>
      </c>
      <c r="AP348" s="1">
        <f t="shared" si="187"/>
        <v>65.5</v>
      </c>
      <c r="AQ348" s="17">
        <f t="shared" si="197"/>
        <v>0.36899999999999999</v>
      </c>
      <c r="AR348" s="22">
        <f t="shared" si="188"/>
        <v>0.19400000000000001</v>
      </c>
      <c r="AT348" s="19">
        <f t="shared" si="180"/>
        <v>43808</v>
      </c>
      <c r="AU348" s="20">
        <f t="shared" si="181"/>
        <v>343</v>
      </c>
      <c r="AV348" s="1">
        <f t="shared" si="198"/>
        <v>-4.5999999999999996</v>
      </c>
      <c r="AW348" s="1">
        <f t="shared" si="199"/>
        <v>-1.1000000000000001</v>
      </c>
      <c r="AX348" s="1">
        <f t="shared" si="200"/>
        <v>-8.6</v>
      </c>
      <c r="AY348" s="1">
        <f t="shared" si="201"/>
        <v>79</v>
      </c>
      <c r="AZ348" s="1">
        <f t="shared" si="202"/>
        <v>65.5</v>
      </c>
      <c r="BA348" s="1">
        <f t="shared" si="189"/>
        <v>0.32099999999999995</v>
      </c>
      <c r="BB348" s="5">
        <f t="shared" si="190"/>
        <v>-1.4</v>
      </c>
      <c r="BC348" s="1">
        <f t="shared" si="182"/>
        <v>-6.7</v>
      </c>
      <c r="BD348" s="1">
        <f t="shared" si="183"/>
        <v>-3.9</v>
      </c>
      <c r="BE348" s="1">
        <f t="shared" si="184"/>
        <v>-10.1</v>
      </c>
      <c r="BF348" s="5">
        <f t="shared" si="203"/>
        <v>-0.2</v>
      </c>
      <c r="BG348" s="5">
        <f t="shared" si="204"/>
        <v>0.4</v>
      </c>
      <c r="BH348" s="5">
        <f t="shared" si="205"/>
        <v>1.2</v>
      </c>
      <c r="BI348" s="5" t="str">
        <f t="shared" si="191"/>
        <v>NAN</v>
      </c>
      <c r="BJ348" s="10">
        <f t="shared" si="192"/>
        <v>0.36899999999999999</v>
      </c>
      <c r="BK348" s="10">
        <f t="shared" si="193"/>
        <v>0.19400000000000001</v>
      </c>
      <c r="BM348" s="1">
        <f t="shared" si="194"/>
        <v>-2.7620000000000005</v>
      </c>
      <c r="BN348" s="1">
        <f t="shared" si="195"/>
        <v>-1.4800000000000004</v>
      </c>
    </row>
    <row r="349" spans="1:66" x14ac:dyDescent="0.2">
      <c r="A349" s="4">
        <f t="shared" si="196"/>
        <v>43809</v>
      </c>
      <c r="B349" s="1">
        <v>344</v>
      </c>
      <c r="C349" s="1">
        <v>12</v>
      </c>
      <c r="D349" s="5">
        <v>12.78</v>
      </c>
      <c r="E349" s="5">
        <v>-0.94699999999999995</v>
      </c>
      <c r="F349" s="5">
        <v>-4.6139999999999999</v>
      </c>
      <c r="G349" s="5">
        <v>-2.9670000000000001</v>
      </c>
      <c r="H349" s="5">
        <v>82.4</v>
      </c>
      <c r="I349" s="5">
        <v>-0.217</v>
      </c>
      <c r="J349" s="5">
        <v>-1.5229999999999999</v>
      </c>
      <c r="K349" s="5">
        <v>-0.11899999999999999</v>
      </c>
      <c r="L349" s="5">
        <v>0.35899999999999999</v>
      </c>
      <c r="M349" s="5">
        <v>1.2330000000000001</v>
      </c>
      <c r="N349" s="5">
        <v>-0.25</v>
      </c>
      <c r="O349" s="5">
        <v>94.6</v>
      </c>
      <c r="P349" s="5">
        <v>-9.4E-2</v>
      </c>
      <c r="Q349" s="5">
        <v>-1.012</v>
      </c>
      <c r="R349" s="5">
        <v>-3.5000000000000003E-2</v>
      </c>
      <c r="S349" s="5">
        <v>0.44700000000000001</v>
      </c>
      <c r="T349" s="5">
        <v>1.32</v>
      </c>
      <c r="U349" s="5">
        <v>-5.7889999999999997</v>
      </c>
      <c r="V349" s="5">
        <v>63.71</v>
      </c>
      <c r="W349" s="5">
        <v>-0.35099999999999998</v>
      </c>
      <c r="X349" s="5">
        <v>-2.0230000000000001</v>
      </c>
      <c r="Y349" s="5">
        <v>-0.21099999999999999</v>
      </c>
      <c r="Z349" s="5">
        <v>0.28199999999999997</v>
      </c>
      <c r="AA349" s="5">
        <v>1.1459999999999999</v>
      </c>
      <c r="AB349" s="5">
        <v>1.9319999999999999</v>
      </c>
      <c r="AC349" s="5">
        <v>-4.2</v>
      </c>
      <c r="AD349" s="5">
        <v>-2.62</v>
      </c>
      <c r="AE349" s="5">
        <v>-5.5220000000000002</v>
      </c>
      <c r="AF349" s="5">
        <v>-0.746</v>
      </c>
      <c r="AG349" s="5">
        <v>-5.7240000000000002</v>
      </c>
      <c r="AH349" s="5">
        <v>1.948</v>
      </c>
      <c r="AI349" s="5" t="s">
        <v>99</v>
      </c>
      <c r="AK349" s="5">
        <f t="shared" si="176"/>
        <v>0.34299999999999997</v>
      </c>
      <c r="AL349" s="8">
        <f t="shared" si="206"/>
        <v>-0.8</v>
      </c>
      <c r="AN349" s="1">
        <f t="shared" si="185"/>
        <v>94.6</v>
      </c>
      <c r="AO349" s="1">
        <f t="shared" si="186"/>
        <v>82.4</v>
      </c>
      <c r="AP349" s="1">
        <f t="shared" si="187"/>
        <v>63.7</v>
      </c>
      <c r="AQ349" s="17">
        <f t="shared" si="197"/>
        <v>0.38200000000000001</v>
      </c>
      <c r="AR349" s="22">
        <f t="shared" si="188"/>
        <v>0.218</v>
      </c>
      <c r="AT349" s="19">
        <f t="shared" si="180"/>
        <v>43809</v>
      </c>
      <c r="AU349" s="20">
        <f t="shared" si="181"/>
        <v>344</v>
      </c>
      <c r="AV349" s="1">
        <f t="shared" si="198"/>
        <v>-3</v>
      </c>
      <c r="AW349" s="1">
        <f t="shared" si="199"/>
        <v>-0.3</v>
      </c>
      <c r="AX349" s="1">
        <f t="shared" si="200"/>
        <v>-5.8</v>
      </c>
      <c r="AY349" s="1">
        <f t="shared" si="201"/>
        <v>82.4</v>
      </c>
      <c r="AZ349" s="1">
        <f t="shared" si="202"/>
        <v>63.7</v>
      </c>
      <c r="BA349" s="1">
        <f t="shared" si="189"/>
        <v>0.34299999999999997</v>
      </c>
      <c r="BB349" s="5">
        <f t="shared" si="190"/>
        <v>-0.8</v>
      </c>
      <c r="BC349" s="1">
        <f t="shared" si="182"/>
        <v>-4.2</v>
      </c>
      <c r="BD349" s="1">
        <f t="shared" si="183"/>
        <v>-2.6</v>
      </c>
      <c r="BE349" s="1">
        <f t="shared" si="184"/>
        <v>-5.5</v>
      </c>
      <c r="BF349" s="5">
        <f t="shared" si="203"/>
        <v>-0.1</v>
      </c>
      <c r="BG349" s="5">
        <f t="shared" si="204"/>
        <v>0.4</v>
      </c>
      <c r="BH349" s="5">
        <f t="shared" si="205"/>
        <v>1.2</v>
      </c>
      <c r="BI349" s="5" t="str">
        <f t="shared" si="191"/>
        <v>NAN</v>
      </c>
      <c r="BJ349" s="10">
        <f t="shared" si="192"/>
        <v>0.38200000000000001</v>
      </c>
      <c r="BK349" s="10">
        <f t="shared" si="193"/>
        <v>0.218</v>
      </c>
      <c r="BM349" s="1">
        <f t="shared" si="194"/>
        <v>-2.37</v>
      </c>
      <c r="BN349" s="1">
        <f t="shared" si="195"/>
        <v>0.26699999999999946</v>
      </c>
    </row>
    <row r="350" spans="1:66" x14ac:dyDescent="0.2">
      <c r="A350" s="4">
        <f t="shared" si="196"/>
        <v>43810</v>
      </c>
      <c r="B350" s="1">
        <v>345</v>
      </c>
      <c r="C350" s="1">
        <v>12</v>
      </c>
      <c r="D350" s="5">
        <v>12.78</v>
      </c>
      <c r="E350" s="5">
        <v>-3.536</v>
      </c>
      <c r="F350" s="5">
        <v>-6.9950000000000001</v>
      </c>
      <c r="G350" s="5">
        <v>-5.4290000000000003</v>
      </c>
      <c r="H350" s="5">
        <v>92.4</v>
      </c>
      <c r="I350" s="5">
        <v>-0.23400000000000001</v>
      </c>
      <c r="J350" s="5">
        <v>-1.7729999999999999</v>
      </c>
      <c r="K350" s="5">
        <v>-0.11799999999999999</v>
      </c>
      <c r="L350" s="5">
        <v>0.34200000000000003</v>
      </c>
      <c r="M350" s="5">
        <v>1.2050000000000001</v>
      </c>
      <c r="N350" s="5">
        <v>-3.8610000000000002</v>
      </c>
      <c r="O350" s="5">
        <v>94.8</v>
      </c>
      <c r="P350" s="5">
        <v>-0.14199999999999999</v>
      </c>
      <c r="Q350" s="5">
        <v>-1.548</v>
      </c>
      <c r="R350" s="5">
        <v>-3.7999999999999999E-2</v>
      </c>
      <c r="S350" s="5">
        <v>0.41899999999999998</v>
      </c>
      <c r="T350" s="5">
        <v>1.284</v>
      </c>
      <c r="U350" s="5">
        <v>-7.8780000000000001</v>
      </c>
      <c r="V350" s="5">
        <v>90.6</v>
      </c>
      <c r="W350" s="5">
        <v>-0.34100000000000003</v>
      </c>
      <c r="X350" s="5">
        <v>-2.2450000000000001</v>
      </c>
      <c r="Y350" s="5">
        <v>-0.193</v>
      </c>
      <c r="Z350" s="5">
        <v>0.26300000000000001</v>
      </c>
      <c r="AA350" s="5">
        <v>1.1220000000000001</v>
      </c>
      <c r="AB350" s="5">
        <v>1.92</v>
      </c>
      <c r="AC350" s="5">
        <v>-5.8029999999999999</v>
      </c>
      <c r="AD350" s="5">
        <v>-4.3049999999999997</v>
      </c>
      <c r="AE350" s="5">
        <v>-7.7610000000000001</v>
      </c>
      <c r="AF350" s="5">
        <v>-3.6680000000000001</v>
      </c>
      <c r="AG350" s="5">
        <v>-7.8650000000000002</v>
      </c>
      <c r="AH350" s="5">
        <v>1.94</v>
      </c>
      <c r="AI350" s="5" t="s">
        <v>99</v>
      </c>
      <c r="AK350" s="5">
        <f t="shared" si="176"/>
        <v>0.35499999999999998</v>
      </c>
      <c r="AL350" s="8">
        <f t="shared" si="206"/>
        <v>-0.9</v>
      </c>
      <c r="AN350" s="1">
        <f t="shared" si="185"/>
        <v>94.8</v>
      </c>
      <c r="AO350" s="1">
        <f t="shared" si="186"/>
        <v>92.4</v>
      </c>
      <c r="AP350" s="1">
        <f t="shared" si="187"/>
        <v>90.6</v>
      </c>
      <c r="AQ350" s="17">
        <f t="shared" si="197"/>
        <v>0.41599999999999998</v>
      </c>
      <c r="AR350" s="22">
        <f t="shared" si="188"/>
        <v>4.2999999999999997E-2</v>
      </c>
      <c r="AT350" s="19">
        <f t="shared" si="180"/>
        <v>43810</v>
      </c>
      <c r="AU350" s="20">
        <f t="shared" si="181"/>
        <v>345</v>
      </c>
      <c r="AV350" s="1">
        <f t="shared" si="198"/>
        <v>-5.4</v>
      </c>
      <c r="AW350" s="1">
        <f t="shared" si="199"/>
        <v>-3.9</v>
      </c>
      <c r="AX350" s="1">
        <f t="shared" si="200"/>
        <v>-7.9</v>
      </c>
      <c r="AY350" s="1">
        <f t="shared" si="201"/>
        <v>92.4</v>
      </c>
      <c r="AZ350" s="1">
        <f t="shared" si="202"/>
        <v>90.6</v>
      </c>
      <c r="BA350" s="1">
        <f t="shared" si="189"/>
        <v>0.35499999999999998</v>
      </c>
      <c r="BB350" s="5">
        <f t="shared" si="190"/>
        <v>-0.9</v>
      </c>
      <c r="BC350" s="1">
        <f t="shared" si="182"/>
        <v>-5.8</v>
      </c>
      <c r="BD350" s="1">
        <f t="shared" si="183"/>
        <v>-4.3</v>
      </c>
      <c r="BE350" s="1">
        <f t="shared" si="184"/>
        <v>-7.8</v>
      </c>
      <c r="BF350" s="5">
        <f t="shared" si="203"/>
        <v>-0.1</v>
      </c>
      <c r="BG350" s="5">
        <f t="shared" si="204"/>
        <v>0.3</v>
      </c>
      <c r="BH350" s="5">
        <f t="shared" si="205"/>
        <v>1.2</v>
      </c>
      <c r="BI350" s="5" t="str">
        <f t="shared" si="191"/>
        <v>NAN</v>
      </c>
      <c r="BJ350" s="10">
        <f t="shared" si="192"/>
        <v>0.41599999999999998</v>
      </c>
      <c r="BK350" s="10">
        <f t="shared" si="193"/>
        <v>4.2999999999999997E-2</v>
      </c>
      <c r="BM350" s="1">
        <f t="shared" si="194"/>
        <v>-0.44399999999999951</v>
      </c>
      <c r="BN350" s="1">
        <f t="shared" si="195"/>
        <v>0.11699999999999999</v>
      </c>
    </row>
    <row r="351" spans="1:66" x14ac:dyDescent="0.2">
      <c r="A351" s="4">
        <f t="shared" si="196"/>
        <v>43811</v>
      </c>
      <c r="B351" s="1">
        <v>346</v>
      </c>
      <c r="C351" s="1">
        <v>12</v>
      </c>
      <c r="D351" s="5">
        <v>12.77</v>
      </c>
      <c r="E351" s="5">
        <v>-4.0739999999999998</v>
      </c>
      <c r="F351" s="5">
        <v>-6.7309999999999999</v>
      </c>
      <c r="G351" s="5">
        <v>-5.2519999999999998</v>
      </c>
      <c r="H351" s="5">
        <v>92.6</v>
      </c>
      <c r="I351" s="5">
        <v>-0.24299999999999999</v>
      </c>
      <c r="J351" s="5">
        <v>-1.7569999999999999</v>
      </c>
      <c r="K351" s="5">
        <v>-0.128</v>
      </c>
      <c r="L351" s="5">
        <v>0.33800000000000002</v>
      </c>
      <c r="M351" s="5">
        <v>1.1930000000000001</v>
      </c>
      <c r="N351" s="5">
        <v>-3.6560000000000001</v>
      </c>
      <c r="O351" s="5">
        <v>93.4</v>
      </c>
      <c r="P351" s="5">
        <v>-0.14399999999999999</v>
      </c>
      <c r="Q351" s="5">
        <v>-1.4370000000000001</v>
      </c>
      <c r="R351" s="5">
        <v>-4.8000000000000001E-2</v>
      </c>
      <c r="S351" s="5">
        <v>0.41799999999999998</v>
      </c>
      <c r="T351" s="5">
        <v>1.266</v>
      </c>
      <c r="U351" s="5">
        <v>-6.29</v>
      </c>
      <c r="V351" s="5">
        <v>91.9</v>
      </c>
      <c r="W351" s="5">
        <v>-0.35499999999999998</v>
      </c>
      <c r="X351" s="5">
        <v>-2.2440000000000002</v>
      </c>
      <c r="Y351" s="5">
        <v>-0.2</v>
      </c>
      <c r="Z351" s="5">
        <v>0.255</v>
      </c>
      <c r="AA351" s="5">
        <v>1.121</v>
      </c>
      <c r="AB351" s="5">
        <v>1.8160000000000001</v>
      </c>
      <c r="AC351" s="5">
        <v>-5.8019999999999996</v>
      </c>
      <c r="AD351" s="5">
        <v>-4.4470000000000001</v>
      </c>
      <c r="AE351" s="5">
        <v>-7.6</v>
      </c>
      <c r="AF351" s="5">
        <v>-3.8530000000000002</v>
      </c>
      <c r="AG351" s="5">
        <v>-6.452</v>
      </c>
      <c r="AH351" s="5">
        <v>1.833</v>
      </c>
      <c r="AI351" s="5" t="s">
        <v>99</v>
      </c>
      <c r="AK351" s="5">
        <f t="shared" si="176"/>
        <v>0.45899999999999985</v>
      </c>
      <c r="AL351" s="8">
        <f t="shared" si="206"/>
        <v>-0.9</v>
      </c>
      <c r="AN351" s="1">
        <f t="shared" si="185"/>
        <v>93.4</v>
      </c>
      <c r="AO351" s="1">
        <f t="shared" si="186"/>
        <v>92.6</v>
      </c>
      <c r="AP351" s="1">
        <f t="shared" si="187"/>
        <v>91.9</v>
      </c>
      <c r="AQ351" s="17">
        <f t="shared" si="197"/>
        <v>0.42799999999999999</v>
      </c>
      <c r="AR351" s="22">
        <f t="shared" si="188"/>
        <v>3.7999999999999999E-2</v>
      </c>
      <c r="AT351" s="19">
        <f t="shared" si="180"/>
        <v>43811</v>
      </c>
      <c r="AU351" s="20">
        <f t="shared" si="181"/>
        <v>346</v>
      </c>
      <c r="AV351" s="1">
        <f t="shared" si="198"/>
        <v>-5.3</v>
      </c>
      <c r="AW351" s="1">
        <f t="shared" si="199"/>
        <v>-3.7</v>
      </c>
      <c r="AX351" s="1">
        <f t="shared" si="200"/>
        <v>-6.3</v>
      </c>
      <c r="AY351" s="1">
        <f t="shared" si="201"/>
        <v>92.6</v>
      </c>
      <c r="AZ351" s="1">
        <f t="shared" si="202"/>
        <v>91.9</v>
      </c>
      <c r="BA351" s="1">
        <f t="shared" si="189"/>
        <v>0.45899999999999985</v>
      </c>
      <c r="BB351" s="5">
        <f t="shared" si="190"/>
        <v>-0.9</v>
      </c>
      <c r="BC351" s="1">
        <f t="shared" si="182"/>
        <v>-5.8</v>
      </c>
      <c r="BD351" s="1">
        <f t="shared" si="183"/>
        <v>-4.4000000000000004</v>
      </c>
      <c r="BE351" s="1">
        <f t="shared" si="184"/>
        <v>-7.6</v>
      </c>
      <c r="BF351" s="5">
        <f t="shared" si="203"/>
        <v>-0.1</v>
      </c>
      <c r="BG351" s="5">
        <f t="shared" si="204"/>
        <v>0.3</v>
      </c>
      <c r="BH351" s="5">
        <f t="shared" si="205"/>
        <v>1.2</v>
      </c>
      <c r="BI351" s="5" t="str">
        <f t="shared" si="191"/>
        <v>NAN</v>
      </c>
      <c r="BJ351" s="10">
        <f t="shared" si="192"/>
        <v>0.42799999999999999</v>
      </c>
      <c r="BK351" s="10">
        <f t="shared" si="193"/>
        <v>3.7999999999999999E-2</v>
      </c>
      <c r="BM351" s="1">
        <f t="shared" si="194"/>
        <v>-0.79099999999999993</v>
      </c>
      <c r="BN351" s="1">
        <f t="shared" si="195"/>
        <v>-1.3099999999999996</v>
      </c>
    </row>
    <row r="352" spans="1:66" x14ac:dyDescent="0.2">
      <c r="A352" s="4">
        <f t="shared" si="196"/>
        <v>43812</v>
      </c>
      <c r="B352" s="1">
        <v>347</v>
      </c>
      <c r="C352" s="1">
        <v>12</v>
      </c>
      <c r="D352" s="5">
        <v>12.78</v>
      </c>
      <c r="E352" s="5">
        <v>-4.2450000000000001</v>
      </c>
      <c r="F352" s="5">
        <v>-6.3579999999999997</v>
      </c>
      <c r="G352" s="5">
        <v>-5.6130000000000004</v>
      </c>
      <c r="H352" s="5">
        <v>92.3</v>
      </c>
      <c r="I352" s="5">
        <v>-0.20699999999999999</v>
      </c>
      <c r="J352" s="5">
        <v>-1.452</v>
      </c>
      <c r="K352" s="5">
        <v>-0.112</v>
      </c>
      <c r="L352" s="5">
        <v>0.33300000000000002</v>
      </c>
      <c r="M352" s="5">
        <v>1.181</v>
      </c>
      <c r="N352" s="5">
        <v>-4.5999999999999996</v>
      </c>
      <c r="O352" s="5">
        <v>93.1</v>
      </c>
      <c r="P352" s="5">
        <v>-0.11700000000000001</v>
      </c>
      <c r="Q352" s="5">
        <v>-1.248</v>
      </c>
      <c r="R352" s="5">
        <v>-4.1000000000000002E-2</v>
      </c>
      <c r="S352" s="5">
        <v>0.40600000000000003</v>
      </c>
      <c r="T352" s="5">
        <v>1.2589999999999999</v>
      </c>
      <c r="U352" s="5">
        <v>-6.6269999999999998</v>
      </c>
      <c r="V352" s="5">
        <v>91.2</v>
      </c>
      <c r="W352" s="5">
        <v>-0.28999999999999998</v>
      </c>
      <c r="X352" s="5">
        <v>-1.6279999999999999</v>
      </c>
      <c r="Y352" s="5">
        <v>-0.187</v>
      </c>
      <c r="Z352" s="5">
        <v>0.255</v>
      </c>
      <c r="AA352" s="5">
        <v>1.105</v>
      </c>
      <c r="AB352" s="5">
        <v>1.843</v>
      </c>
      <c r="AC352" s="5">
        <v>-5.9930000000000003</v>
      </c>
      <c r="AD352" s="5">
        <v>-4.5940000000000003</v>
      </c>
      <c r="AE352" s="5">
        <v>-7.5330000000000004</v>
      </c>
      <c r="AF352" s="5">
        <v>-4.617</v>
      </c>
      <c r="AG352" s="5">
        <v>-6.8639999999999999</v>
      </c>
      <c r="AH352" s="5">
        <v>1.865</v>
      </c>
      <c r="AI352" s="5" t="s">
        <v>99</v>
      </c>
      <c r="AK352" s="5">
        <f t="shared" si="176"/>
        <v>0.43199999999999994</v>
      </c>
      <c r="AL352" s="8">
        <f t="shared" si="206"/>
        <v>-0.8</v>
      </c>
      <c r="AN352" s="1">
        <f t="shared" si="185"/>
        <v>93.1</v>
      </c>
      <c r="AO352" s="1">
        <f t="shared" si="186"/>
        <v>92.3</v>
      </c>
      <c r="AP352" s="1">
        <f t="shared" si="187"/>
        <v>91.2</v>
      </c>
      <c r="AQ352" s="17">
        <f t="shared" si="197"/>
        <v>0.39600000000000002</v>
      </c>
      <c r="AR352" s="22">
        <f t="shared" si="188"/>
        <v>3.7999999999999999E-2</v>
      </c>
      <c r="AT352" s="19">
        <f t="shared" si="180"/>
        <v>43812</v>
      </c>
      <c r="AU352" s="20">
        <f t="shared" si="181"/>
        <v>347</v>
      </c>
      <c r="AV352" s="1">
        <f t="shared" si="198"/>
        <v>-5.6</v>
      </c>
      <c r="AW352" s="1">
        <f t="shared" si="199"/>
        <v>-4.5999999999999996</v>
      </c>
      <c r="AX352" s="1">
        <f t="shared" si="200"/>
        <v>-6.6</v>
      </c>
      <c r="AY352" s="1">
        <f t="shared" si="201"/>
        <v>92.3</v>
      </c>
      <c r="AZ352" s="1">
        <f t="shared" si="202"/>
        <v>91.2</v>
      </c>
      <c r="BA352" s="1">
        <f t="shared" si="189"/>
        <v>0.43199999999999994</v>
      </c>
      <c r="BB352" s="5">
        <f t="shared" si="190"/>
        <v>-0.8</v>
      </c>
      <c r="BC352" s="1">
        <f t="shared" si="182"/>
        <v>-6</v>
      </c>
      <c r="BD352" s="1">
        <f t="shared" si="183"/>
        <v>-4.5999999999999996</v>
      </c>
      <c r="BE352" s="1">
        <f t="shared" si="184"/>
        <v>-7.5</v>
      </c>
      <c r="BF352" s="5">
        <f t="shared" si="203"/>
        <v>-0.1</v>
      </c>
      <c r="BG352" s="5">
        <f t="shared" si="204"/>
        <v>0.3</v>
      </c>
      <c r="BH352" s="5">
        <f t="shared" si="205"/>
        <v>1.2</v>
      </c>
      <c r="BI352" s="5" t="str">
        <f t="shared" si="191"/>
        <v>NAN</v>
      </c>
      <c r="BJ352" s="10">
        <f t="shared" si="192"/>
        <v>0.39600000000000002</v>
      </c>
      <c r="BK352" s="10">
        <f t="shared" si="193"/>
        <v>3.7999999999999999E-2</v>
      </c>
      <c r="BM352" s="1">
        <f t="shared" si="194"/>
        <v>5.9999999999993392E-3</v>
      </c>
      <c r="BN352" s="1">
        <f t="shared" si="195"/>
        <v>-0.90600000000000058</v>
      </c>
    </row>
    <row r="353" spans="1:66" x14ac:dyDescent="0.2">
      <c r="A353" s="4">
        <f t="shared" si="196"/>
        <v>43813</v>
      </c>
      <c r="B353" s="1">
        <v>348</v>
      </c>
      <c r="C353" s="1">
        <v>12</v>
      </c>
      <c r="D353" s="5">
        <v>12.77</v>
      </c>
      <c r="E353" s="5">
        <v>-6.0049999999999999</v>
      </c>
      <c r="F353" s="5">
        <v>-8.42</v>
      </c>
      <c r="G353" s="5">
        <v>-7.3570000000000002</v>
      </c>
      <c r="H353" s="5">
        <v>91</v>
      </c>
      <c r="I353" s="5">
        <v>-0.20799999999999999</v>
      </c>
      <c r="J353" s="5">
        <v>-1.5009999999999999</v>
      </c>
      <c r="K353" s="5">
        <v>-0.11899999999999999</v>
      </c>
      <c r="L353" s="5">
        <v>0.313</v>
      </c>
      <c r="M353" s="5">
        <v>1.1519999999999999</v>
      </c>
      <c r="N353" s="5">
        <v>-6.1539999999999999</v>
      </c>
      <c r="O353" s="5">
        <v>92.2</v>
      </c>
      <c r="P353" s="5">
        <v>-0.129</v>
      </c>
      <c r="Q353" s="5">
        <v>-1.3280000000000001</v>
      </c>
      <c r="R353" s="5">
        <v>-2.5000000000000001E-2</v>
      </c>
      <c r="S353" s="5">
        <v>0.38800000000000001</v>
      </c>
      <c r="T353" s="5">
        <v>1.238</v>
      </c>
      <c r="U353" s="5">
        <v>-8.7200000000000006</v>
      </c>
      <c r="V353" s="5">
        <v>89.6</v>
      </c>
      <c r="W353" s="5">
        <v>-0.28699999999999998</v>
      </c>
      <c r="X353" s="5">
        <v>-1.6870000000000001</v>
      </c>
      <c r="Y353" s="5">
        <v>-0.19500000000000001</v>
      </c>
      <c r="Z353" s="5">
        <v>0.23</v>
      </c>
      <c r="AA353" s="5">
        <v>1.0589999999999999</v>
      </c>
      <c r="AB353" s="5">
        <v>1.85</v>
      </c>
      <c r="AC353" s="5">
        <v>-7.52</v>
      </c>
      <c r="AD353" s="5">
        <v>-5.9749999999999996</v>
      </c>
      <c r="AE353" s="5">
        <v>-9.2200000000000006</v>
      </c>
      <c r="AF353" s="5">
        <v>-6.0449999999999999</v>
      </c>
      <c r="AG353" s="5">
        <v>-8.9</v>
      </c>
      <c r="AH353" s="5">
        <v>1.88</v>
      </c>
      <c r="AI353" s="5" t="s">
        <v>99</v>
      </c>
      <c r="AK353" s="5">
        <f t="shared" si="176"/>
        <v>0.42499999999999982</v>
      </c>
      <c r="AL353" s="8">
        <f t="shared" si="206"/>
        <v>-0.8</v>
      </c>
      <c r="AN353" s="1">
        <f t="shared" si="185"/>
        <v>92.2</v>
      </c>
      <c r="AO353" s="1">
        <f t="shared" si="186"/>
        <v>91</v>
      </c>
      <c r="AP353" s="1">
        <f t="shared" si="187"/>
        <v>89.6</v>
      </c>
      <c r="AQ353" s="17">
        <f t="shared" si="197"/>
        <v>0.34499999999999997</v>
      </c>
      <c r="AR353" s="22">
        <f t="shared" si="188"/>
        <v>0.04</v>
      </c>
      <c r="AT353" s="19">
        <f t="shared" si="180"/>
        <v>43813</v>
      </c>
      <c r="AU353" s="20">
        <f t="shared" si="181"/>
        <v>348</v>
      </c>
      <c r="AV353" s="1">
        <f t="shared" si="198"/>
        <v>-7.4</v>
      </c>
      <c r="AW353" s="1">
        <f t="shared" si="199"/>
        <v>-6.2</v>
      </c>
      <c r="AX353" s="1">
        <f t="shared" si="200"/>
        <v>-8.6999999999999993</v>
      </c>
      <c r="AY353" s="1">
        <f t="shared" si="201"/>
        <v>91</v>
      </c>
      <c r="AZ353" s="1">
        <f t="shared" si="202"/>
        <v>89.6</v>
      </c>
      <c r="BA353" s="1">
        <f t="shared" si="189"/>
        <v>0.42499999999999982</v>
      </c>
      <c r="BB353" s="5">
        <f t="shared" si="190"/>
        <v>-0.8</v>
      </c>
      <c r="BC353" s="1">
        <f t="shared" si="182"/>
        <v>-7.5</v>
      </c>
      <c r="BD353" s="1">
        <f t="shared" si="183"/>
        <v>-6</v>
      </c>
      <c r="BE353" s="1">
        <f t="shared" si="184"/>
        <v>-9.1999999999999993</v>
      </c>
      <c r="BF353" s="5">
        <f t="shared" si="203"/>
        <v>-0.1</v>
      </c>
      <c r="BG353" s="5">
        <f t="shared" si="204"/>
        <v>0.3</v>
      </c>
      <c r="BH353" s="5">
        <f t="shared" si="205"/>
        <v>1.2</v>
      </c>
      <c r="BI353" s="5" t="str">
        <f t="shared" si="191"/>
        <v>NAN</v>
      </c>
      <c r="BJ353" s="10">
        <f t="shared" si="192"/>
        <v>0.34499999999999997</v>
      </c>
      <c r="BK353" s="10">
        <f t="shared" si="193"/>
        <v>0.04</v>
      </c>
      <c r="BM353" s="1">
        <f t="shared" si="194"/>
        <v>0.17900000000000027</v>
      </c>
      <c r="BN353" s="1">
        <f t="shared" si="195"/>
        <v>-0.5</v>
      </c>
    </row>
    <row r="354" spans="1:66" x14ac:dyDescent="0.2">
      <c r="A354" s="4">
        <f t="shared" si="196"/>
        <v>43814</v>
      </c>
      <c r="B354" s="1">
        <v>349</v>
      </c>
      <c r="C354" s="1">
        <v>12</v>
      </c>
      <c r="D354" s="5">
        <v>12.79</v>
      </c>
      <c r="E354" s="5">
        <v>-8.0399999999999991</v>
      </c>
      <c r="F354" s="5">
        <v>-10.7</v>
      </c>
      <c r="G354" s="5">
        <v>-9.4700000000000006</v>
      </c>
      <c r="H354" s="5">
        <v>89.3</v>
      </c>
      <c r="I354" s="5">
        <v>-0.25</v>
      </c>
      <c r="J354" s="5">
        <v>-1.8089999999999999</v>
      </c>
      <c r="K354" s="5">
        <v>-0.13900000000000001</v>
      </c>
      <c r="L354" s="5">
        <v>0.3</v>
      </c>
      <c r="M354" s="5">
        <v>1.1319999999999999</v>
      </c>
      <c r="N354" s="5">
        <v>-8.41</v>
      </c>
      <c r="O354" s="5">
        <v>90.3</v>
      </c>
      <c r="P354" s="5">
        <v>-0.16500000000000001</v>
      </c>
      <c r="Q354" s="5">
        <v>-1.583</v>
      </c>
      <c r="R354" s="5">
        <v>-6.0999999999999999E-2</v>
      </c>
      <c r="S354" s="5">
        <v>0.371</v>
      </c>
      <c r="T354" s="5">
        <v>1.208</v>
      </c>
      <c r="U354" s="5">
        <v>-11.35</v>
      </c>
      <c r="V354" s="5">
        <v>87.1</v>
      </c>
      <c r="W354" s="5">
        <v>-0.35099999999999998</v>
      </c>
      <c r="X354" s="5">
        <v>-2.165</v>
      </c>
      <c r="Y354" s="5">
        <v>-0.216</v>
      </c>
      <c r="Z354" s="5">
        <v>0.224</v>
      </c>
      <c r="AA354" s="5">
        <v>1.0389999999999999</v>
      </c>
      <c r="AB354" s="5">
        <v>1.847</v>
      </c>
      <c r="AC354" s="5">
        <v>-9.9600000000000009</v>
      </c>
      <c r="AD354" s="5">
        <v>-8.23</v>
      </c>
      <c r="AE354" s="5">
        <v>-12.72</v>
      </c>
      <c r="AF354" s="5">
        <v>-8.34</v>
      </c>
      <c r="AG354" s="5">
        <v>-11.46</v>
      </c>
      <c r="AH354" s="5">
        <v>1.885</v>
      </c>
      <c r="AI354" s="5" t="s">
        <v>99</v>
      </c>
      <c r="AK354" s="5">
        <f t="shared" si="176"/>
        <v>0.42799999999999994</v>
      </c>
      <c r="AL354" s="8">
        <f t="shared" si="206"/>
        <v>-1</v>
      </c>
      <c r="AN354" s="1">
        <f t="shared" si="185"/>
        <v>90.3</v>
      </c>
      <c r="AO354" s="1">
        <f t="shared" si="186"/>
        <v>89.3</v>
      </c>
      <c r="AP354" s="1">
        <f t="shared" si="187"/>
        <v>87.1</v>
      </c>
      <c r="AQ354" s="17">
        <f t="shared" si="197"/>
        <v>0.28199999999999997</v>
      </c>
      <c r="AR354" s="22">
        <f t="shared" si="188"/>
        <v>4.2000000000000003E-2</v>
      </c>
      <c r="AT354" s="19">
        <f t="shared" si="180"/>
        <v>43814</v>
      </c>
      <c r="AU354" s="20">
        <f t="shared" si="181"/>
        <v>349</v>
      </c>
      <c r="AV354" s="1">
        <f t="shared" si="198"/>
        <v>-9.5</v>
      </c>
      <c r="AW354" s="1">
        <f t="shared" si="199"/>
        <v>-8.4</v>
      </c>
      <c r="AX354" s="1">
        <f t="shared" si="200"/>
        <v>-11.4</v>
      </c>
      <c r="AY354" s="1">
        <f t="shared" si="201"/>
        <v>89.3</v>
      </c>
      <c r="AZ354" s="1">
        <f t="shared" si="202"/>
        <v>87.1</v>
      </c>
      <c r="BA354" s="1">
        <f t="shared" si="189"/>
        <v>0.42799999999999994</v>
      </c>
      <c r="BB354" s="5">
        <f t="shared" si="190"/>
        <v>-1</v>
      </c>
      <c r="BC354" s="1">
        <f t="shared" si="182"/>
        <v>-10</v>
      </c>
      <c r="BD354" s="1">
        <f t="shared" si="183"/>
        <v>-8.1999999999999993</v>
      </c>
      <c r="BE354" s="1">
        <f t="shared" si="184"/>
        <v>-12.7</v>
      </c>
      <c r="BF354" s="5">
        <f t="shared" si="203"/>
        <v>-0.1</v>
      </c>
      <c r="BG354" s="5">
        <f t="shared" si="204"/>
        <v>0.3</v>
      </c>
      <c r="BH354" s="5">
        <f t="shared" si="205"/>
        <v>1.1000000000000001</v>
      </c>
      <c r="BI354" s="5" t="str">
        <f t="shared" si="191"/>
        <v>NAN</v>
      </c>
      <c r="BJ354" s="10">
        <f t="shared" si="192"/>
        <v>0.28199999999999997</v>
      </c>
      <c r="BK354" s="10">
        <f t="shared" si="193"/>
        <v>4.2000000000000003E-2</v>
      </c>
      <c r="BM354" s="1">
        <f t="shared" si="194"/>
        <v>0.17999999999999972</v>
      </c>
      <c r="BN354" s="1">
        <f t="shared" si="195"/>
        <v>-1.370000000000001</v>
      </c>
    </row>
    <row r="355" spans="1:66" x14ac:dyDescent="0.2">
      <c r="A355" s="4">
        <f t="shared" si="196"/>
        <v>43815</v>
      </c>
      <c r="B355" s="1">
        <v>350</v>
      </c>
      <c r="C355" s="1">
        <v>12</v>
      </c>
      <c r="D355" s="5">
        <v>12.76</v>
      </c>
      <c r="E355" s="5">
        <v>-4.6360000000000001</v>
      </c>
      <c r="F355" s="5">
        <v>-11.63</v>
      </c>
      <c r="G355" s="5">
        <v>-8.02</v>
      </c>
      <c r="H355" s="5">
        <v>89.8</v>
      </c>
      <c r="I355" s="5">
        <v>-0.32200000000000001</v>
      </c>
      <c r="J355" s="5">
        <v>-2.27</v>
      </c>
      <c r="K355" s="5">
        <v>-0.16500000000000001</v>
      </c>
      <c r="L355" s="5">
        <v>0.29499999999999998</v>
      </c>
      <c r="M355" s="5">
        <v>1.123</v>
      </c>
      <c r="N355" s="5">
        <v>-3.9279999999999999</v>
      </c>
      <c r="O355" s="5">
        <v>93.4</v>
      </c>
      <c r="P355" s="5">
        <v>-0.22900000000000001</v>
      </c>
      <c r="Q355" s="5">
        <v>-1.8420000000000001</v>
      </c>
      <c r="R355" s="5">
        <v>-7.8E-2</v>
      </c>
      <c r="S355" s="5">
        <v>0.39900000000000002</v>
      </c>
      <c r="T355" s="5">
        <v>1.2130000000000001</v>
      </c>
      <c r="U355" s="5">
        <v>-12.3</v>
      </c>
      <c r="V355" s="5">
        <v>86</v>
      </c>
      <c r="W355" s="5">
        <v>-0.42799999999999999</v>
      </c>
      <c r="X355" s="5">
        <v>-2.516</v>
      </c>
      <c r="Y355" s="5">
        <v>-0.26</v>
      </c>
      <c r="Z355" s="5">
        <v>0.19900000000000001</v>
      </c>
      <c r="AA355" s="5">
        <v>1.036</v>
      </c>
      <c r="AB355" s="5">
        <v>1.8440000000000001</v>
      </c>
      <c r="AC355" s="5">
        <v>-8.73</v>
      </c>
      <c r="AD355" s="5">
        <v>-4.6040000000000001</v>
      </c>
      <c r="AE355" s="5">
        <v>-13.68</v>
      </c>
      <c r="AF355" s="5">
        <v>-4.415</v>
      </c>
      <c r="AG355" s="5">
        <v>-12.45</v>
      </c>
      <c r="AH355" s="5">
        <v>1.8580000000000001</v>
      </c>
      <c r="AI355" s="5" t="s">
        <v>99</v>
      </c>
      <c r="AK355" s="5">
        <f t="shared" si="176"/>
        <v>0.43099999999999983</v>
      </c>
      <c r="AL355" s="8">
        <f t="shared" si="206"/>
        <v>-1.2</v>
      </c>
      <c r="AN355" s="1">
        <f t="shared" si="185"/>
        <v>93.4</v>
      </c>
      <c r="AO355" s="1">
        <f t="shared" si="186"/>
        <v>89.8</v>
      </c>
      <c r="AP355" s="1">
        <f t="shared" si="187"/>
        <v>86</v>
      </c>
      <c r="AQ355" s="17">
        <f t="shared" si="197"/>
        <v>0.39300000000000002</v>
      </c>
      <c r="AR355" s="22">
        <f t="shared" si="188"/>
        <v>6.4000000000000001E-2</v>
      </c>
      <c r="AT355" s="19">
        <f t="shared" si="180"/>
        <v>43815</v>
      </c>
      <c r="AU355" s="20">
        <f t="shared" si="181"/>
        <v>350</v>
      </c>
      <c r="AV355" s="1">
        <f t="shared" si="198"/>
        <v>-8</v>
      </c>
      <c r="AW355" s="1">
        <f t="shared" si="199"/>
        <v>-3.9</v>
      </c>
      <c r="AX355" s="1">
        <f t="shared" si="200"/>
        <v>-12.3</v>
      </c>
      <c r="AY355" s="1">
        <f t="shared" si="201"/>
        <v>89.8</v>
      </c>
      <c r="AZ355" s="1">
        <f t="shared" si="202"/>
        <v>86</v>
      </c>
      <c r="BA355" s="1">
        <f t="shared" si="189"/>
        <v>0.43099999999999983</v>
      </c>
      <c r="BB355" s="5">
        <f t="shared" si="190"/>
        <v>-1.2</v>
      </c>
      <c r="BC355" s="1">
        <f t="shared" si="182"/>
        <v>-8.6999999999999993</v>
      </c>
      <c r="BD355" s="1">
        <f t="shared" si="183"/>
        <v>-4.5999999999999996</v>
      </c>
      <c r="BE355" s="1">
        <f t="shared" si="184"/>
        <v>-13.7</v>
      </c>
      <c r="BF355" s="5">
        <f t="shared" si="203"/>
        <v>-0.2</v>
      </c>
      <c r="BG355" s="5">
        <f t="shared" si="204"/>
        <v>0.3</v>
      </c>
      <c r="BH355" s="5">
        <f t="shared" si="205"/>
        <v>1.1000000000000001</v>
      </c>
      <c r="BI355" s="5" t="str">
        <f t="shared" si="191"/>
        <v>NAN</v>
      </c>
      <c r="BJ355" s="10">
        <f t="shared" si="192"/>
        <v>0.39300000000000002</v>
      </c>
      <c r="BK355" s="10">
        <f t="shared" si="193"/>
        <v>6.4000000000000001E-2</v>
      </c>
      <c r="BM355" s="1">
        <f t="shared" si="194"/>
        <v>-0.67600000000000016</v>
      </c>
      <c r="BN355" s="1">
        <f t="shared" si="195"/>
        <v>-1.379999999999999</v>
      </c>
    </row>
    <row r="356" spans="1:66" x14ac:dyDescent="0.2">
      <c r="A356" s="4">
        <f t="shared" si="196"/>
        <v>43816</v>
      </c>
      <c r="B356" s="1">
        <v>351</v>
      </c>
      <c r="C356" s="1">
        <v>12</v>
      </c>
      <c r="D356" s="5">
        <v>12.76</v>
      </c>
      <c r="E356" s="5">
        <v>-4.2679999999999998</v>
      </c>
      <c r="F356" s="5">
        <v>-9.2799999999999994</v>
      </c>
      <c r="G356" s="5">
        <v>-7.681</v>
      </c>
      <c r="H356" s="5">
        <v>90.4</v>
      </c>
      <c r="I356" s="5">
        <v>-0.249</v>
      </c>
      <c r="J356" s="5">
        <v>-1.7729999999999999</v>
      </c>
      <c r="K356" s="5">
        <v>-0.14799999999999999</v>
      </c>
      <c r="L356" s="5">
        <v>0.29699999999999999</v>
      </c>
      <c r="M356" s="5">
        <v>1.1180000000000001</v>
      </c>
      <c r="N356" s="5">
        <v>-3.589</v>
      </c>
      <c r="O356" s="5">
        <v>93.4</v>
      </c>
      <c r="P356" s="5">
        <v>-0.159</v>
      </c>
      <c r="Q356" s="5">
        <v>-1.5680000000000001</v>
      </c>
      <c r="R356" s="5">
        <v>-6.7000000000000004E-2</v>
      </c>
      <c r="S356" s="5">
        <v>0.38400000000000001</v>
      </c>
      <c r="T356" s="5">
        <v>1.2110000000000001</v>
      </c>
      <c r="U356" s="5">
        <v>-9.73</v>
      </c>
      <c r="V356" s="5">
        <v>88.6</v>
      </c>
      <c r="W356" s="5">
        <v>-0.35899999999999999</v>
      </c>
      <c r="X356" s="5">
        <v>-2.1360000000000001</v>
      </c>
      <c r="Y356" s="5">
        <v>-0.23100000000000001</v>
      </c>
      <c r="Z356" s="5">
        <v>0.219</v>
      </c>
      <c r="AA356" s="5">
        <v>1.0409999999999999</v>
      </c>
      <c r="AB356" s="5">
        <v>1.8640000000000001</v>
      </c>
      <c r="AC356" s="5">
        <v>-7.9459999999999997</v>
      </c>
      <c r="AD356" s="5">
        <v>-4.8330000000000002</v>
      </c>
      <c r="AE356" s="5">
        <v>-9.77</v>
      </c>
      <c r="AF356" s="5">
        <v>-4.1970000000000001</v>
      </c>
      <c r="AG356" s="5">
        <v>-9.8699999999999992</v>
      </c>
      <c r="AH356" s="5">
        <v>1.8859999999999999</v>
      </c>
      <c r="AI356" s="5" t="s">
        <v>99</v>
      </c>
      <c r="AK356" s="5">
        <f t="shared" si="176"/>
        <v>0.41099999999999981</v>
      </c>
      <c r="AL356" s="8">
        <f t="shared" si="206"/>
        <v>-1</v>
      </c>
      <c r="AN356" s="1">
        <f t="shared" si="185"/>
        <v>93.4</v>
      </c>
      <c r="AO356" s="1">
        <f t="shared" si="186"/>
        <v>90.4</v>
      </c>
      <c r="AP356" s="1">
        <f t="shared" si="187"/>
        <v>88.6</v>
      </c>
      <c r="AQ356" s="17">
        <f t="shared" si="197"/>
        <v>0.41499999999999998</v>
      </c>
      <c r="AR356" s="22">
        <f t="shared" si="188"/>
        <v>5.2999999999999999E-2</v>
      </c>
      <c r="AT356" s="19">
        <f t="shared" si="180"/>
        <v>43816</v>
      </c>
      <c r="AU356" s="20">
        <f t="shared" si="181"/>
        <v>351</v>
      </c>
      <c r="AV356" s="1">
        <f t="shared" si="198"/>
        <v>-7.7</v>
      </c>
      <c r="AW356" s="1">
        <f t="shared" si="199"/>
        <v>-3.6</v>
      </c>
      <c r="AX356" s="1">
        <f t="shared" si="200"/>
        <v>-9.6999999999999993</v>
      </c>
      <c r="AY356" s="1">
        <f t="shared" si="201"/>
        <v>90.4</v>
      </c>
      <c r="AZ356" s="1">
        <f t="shared" si="202"/>
        <v>88.6</v>
      </c>
      <c r="BA356" s="1">
        <f t="shared" si="189"/>
        <v>0.41099999999999981</v>
      </c>
      <c r="BB356" s="5">
        <f t="shared" si="190"/>
        <v>-1</v>
      </c>
      <c r="BC356" s="1">
        <f t="shared" si="182"/>
        <v>-7.9</v>
      </c>
      <c r="BD356" s="1">
        <f t="shared" si="183"/>
        <v>-4.8</v>
      </c>
      <c r="BE356" s="1">
        <f t="shared" si="184"/>
        <v>-9.8000000000000007</v>
      </c>
      <c r="BF356" s="5">
        <f t="shared" si="203"/>
        <v>-0.1</v>
      </c>
      <c r="BG356" s="5">
        <f t="shared" si="204"/>
        <v>0.3</v>
      </c>
      <c r="BH356" s="5">
        <f t="shared" si="205"/>
        <v>1.1000000000000001</v>
      </c>
      <c r="BI356" s="5" t="str">
        <f t="shared" si="191"/>
        <v>NAN</v>
      </c>
      <c r="BJ356" s="10">
        <f t="shared" si="192"/>
        <v>0.41499999999999998</v>
      </c>
      <c r="BK356" s="10">
        <f t="shared" si="193"/>
        <v>5.2999999999999999E-2</v>
      </c>
      <c r="BM356" s="1">
        <f t="shared" si="194"/>
        <v>-1.2440000000000002</v>
      </c>
      <c r="BN356" s="1">
        <f t="shared" si="195"/>
        <v>-3.9999999999999147E-2</v>
      </c>
    </row>
    <row r="357" spans="1:66" x14ac:dyDescent="0.2">
      <c r="A357" s="4">
        <f t="shared" si="196"/>
        <v>43817</v>
      </c>
      <c r="B357" s="1">
        <v>352</v>
      </c>
      <c r="C357" s="1">
        <v>12</v>
      </c>
      <c r="D357" s="5">
        <v>12.75</v>
      </c>
      <c r="E357" s="5">
        <v>-7.327</v>
      </c>
      <c r="F357" s="5">
        <v>-9.3000000000000007</v>
      </c>
      <c r="G357" s="5">
        <v>-8.58</v>
      </c>
      <c r="H357" s="5">
        <v>89.8</v>
      </c>
      <c r="I357" s="5">
        <v>-0.30299999999999999</v>
      </c>
      <c r="J357" s="5">
        <v>-2.15</v>
      </c>
      <c r="K357" s="5">
        <v>-0.16400000000000001</v>
      </c>
      <c r="L357" s="5">
        <v>0.28499999999999998</v>
      </c>
      <c r="M357" s="5">
        <v>1.1000000000000001</v>
      </c>
      <c r="N357" s="5">
        <v>-6.2469999999999999</v>
      </c>
      <c r="O357" s="5">
        <v>91.5</v>
      </c>
      <c r="P357" s="5">
        <v>-0.221</v>
      </c>
      <c r="Q357" s="5">
        <v>-2.016</v>
      </c>
      <c r="R357" s="5">
        <v>-8.4000000000000005E-2</v>
      </c>
      <c r="S357" s="5">
        <v>0.371</v>
      </c>
      <c r="T357" s="5">
        <v>1.1739999999999999</v>
      </c>
      <c r="U357" s="5">
        <v>-9.76</v>
      </c>
      <c r="V357" s="5">
        <v>89.1</v>
      </c>
      <c r="W357" s="5">
        <v>-0.378</v>
      </c>
      <c r="X357" s="5">
        <v>-2.36</v>
      </c>
      <c r="Y357" s="5">
        <v>-0.23300000000000001</v>
      </c>
      <c r="Z357" s="5">
        <v>0.20300000000000001</v>
      </c>
      <c r="AA357" s="5">
        <v>1.0189999999999999</v>
      </c>
      <c r="AB357" s="5">
        <v>1.865</v>
      </c>
      <c r="AC357" s="5">
        <v>-8.69</v>
      </c>
      <c r="AD357" s="5">
        <v>-6.7880000000000003</v>
      </c>
      <c r="AE357" s="5">
        <v>-9.76</v>
      </c>
      <c r="AF357" s="5">
        <v>-6.78</v>
      </c>
      <c r="AG357" s="5">
        <v>-9.9</v>
      </c>
      <c r="AH357" s="5">
        <v>1.899</v>
      </c>
      <c r="AI357" s="5" t="s">
        <v>99</v>
      </c>
      <c r="AK357" s="5">
        <f t="shared" si="176"/>
        <v>0.40999999999999992</v>
      </c>
      <c r="AL357" s="8">
        <f t="shared" si="206"/>
        <v>-1.2</v>
      </c>
      <c r="AN357" s="1">
        <f t="shared" si="185"/>
        <v>91.5</v>
      </c>
      <c r="AO357" s="1">
        <f t="shared" si="186"/>
        <v>89.8</v>
      </c>
      <c r="AP357" s="1">
        <f t="shared" si="187"/>
        <v>89.1</v>
      </c>
      <c r="AQ357" s="17">
        <f t="shared" si="197"/>
        <v>0.34100000000000003</v>
      </c>
      <c r="AR357" s="22">
        <f t="shared" si="188"/>
        <v>4.2000000000000003E-2</v>
      </c>
      <c r="AT357" s="19">
        <f t="shared" si="180"/>
        <v>43817</v>
      </c>
      <c r="AU357" s="20">
        <f t="shared" si="181"/>
        <v>352</v>
      </c>
      <c r="AV357" s="1">
        <f t="shared" si="198"/>
        <v>-8.6</v>
      </c>
      <c r="AW357" s="1">
        <f t="shared" si="199"/>
        <v>-6.2</v>
      </c>
      <c r="AX357" s="1">
        <f t="shared" si="200"/>
        <v>-9.8000000000000007</v>
      </c>
      <c r="AY357" s="1">
        <f t="shared" si="201"/>
        <v>89.8</v>
      </c>
      <c r="AZ357" s="1">
        <f t="shared" si="202"/>
        <v>89.1</v>
      </c>
      <c r="BA357" s="1">
        <f t="shared" si="189"/>
        <v>0.40999999999999992</v>
      </c>
      <c r="BB357" s="5">
        <f t="shared" si="190"/>
        <v>-1.2</v>
      </c>
      <c r="BC357" s="1">
        <f t="shared" si="182"/>
        <v>-8.6999999999999993</v>
      </c>
      <c r="BD357" s="1">
        <f t="shared" si="183"/>
        <v>-6.8</v>
      </c>
      <c r="BE357" s="1">
        <f t="shared" si="184"/>
        <v>-9.8000000000000007</v>
      </c>
      <c r="BF357" s="5">
        <f t="shared" si="203"/>
        <v>-0.2</v>
      </c>
      <c r="BG357" s="5">
        <f t="shared" si="204"/>
        <v>0.3</v>
      </c>
      <c r="BH357" s="5">
        <f t="shared" si="205"/>
        <v>1.1000000000000001</v>
      </c>
      <c r="BI357" s="5" t="str">
        <f t="shared" si="191"/>
        <v>NAN</v>
      </c>
      <c r="BJ357" s="10">
        <f t="shared" si="192"/>
        <v>0.34100000000000003</v>
      </c>
      <c r="BK357" s="10">
        <f t="shared" si="193"/>
        <v>4.2000000000000003E-2</v>
      </c>
      <c r="BM357" s="1">
        <f t="shared" si="194"/>
        <v>-0.54100000000000037</v>
      </c>
      <c r="BN357" s="1">
        <f t="shared" si="195"/>
        <v>0</v>
      </c>
    </row>
    <row r="358" spans="1:66" x14ac:dyDescent="0.2">
      <c r="A358" s="4">
        <f t="shared" si="196"/>
        <v>43818</v>
      </c>
      <c r="B358" s="1">
        <v>353</v>
      </c>
      <c r="C358" s="1">
        <v>12</v>
      </c>
      <c r="D358" s="5">
        <v>12.75</v>
      </c>
      <c r="E358" s="5">
        <v>-5.7430000000000003</v>
      </c>
      <c r="F358" s="5">
        <v>-9.66</v>
      </c>
      <c r="G358" s="5">
        <v>-8.16</v>
      </c>
      <c r="H358" s="5">
        <v>90.3</v>
      </c>
      <c r="I358" s="5">
        <v>-0.32800000000000001</v>
      </c>
      <c r="J358" s="5">
        <v>-2.3540000000000001</v>
      </c>
      <c r="K358" s="5">
        <v>-0.18099999999999999</v>
      </c>
      <c r="L358" s="5">
        <v>0.28000000000000003</v>
      </c>
      <c r="M358" s="5">
        <v>1.091</v>
      </c>
      <c r="N358" s="5">
        <v>-4.5309999999999997</v>
      </c>
      <c r="O358" s="5">
        <v>93.1</v>
      </c>
      <c r="P358" s="5">
        <v>-0.251</v>
      </c>
      <c r="Q358" s="5">
        <v>-2.145</v>
      </c>
      <c r="R358" s="5">
        <v>-0.104</v>
      </c>
      <c r="S358" s="5">
        <v>0.35399999999999998</v>
      </c>
      <c r="T358" s="5">
        <v>1.165</v>
      </c>
      <c r="U358" s="5">
        <v>-10.029999999999999</v>
      </c>
      <c r="V358" s="5">
        <v>88.6</v>
      </c>
      <c r="W358" s="5">
        <v>-0.41699999999999998</v>
      </c>
      <c r="X358" s="5">
        <v>-2.4820000000000002</v>
      </c>
      <c r="Y358" s="5">
        <v>-0.26</v>
      </c>
      <c r="Z358" s="5">
        <v>0.20300000000000001</v>
      </c>
      <c r="AA358" s="5">
        <v>1.014</v>
      </c>
      <c r="AB358" s="5">
        <v>1.764</v>
      </c>
      <c r="AC358" s="5">
        <v>-8.44</v>
      </c>
      <c r="AD358" s="5">
        <v>-5.17</v>
      </c>
      <c r="AE358" s="5">
        <v>-10.8</v>
      </c>
      <c r="AF358" s="5">
        <v>-4.9889999999999999</v>
      </c>
      <c r="AG358" s="5">
        <v>-10.14</v>
      </c>
      <c r="AH358" s="5">
        <v>1.7789999999999999</v>
      </c>
      <c r="AI358" s="5" t="s">
        <v>99</v>
      </c>
      <c r="AK358" s="5">
        <f t="shared" si="176"/>
        <v>0.5109999999999999</v>
      </c>
      <c r="AL358" s="8">
        <f t="shared" si="206"/>
        <v>-1.3</v>
      </c>
      <c r="AN358" s="1">
        <f t="shared" si="185"/>
        <v>93.1</v>
      </c>
      <c r="AO358" s="1">
        <f t="shared" si="186"/>
        <v>90.3</v>
      </c>
      <c r="AP358" s="1">
        <f t="shared" si="187"/>
        <v>88.6</v>
      </c>
      <c r="AQ358" s="17">
        <f t="shared" si="197"/>
        <v>0.38600000000000001</v>
      </c>
      <c r="AR358" s="22">
        <f t="shared" si="188"/>
        <v>0.05</v>
      </c>
      <c r="AT358" s="19">
        <f t="shared" si="180"/>
        <v>43818</v>
      </c>
      <c r="AU358" s="20">
        <f t="shared" si="181"/>
        <v>353</v>
      </c>
      <c r="AV358" s="1">
        <f t="shared" si="198"/>
        <v>-8.1999999999999993</v>
      </c>
      <c r="AW358" s="1">
        <f t="shared" si="199"/>
        <v>-4.5</v>
      </c>
      <c r="AX358" s="1">
        <f t="shared" si="200"/>
        <v>-10</v>
      </c>
      <c r="AY358" s="1">
        <f t="shared" si="201"/>
        <v>90.3</v>
      </c>
      <c r="AZ358" s="1">
        <f t="shared" si="202"/>
        <v>88.6</v>
      </c>
      <c r="BA358" s="1">
        <f t="shared" si="189"/>
        <v>0.5109999999999999</v>
      </c>
      <c r="BB358" s="5">
        <f t="shared" si="190"/>
        <v>-1.3</v>
      </c>
      <c r="BC358" s="1">
        <f t="shared" si="182"/>
        <v>-8.4</v>
      </c>
      <c r="BD358" s="1">
        <f t="shared" si="183"/>
        <v>-5.2</v>
      </c>
      <c r="BE358" s="1">
        <f t="shared" si="184"/>
        <v>-10.8</v>
      </c>
      <c r="BF358" s="5">
        <f t="shared" si="203"/>
        <v>-0.2</v>
      </c>
      <c r="BG358" s="5">
        <f t="shared" si="204"/>
        <v>0.3</v>
      </c>
      <c r="BH358" s="5">
        <f t="shared" si="205"/>
        <v>1.1000000000000001</v>
      </c>
      <c r="BI358" s="5" t="str">
        <f t="shared" si="191"/>
        <v>NAN</v>
      </c>
      <c r="BJ358" s="10">
        <f t="shared" si="192"/>
        <v>0.38600000000000001</v>
      </c>
      <c r="BK358" s="10">
        <f t="shared" si="193"/>
        <v>0.05</v>
      </c>
      <c r="BM358" s="1">
        <f t="shared" si="194"/>
        <v>-0.63900000000000023</v>
      </c>
      <c r="BN358" s="1">
        <f t="shared" si="195"/>
        <v>-0.77000000000000135</v>
      </c>
    </row>
    <row r="359" spans="1:66" x14ac:dyDescent="0.2">
      <c r="A359" s="4">
        <f t="shared" si="196"/>
        <v>43819</v>
      </c>
      <c r="B359" s="1">
        <v>354</v>
      </c>
      <c r="C359" s="1">
        <v>12</v>
      </c>
      <c r="D359" s="5">
        <v>12.75</v>
      </c>
      <c r="E359" s="5">
        <v>-0.84099999999999997</v>
      </c>
      <c r="F359" s="5">
        <v>-5.7229999999999999</v>
      </c>
      <c r="G359" s="5">
        <v>-2.323</v>
      </c>
      <c r="H359" s="5">
        <v>94.9</v>
      </c>
      <c r="I359" s="5">
        <v>-0.22900000000000001</v>
      </c>
      <c r="J359" s="5">
        <v>-1.627</v>
      </c>
      <c r="K359" s="5">
        <v>-0.13100000000000001</v>
      </c>
      <c r="L359" s="5">
        <v>0.309</v>
      </c>
      <c r="M359" s="5">
        <v>1.1140000000000001</v>
      </c>
      <c r="N359" s="5">
        <v>-0.38500000000000001</v>
      </c>
      <c r="O359" s="5">
        <v>96.5</v>
      </c>
      <c r="P359" s="5">
        <v>-8.5000000000000006E-2</v>
      </c>
      <c r="Q359" s="5">
        <v>-1.022</v>
      </c>
      <c r="R359" s="5">
        <v>-3.3000000000000002E-2</v>
      </c>
      <c r="S359" s="5">
        <v>0.38900000000000001</v>
      </c>
      <c r="T359" s="5">
        <v>1.1919999999999999</v>
      </c>
      <c r="U359" s="5">
        <v>-5.2409999999999997</v>
      </c>
      <c r="V359" s="5">
        <v>92.3</v>
      </c>
      <c r="W359" s="5">
        <v>-0.36399999999999999</v>
      </c>
      <c r="X359" s="5">
        <v>-2.254</v>
      </c>
      <c r="Y359" s="5">
        <v>-0.22500000000000001</v>
      </c>
      <c r="Z359" s="5">
        <v>0.22600000000000001</v>
      </c>
      <c r="AA359" s="5">
        <v>1.0369999999999999</v>
      </c>
      <c r="AB359" s="5">
        <v>1.7170000000000001</v>
      </c>
      <c r="AC359" s="5">
        <v>-2.82</v>
      </c>
      <c r="AD359" s="5">
        <v>-0.91600000000000004</v>
      </c>
      <c r="AE359" s="5">
        <v>-5.6859999999999999</v>
      </c>
      <c r="AF359" s="5">
        <v>-0.74099999999999999</v>
      </c>
      <c r="AG359" s="5">
        <v>-5.4640000000000004</v>
      </c>
      <c r="AH359" s="5">
        <v>1.718</v>
      </c>
      <c r="AI359" s="5" t="s">
        <v>99</v>
      </c>
      <c r="AK359" s="5">
        <f t="shared" si="176"/>
        <v>0.55799999999999983</v>
      </c>
      <c r="AL359" s="8">
        <f t="shared" si="206"/>
        <v>-0.9</v>
      </c>
      <c r="AN359" s="1">
        <f t="shared" si="185"/>
        <v>96.5</v>
      </c>
      <c r="AO359" s="1">
        <f t="shared" si="186"/>
        <v>94.9</v>
      </c>
      <c r="AP359" s="1">
        <f t="shared" si="187"/>
        <v>92.3</v>
      </c>
      <c r="AQ359" s="17">
        <f t="shared" si="197"/>
        <v>0.54800000000000004</v>
      </c>
      <c r="AR359" s="22">
        <f t="shared" si="188"/>
        <v>4.5999999999999999E-2</v>
      </c>
      <c r="AT359" s="19">
        <f t="shared" si="180"/>
        <v>43819</v>
      </c>
      <c r="AU359" s="20">
        <f t="shared" si="181"/>
        <v>354</v>
      </c>
      <c r="AV359" s="1">
        <f t="shared" si="198"/>
        <v>-2.2999999999999998</v>
      </c>
      <c r="AW359" s="1">
        <f t="shared" si="199"/>
        <v>-0.4</v>
      </c>
      <c r="AX359" s="1">
        <f t="shared" si="200"/>
        <v>-5.2</v>
      </c>
      <c r="AY359" s="1">
        <f t="shared" si="201"/>
        <v>94.9</v>
      </c>
      <c r="AZ359" s="1">
        <f t="shared" si="202"/>
        <v>92.3</v>
      </c>
      <c r="BA359" s="1">
        <f t="shared" si="189"/>
        <v>0.55799999999999983</v>
      </c>
      <c r="BB359" s="5">
        <f t="shared" si="190"/>
        <v>-0.9</v>
      </c>
      <c r="BC359" s="1">
        <f t="shared" si="182"/>
        <v>-2.8</v>
      </c>
      <c r="BD359" s="1">
        <f t="shared" si="183"/>
        <v>-0.9</v>
      </c>
      <c r="BE359" s="1">
        <f t="shared" si="184"/>
        <v>-5.7</v>
      </c>
      <c r="BF359" s="5">
        <f t="shared" si="203"/>
        <v>-0.1</v>
      </c>
      <c r="BG359" s="5">
        <f t="shared" si="204"/>
        <v>0.3</v>
      </c>
      <c r="BH359" s="5">
        <f t="shared" si="205"/>
        <v>1.1000000000000001</v>
      </c>
      <c r="BI359" s="5" t="str">
        <f t="shared" si="191"/>
        <v>NAN</v>
      </c>
      <c r="BJ359" s="10">
        <f t="shared" si="192"/>
        <v>0.54800000000000004</v>
      </c>
      <c r="BK359" s="10">
        <f t="shared" si="193"/>
        <v>4.5999999999999999E-2</v>
      </c>
      <c r="BM359" s="1">
        <f t="shared" si="194"/>
        <v>-0.53100000000000003</v>
      </c>
      <c r="BN359" s="1">
        <f t="shared" si="195"/>
        <v>-0.44500000000000028</v>
      </c>
    </row>
    <row r="360" spans="1:66" x14ac:dyDescent="0.2">
      <c r="A360" s="4">
        <f t="shared" si="196"/>
        <v>43820</v>
      </c>
      <c r="B360" s="1">
        <v>355</v>
      </c>
      <c r="C360" s="1">
        <v>12</v>
      </c>
      <c r="D360" s="5">
        <v>12.74</v>
      </c>
      <c r="E360" s="5">
        <v>-0.41599999999999998</v>
      </c>
      <c r="F360" s="5">
        <v>-5.9189999999999996</v>
      </c>
      <c r="G360" s="5">
        <v>-2.9079999999999999</v>
      </c>
      <c r="H360" s="5">
        <v>94.5</v>
      </c>
      <c r="I360" s="5">
        <v>-0.10199999999999999</v>
      </c>
      <c r="J360" s="5">
        <v>-0.72199999999999998</v>
      </c>
      <c r="K360" s="5">
        <v>-7.3999999999999996E-2</v>
      </c>
      <c r="L360" s="5">
        <v>0.317</v>
      </c>
      <c r="M360" s="5">
        <v>1.111</v>
      </c>
      <c r="N360" s="5">
        <v>-0.115</v>
      </c>
      <c r="O360" s="5">
        <v>96.7</v>
      </c>
      <c r="P360" s="5">
        <v>-1.7000000000000001E-2</v>
      </c>
      <c r="Q360" s="5">
        <v>-0.48599999999999999</v>
      </c>
      <c r="R360" s="5">
        <v>1.4E-2</v>
      </c>
      <c r="S360" s="5">
        <v>0.41899999999999998</v>
      </c>
      <c r="T360" s="5">
        <v>1.2070000000000001</v>
      </c>
      <c r="U360" s="5">
        <v>-6.593</v>
      </c>
      <c r="V360" s="5">
        <v>90.4</v>
      </c>
      <c r="W360" s="5">
        <v>-0.20100000000000001</v>
      </c>
      <c r="X360" s="5">
        <v>-1.131</v>
      </c>
      <c r="Y360" s="5">
        <v>-0.155</v>
      </c>
      <c r="Z360" s="5">
        <v>0.214</v>
      </c>
      <c r="AA360" s="5">
        <v>1.0189999999999999</v>
      </c>
      <c r="AB360" s="5">
        <v>1.7010000000000001</v>
      </c>
      <c r="AC360" s="5">
        <v>-3.294</v>
      </c>
      <c r="AD360" s="5">
        <v>-0.67300000000000004</v>
      </c>
      <c r="AE360" s="5">
        <v>-7.3789999999999996</v>
      </c>
      <c r="AF360" s="5">
        <v>-0.498</v>
      </c>
      <c r="AG360" s="5">
        <v>-6.7190000000000003</v>
      </c>
      <c r="AH360" s="5">
        <v>1.722</v>
      </c>
      <c r="AI360" s="5" t="s">
        <v>99</v>
      </c>
      <c r="AK360" s="5">
        <f t="shared" si="176"/>
        <v>0.57399999999999984</v>
      </c>
      <c r="AL360" s="8">
        <f t="shared" si="206"/>
        <v>-0.4</v>
      </c>
      <c r="AN360" s="1">
        <f t="shared" si="185"/>
        <v>96.7</v>
      </c>
      <c r="AO360" s="1">
        <f t="shared" si="186"/>
        <v>94.5</v>
      </c>
      <c r="AP360" s="1">
        <f t="shared" si="187"/>
        <v>90.4</v>
      </c>
      <c r="AQ360" s="17">
        <f t="shared" si="197"/>
        <v>0.54700000000000004</v>
      </c>
      <c r="AR360" s="22">
        <f t="shared" si="188"/>
        <v>5.8000000000000003E-2</v>
      </c>
      <c r="AT360" s="19">
        <f t="shared" si="180"/>
        <v>43820</v>
      </c>
      <c r="AU360" s="20">
        <f t="shared" si="181"/>
        <v>355</v>
      </c>
      <c r="AV360" s="1">
        <f t="shared" si="198"/>
        <v>-2.9</v>
      </c>
      <c r="AW360" s="1">
        <f t="shared" si="199"/>
        <v>-0.1</v>
      </c>
      <c r="AX360" s="1">
        <f t="shared" si="200"/>
        <v>-6.6</v>
      </c>
      <c r="AY360" s="1">
        <f t="shared" si="201"/>
        <v>94.5</v>
      </c>
      <c r="AZ360" s="1">
        <f t="shared" si="202"/>
        <v>90.4</v>
      </c>
      <c r="BA360" s="1">
        <f t="shared" si="189"/>
        <v>0.57399999999999984</v>
      </c>
      <c r="BB360" s="5">
        <f t="shared" si="190"/>
        <v>-0.4</v>
      </c>
      <c r="BC360" s="1">
        <f t="shared" si="182"/>
        <v>-3.3</v>
      </c>
      <c r="BD360" s="1">
        <f t="shared" si="183"/>
        <v>-0.7</v>
      </c>
      <c r="BE360" s="1">
        <f t="shared" si="184"/>
        <v>-7.4</v>
      </c>
      <c r="BF360" s="5">
        <f t="shared" si="203"/>
        <v>-0.1</v>
      </c>
      <c r="BG360" s="5">
        <f t="shared" si="204"/>
        <v>0.3</v>
      </c>
      <c r="BH360" s="5">
        <f t="shared" si="205"/>
        <v>1.1000000000000001</v>
      </c>
      <c r="BI360" s="5" t="str">
        <f t="shared" si="191"/>
        <v>NAN</v>
      </c>
      <c r="BJ360" s="10">
        <f t="shared" si="192"/>
        <v>0.54700000000000004</v>
      </c>
      <c r="BK360" s="10">
        <f t="shared" si="193"/>
        <v>5.8000000000000003E-2</v>
      </c>
      <c r="BM360" s="1">
        <f t="shared" si="194"/>
        <v>-0.55800000000000005</v>
      </c>
      <c r="BN360" s="1">
        <f t="shared" si="195"/>
        <v>-0.78599999999999959</v>
      </c>
    </row>
    <row r="361" spans="1:66" x14ac:dyDescent="0.2">
      <c r="A361" s="4">
        <f t="shared" si="196"/>
        <v>43821</v>
      </c>
      <c r="B361" s="1">
        <v>356</v>
      </c>
      <c r="C361" s="1">
        <v>12</v>
      </c>
      <c r="D361" s="5">
        <v>12.73</v>
      </c>
      <c r="E361" s="5">
        <v>-4.9160000000000004</v>
      </c>
      <c r="F361" s="5">
        <v>-8.4600000000000009</v>
      </c>
      <c r="G361" s="5">
        <v>-6.25</v>
      </c>
      <c r="H361" s="5">
        <v>91.3</v>
      </c>
      <c r="I361" s="5">
        <v>-0.122</v>
      </c>
      <c r="J361" s="5">
        <v>-0.83799999999999997</v>
      </c>
      <c r="K361" s="5">
        <v>-8.5000000000000006E-2</v>
      </c>
      <c r="L361" s="5">
        <v>0.28100000000000003</v>
      </c>
      <c r="M361" s="5">
        <v>1.07</v>
      </c>
      <c r="N361" s="5">
        <v>-4.4989999999999997</v>
      </c>
      <c r="O361" s="5">
        <v>92.8</v>
      </c>
      <c r="P361" s="5">
        <v>-2.8000000000000001E-2</v>
      </c>
      <c r="Q361" s="5">
        <v>-0.499</v>
      </c>
      <c r="R361" s="5">
        <v>2E-3</v>
      </c>
      <c r="S361" s="5">
        <v>0.36599999999999999</v>
      </c>
      <c r="T361" s="5">
        <v>1.155</v>
      </c>
      <c r="U361" s="5">
        <v>-8.9600000000000009</v>
      </c>
      <c r="V361" s="5">
        <v>88.4</v>
      </c>
      <c r="W361" s="5">
        <v>-0.20300000000000001</v>
      </c>
      <c r="X361" s="5">
        <v>-1.1140000000000001</v>
      </c>
      <c r="Y361" s="5">
        <v>-0.16900000000000001</v>
      </c>
      <c r="Z361" s="5">
        <v>0.20200000000000001</v>
      </c>
      <c r="AA361" s="5">
        <v>0.99099999999999999</v>
      </c>
      <c r="AB361" s="5">
        <v>1.681</v>
      </c>
      <c r="AC361" s="5">
        <v>-6.9850000000000003</v>
      </c>
      <c r="AD361" s="5">
        <v>-5.218</v>
      </c>
      <c r="AE361" s="5">
        <v>-9.9</v>
      </c>
      <c r="AF361" s="5">
        <v>-4.9240000000000004</v>
      </c>
      <c r="AG361" s="5">
        <v>-9.11</v>
      </c>
      <c r="AH361" s="5">
        <v>1.6970000000000001</v>
      </c>
      <c r="AI361" s="5" t="s">
        <v>99</v>
      </c>
      <c r="AK361" s="5">
        <f t="shared" si="176"/>
        <v>0.59399999999999986</v>
      </c>
      <c r="AL361" s="8">
        <f t="shared" si="206"/>
        <v>-0.5</v>
      </c>
      <c r="AN361" s="1">
        <f t="shared" si="185"/>
        <v>92.8</v>
      </c>
      <c r="AO361" s="1">
        <f t="shared" si="186"/>
        <v>91.3</v>
      </c>
      <c r="AP361" s="1">
        <f t="shared" si="187"/>
        <v>88.4</v>
      </c>
      <c r="AQ361" s="17">
        <f t="shared" si="197"/>
        <v>0.38700000000000001</v>
      </c>
      <c r="AR361" s="22">
        <f t="shared" si="188"/>
        <v>5.0999999999999997E-2</v>
      </c>
      <c r="AT361" s="19">
        <f t="shared" si="180"/>
        <v>43821</v>
      </c>
      <c r="AU361" s="20">
        <f t="shared" si="181"/>
        <v>356</v>
      </c>
      <c r="AV361" s="1">
        <f t="shared" si="198"/>
        <v>-6.3</v>
      </c>
      <c r="AW361" s="1">
        <f t="shared" si="199"/>
        <v>-4.5</v>
      </c>
      <c r="AX361" s="1">
        <f t="shared" si="200"/>
        <v>-9</v>
      </c>
      <c r="AY361" s="1">
        <f t="shared" si="201"/>
        <v>91.3</v>
      </c>
      <c r="AZ361" s="1">
        <f t="shared" si="202"/>
        <v>88.4</v>
      </c>
      <c r="BA361" s="1">
        <f t="shared" si="189"/>
        <v>0.59399999999999986</v>
      </c>
      <c r="BB361" s="5">
        <f t="shared" si="190"/>
        <v>-0.5</v>
      </c>
      <c r="BC361" s="1">
        <f t="shared" si="182"/>
        <v>-7</v>
      </c>
      <c r="BD361" s="1">
        <f t="shared" si="183"/>
        <v>-5.2</v>
      </c>
      <c r="BE361" s="1">
        <f t="shared" si="184"/>
        <v>-9.9</v>
      </c>
      <c r="BF361" s="5">
        <f t="shared" si="203"/>
        <v>-0.1</v>
      </c>
      <c r="BG361" s="5">
        <f t="shared" si="204"/>
        <v>0.3</v>
      </c>
      <c r="BH361" s="5">
        <f t="shared" si="205"/>
        <v>1.1000000000000001</v>
      </c>
      <c r="BI361" s="5" t="str">
        <f t="shared" si="191"/>
        <v>NAN</v>
      </c>
      <c r="BJ361" s="10">
        <f t="shared" si="192"/>
        <v>0.38700000000000001</v>
      </c>
      <c r="BK361" s="10">
        <f t="shared" si="193"/>
        <v>5.0999999999999997E-2</v>
      </c>
      <c r="BM361" s="1">
        <f t="shared" si="194"/>
        <v>-0.71900000000000031</v>
      </c>
      <c r="BN361" s="1">
        <f t="shared" si="195"/>
        <v>-0.9399999999999995</v>
      </c>
    </row>
    <row r="362" spans="1:66" x14ac:dyDescent="0.2">
      <c r="A362" s="4">
        <f t="shared" si="196"/>
        <v>43822</v>
      </c>
      <c r="B362" s="1">
        <v>357</v>
      </c>
      <c r="C362" s="1">
        <v>12</v>
      </c>
      <c r="D362" s="5">
        <v>12.74</v>
      </c>
      <c r="E362" s="5">
        <v>-5.0039999999999996</v>
      </c>
      <c r="F362" s="5">
        <v>-7.327</v>
      </c>
      <c r="G362" s="5">
        <v>-6.1660000000000004</v>
      </c>
      <c r="H362" s="5">
        <v>91.4</v>
      </c>
      <c r="I362" s="5">
        <v>-0.14299999999999999</v>
      </c>
      <c r="J362" s="5">
        <v>-1.0740000000000001</v>
      </c>
      <c r="K362" s="5">
        <v>-8.4000000000000005E-2</v>
      </c>
      <c r="L362" s="5">
        <v>0.28799999999999998</v>
      </c>
      <c r="M362" s="5">
        <v>1.0680000000000001</v>
      </c>
      <c r="N362" s="5">
        <v>-4.8360000000000003</v>
      </c>
      <c r="O362" s="5">
        <v>92.4</v>
      </c>
      <c r="P362" s="5">
        <v>-6.9000000000000006E-2</v>
      </c>
      <c r="Q362" s="5">
        <v>-0.995</v>
      </c>
      <c r="R362" s="5">
        <v>-3.0000000000000001E-3</v>
      </c>
      <c r="S362" s="5">
        <v>0.371</v>
      </c>
      <c r="T362" s="5">
        <v>1.1519999999999999</v>
      </c>
      <c r="U362" s="5">
        <v>-8.11</v>
      </c>
      <c r="V362" s="5">
        <v>89.8</v>
      </c>
      <c r="W362" s="5">
        <v>-0.22900000000000001</v>
      </c>
      <c r="X362" s="5">
        <v>-1.169</v>
      </c>
      <c r="Y362" s="5">
        <v>-0.156</v>
      </c>
      <c r="Z362" s="5">
        <v>0.219</v>
      </c>
      <c r="AA362" s="5">
        <v>0.99199999999999999</v>
      </c>
      <c r="AB362" s="5">
        <v>1.6930000000000001</v>
      </c>
      <c r="AC362" s="5">
        <v>-7.1820000000000004</v>
      </c>
      <c r="AD362" s="5">
        <v>-5.4880000000000004</v>
      </c>
      <c r="AE362" s="5">
        <v>-9.4700000000000006</v>
      </c>
      <c r="AF362" s="5">
        <v>-4.9009999999999998</v>
      </c>
      <c r="AG362" s="5">
        <v>-8.32</v>
      </c>
      <c r="AH362" s="5">
        <v>1.714</v>
      </c>
      <c r="AI362" s="5" t="s">
        <v>99</v>
      </c>
      <c r="AK362" s="5">
        <f t="shared" si="176"/>
        <v>0.58199999999999985</v>
      </c>
      <c r="AL362" s="8">
        <f t="shared" si="206"/>
        <v>-0.6</v>
      </c>
      <c r="AN362" s="1">
        <f t="shared" si="185"/>
        <v>92.4</v>
      </c>
      <c r="AO362" s="1">
        <f t="shared" si="186"/>
        <v>91.4</v>
      </c>
      <c r="AP362" s="1">
        <f t="shared" si="187"/>
        <v>89.8</v>
      </c>
      <c r="AQ362" s="17">
        <f t="shared" si="197"/>
        <v>0.38300000000000001</v>
      </c>
      <c r="AR362" s="22">
        <f t="shared" si="188"/>
        <v>4.3999999999999997E-2</v>
      </c>
      <c r="AT362" s="19">
        <f t="shared" si="180"/>
        <v>43822</v>
      </c>
      <c r="AU362" s="20">
        <f t="shared" si="181"/>
        <v>357</v>
      </c>
      <c r="AV362" s="1">
        <f t="shared" si="198"/>
        <v>-6.2</v>
      </c>
      <c r="AW362" s="1">
        <f t="shared" si="199"/>
        <v>-4.8</v>
      </c>
      <c r="AX362" s="1">
        <f t="shared" si="200"/>
        <v>-8.1</v>
      </c>
      <c r="AY362" s="1">
        <f t="shared" si="201"/>
        <v>91.4</v>
      </c>
      <c r="AZ362" s="1">
        <f t="shared" si="202"/>
        <v>89.8</v>
      </c>
      <c r="BA362" s="1">
        <f t="shared" si="189"/>
        <v>0.58199999999999985</v>
      </c>
      <c r="BB362" s="5">
        <f t="shared" si="190"/>
        <v>-0.6</v>
      </c>
      <c r="BC362" s="1">
        <f t="shared" si="182"/>
        <v>-7.2</v>
      </c>
      <c r="BD362" s="1">
        <f t="shared" si="183"/>
        <v>-5.5</v>
      </c>
      <c r="BE362" s="1">
        <f t="shared" si="184"/>
        <v>-9.5</v>
      </c>
      <c r="BF362" s="5">
        <f t="shared" si="203"/>
        <v>-0.1</v>
      </c>
      <c r="BG362" s="5">
        <f t="shared" si="204"/>
        <v>0.3</v>
      </c>
      <c r="BH362" s="5">
        <f t="shared" si="205"/>
        <v>1.1000000000000001</v>
      </c>
      <c r="BI362" s="5" t="str">
        <f t="shared" si="191"/>
        <v>NAN</v>
      </c>
      <c r="BJ362" s="10">
        <f t="shared" si="192"/>
        <v>0.38300000000000001</v>
      </c>
      <c r="BK362" s="10">
        <f t="shared" si="193"/>
        <v>4.3999999999999997E-2</v>
      </c>
      <c r="BM362" s="1">
        <f t="shared" si="194"/>
        <v>-0.65200000000000014</v>
      </c>
      <c r="BN362" s="1">
        <f t="shared" si="195"/>
        <v>-1.3600000000000012</v>
      </c>
    </row>
    <row r="363" spans="1:66" x14ac:dyDescent="0.2">
      <c r="A363" s="4">
        <f t="shared" si="196"/>
        <v>43823</v>
      </c>
      <c r="B363" s="1">
        <v>358</v>
      </c>
      <c r="C363" s="1">
        <v>12</v>
      </c>
      <c r="D363" s="5">
        <v>12.75</v>
      </c>
      <c r="E363" s="5">
        <v>-5.7880000000000003</v>
      </c>
      <c r="F363" s="5">
        <v>-10.050000000000001</v>
      </c>
      <c r="G363" s="5">
        <v>-7.7590000000000003</v>
      </c>
      <c r="H363" s="5">
        <v>90.3</v>
      </c>
      <c r="I363" s="5">
        <v>-0.16200000000000001</v>
      </c>
      <c r="J363" s="5">
        <v>-1.1850000000000001</v>
      </c>
      <c r="K363" s="5">
        <v>-9.6000000000000002E-2</v>
      </c>
      <c r="L363" s="5">
        <v>0.27600000000000002</v>
      </c>
      <c r="M363" s="5">
        <v>1.05</v>
      </c>
      <c r="N363" s="5">
        <v>-6.12</v>
      </c>
      <c r="O363" s="5">
        <v>91.8</v>
      </c>
      <c r="P363" s="5">
        <v>-7.8E-2</v>
      </c>
      <c r="Q363" s="5">
        <v>-1.05</v>
      </c>
      <c r="R363" s="5">
        <v>-3.0000000000000001E-3</v>
      </c>
      <c r="S363" s="5">
        <v>0.36899999999999999</v>
      </c>
      <c r="T363" s="5">
        <v>1.1339999999999999</v>
      </c>
      <c r="U363" s="5">
        <v>-10.4</v>
      </c>
      <c r="V363" s="5">
        <v>88.1</v>
      </c>
      <c r="W363" s="5">
        <v>-0.28100000000000003</v>
      </c>
      <c r="X363" s="5">
        <v>-1.3380000000000001</v>
      </c>
      <c r="Y363" s="5">
        <v>-0.17499999999999999</v>
      </c>
      <c r="Z363" s="5">
        <v>0.17899999999999999</v>
      </c>
      <c r="AA363" s="5">
        <v>0.95799999999999996</v>
      </c>
      <c r="AB363" s="5">
        <v>1.708</v>
      </c>
      <c r="AC363" s="5">
        <v>-8.3699999999999992</v>
      </c>
      <c r="AD363" s="5">
        <v>-6.43</v>
      </c>
      <c r="AE363" s="5">
        <v>-11.45</v>
      </c>
      <c r="AF363" s="5">
        <v>-6.173</v>
      </c>
      <c r="AG363" s="5">
        <v>-10.66</v>
      </c>
      <c r="AH363" s="5">
        <v>1.738</v>
      </c>
      <c r="AI363" s="5" t="s">
        <v>99</v>
      </c>
      <c r="AK363" s="5">
        <f t="shared" si="176"/>
        <v>0.56699999999999995</v>
      </c>
      <c r="AL363" s="8">
        <f t="shared" si="206"/>
        <v>-0.6</v>
      </c>
      <c r="AN363" s="1">
        <f t="shared" si="185"/>
        <v>91.8</v>
      </c>
      <c r="AO363" s="1">
        <f t="shared" si="186"/>
        <v>90.3</v>
      </c>
      <c r="AP363" s="1">
        <f t="shared" si="187"/>
        <v>88.1</v>
      </c>
      <c r="AQ363" s="17">
        <f t="shared" si="197"/>
        <v>0.34</v>
      </c>
      <c r="AR363" s="22">
        <f t="shared" si="188"/>
        <v>4.5999999999999999E-2</v>
      </c>
      <c r="AT363" s="19">
        <f t="shared" si="180"/>
        <v>43823</v>
      </c>
      <c r="AU363" s="20">
        <f t="shared" si="181"/>
        <v>358</v>
      </c>
      <c r="AV363" s="1">
        <f t="shared" si="198"/>
        <v>-7.8</v>
      </c>
      <c r="AW363" s="1">
        <f t="shared" si="199"/>
        <v>-6.1</v>
      </c>
      <c r="AX363" s="1">
        <f t="shared" si="200"/>
        <v>-10.4</v>
      </c>
      <c r="AY363" s="1">
        <f t="shared" si="201"/>
        <v>90.3</v>
      </c>
      <c r="AZ363" s="1">
        <f t="shared" si="202"/>
        <v>88.1</v>
      </c>
      <c r="BA363" s="1">
        <f t="shared" si="189"/>
        <v>0.56699999999999995</v>
      </c>
      <c r="BB363" s="5">
        <f t="shared" si="190"/>
        <v>-0.6</v>
      </c>
      <c r="BC363" s="1">
        <f t="shared" si="182"/>
        <v>-8.4</v>
      </c>
      <c r="BD363" s="1">
        <f t="shared" si="183"/>
        <v>-6.4</v>
      </c>
      <c r="BE363" s="1">
        <f t="shared" si="184"/>
        <v>-11.5</v>
      </c>
      <c r="BF363" s="5">
        <f t="shared" si="203"/>
        <v>-0.1</v>
      </c>
      <c r="BG363" s="5">
        <f t="shared" si="204"/>
        <v>0.3</v>
      </c>
      <c r="BH363" s="5">
        <f t="shared" si="205"/>
        <v>1.1000000000000001</v>
      </c>
      <c r="BI363" s="5" t="str">
        <f t="shared" si="191"/>
        <v>NAN</v>
      </c>
      <c r="BJ363" s="10">
        <f t="shared" si="192"/>
        <v>0.34</v>
      </c>
      <c r="BK363" s="10">
        <f t="shared" si="193"/>
        <v>4.5999999999999999E-2</v>
      </c>
      <c r="BM363" s="1">
        <f t="shared" si="194"/>
        <v>-0.30999999999999961</v>
      </c>
      <c r="BN363" s="1">
        <f t="shared" si="195"/>
        <v>-1.0499999999999989</v>
      </c>
    </row>
    <row r="364" spans="1:66" x14ac:dyDescent="0.2">
      <c r="A364" s="4">
        <f t="shared" si="196"/>
        <v>43824</v>
      </c>
      <c r="B364" s="1">
        <v>359</v>
      </c>
      <c r="C364" s="1">
        <v>12</v>
      </c>
      <c r="D364" s="5">
        <v>12.75</v>
      </c>
      <c r="E364" s="5">
        <v>-5.8540000000000001</v>
      </c>
      <c r="F364" s="5">
        <v>-10.4</v>
      </c>
      <c r="G364" s="5">
        <v>-8.8699999999999992</v>
      </c>
      <c r="H364" s="5">
        <v>89.2</v>
      </c>
      <c r="I364" s="5">
        <v>-0.19800000000000001</v>
      </c>
      <c r="J364" s="5">
        <v>-1.4590000000000001</v>
      </c>
      <c r="K364" s="5">
        <v>-0.112</v>
      </c>
      <c r="L364" s="5">
        <v>0.26900000000000002</v>
      </c>
      <c r="M364" s="5">
        <v>1.0369999999999999</v>
      </c>
      <c r="N364" s="5">
        <v>-5.3079999999999998</v>
      </c>
      <c r="O364" s="5">
        <v>92.5</v>
      </c>
      <c r="P364" s="5">
        <v>-9.4E-2</v>
      </c>
      <c r="Q364" s="5">
        <v>-1.204</v>
      </c>
      <c r="R364" s="5">
        <v>-2.1000000000000001E-2</v>
      </c>
      <c r="S364" s="5">
        <v>0.34699999999999998</v>
      </c>
      <c r="T364" s="5">
        <v>1.1259999999999999</v>
      </c>
      <c r="U364" s="5">
        <v>-11.32</v>
      </c>
      <c r="V364" s="5">
        <v>87.1</v>
      </c>
      <c r="W364" s="5">
        <v>-0.29499999999999998</v>
      </c>
      <c r="X364" s="5">
        <v>-1.6870000000000001</v>
      </c>
      <c r="Y364" s="5">
        <v>-0.19700000000000001</v>
      </c>
      <c r="Z364" s="5">
        <v>0.187</v>
      </c>
      <c r="AA364" s="5">
        <v>0.95199999999999996</v>
      </c>
      <c r="AB364" s="5">
        <v>1.7190000000000001</v>
      </c>
      <c r="AC364" s="5">
        <v>-10.34</v>
      </c>
      <c r="AD364" s="5">
        <v>-7.5540000000000003</v>
      </c>
      <c r="AE364" s="5">
        <v>-12.8</v>
      </c>
      <c r="AF364" s="5">
        <v>-5.5629999999999997</v>
      </c>
      <c r="AG364" s="5">
        <v>-11.44</v>
      </c>
      <c r="AH364" s="5">
        <v>1.756</v>
      </c>
      <c r="AI364" s="5" t="s">
        <v>99</v>
      </c>
      <c r="AK364" s="5">
        <f t="shared" si="176"/>
        <v>0.55599999999999983</v>
      </c>
      <c r="AL364" s="8">
        <f t="shared" si="206"/>
        <v>-0.8</v>
      </c>
      <c r="AN364" s="1">
        <f t="shared" si="185"/>
        <v>92.5</v>
      </c>
      <c r="AO364" s="1">
        <f t="shared" si="186"/>
        <v>89.2</v>
      </c>
      <c r="AP364" s="1">
        <f t="shared" si="187"/>
        <v>87.1</v>
      </c>
      <c r="AQ364" s="17">
        <f t="shared" si="197"/>
        <v>0.35799999999999998</v>
      </c>
      <c r="AR364" s="22">
        <f t="shared" si="188"/>
        <v>5.2999999999999999E-2</v>
      </c>
      <c r="AT364" s="19">
        <f t="shared" si="180"/>
        <v>43824</v>
      </c>
      <c r="AU364" s="20">
        <f t="shared" si="181"/>
        <v>359</v>
      </c>
      <c r="AV364" s="1">
        <f t="shared" si="198"/>
        <v>-8.9</v>
      </c>
      <c r="AW364" s="1">
        <f t="shared" si="199"/>
        <v>-5.3</v>
      </c>
      <c r="AX364" s="1">
        <f t="shared" si="200"/>
        <v>-11.3</v>
      </c>
      <c r="AY364" s="1">
        <f t="shared" si="201"/>
        <v>89.2</v>
      </c>
      <c r="AZ364" s="1">
        <f t="shared" si="202"/>
        <v>87.1</v>
      </c>
      <c r="BA364" s="1">
        <f t="shared" si="189"/>
        <v>0.55599999999999983</v>
      </c>
      <c r="BB364" s="5">
        <f t="shared" si="190"/>
        <v>-0.8</v>
      </c>
      <c r="BC364" s="1">
        <f t="shared" si="182"/>
        <v>-10.3</v>
      </c>
      <c r="BD364" s="1">
        <f t="shared" si="183"/>
        <v>-7.6</v>
      </c>
      <c r="BE364" s="1">
        <f t="shared" si="184"/>
        <v>-12.8</v>
      </c>
      <c r="BF364" s="5">
        <f t="shared" si="203"/>
        <v>-0.1</v>
      </c>
      <c r="BG364" s="5">
        <f t="shared" si="204"/>
        <v>0.3</v>
      </c>
      <c r="BH364" s="5">
        <f t="shared" si="205"/>
        <v>1</v>
      </c>
      <c r="BI364" s="5" t="str">
        <f t="shared" si="191"/>
        <v>NAN</v>
      </c>
      <c r="BJ364" s="10">
        <f t="shared" si="192"/>
        <v>0.35799999999999998</v>
      </c>
      <c r="BK364" s="10">
        <f t="shared" si="193"/>
        <v>5.2999999999999999E-2</v>
      </c>
      <c r="BM364" s="1">
        <f t="shared" si="194"/>
        <v>-2.2460000000000004</v>
      </c>
      <c r="BN364" s="1">
        <f t="shared" si="195"/>
        <v>-1.4800000000000004</v>
      </c>
    </row>
    <row r="365" spans="1:66" x14ac:dyDescent="0.2">
      <c r="A365" s="4">
        <f t="shared" si="196"/>
        <v>43825</v>
      </c>
      <c r="B365" s="1">
        <v>360</v>
      </c>
      <c r="C365" s="1">
        <v>12</v>
      </c>
      <c r="D365" s="5">
        <v>12.74</v>
      </c>
      <c r="E365" s="5">
        <v>-7.7039999999999997</v>
      </c>
      <c r="F365" s="5">
        <v>-11.58</v>
      </c>
      <c r="G365" s="5">
        <v>-10.51</v>
      </c>
      <c r="H365" s="5">
        <v>87.9</v>
      </c>
      <c r="I365" s="5">
        <v>-0.26700000000000002</v>
      </c>
      <c r="J365" s="5">
        <v>-1.8720000000000001</v>
      </c>
      <c r="K365" s="5">
        <v>-0.14899999999999999</v>
      </c>
      <c r="L365" s="5">
        <v>0.249</v>
      </c>
      <c r="M365" s="5">
        <v>1.0149999999999999</v>
      </c>
      <c r="N365" s="5">
        <v>-6.4139999999999997</v>
      </c>
      <c r="O365" s="5">
        <v>91.2</v>
      </c>
      <c r="P365" s="5">
        <v>-0.17699999999999999</v>
      </c>
      <c r="Q365" s="5">
        <v>-1.5920000000000001</v>
      </c>
      <c r="R365" s="5">
        <v>-7.0000000000000007E-2</v>
      </c>
      <c r="S365" s="5">
        <v>0.32800000000000001</v>
      </c>
      <c r="T365" s="5">
        <v>1.105</v>
      </c>
      <c r="U365" s="5">
        <v>-11.66</v>
      </c>
      <c r="V365" s="5">
        <v>86.7</v>
      </c>
      <c r="W365" s="5">
        <v>-0.35699999999999998</v>
      </c>
      <c r="X365" s="5">
        <v>-2.117</v>
      </c>
      <c r="Y365" s="5">
        <v>-0.22</v>
      </c>
      <c r="Z365" s="5">
        <v>0.16500000000000001</v>
      </c>
      <c r="AA365" s="5">
        <v>0.93300000000000005</v>
      </c>
      <c r="AB365" s="5">
        <v>1.726</v>
      </c>
      <c r="AC365" s="5">
        <v>-11.64</v>
      </c>
      <c r="AD365" s="5">
        <v>-9.27</v>
      </c>
      <c r="AE365" s="5">
        <v>-13.2</v>
      </c>
      <c r="AF365" s="5">
        <v>-7.1689999999999996</v>
      </c>
      <c r="AG365" s="5">
        <v>-11.88</v>
      </c>
      <c r="AH365" s="5">
        <v>1.7609999999999999</v>
      </c>
      <c r="AI365" s="5" t="s">
        <v>99</v>
      </c>
      <c r="AK365" s="5">
        <f t="shared" ref="AK365:AK370" si="207">AK$1-AB365</f>
        <v>0.54899999999999993</v>
      </c>
      <c r="AL365" s="8">
        <f t="shared" si="206"/>
        <v>-1</v>
      </c>
      <c r="AN365" s="1">
        <f t="shared" si="185"/>
        <v>91.2</v>
      </c>
      <c r="AO365" s="1">
        <f t="shared" si="186"/>
        <v>87.9</v>
      </c>
      <c r="AP365" s="1">
        <f t="shared" si="187"/>
        <v>86.7</v>
      </c>
      <c r="AQ365" s="17">
        <f t="shared" si="197"/>
        <v>0.32800000000000001</v>
      </c>
      <c r="AR365" s="22">
        <f t="shared" si="188"/>
        <v>0.05</v>
      </c>
      <c r="AT365" s="19">
        <f t="shared" si="180"/>
        <v>43825</v>
      </c>
      <c r="AU365" s="20">
        <f t="shared" si="181"/>
        <v>360</v>
      </c>
      <c r="AV365" s="1">
        <f t="shared" si="198"/>
        <v>-10.5</v>
      </c>
      <c r="AW365" s="1">
        <f t="shared" si="199"/>
        <v>-6.4</v>
      </c>
      <c r="AX365" s="1">
        <f t="shared" si="200"/>
        <v>-11.7</v>
      </c>
      <c r="AY365" s="1">
        <f t="shared" si="201"/>
        <v>87.9</v>
      </c>
      <c r="AZ365" s="1">
        <f t="shared" si="202"/>
        <v>86.7</v>
      </c>
      <c r="BA365" s="1">
        <f t="shared" si="189"/>
        <v>0.54899999999999993</v>
      </c>
      <c r="BB365" s="5">
        <f t="shared" si="190"/>
        <v>-1</v>
      </c>
      <c r="BC365" s="1">
        <f t="shared" si="182"/>
        <v>-11.6</v>
      </c>
      <c r="BD365" s="1">
        <f t="shared" si="183"/>
        <v>-9.3000000000000007</v>
      </c>
      <c r="BE365" s="1">
        <f t="shared" si="184"/>
        <v>-13.2</v>
      </c>
      <c r="BF365" s="5">
        <f t="shared" si="203"/>
        <v>-0.1</v>
      </c>
      <c r="BG365" s="5">
        <f t="shared" si="204"/>
        <v>0.2</v>
      </c>
      <c r="BH365" s="5">
        <f t="shared" si="205"/>
        <v>1</v>
      </c>
      <c r="BI365" s="5" t="str">
        <f t="shared" si="191"/>
        <v>NAN</v>
      </c>
      <c r="BJ365" s="10">
        <f t="shared" si="192"/>
        <v>0.32800000000000001</v>
      </c>
      <c r="BK365" s="10">
        <f t="shared" si="193"/>
        <v>0.05</v>
      </c>
      <c r="BM365" s="1">
        <f t="shared" si="194"/>
        <v>-2.8559999999999999</v>
      </c>
      <c r="BN365" s="1">
        <f t="shared" si="195"/>
        <v>-1.5399999999999991</v>
      </c>
    </row>
    <row r="366" spans="1:66" x14ac:dyDescent="0.2">
      <c r="A366" s="4">
        <f t="shared" si="196"/>
        <v>43826</v>
      </c>
      <c r="B366" s="1">
        <v>361</v>
      </c>
      <c r="C366" s="1">
        <v>12</v>
      </c>
      <c r="D366" s="5">
        <v>12.74</v>
      </c>
      <c r="E366" s="5">
        <v>-6.7960000000000003</v>
      </c>
      <c r="F366" s="5">
        <v>-10.91</v>
      </c>
      <c r="G366" s="5">
        <v>-8.9</v>
      </c>
      <c r="H366" s="5">
        <v>89.8</v>
      </c>
      <c r="I366" s="5">
        <v>-0.29499999999999998</v>
      </c>
      <c r="J366" s="5">
        <v>-2.0870000000000002</v>
      </c>
      <c r="K366" s="5">
        <v>-0.16800000000000001</v>
      </c>
      <c r="L366" s="5">
        <v>0.252</v>
      </c>
      <c r="M366" s="5">
        <v>1.016</v>
      </c>
      <c r="N366" s="5">
        <v>-6.9989999999999997</v>
      </c>
      <c r="O366" s="5">
        <v>91.5</v>
      </c>
      <c r="P366" s="5">
        <v>-0.219</v>
      </c>
      <c r="Q366" s="5">
        <v>-1.9410000000000001</v>
      </c>
      <c r="R366" s="5">
        <v>-0.09</v>
      </c>
      <c r="S366" s="5">
        <v>0.33500000000000002</v>
      </c>
      <c r="T366" s="5">
        <v>1.107</v>
      </c>
      <c r="U366" s="5">
        <v>-11.01</v>
      </c>
      <c r="V366" s="5">
        <v>87.6</v>
      </c>
      <c r="W366" s="5">
        <v>-0.374</v>
      </c>
      <c r="X366" s="5">
        <v>-2.198</v>
      </c>
      <c r="Y366" s="5">
        <v>-0.24299999999999999</v>
      </c>
      <c r="Z366" s="5">
        <v>0.17100000000000001</v>
      </c>
      <c r="AA366" s="5">
        <v>0.94099999999999995</v>
      </c>
      <c r="AB366" s="5">
        <v>1.7230000000000001</v>
      </c>
      <c r="AC366" s="5">
        <v>-9.25</v>
      </c>
      <c r="AD366" s="5">
        <v>-6.8090000000000002</v>
      </c>
      <c r="AE366" s="5">
        <v>-11.34</v>
      </c>
      <c r="AF366" s="5">
        <v>-6.8639999999999999</v>
      </c>
      <c r="AG366" s="5">
        <v>-11.28</v>
      </c>
      <c r="AH366" s="5">
        <v>1.75</v>
      </c>
      <c r="AI366" s="5" t="s">
        <v>99</v>
      </c>
      <c r="AK366" s="5">
        <f t="shared" si="207"/>
        <v>0.55199999999999982</v>
      </c>
      <c r="AL366" s="8">
        <f t="shared" si="206"/>
        <v>-1.1000000000000001</v>
      </c>
      <c r="AN366" s="1">
        <f t="shared" si="185"/>
        <v>91.5</v>
      </c>
      <c r="AO366" s="1">
        <f t="shared" si="186"/>
        <v>89.8</v>
      </c>
      <c r="AP366" s="1">
        <f t="shared" si="187"/>
        <v>87.6</v>
      </c>
      <c r="AQ366" s="17">
        <f t="shared" si="197"/>
        <v>0.316</v>
      </c>
      <c r="AR366" s="22">
        <f t="shared" si="188"/>
        <v>4.4999999999999998E-2</v>
      </c>
      <c r="AT366" s="19">
        <f t="shared" si="180"/>
        <v>43826</v>
      </c>
      <c r="AU366" s="20">
        <f t="shared" si="181"/>
        <v>361</v>
      </c>
      <c r="AV366" s="1">
        <f t="shared" si="198"/>
        <v>-8.9</v>
      </c>
      <c r="AW366" s="1">
        <f t="shared" si="199"/>
        <v>-7</v>
      </c>
      <c r="AX366" s="1">
        <f t="shared" si="200"/>
        <v>-11</v>
      </c>
      <c r="AY366" s="1">
        <f t="shared" si="201"/>
        <v>89.8</v>
      </c>
      <c r="AZ366" s="1">
        <f t="shared" si="202"/>
        <v>87.6</v>
      </c>
      <c r="BA366" s="1">
        <f t="shared" si="189"/>
        <v>0.55199999999999982</v>
      </c>
      <c r="BB366" s="5">
        <f t="shared" si="190"/>
        <v>-1.1000000000000001</v>
      </c>
      <c r="BC366" s="1">
        <f t="shared" si="182"/>
        <v>-9.3000000000000007</v>
      </c>
      <c r="BD366" s="1">
        <f t="shared" si="183"/>
        <v>-6.8</v>
      </c>
      <c r="BE366" s="1">
        <f t="shared" si="184"/>
        <v>-11.3</v>
      </c>
      <c r="BF366" s="5">
        <f t="shared" si="203"/>
        <v>-0.2</v>
      </c>
      <c r="BG366" s="5">
        <f t="shared" si="204"/>
        <v>0.3</v>
      </c>
      <c r="BH366" s="5">
        <f t="shared" si="205"/>
        <v>1</v>
      </c>
      <c r="BI366" s="5" t="str">
        <f t="shared" si="191"/>
        <v>NAN</v>
      </c>
      <c r="BJ366" s="10">
        <f t="shared" si="192"/>
        <v>0.316</v>
      </c>
      <c r="BK366" s="10">
        <f t="shared" si="193"/>
        <v>4.4999999999999998E-2</v>
      </c>
      <c r="BM366" s="1">
        <f t="shared" si="194"/>
        <v>0.1899999999999995</v>
      </c>
      <c r="BN366" s="1">
        <f t="shared" si="195"/>
        <v>-0.33000000000000007</v>
      </c>
    </row>
    <row r="367" spans="1:66" x14ac:dyDescent="0.2">
      <c r="A367" s="4">
        <f t="shared" si="196"/>
        <v>43827</v>
      </c>
      <c r="B367" s="1">
        <v>362</v>
      </c>
      <c r="C367" s="1">
        <v>12</v>
      </c>
      <c r="D367" s="5">
        <v>12.72</v>
      </c>
      <c r="E367" s="5">
        <v>-3.0640000000000001</v>
      </c>
      <c r="F367" s="5">
        <v>-9.5</v>
      </c>
      <c r="G367" s="5">
        <v>-5.8010000000000002</v>
      </c>
      <c r="H367" s="5">
        <v>91.9</v>
      </c>
      <c r="I367" s="5">
        <v>-0.26500000000000001</v>
      </c>
      <c r="J367" s="5">
        <v>-1.8340000000000001</v>
      </c>
      <c r="K367" s="5">
        <v>-0.157</v>
      </c>
      <c r="L367" s="5">
        <v>0.26300000000000001</v>
      </c>
      <c r="M367" s="5">
        <v>1.024</v>
      </c>
      <c r="N367" s="5">
        <v>-2.4790000000000001</v>
      </c>
      <c r="O367" s="5">
        <v>95</v>
      </c>
      <c r="P367" s="5">
        <v>-0.18099999999999999</v>
      </c>
      <c r="Q367" s="5">
        <v>-1.5980000000000001</v>
      </c>
      <c r="R367" s="5">
        <v>-6.3E-2</v>
      </c>
      <c r="S367" s="5">
        <v>0.34399999999999997</v>
      </c>
      <c r="T367" s="5">
        <v>1.115</v>
      </c>
      <c r="U367" s="5">
        <v>-10.07</v>
      </c>
      <c r="V367" s="5">
        <v>88.1</v>
      </c>
      <c r="W367" s="5">
        <v>-0.37</v>
      </c>
      <c r="X367" s="5">
        <v>-2.0310000000000001</v>
      </c>
      <c r="Y367" s="5">
        <v>-0.23699999999999999</v>
      </c>
      <c r="Z367" s="5">
        <v>0.18</v>
      </c>
      <c r="AA367" s="5">
        <v>0.93899999999999995</v>
      </c>
      <c r="AB367" s="5">
        <v>1.712</v>
      </c>
      <c r="AC367" s="5">
        <v>-6.6749999999999998</v>
      </c>
      <c r="AD367" s="5">
        <v>-3.234</v>
      </c>
      <c r="AE367" s="5">
        <v>-11.16</v>
      </c>
      <c r="AF367" s="5">
        <v>-2.9049999999999998</v>
      </c>
      <c r="AG367" s="5">
        <v>-10.3</v>
      </c>
      <c r="AH367" s="5">
        <v>1.722</v>
      </c>
      <c r="AI367" s="5" t="s">
        <v>99</v>
      </c>
      <c r="AK367" s="5">
        <f t="shared" si="207"/>
        <v>0.56299999999999994</v>
      </c>
      <c r="AL367" s="8">
        <f t="shared" si="206"/>
        <v>-1</v>
      </c>
      <c r="AN367" s="1">
        <f t="shared" si="185"/>
        <v>95</v>
      </c>
      <c r="AO367" s="1">
        <f t="shared" si="186"/>
        <v>91.9</v>
      </c>
      <c r="AP367" s="1">
        <f t="shared" si="187"/>
        <v>88.1</v>
      </c>
      <c r="AQ367" s="17">
        <f t="shared" si="197"/>
        <v>0.44800000000000001</v>
      </c>
      <c r="AR367" s="22">
        <f t="shared" si="188"/>
        <v>6.0999999999999999E-2</v>
      </c>
      <c r="AT367" s="19">
        <f t="shared" si="180"/>
        <v>43827</v>
      </c>
      <c r="AU367" s="20">
        <f t="shared" si="181"/>
        <v>362</v>
      </c>
      <c r="AV367" s="1">
        <f t="shared" si="198"/>
        <v>-5.8</v>
      </c>
      <c r="AW367" s="1">
        <f t="shared" si="199"/>
        <v>-2.5</v>
      </c>
      <c r="AX367" s="1">
        <f t="shared" si="200"/>
        <v>-10.1</v>
      </c>
      <c r="AY367" s="1">
        <f t="shared" si="201"/>
        <v>91.9</v>
      </c>
      <c r="AZ367" s="1">
        <f t="shared" si="202"/>
        <v>88.1</v>
      </c>
      <c r="BA367" s="1">
        <f t="shared" si="189"/>
        <v>0.56299999999999994</v>
      </c>
      <c r="BB367" s="5">
        <f t="shared" si="190"/>
        <v>-1</v>
      </c>
      <c r="BC367" s="1">
        <f t="shared" si="182"/>
        <v>-6.7</v>
      </c>
      <c r="BD367" s="1">
        <f t="shared" si="183"/>
        <v>-3.2</v>
      </c>
      <c r="BE367" s="1">
        <f t="shared" si="184"/>
        <v>-11.2</v>
      </c>
      <c r="BF367" s="5">
        <f t="shared" si="203"/>
        <v>-0.2</v>
      </c>
      <c r="BG367" s="5">
        <f t="shared" si="204"/>
        <v>0.3</v>
      </c>
      <c r="BH367" s="5">
        <f t="shared" si="205"/>
        <v>1</v>
      </c>
      <c r="BI367" s="5" t="str">
        <f t="shared" si="191"/>
        <v>NAN</v>
      </c>
      <c r="BJ367" s="10">
        <f t="shared" si="192"/>
        <v>0.44800000000000001</v>
      </c>
      <c r="BK367" s="10">
        <f t="shared" si="193"/>
        <v>6.0999999999999999E-2</v>
      </c>
      <c r="BM367" s="1">
        <f t="shared" si="194"/>
        <v>-0.75499999999999989</v>
      </c>
      <c r="BN367" s="1">
        <f t="shared" si="195"/>
        <v>-1.0899999999999999</v>
      </c>
    </row>
    <row r="368" spans="1:66" x14ac:dyDescent="0.2">
      <c r="A368" s="4">
        <f t="shared" si="196"/>
        <v>43828</v>
      </c>
      <c r="B368" s="1">
        <v>363</v>
      </c>
      <c r="C368" s="1">
        <v>12</v>
      </c>
      <c r="D368" s="5">
        <v>12.72</v>
      </c>
      <c r="E368" s="5">
        <v>-1.9930000000000001</v>
      </c>
      <c r="F368" s="5">
        <v>-4.4850000000000003</v>
      </c>
      <c r="G368" s="5">
        <v>-3.609</v>
      </c>
      <c r="H368" s="5">
        <v>93.7</v>
      </c>
      <c r="I368" s="5">
        <v>-0.192</v>
      </c>
      <c r="J368" s="5">
        <v>-1.3320000000000001</v>
      </c>
      <c r="K368" s="5">
        <v>-0.124</v>
      </c>
      <c r="L368" s="5">
        <v>0.27300000000000002</v>
      </c>
      <c r="M368" s="5">
        <v>1.0289999999999999</v>
      </c>
      <c r="N368" s="5">
        <v>-2.109</v>
      </c>
      <c r="O368" s="5">
        <v>94.7</v>
      </c>
      <c r="P368" s="5">
        <v>-9.9000000000000005E-2</v>
      </c>
      <c r="Q368" s="5">
        <v>-1.0509999999999999</v>
      </c>
      <c r="R368" s="5">
        <v>-3.3000000000000002E-2</v>
      </c>
      <c r="S368" s="5">
        <v>0.34899999999999998</v>
      </c>
      <c r="T368" s="5">
        <v>1.1140000000000001</v>
      </c>
      <c r="U368" s="5">
        <v>-5.1459999999999999</v>
      </c>
      <c r="V368" s="5">
        <v>92</v>
      </c>
      <c r="W368" s="5">
        <v>-0.29599999999999999</v>
      </c>
      <c r="X368" s="5">
        <v>-1.6870000000000001</v>
      </c>
      <c r="Y368" s="5">
        <v>-0.20799999999999999</v>
      </c>
      <c r="Z368" s="5">
        <v>0.19800000000000001</v>
      </c>
      <c r="AA368" s="5">
        <v>0.95099999999999996</v>
      </c>
      <c r="AB368" s="5">
        <v>1.722</v>
      </c>
      <c r="AC368" s="5">
        <v>-4.6740000000000004</v>
      </c>
      <c r="AD368" s="5">
        <v>-2.7879999999999998</v>
      </c>
      <c r="AE368" s="5">
        <v>-6.444</v>
      </c>
      <c r="AF368" s="5">
        <v>-2.206</v>
      </c>
      <c r="AG368" s="5">
        <v>-5.5129999999999999</v>
      </c>
      <c r="AH368" s="5">
        <v>1.7330000000000001</v>
      </c>
      <c r="AI368" s="5" t="s">
        <v>99</v>
      </c>
      <c r="AK368" s="5">
        <f t="shared" si="207"/>
        <v>0.55299999999999994</v>
      </c>
      <c r="AL368" s="8">
        <f t="shared" si="206"/>
        <v>-0.7</v>
      </c>
      <c r="AN368" s="1">
        <f t="shared" si="185"/>
        <v>94.7</v>
      </c>
      <c r="AO368" s="1">
        <f t="shared" si="186"/>
        <v>93.7</v>
      </c>
      <c r="AP368" s="1">
        <f t="shared" si="187"/>
        <v>92</v>
      </c>
      <c r="AQ368" s="17">
        <f t="shared" si="197"/>
        <v>0.48099999999999998</v>
      </c>
      <c r="AR368" s="22">
        <f t="shared" si="188"/>
        <v>4.2000000000000003E-2</v>
      </c>
      <c r="AT368" s="19">
        <f t="shared" si="180"/>
        <v>43828</v>
      </c>
      <c r="AU368" s="20">
        <f t="shared" si="181"/>
        <v>363</v>
      </c>
      <c r="AV368" s="1">
        <f t="shared" si="198"/>
        <v>-3.6</v>
      </c>
      <c r="AW368" s="1">
        <f t="shared" si="199"/>
        <v>-2.1</v>
      </c>
      <c r="AX368" s="1">
        <f t="shared" si="200"/>
        <v>-5.0999999999999996</v>
      </c>
      <c r="AY368" s="1">
        <f t="shared" si="201"/>
        <v>93.7</v>
      </c>
      <c r="AZ368" s="1">
        <f t="shared" si="202"/>
        <v>92</v>
      </c>
      <c r="BA368" s="1">
        <f t="shared" si="189"/>
        <v>0.55299999999999994</v>
      </c>
      <c r="BB368" s="5">
        <f t="shared" si="190"/>
        <v>-0.7</v>
      </c>
      <c r="BC368" s="1">
        <f t="shared" si="182"/>
        <v>-4.7</v>
      </c>
      <c r="BD368" s="1">
        <f t="shared" si="183"/>
        <v>-2.8</v>
      </c>
      <c r="BE368" s="1">
        <f t="shared" si="184"/>
        <v>-6.4</v>
      </c>
      <c r="BF368" s="5">
        <f t="shared" si="203"/>
        <v>-0.1</v>
      </c>
      <c r="BG368" s="5">
        <f t="shared" si="204"/>
        <v>0.3</v>
      </c>
      <c r="BH368" s="5">
        <f t="shared" si="205"/>
        <v>1</v>
      </c>
      <c r="BI368" s="5" t="str">
        <f t="shared" si="191"/>
        <v>NAN</v>
      </c>
      <c r="BJ368" s="10">
        <f t="shared" si="192"/>
        <v>0.48099999999999998</v>
      </c>
      <c r="BK368" s="10">
        <f t="shared" si="193"/>
        <v>4.2000000000000003E-2</v>
      </c>
      <c r="BM368" s="1">
        <f t="shared" si="194"/>
        <v>-0.67899999999999983</v>
      </c>
      <c r="BN368" s="1">
        <f t="shared" si="195"/>
        <v>-1.298</v>
      </c>
    </row>
    <row r="369" spans="1:66" x14ac:dyDescent="0.2">
      <c r="A369" s="4">
        <f t="shared" si="196"/>
        <v>43829</v>
      </c>
      <c r="B369" s="1">
        <v>364</v>
      </c>
      <c r="C369" s="1">
        <v>12</v>
      </c>
      <c r="D369" s="5">
        <v>12.71</v>
      </c>
      <c r="E369" s="5">
        <v>-2.0790000000000002</v>
      </c>
      <c r="F369" s="5">
        <v>-5.0469999999999997</v>
      </c>
      <c r="G369" s="5">
        <v>-3.573</v>
      </c>
      <c r="H369" s="5">
        <v>93.7</v>
      </c>
      <c r="I369" s="5">
        <v>-0.14799999999999999</v>
      </c>
      <c r="J369" s="5">
        <v>-1.01</v>
      </c>
      <c r="K369" s="5">
        <v>-0.1</v>
      </c>
      <c r="L369" s="5">
        <v>0.26900000000000002</v>
      </c>
      <c r="M369" s="5">
        <v>1.02</v>
      </c>
      <c r="N369" s="5">
        <v>-1.635</v>
      </c>
      <c r="O369" s="5">
        <v>95.5</v>
      </c>
      <c r="P369" s="5">
        <v>-6.2E-2</v>
      </c>
      <c r="Q369" s="5">
        <v>-0.873</v>
      </c>
      <c r="R369" s="5">
        <v>-0.01</v>
      </c>
      <c r="S369" s="5">
        <v>0.35799999999999998</v>
      </c>
      <c r="T369" s="5">
        <v>1.1060000000000001</v>
      </c>
      <c r="U369" s="5">
        <v>-5.7530000000000001</v>
      </c>
      <c r="V369" s="5">
        <v>92.2</v>
      </c>
      <c r="W369" s="5">
        <v>-0.249</v>
      </c>
      <c r="X369" s="5">
        <v>-1.1459999999999999</v>
      </c>
      <c r="Y369" s="5">
        <v>-0.17499999999999999</v>
      </c>
      <c r="Z369" s="5">
        <v>0.19800000000000001</v>
      </c>
      <c r="AA369" s="5">
        <v>0.93799999999999994</v>
      </c>
      <c r="AB369" s="5">
        <v>1.6819999999999999</v>
      </c>
      <c r="AC369" s="5">
        <v>-4.2990000000000004</v>
      </c>
      <c r="AD369" s="5">
        <v>-2.472</v>
      </c>
      <c r="AE369" s="5">
        <v>-5.7380000000000004</v>
      </c>
      <c r="AF369" s="5">
        <v>-1.99</v>
      </c>
      <c r="AG369" s="5">
        <v>-5.944</v>
      </c>
      <c r="AH369" s="5">
        <v>1.6970000000000001</v>
      </c>
      <c r="AI369" s="5" t="s">
        <v>99</v>
      </c>
      <c r="AK369" s="5">
        <f t="shared" si="207"/>
        <v>0.59299999999999997</v>
      </c>
      <c r="AL369" s="8">
        <f t="shared" si="206"/>
        <v>-0.6</v>
      </c>
      <c r="AN369" s="1">
        <f t="shared" si="185"/>
        <v>95.5</v>
      </c>
      <c r="AO369" s="1">
        <f t="shared" si="186"/>
        <v>93.7</v>
      </c>
      <c r="AP369" s="1">
        <f t="shared" si="187"/>
        <v>92.2</v>
      </c>
      <c r="AQ369" s="17">
        <f t="shared" si="197"/>
        <v>0.499</v>
      </c>
      <c r="AR369" s="22">
        <f t="shared" si="188"/>
        <v>4.2000000000000003E-2</v>
      </c>
      <c r="AT369" s="19">
        <f t="shared" si="180"/>
        <v>43829</v>
      </c>
      <c r="AU369" s="20">
        <f t="shared" si="181"/>
        <v>364</v>
      </c>
      <c r="AV369" s="1">
        <f t="shared" si="198"/>
        <v>-3.6</v>
      </c>
      <c r="AW369" s="1">
        <f t="shared" si="199"/>
        <v>-1.6</v>
      </c>
      <c r="AX369" s="1">
        <f t="shared" si="200"/>
        <v>-5.8</v>
      </c>
      <c r="AY369" s="1">
        <f t="shared" si="201"/>
        <v>93.7</v>
      </c>
      <c r="AZ369" s="1">
        <f t="shared" si="202"/>
        <v>92.2</v>
      </c>
      <c r="BA369" s="1">
        <f t="shared" si="189"/>
        <v>0.59299999999999997</v>
      </c>
      <c r="BB369" s="5">
        <f t="shared" si="190"/>
        <v>-0.6</v>
      </c>
      <c r="BC369" s="1">
        <f t="shared" si="182"/>
        <v>-4.3</v>
      </c>
      <c r="BD369" s="1">
        <f t="shared" si="183"/>
        <v>-2.5</v>
      </c>
      <c r="BE369" s="1">
        <f t="shared" si="184"/>
        <v>-5.7</v>
      </c>
      <c r="BF369" s="5">
        <f t="shared" si="203"/>
        <v>-0.1</v>
      </c>
      <c r="BG369" s="5">
        <f t="shared" si="204"/>
        <v>0.3</v>
      </c>
      <c r="BH369" s="5">
        <f t="shared" si="205"/>
        <v>1</v>
      </c>
      <c r="BI369" s="5" t="str">
        <f t="shared" si="191"/>
        <v>NAN</v>
      </c>
      <c r="BJ369" s="10">
        <f t="shared" si="192"/>
        <v>0.499</v>
      </c>
      <c r="BK369" s="10">
        <f t="shared" si="193"/>
        <v>4.2000000000000003E-2</v>
      </c>
      <c r="BM369" s="1">
        <f t="shared" si="194"/>
        <v>-0.83699999999999997</v>
      </c>
      <c r="BN369" s="1">
        <f t="shared" si="195"/>
        <v>1.499999999999968E-2</v>
      </c>
    </row>
    <row r="370" spans="1:66" x14ac:dyDescent="0.2">
      <c r="A370" s="4">
        <f t="shared" si="196"/>
        <v>43830</v>
      </c>
      <c r="B370" s="1">
        <v>365</v>
      </c>
      <c r="C370" s="1">
        <v>12</v>
      </c>
      <c r="D370" s="5">
        <v>12.71</v>
      </c>
      <c r="E370" s="5">
        <v>-2.2709999999999999</v>
      </c>
      <c r="F370" s="5">
        <v>-5.3949999999999996</v>
      </c>
      <c r="G370" s="5">
        <v>-3.621</v>
      </c>
      <c r="H370" s="5">
        <v>93.8</v>
      </c>
      <c r="I370" s="5">
        <v>-0.13700000000000001</v>
      </c>
      <c r="J370" s="5">
        <v>-0.94099999999999995</v>
      </c>
      <c r="K370" s="5">
        <v>-8.7999999999999995E-2</v>
      </c>
      <c r="L370" s="5">
        <v>0.26500000000000001</v>
      </c>
      <c r="M370" s="5">
        <v>1.0089999999999999</v>
      </c>
      <c r="N370" s="5">
        <v>-1.6020000000000001</v>
      </c>
      <c r="O370" s="5">
        <v>95.7</v>
      </c>
      <c r="P370" s="5">
        <v>-6.8000000000000005E-2</v>
      </c>
      <c r="Q370" s="5">
        <v>-0.86399999999999999</v>
      </c>
      <c r="R370" s="5">
        <v>8.9999999999999993E-3</v>
      </c>
      <c r="S370" s="5">
        <v>0.34799999999999998</v>
      </c>
      <c r="T370" s="5">
        <v>1.083</v>
      </c>
      <c r="U370" s="5">
        <v>-6.6319999999999997</v>
      </c>
      <c r="V370" s="5">
        <v>91</v>
      </c>
      <c r="W370" s="5">
        <v>-0.216</v>
      </c>
      <c r="X370" s="5">
        <v>-1.0349999999999999</v>
      </c>
      <c r="Y370" s="5">
        <v>-0.16700000000000001</v>
      </c>
      <c r="Z370" s="5">
        <v>0.19500000000000001</v>
      </c>
      <c r="AA370" s="5">
        <v>0.94099999999999995</v>
      </c>
      <c r="AB370" s="5">
        <v>1.6080000000000001</v>
      </c>
      <c r="AC370" s="5">
        <v>-4.0149999999999997</v>
      </c>
      <c r="AD370" s="5">
        <v>-1.9890000000000001</v>
      </c>
      <c r="AE370" s="5">
        <v>-6.7709999999999999</v>
      </c>
      <c r="AF370" s="5">
        <v>-1.891</v>
      </c>
      <c r="AG370" s="5">
        <v>-6.8789999999999996</v>
      </c>
      <c r="AH370" s="5">
        <v>1.6140000000000001</v>
      </c>
      <c r="AI370" s="5" t="s">
        <v>99</v>
      </c>
      <c r="AK370" s="5">
        <f t="shared" si="207"/>
        <v>0.66699999999999982</v>
      </c>
      <c r="AL370" s="8">
        <f t="shared" si="206"/>
        <v>-0.5</v>
      </c>
      <c r="AN370" s="1">
        <f t="shared" si="185"/>
        <v>95.7</v>
      </c>
      <c r="AO370" s="1">
        <f t="shared" si="186"/>
        <v>93.8</v>
      </c>
      <c r="AP370" s="1">
        <f t="shared" si="187"/>
        <v>91</v>
      </c>
      <c r="AQ370" s="17">
        <f t="shared" si="197"/>
        <v>0.49399999999999999</v>
      </c>
      <c r="AR370" s="22">
        <f t="shared" si="188"/>
        <v>4.9000000000000002E-2</v>
      </c>
      <c r="AT370" s="19">
        <f t="shared" si="180"/>
        <v>43830</v>
      </c>
      <c r="AU370" s="20">
        <f t="shared" si="181"/>
        <v>365</v>
      </c>
      <c r="AV370" s="1">
        <f t="shared" si="198"/>
        <v>-3.6</v>
      </c>
      <c r="AW370" s="1">
        <f t="shared" si="199"/>
        <v>-1.6</v>
      </c>
      <c r="AX370" s="1">
        <f t="shared" si="200"/>
        <v>-6.6</v>
      </c>
      <c r="AY370" s="1">
        <f t="shared" si="201"/>
        <v>93.8</v>
      </c>
      <c r="AZ370" s="1">
        <f t="shared" si="202"/>
        <v>91</v>
      </c>
      <c r="BA370" s="1">
        <f t="shared" si="189"/>
        <v>0.66699999999999982</v>
      </c>
      <c r="BB370" s="5">
        <f t="shared" si="190"/>
        <v>-0.5</v>
      </c>
      <c r="BC370" s="1">
        <f t="shared" si="182"/>
        <v>-4</v>
      </c>
      <c r="BD370" s="1">
        <f t="shared" si="183"/>
        <v>-2</v>
      </c>
      <c r="BE370" s="1">
        <f t="shared" si="184"/>
        <v>-6.8</v>
      </c>
      <c r="BF370" s="5">
        <f t="shared" si="203"/>
        <v>-0.1</v>
      </c>
      <c r="BG370" s="5">
        <f t="shared" si="204"/>
        <v>0.3</v>
      </c>
      <c r="BH370" s="5">
        <f t="shared" si="205"/>
        <v>1</v>
      </c>
      <c r="BI370" s="5" t="str">
        <f t="shared" si="191"/>
        <v>NAN</v>
      </c>
      <c r="BJ370" s="10">
        <f t="shared" si="192"/>
        <v>0.49399999999999999</v>
      </c>
      <c r="BK370" s="10">
        <f t="shared" si="193"/>
        <v>4.9000000000000002E-2</v>
      </c>
      <c r="BM370" s="1">
        <f t="shared" si="194"/>
        <v>-0.38700000000000001</v>
      </c>
      <c r="BN370" s="1">
        <f t="shared" si="195"/>
        <v>-0.13900000000000023</v>
      </c>
    </row>
    <row r="371" spans="1:66" x14ac:dyDescent="0.2">
      <c r="A371" s="4"/>
      <c r="AW371" s="3"/>
    </row>
    <row r="372" spans="1:66" x14ac:dyDescent="0.2">
      <c r="AW372" s="3"/>
    </row>
    <row r="373" spans="1:66" x14ac:dyDescent="0.2">
      <c r="AW373" s="3"/>
    </row>
    <row r="374" spans="1:66" x14ac:dyDescent="0.2">
      <c r="D374" s="1"/>
      <c r="E374" s="1"/>
      <c r="F374" s="1"/>
      <c r="G374" s="9" t="s">
        <v>47</v>
      </c>
      <c r="H374" s="1"/>
      <c r="I374" s="9"/>
      <c r="J374" s="1"/>
      <c r="K374" s="2" t="s">
        <v>48</v>
      </c>
      <c r="L374" s="9" t="s">
        <v>49</v>
      </c>
      <c r="M374" s="9" t="s">
        <v>50</v>
      </c>
      <c r="N374" s="9" t="s">
        <v>51</v>
      </c>
      <c r="O374" s="9" t="s">
        <v>52</v>
      </c>
      <c r="P374" s="9"/>
      <c r="Q374" s="9"/>
      <c r="R374" s="2" t="s">
        <v>53</v>
      </c>
      <c r="S374" s="1"/>
      <c r="T374" s="9"/>
      <c r="U374" s="9" t="s">
        <v>54</v>
      </c>
      <c r="V374" s="9" t="s">
        <v>55</v>
      </c>
      <c r="W374" s="9"/>
      <c r="X374" s="9"/>
      <c r="Y374" s="2" t="s">
        <v>56</v>
      </c>
      <c r="Z374" s="1"/>
      <c r="AA374" s="1"/>
      <c r="AB374" s="1"/>
      <c r="AC374" s="5" t="s">
        <v>57</v>
      </c>
      <c r="AD374" s="5" t="s">
        <v>58</v>
      </c>
      <c r="AE374" s="5" t="s">
        <v>59</v>
      </c>
      <c r="AK374" s="10" t="s">
        <v>60</v>
      </c>
      <c r="AL374" s="9" t="s">
        <v>77</v>
      </c>
      <c r="AM374" s="9"/>
      <c r="AN374" s="9"/>
      <c r="AO374" s="9" t="s">
        <v>61</v>
      </c>
      <c r="AP374" s="9" t="s">
        <v>62</v>
      </c>
      <c r="AQ374" s="9" t="s">
        <v>63</v>
      </c>
      <c r="AR374" s="1" t="s">
        <v>64</v>
      </c>
      <c r="AS374" s="1" t="s">
        <v>102</v>
      </c>
      <c r="BA374" s="10" t="s">
        <v>60</v>
      </c>
      <c r="BB374" s="9" t="s">
        <v>77</v>
      </c>
    </row>
    <row r="375" spans="1:66" x14ac:dyDescent="0.2">
      <c r="A375" s="1" t="s">
        <v>65</v>
      </c>
      <c r="D375" s="1"/>
      <c r="E375" s="1"/>
      <c r="F375" s="1"/>
      <c r="G375" s="11">
        <f>ROUND(AVERAGE(G6:G36),1)</f>
        <v>-4.9000000000000004</v>
      </c>
      <c r="H375" s="1"/>
      <c r="I375" s="11"/>
      <c r="J375" s="1"/>
      <c r="K375" s="11">
        <f>ROUND(AVERAGE(K6:K36),1)</f>
        <v>0</v>
      </c>
      <c r="L375" s="11">
        <f>ROUND(AVERAGE(L6:L36),1)</f>
        <v>0.4</v>
      </c>
      <c r="M375" s="11">
        <f>ROUND(AVERAGE(M6:M36),1)</f>
        <v>1.1000000000000001</v>
      </c>
      <c r="N375" s="11">
        <f>ROUND(AVERAGE(N6:N36),1)</f>
        <v>-2.1</v>
      </c>
      <c r="O375" s="11">
        <f>ROUND(MAX(N6:N36),1)</f>
        <v>3.9</v>
      </c>
      <c r="P375" s="11"/>
      <c r="Q375" s="11"/>
      <c r="R375" s="11">
        <f>ROUND(AVERAGE(R6:R36),1)</f>
        <v>0</v>
      </c>
      <c r="S375" s="1"/>
      <c r="T375" s="11"/>
      <c r="U375" s="11">
        <f>ROUND(AVERAGE(U6:U36),1)</f>
        <v>-7.6</v>
      </c>
      <c r="V375" s="11">
        <f>ROUND(MIN(U6:U36),1)</f>
        <v>-15.3</v>
      </c>
      <c r="W375" s="11"/>
      <c r="X375" s="11"/>
      <c r="Y375" s="11">
        <f>ROUND(AVERAGE(Y6:Y36),1)</f>
        <v>-0.1</v>
      </c>
      <c r="Z375" s="1"/>
      <c r="AA375" s="1"/>
      <c r="AB375" s="1"/>
      <c r="AC375" s="11">
        <f>ROUND(AVERAGE(AC6:AC36),1)</f>
        <v>-6.2</v>
      </c>
      <c r="AD375" s="11">
        <f>ROUND(AVERAGE(AD6:AD36),1)</f>
        <v>-3.5</v>
      </c>
      <c r="AE375" s="11">
        <f>ROUND(AVERAGE(AE6:AE36),1)</f>
        <v>-8.8000000000000007</v>
      </c>
      <c r="AF375" s="11"/>
      <c r="AG375" s="11"/>
      <c r="AH375" s="11"/>
      <c r="AI375" s="11"/>
      <c r="AJ375" s="11"/>
      <c r="AK375" s="21">
        <f>AK36*1000</f>
        <v>732.99999999999989</v>
      </c>
      <c r="AL375" s="11">
        <f>ROUND(AVERAGE(AL6:AL36),1)</f>
        <v>-0.6</v>
      </c>
      <c r="AM375" s="11"/>
      <c r="AN375" s="11"/>
      <c r="AO375" s="11">
        <f>ROUND(AVERAGE(AO6:AO36),1)</f>
        <v>83</v>
      </c>
      <c r="AP375" s="11">
        <f>ROUND(AVERAGE(AP6:AP36),1)</f>
        <v>72.900000000000006</v>
      </c>
      <c r="AQ375" s="11">
        <f>ROUND(MIN(AP6:AP36),1)</f>
        <v>8.1</v>
      </c>
      <c r="AR375" s="12">
        <f>ROUND(AVERAGE(AQ6:AQ36),2)</f>
        <v>0.38</v>
      </c>
      <c r="AS375" s="12">
        <f>ROUND(MAX(AR5:AR35),2)</f>
        <v>0.6</v>
      </c>
      <c r="AU375" s="12"/>
      <c r="AW375" s="12"/>
      <c r="BA375" s="10">
        <f>BA36</f>
        <v>0.73299999999999987</v>
      </c>
      <c r="BB375" s="11">
        <f>ROUND(AVERAGE(BB6:BB36),1)</f>
        <v>-0.6</v>
      </c>
    </row>
    <row r="376" spans="1:66" x14ac:dyDescent="0.2">
      <c r="A376" s="1" t="s">
        <v>66</v>
      </c>
      <c r="D376" s="1"/>
      <c r="E376" s="1"/>
      <c r="F376" s="1"/>
      <c r="G376" s="11">
        <f>ROUND(AVERAGE(G37:G64),1)</f>
        <v>-12.7</v>
      </c>
      <c r="H376" s="1"/>
      <c r="I376" s="11"/>
      <c r="J376" s="1"/>
      <c r="K376" s="11">
        <f>ROUND(AVERAGE(K37:K64),1)</f>
        <v>-0.2</v>
      </c>
      <c r="L376" s="11">
        <f>ROUND(AVERAGE(L37:L64),1)</f>
        <v>0.2</v>
      </c>
      <c r="M376" s="11">
        <f>ROUND(AVERAGE(M37:M64),1)</f>
        <v>0.9</v>
      </c>
      <c r="N376" s="11">
        <f>ROUND(AVERAGE(N37:N64),1)</f>
        <v>-9.9</v>
      </c>
      <c r="O376" s="11">
        <f>ROUND(MAX(N37:N64),1)</f>
        <v>-0.6</v>
      </c>
      <c r="P376" s="11"/>
      <c r="Q376" s="11"/>
      <c r="R376" s="11">
        <f>ROUND(AVERAGE(R37:R64),1)</f>
        <v>-0.1</v>
      </c>
      <c r="S376" s="1"/>
      <c r="T376" s="11"/>
      <c r="U376" s="11">
        <f>ROUND(AVERAGE(U37:U64),1)</f>
        <v>-15.7</v>
      </c>
      <c r="V376" s="11">
        <f>ROUND(MIN(U37:U64),1)</f>
        <v>-26.4</v>
      </c>
      <c r="W376" s="11"/>
      <c r="X376" s="11"/>
      <c r="Y376" s="11">
        <f>ROUND(AVERAGE(Y37:Y64),1)</f>
        <v>-0.2</v>
      </c>
      <c r="Z376" s="1"/>
      <c r="AA376" s="1"/>
      <c r="AB376" s="1"/>
      <c r="AC376" s="11">
        <f>ROUND(AVERAGE(AC37:AC64),1)</f>
        <v>-13.4</v>
      </c>
      <c r="AD376" s="11">
        <f>ROUND(AVERAGE(AD37:AD64),1)</f>
        <v>-10.199999999999999</v>
      </c>
      <c r="AE376" s="11">
        <f>ROUND(AVERAGE(AE37:AE64),1)</f>
        <v>-16.600000000000001</v>
      </c>
      <c r="AF376" s="11"/>
      <c r="AG376" s="11"/>
      <c r="AH376" s="11"/>
      <c r="AI376" s="11"/>
      <c r="AJ376" s="11"/>
      <c r="AK376" s="21">
        <f>AK64*1000</f>
        <v>1018</v>
      </c>
      <c r="AL376" s="11">
        <f>ROUND(AVERAGE(AL37:AL64),1)</f>
        <v>-1.1000000000000001</v>
      </c>
      <c r="AM376" s="11"/>
      <c r="AN376" s="11"/>
      <c r="AO376" s="11">
        <f>ROUND(AVERAGE(AO37:AO64),1)</f>
        <v>82.9</v>
      </c>
      <c r="AP376" s="11">
        <f>ROUND(AVERAGE(AP37:AP64),1)</f>
        <v>76.3</v>
      </c>
      <c r="AQ376" s="11">
        <f>ROUND(MIN(AP37:AP64),1)</f>
        <v>37.200000000000003</v>
      </c>
      <c r="AR376" s="12">
        <f>ROUND(AVERAGE(AQ37:AQ64),2)</f>
        <v>0.23</v>
      </c>
      <c r="AS376" s="12">
        <f>ROUND(MAX(AR36:AR63),2)</f>
        <v>0.31</v>
      </c>
      <c r="AU376" s="12"/>
      <c r="AW376" s="12"/>
      <c r="BA376" s="10">
        <f>BA64</f>
        <v>1.018</v>
      </c>
      <c r="BB376" s="11">
        <f>ROUND(AVERAGE(BB37:BB64),1)</f>
        <v>-1.1000000000000001</v>
      </c>
    </row>
    <row r="377" spans="1:66" x14ac:dyDescent="0.2">
      <c r="A377" s="1" t="s">
        <v>67</v>
      </c>
      <c r="D377" s="1"/>
      <c r="E377" s="1"/>
      <c r="F377" s="1"/>
      <c r="G377" s="11">
        <f>ROUND(AVERAGE(G65:G95),1)</f>
        <v>-4.0999999999999996</v>
      </c>
      <c r="H377" s="1"/>
      <c r="I377" s="11"/>
      <c r="J377" s="1"/>
      <c r="K377" s="11">
        <f t="shared" ref="K377:L377" si="208">ROUND(AVERAGE(K65:K95),1)</f>
        <v>-0.1</v>
      </c>
      <c r="L377" s="11">
        <f t="shared" si="208"/>
        <v>0.2</v>
      </c>
      <c r="M377" s="11">
        <f>ROUND(AVERAGE(M65:M95),1)</f>
        <v>0.8</v>
      </c>
      <c r="N377" s="11">
        <f>ROUND(AVERAGE(N65:N95),1)</f>
        <v>0</v>
      </c>
      <c r="O377" s="11">
        <f>ROUND(MAX(N65:N95),1)</f>
        <v>12.2</v>
      </c>
      <c r="P377" s="11"/>
      <c r="Q377" s="11"/>
      <c r="R377" s="11">
        <f>ROUND(AVERAGE(R65:R95),1)</f>
        <v>0</v>
      </c>
      <c r="S377" s="1"/>
      <c r="T377" s="11"/>
      <c r="U377" s="11">
        <f>ROUND(AVERAGE(U65:U95),1)</f>
        <v>-7.4</v>
      </c>
      <c r="V377" s="11">
        <f>ROUND(MIN(U65:U95),1)</f>
        <v>-19.7</v>
      </c>
      <c r="W377" s="11"/>
      <c r="X377" s="11"/>
      <c r="Y377" s="11">
        <f>ROUND(AVERAGE(Y65:Y95),1)</f>
        <v>-0.2</v>
      </c>
      <c r="Z377" s="1"/>
      <c r="AA377" s="1"/>
      <c r="AB377" s="1"/>
      <c r="AC377" s="11">
        <f t="shared" ref="AC377:AE377" si="209">ROUND(AVERAGE(AC65:AC95),1)</f>
        <v>-6.2</v>
      </c>
      <c r="AD377" s="11">
        <f t="shared" si="209"/>
        <v>-2.2999999999999998</v>
      </c>
      <c r="AE377" s="11">
        <f t="shared" si="209"/>
        <v>-9.1</v>
      </c>
      <c r="AF377" s="11"/>
      <c r="AG377" s="11"/>
      <c r="AH377" s="11"/>
      <c r="AI377" s="11"/>
      <c r="AJ377" s="11"/>
      <c r="AK377" s="15">
        <f>AK95*1000</f>
        <v>825.99999999999989</v>
      </c>
      <c r="AL377" s="11">
        <f t="shared" ref="AL377" si="210">ROUND(AVERAGE(AL65:AL95),1)</f>
        <v>-0.4</v>
      </c>
      <c r="AM377" s="11"/>
      <c r="AN377" s="11"/>
      <c r="AO377" s="11">
        <f>ROUND(AVERAGE(AO65:AO95),1)</f>
        <v>71.3</v>
      </c>
      <c r="AP377" s="11">
        <f>ROUND(AVERAGE(AP65:AP95),1)</f>
        <v>54.5</v>
      </c>
      <c r="AQ377" s="11">
        <f>ROUND(MIN(AP65:AP95),1)</f>
        <v>21.8</v>
      </c>
      <c r="AR377" s="12">
        <f>ROUND(AVERAGE(AQ65:AQ95),2)</f>
        <v>0.31</v>
      </c>
      <c r="AS377" s="12">
        <f>ROUND(MAX(AR64:AR94),2)</f>
        <v>1.0900000000000001</v>
      </c>
      <c r="AU377" s="12"/>
      <c r="AW377" s="12"/>
      <c r="BA377" s="10">
        <f>BA95</f>
        <v>0.82599999999999985</v>
      </c>
      <c r="BB377" s="11">
        <f t="shared" ref="BB377" si="211">ROUND(AVERAGE(BB65:BB95),1)</f>
        <v>-0.4</v>
      </c>
    </row>
    <row r="378" spans="1:66" x14ac:dyDescent="0.2">
      <c r="A378" s="1" t="s">
        <v>68</v>
      </c>
      <c r="D378" s="1"/>
      <c r="E378" s="1"/>
      <c r="F378" s="1"/>
      <c r="G378" s="11">
        <f>ROUND(AVERAGE(G96:G125),1)</f>
        <v>-1.2</v>
      </c>
      <c r="H378" s="1"/>
      <c r="I378" s="11"/>
      <c r="J378" s="1"/>
      <c r="K378" s="11">
        <f t="shared" ref="K378:L378" si="212">ROUND(AVERAGE(K96:K125),1)</f>
        <v>0</v>
      </c>
      <c r="L378" s="11">
        <f t="shared" si="212"/>
        <v>0.2</v>
      </c>
      <c r="M378" s="11">
        <f>ROUND(AVERAGE(M96:M125),1)</f>
        <v>0.7</v>
      </c>
      <c r="N378" s="11">
        <f>ROUND(AVERAGE(N96:N125),1)</f>
        <v>2.2000000000000002</v>
      </c>
      <c r="O378" s="11">
        <f>ROUND(MAX(N96:N125),1)</f>
        <v>7.9</v>
      </c>
      <c r="P378" s="11"/>
      <c r="Q378" s="11"/>
      <c r="R378" s="11">
        <f>ROUND(AVERAGE(R96:R125),1)</f>
        <v>0.1</v>
      </c>
      <c r="S378" s="1"/>
      <c r="T378" s="11"/>
      <c r="U378" s="11">
        <f>ROUND(AVERAGE(U96:U125),1)</f>
        <v>-4.4000000000000004</v>
      </c>
      <c r="V378" s="11">
        <f>ROUND(MIN(U96:U125),1)</f>
        <v>-9</v>
      </c>
      <c r="W378" s="11"/>
      <c r="X378" s="11"/>
      <c r="Y378" s="11">
        <f>ROUND(AVERAGE(Y96:Y125),1)</f>
        <v>-0.1</v>
      </c>
      <c r="Z378" s="1"/>
      <c r="AA378" s="1"/>
      <c r="AB378" s="1"/>
      <c r="AC378" s="11">
        <f t="shared" ref="AC378:AE378" si="213">ROUND(AVERAGE(AC96:AC125),1)</f>
        <v>-2.7</v>
      </c>
      <c r="AD378" s="11">
        <f t="shared" si="213"/>
        <v>-0.1</v>
      </c>
      <c r="AE378" s="11">
        <f t="shared" si="213"/>
        <v>-5.5</v>
      </c>
      <c r="AF378" s="11"/>
      <c r="AG378" s="11"/>
      <c r="AH378" s="11"/>
      <c r="AI378" s="11"/>
      <c r="AJ378" s="11"/>
      <c r="AK378" s="15" t="e">
        <f>AK125*1000</f>
        <v>#VALUE!</v>
      </c>
      <c r="AL378" s="11">
        <f t="shared" ref="AL378" si="214">ROUND(AVERAGE(AL96:AL125),1)</f>
        <v>0</v>
      </c>
      <c r="AM378" s="11"/>
      <c r="AN378" s="11"/>
      <c r="AO378" s="11">
        <f>ROUND(AVERAGE(AO96:AO125),1)</f>
        <v>74</v>
      </c>
      <c r="AP378" s="11">
        <f>ROUND(AVERAGE(AP96:AP125),1)</f>
        <v>51.9</v>
      </c>
      <c r="AQ378" s="11">
        <f>ROUND(MIN(AP96:AP125),1)</f>
        <v>16.7</v>
      </c>
      <c r="AR378" s="12">
        <f>ROUND(AVERAGE(AQ96:AQ125),2)</f>
        <v>0.36</v>
      </c>
      <c r="AS378" s="12">
        <f>ROUND(MAX(AR95:AR124),2)</f>
        <v>0.89</v>
      </c>
      <c r="AU378" s="12"/>
      <c r="AW378" s="12"/>
      <c r="BA378" s="10" t="str">
        <f>BA125</f>
        <v>NAN</v>
      </c>
      <c r="BB378" s="11">
        <f t="shared" ref="BB378" si="215">ROUND(AVERAGE(BB96:BB125),1)</f>
        <v>0</v>
      </c>
    </row>
    <row r="379" spans="1:66" x14ac:dyDescent="0.2">
      <c r="A379" s="1" t="s">
        <v>69</v>
      </c>
      <c r="D379" s="1"/>
      <c r="E379" s="1"/>
      <c r="F379" s="1"/>
      <c r="G379" s="11">
        <f>ROUND(AVERAGE(G126:G156),1)</f>
        <v>6.1</v>
      </c>
      <c r="H379" s="1"/>
      <c r="I379" s="11"/>
      <c r="J379" s="1"/>
      <c r="K379" s="11">
        <f t="shared" ref="K379:L379" si="216">ROUND(AVERAGE(K126:K156),1)</f>
        <v>2.5</v>
      </c>
      <c r="L379" s="11">
        <f t="shared" si="216"/>
        <v>1.9</v>
      </c>
      <c r="M379" s="11">
        <f>ROUND(AVERAGE(M126:M156),1)</f>
        <v>1.3</v>
      </c>
      <c r="N379" s="11">
        <f>ROUND(AVERAGE(N126:N156),1)</f>
        <v>10.5</v>
      </c>
      <c r="O379" s="11">
        <f>ROUND(MAX(N126:N156),1)</f>
        <v>18.600000000000001</v>
      </c>
      <c r="P379" s="11"/>
      <c r="Q379" s="11"/>
      <c r="R379" s="11">
        <f>ROUND(AVERAGE(R126:R156),1)</f>
        <v>4.2</v>
      </c>
      <c r="S379" s="1"/>
      <c r="T379" s="11"/>
      <c r="U379" s="11">
        <f>ROUND(AVERAGE(U126:U156),1)</f>
        <v>2.5</v>
      </c>
      <c r="V379" s="11">
        <f>ROUND(MIN(U126:U156),1)</f>
        <v>-3.6</v>
      </c>
      <c r="W379" s="11"/>
      <c r="X379" s="11"/>
      <c r="Y379" s="11">
        <f>ROUND(AVERAGE(Y126:Y156),1)</f>
        <v>1.5</v>
      </c>
      <c r="Z379" s="1"/>
      <c r="AA379" s="1"/>
      <c r="AB379" s="1"/>
      <c r="AC379" s="11">
        <f t="shared" ref="AC379:AE379" si="217">ROUND(AVERAGE(AC126:AC156),1)</f>
        <v>3</v>
      </c>
      <c r="AD379" s="11">
        <f t="shared" si="217"/>
        <v>8.6999999999999993</v>
      </c>
      <c r="AE379" s="11">
        <f t="shared" si="217"/>
        <v>0.4</v>
      </c>
      <c r="AF379" s="11"/>
      <c r="AG379" s="11"/>
      <c r="AH379" s="11"/>
      <c r="AI379" s="11"/>
      <c r="AJ379" s="11"/>
      <c r="AK379" s="15">
        <f>AK156*1000</f>
        <v>0</v>
      </c>
      <c r="AL379" s="11">
        <f t="shared" ref="AL379" si="218">ROUND(AVERAGE(AL126:AL156),1)</f>
        <v>0</v>
      </c>
      <c r="AM379" s="11"/>
      <c r="AN379" s="11"/>
      <c r="AO379" s="11">
        <f>ROUND(AVERAGE(AO126:AO156),1)</f>
        <v>63.8</v>
      </c>
      <c r="AP379" s="11">
        <f>ROUND(AVERAGE(AP126:AP156),1)</f>
        <v>46.1</v>
      </c>
      <c r="AQ379" s="11">
        <f>ROUND(MIN(AP126:AP156),1)</f>
        <v>20.399999999999999</v>
      </c>
      <c r="AR379" s="12">
        <f>ROUND(AVERAGE(AQ126:AQ156),2)</f>
        <v>0.56000000000000005</v>
      </c>
      <c r="AS379" s="12">
        <f>ROUND(MAX(AR125:AR155),2)</f>
        <v>1.68</v>
      </c>
      <c r="AU379" s="12"/>
      <c r="AW379" s="12"/>
      <c r="BA379" s="10">
        <f>BA156</f>
        <v>0</v>
      </c>
      <c r="BB379" s="11">
        <f t="shared" ref="BB379" si="219">ROUND(AVERAGE(BB126:BB156),1)</f>
        <v>0</v>
      </c>
    </row>
    <row r="380" spans="1:66" x14ac:dyDescent="0.2">
      <c r="A380" s="1" t="s">
        <v>70</v>
      </c>
      <c r="D380" s="1"/>
      <c r="E380" s="1"/>
      <c r="F380" s="1"/>
      <c r="G380" s="11">
        <f>ROUND(AVERAGE(G157:G186),1)</f>
        <v>7.6</v>
      </c>
      <c r="H380" s="1"/>
      <c r="I380" s="11"/>
      <c r="J380" s="1"/>
      <c r="K380" s="11">
        <f t="shared" ref="K380:L380" si="220">ROUND(AVERAGE(K157:K186),1)</f>
        <v>7.1</v>
      </c>
      <c r="L380" s="11">
        <f t="shared" si="220"/>
        <v>6.3</v>
      </c>
      <c r="M380" s="11">
        <f>ROUND(AVERAGE(M157:M186),1)</f>
        <v>4.8</v>
      </c>
      <c r="N380" s="11">
        <f>ROUND(AVERAGE(N157:N186),1)</f>
        <v>12.8</v>
      </c>
      <c r="O380" s="11">
        <f>ROUND(MAX(N157:N186),1)</f>
        <v>20.6</v>
      </c>
      <c r="P380" s="11"/>
      <c r="Q380" s="11"/>
      <c r="R380" s="11">
        <f>ROUND(AVERAGE(R157:R186),1)</f>
        <v>11.6</v>
      </c>
      <c r="S380" s="1"/>
      <c r="T380" s="11"/>
      <c r="U380" s="11">
        <f>ROUND(AVERAGE(U157:U186),1)</f>
        <v>3.4</v>
      </c>
      <c r="V380" s="11">
        <f>ROUND(MIN(U157:U186),1)</f>
        <v>-2.2999999999999998</v>
      </c>
      <c r="W380" s="11"/>
      <c r="X380" s="11"/>
      <c r="Y380" s="11">
        <f>ROUND(AVERAGE(Y157:Y186),1)</f>
        <v>4.9000000000000004</v>
      </c>
      <c r="Z380" s="1"/>
      <c r="AA380" s="1"/>
      <c r="AB380" s="1"/>
      <c r="AC380" s="11">
        <f t="shared" ref="AC380:AE380" si="221">ROUND(AVERAGE(AC157:AC186),1)</f>
        <v>7.9</v>
      </c>
      <c r="AD380" s="11">
        <f t="shared" si="221"/>
        <v>22.3</v>
      </c>
      <c r="AE380" s="11">
        <f t="shared" si="221"/>
        <v>2.6</v>
      </c>
      <c r="AF380" s="11"/>
      <c r="AG380" s="11"/>
      <c r="AH380" s="11"/>
      <c r="AI380" s="11"/>
      <c r="AJ380" s="11"/>
      <c r="AK380" s="15">
        <f>AK186*1000</f>
        <v>0</v>
      </c>
      <c r="AL380" s="11" t="e">
        <f t="shared" ref="AL380" si="222">ROUND(AVERAGE(AL157:AL186),1)</f>
        <v>#DIV/0!</v>
      </c>
      <c r="AM380" s="11"/>
      <c r="AN380" s="11"/>
      <c r="AO380" s="11">
        <f>ROUND(AVERAGE(AO157:AO186),1)</f>
        <v>67.900000000000006</v>
      </c>
      <c r="AP380" s="11">
        <f>ROUND(AVERAGE(AP157:AP186),1)</f>
        <v>42.5</v>
      </c>
      <c r="AQ380" s="11">
        <f>ROUND(MIN(AP157:AP186),1)</f>
        <v>13.9</v>
      </c>
      <c r="AR380" s="12">
        <f>ROUND(AVERAGE(AQ157:AQ186),2)</f>
        <v>0.59</v>
      </c>
      <c r="AS380" s="12">
        <f>ROUND(MAX(AR156:AR185),2)</f>
        <v>2.02</v>
      </c>
      <c r="AU380" s="12"/>
      <c r="AW380" s="12"/>
      <c r="BA380" s="10">
        <f>BA187</f>
        <v>0</v>
      </c>
      <c r="BB380" s="11" t="e">
        <f t="shared" ref="BB380" si="223">ROUND(AVERAGE(BB157:BB186),1)</f>
        <v>#DIV/0!</v>
      </c>
    </row>
    <row r="381" spans="1:66" x14ac:dyDescent="0.2">
      <c r="A381" s="1" t="s">
        <v>71</v>
      </c>
      <c r="D381" s="1"/>
      <c r="E381" s="1"/>
      <c r="F381" s="1"/>
      <c r="G381" s="11">
        <f>ROUND(AVERAGE(G187:G217),1)</f>
        <v>10.1</v>
      </c>
      <c r="H381" s="1"/>
      <c r="I381" s="11"/>
      <c r="J381" s="1"/>
      <c r="K381" s="11">
        <f t="shared" ref="K381:L381" si="224">ROUND(AVERAGE(K187:K217),1)</f>
        <v>9.3000000000000007</v>
      </c>
      <c r="L381" s="11">
        <f t="shared" si="224"/>
        <v>8.1999999999999993</v>
      </c>
      <c r="M381" s="11">
        <f>ROUND(AVERAGE(M187:M217),1)</f>
        <v>6.5</v>
      </c>
      <c r="N381" s="11">
        <f>ROUND(AVERAGE(N187:N217),1)</f>
        <v>15.3</v>
      </c>
      <c r="O381" s="11">
        <f>ROUND(MAX(N187:N217),1)</f>
        <v>23.5</v>
      </c>
      <c r="P381" s="11"/>
      <c r="Q381" s="11"/>
      <c r="R381" s="11">
        <f>ROUND(AVERAGE(R187:R217),1)</f>
        <v>13.5</v>
      </c>
      <c r="S381" s="1"/>
      <c r="T381" s="11"/>
      <c r="U381" s="11">
        <f>ROUND(AVERAGE(U187:U217),1)</f>
        <v>6.2</v>
      </c>
      <c r="V381" s="11">
        <f>ROUND(MIN(U187:U217),1)</f>
        <v>1.4</v>
      </c>
      <c r="W381" s="11"/>
      <c r="X381" s="11"/>
      <c r="Y381" s="11">
        <f>ROUND(AVERAGE(Y187:Y217),1)</f>
        <v>7.2</v>
      </c>
      <c r="Z381" s="1"/>
      <c r="AA381" s="1"/>
      <c r="AB381" s="1"/>
      <c r="AC381" s="11">
        <f t="shared" ref="AC381:AE381" si="225">ROUND(AVERAGE(AC187:AC217),1)</f>
        <v>10.199999999999999</v>
      </c>
      <c r="AD381" s="11">
        <f t="shared" si="225"/>
        <v>23.6</v>
      </c>
      <c r="AE381" s="11">
        <f t="shared" si="225"/>
        <v>5.0999999999999996</v>
      </c>
      <c r="AF381" s="11"/>
      <c r="AG381" s="11"/>
      <c r="AH381" s="11"/>
      <c r="AI381" s="11"/>
      <c r="AJ381" s="11"/>
      <c r="AK381" s="15">
        <f>AK217*1000</f>
        <v>0</v>
      </c>
      <c r="AL381" s="11" t="e">
        <f t="shared" ref="AL381" si="226">ROUND(AVERAGE(AL187:AL217),1)</f>
        <v>#DIV/0!</v>
      </c>
      <c r="AM381" s="11"/>
      <c r="AN381" s="11"/>
      <c r="AO381" s="11">
        <f>ROUND(AVERAGE(AO187:AO217),1)</f>
        <v>70.2</v>
      </c>
      <c r="AP381" s="11">
        <f>ROUND(AVERAGE(AP187:AP217),1)</f>
        <v>47.5</v>
      </c>
      <c r="AQ381" s="11">
        <f>ROUND(MIN(AP187:AP217),1)</f>
        <v>20.9</v>
      </c>
      <c r="AR381" s="12">
        <f>ROUND(AVERAGE(AQ187:AQ217),2)</f>
        <v>0.8</v>
      </c>
      <c r="AS381" s="12">
        <f>ROUND(MAX(AR186:AR216),2)</f>
        <v>2.17</v>
      </c>
      <c r="AU381" s="12"/>
      <c r="AW381" s="12"/>
      <c r="BA381" s="10">
        <f>BA217</f>
        <v>0</v>
      </c>
      <c r="BB381" s="11" t="e">
        <f t="shared" ref="BB381" si="227">ROUND(AVERAGE(BB187:BB217),1)</f>
        <v>#DIV/0!</v>
      </c>
    </row>
    <row r="382" spans="1:66" x14ac:dyDescent="0.2">
      <c r="A382" s="1" t="s">
        <v>72</v>
      </c>
      <c r="D382" s="1"/>
      <c r="E382" s="1"/>
      <c r="F382" s="1"/>
      <c r="G382" s="11">
        <f>ROUND(AVERAGE(G218:G248),1)</f>
        <v>12.2</v>
      </c>
      <c r="H382" s="1"/>
      <c r="I382" s="11"/>
      <c r="J382" s="1"/>
      <c r="K382" s="11">
        <f t="shared" ref="K382:L382" si="228">ROUND(AVERAGE(K218:K248),1)</f>
        <v>10.6</v>
      </c>
      <c r="L382" s="11">
        <f t="shared" si="228"/>
        <v>9.8000000000000007</v>
      </c>
      <c r="M382" s="11">
        <f>ROUND(AVERAGE(M218:M248),1)</f>
        <v>8.1999999999999993</v>
      </c>
      <c r="N382" s="11">
        <f>ROUND(AVERAGE(N218:N248),1)</f>
        <v>17.2</v>
      </c>
      <c r="O382" s="11">
        <f>ROUND(MAX(N218:N248),1)</f>
        <v>24.6</v>
      </c>
      <c r="P382" s="11"/>
      <c r="Q382" s="11"/>
      <c r="R382" s="11">
        <f>ROUND(AVERAGE(R218:R248),1)</f>
        <v>16.3</v>
      </c>
      <c r="S382" s="1"/>
      <c r="T382" s="11"/>
      <c r="U382" s="11">
        <f>ROUND(AVERAGE(U218:U248),1)</f>
        <v>7.9</v>
      </c>
      <c r="V382" s="11">
        <f>ROUND(MIN(U218:U248),1)</f>
        <v>3.3</v>
      </c>
      <c r="W382" s="11"/>
      <c r="X382" s="11"/>
      <c r="Y382" s="11">
        <f>ROUND(AVERAGE(Y218:Y248),1)</f>
        <v>8.3000000000000007</v>
      </c>
      <c r="Z382" s="1"/>
      <c r="AA382" s="1"/>
      <c r="AB382" s="1"/>
      <c r="AC382" s="11">
        <f t="shared" ref="AC382:AE382" si="229">ROUND(AVERAGE(AC218:AC248),1)</f>
        <v>12.1</v>
      </c>
      <c r="AD382" s="11">
        <f t="shared" si="229"/>
        <v>29.5</v>
      </c>
      <c r="AE382" s="11">
        <f t="shared" si="229"/>
        <v>6.6</v>
      </c>
      <c r="AF382" s="11"/>
      <c r="AG382" s="11"/>
      <c r="AH382" s="11"/>
      <c r="AI382" s="11"/>
      <c r="AJ382" s="11"/>
      <c r="AK382" s="15">
        <f>AK248*1000</f>
        <v>0</v>
      </c>
      <c r="AL382" s="11" t="e">
        <f t="shared" ref="AL382" si="230">ROUND(AVERAGE(AL218:AL248),1)</f>
        <v>#DIV/0!</v>
      </c>
      <c r="AM382" s="11"/>
      <c r="AN382" s="11"/>
      <c r="AO382" s="11">
        <f>ROUND(AVERAGE(AO218:AO248),1)</f>
        <v>60.6</v>
      </c>
      <c r="AP382" s="11">
        <f>ROUND(AVERAGE(AP218:AP248),1)</f>
        <v>38.700000000000003</v>
      </c>
      <c r="AQ382" s="11">
        <f>ROUND(MIN(AP218:AP248),1)</f>
        <v>11.2</v>
      </c>
      <c r="AR382" s="12">
        <f>ROUND(AVERAGE(AQ218:AQ248),2)</f>
        <v>0.72</v>
      </c>
      <c r="AS382" s="12">
        <f>ROUND(MAX(AR217:AR247),2)</f>
        <v>2.65</v>
      </c>
      <c r="AU382" s="12"/>
      <c r="AW382" s="12"/>
      <c r="BA382" s="10">
        <f>BA248</f>
        <v>0</v>
      </c>
      <c r="BB382" s="11" t="e">
        <f t="shared" ref="BB382" si="231">ROUND(AVERAGE(BB218:BB248),1)</f>
        <v>#DIV/0!</v>
      </c>
    </row>
    <row r="383" spans="1:66" x14ac:dyDescent="0.2">
      <c r="A383" s="1" t="s">
        <v>73</v>
      </c>
      <c r="D383" s="1"/>
      <c r="E383" s="1"/>
      <c r="F383" s="1"/>
      <c r="G383" s="11">
        <f>ROUND(AVERAGE(G249:G278),1)</f>
        <v>5.7</v>
      </c>
      <c r="H383" s="1"/>
      <c r="I383" s="11"/>
      <c r="J383" s="1"/>
      <c r="K383" s="11">
        <f t="shared" ref="K383:L383" si="232">ROUND(AVERAGE(K249:K278),1)</f>
        <v>6.8</v>
      </c>
      <c r="L383" s="11">
        <f t="shared" si="232"/>
        <v>7.3</v>
      </c>
      <c r="M383" s="11">
        <f>ROUND(AVERAGE(M249:M278),1)</f>
        <v>7.4</v>
      </c>
      <c r="N383" s="11">
        <f>ROUND(AVERAGE(N249:N278),1)</f>
        <v>9.4</v>
      </c>
      <c r="O383" s="11">
        <f>ROUND(MAX(N249:N278),1)</f>
        <v>21.1</v>
      </c>
      <c r="P383" s="11"/>
      <c r="Q383" s="11"/>
      <c r="R383" s="11">
        <f>ROUND(AVERAGE(R249:R278),1)</f>
        <v>9.8000000000000007</v>
      </c>
      <c r="S383" s="1"/>
      <c r="T383" s="11"/>
      <c r="U383" s="11">
        <f>ROUND(AVERAGE(U249:U278),1)</f>
        <v>3.1</v>
      </c>
      <c r="V383" s="11">
        <f>ROUND(MIN(U249:U278),1)</f>
        <v>-6.6</v>
      </c>
      <c r="W383" s="11"/>
      <c r="X383" s="11"/>
      <c r="Y383" s="11">
        <f>ROUND(AVERAGE(Y249:Y278),1)</f>
        <v>5.3</v>
      </c>
      <c r="Z383" s="1"/>
      <c r="AA383" s="1"/>
      <c r="AB383" s="1"/>
      <c r="AC383" s="11">
        <f t="shared" ref="AC383:AE383" si="233">ROUND(AVERAGE(AC249:AC278),1)</f>
        <v>5.8</v>
      </c>
      <c r="AD383" s="11">
        <f t="shared" si="233"/>
        <v>13.9</v>
      </c>
      <c r="AE383" s="11">
        <f t="shared" si="233"/>
        <v>2.6</v>
      </c>
      <c r="AF383" s="11"/>
      <c r="AG383" s="11"/>
      <c r="AH383" s="11"/>
      <c r="AI383" s="11"/>
      <c r="AJ383" s="11"/>
      <c r="AK383" s="15" t="e">
        <f>AK278*1000</f>
        <v>#VALUE!</v>
      </c>
      <c r="AL383" s="11" t="e">
        <f t="shared" ref="AL383" si="234">ROUND(AVERAGE(AL249:AL278),1)</f>
        <v>#DIV/0!</v>
      </c>
      <c r="AM383" s="11"/>
      <c r="AN383" s="11"/>
      <c r="AO383" s="11">
        <f>ROUND(AVERAGE(AO249:AO278),1)</f>
        <v>84</v>
      </c>
      <c r="AP383" s="11">
        <f>ROUND(AVERAGE(AP249:AP278),1)</f>
        <v>65.7</v>
      </c>
      <c r="AQ383" s="11">
        <f>ROUND(MIN(AP249:AP278),1)</f>
        <v>28.2</v>
      </c>
      <c r="AR383" s="12">
        <f>ROUND(AVERAGE(AQ249:AQ278),2)</f>
        <v>0.75</v>
      </c>
      <c r="AS383" s="12">
        <f>ROUND(MAX(AR248:AR277),2)</f>
        <v>1.77</v>
      </c>
      <c r="AU383" s="12"/>
      <c r="AW383" s="12"/>
      <c r="BA383" s="10" t="str">
        <f>BA278</f>
        <v>NAN</v>
      </c>
      <c r="BB383" s="11" t="e">
        <f t="shared" ref="BB383" si="235">ROUND(AVERAGE(BB249:BB278),1)</f>
        <v>#DIV/0!</v>
      </c>
    </row>
    <row r="384" spans="1:66" x14ac:dyDescent="0.2">
      <c r="A384" s="1" t="s">
        <v>74</v>
      </c>
      <c r="D384" s="1"/>
      <c r="E384" s="1"/>
      <c r="F384" s="1"/>
      <c r="G384" s="11">
        <f>ROUND(AVERAGE(G279:G309),1)</f>
        <v>-2.2999999999999998</v>
      </c>
      <c r="H384" s="1"/>
      <c r="I384" s="11"/>
      <c r="J384" s="1"/>
      <c r="K384" s="11">
        <f t="shared" ref="K384:L384" si="236">ROUND(AVERAGE(K279:K309),1)</f>
        <v>0.7</v>
      </c>
      <c r="L384" s="11">
        <f t="shared" si="236"/>
        <v>1.9</v>
      </c>
      <c r="M384" s="11">
        <f>ROUND(AVERAGE(M279:M309),1)</f>
        <v>3.4</v>
      </c>
      <c r="N384" s="11">
        <f>ROUND(AVERAGE(N279:N309),1)</f>
        <v>0.7</v>
      </c>
      <c r="O384" s="11">
        <f>ROUND(MAX(N279:N309),1)</f>
        <v>7.4</v>
      </c>
      <c r="P384" s="11"/>
      <c r="Q384" s="11"/>
      <c r="R384" s="11">
        <f>ROUND(AVERAGE(R279:R309),1)</f>
        <v>0.8</v>
      </c>
      <c r="S384" s="1"/>
      <c r="T384" s="11"/>
      <c r="U384" s="11">
        <f>ROUND(AVERAGE(U279:U309),1)</f>
        <v>-5.0999999999999996</v>
      </c>
      <c r="V384" s="11">
        <f>ROUND(MIN(U279:U309),1)</f>
        <v>-15</v>
      </c>
      <c r="W384" s="11"/>
      <c r="X384" s="11"/>
      <c r="Y384" s="11">
        <f>ROUND(AVERAGE(Y279:Y309),1)</f>
        <v>0.5</v>
      </c>
      <c r="Z384" s="1"/>
      <c r="AA384" s="1"/>
      <c r="AB384" s="1"/>
      <c r="AC384" s="11">
        <f t="shared" ref="AC384:AE384" si="237">ROUND(AVERAGE(AC279:AC309),1)</f>
        <v>-3.3</v>
      </c>
      <c r="AD384" s="11">
        <f t="shared" si="237"/>
        <v>-0.9</v>
      </c>
      <c r="AE384" s="11">
        <f t="shared" si="237"/>
        <v>-5.7</v>
      </c>
      <c r="AF384" s="11"/>
      <c r="AG384" s="11"/>
      <c r="AH384" s="11"/>
      <c r="AI384" s="11"/>
      <c r="AJ384" s="11"/>
      <c r="AK384" s="15">
        <f>AK309*1000</f>
        <v>148.00000000000014</v>
      </c>
      <c r="AL384" s="11">
        <f t="shared" ref="AL384" si="238">ROUND(AVERAGE(AL279:AL309),1)</f>
        <v>-0.1</v>
      </c>
      <c r="AM384" s="11"/>
      <c r="AN384" s="11"/>
      <c r="AO384" s="11">
        <f>ROUND(AVERAGE(AO279:AO309),1)</f>
        <v>79.7</v>
      </c>
      <c r="AP384" s="11">
        <f>ROUND(AVERAGE(AP279:AP309),1)</f>
        <v>62.1</v>
      </c>
      <c r="AQ384" s="11">
        <f>ROUND(MIN(AP279:AP309),1)</f>
        <v>21.7</v>
      </c>
      <c r="AR384" s="12">
        <f>ROUND(AVERAGE(AQ279:AQ309),2)</f>
        <v>0.41</v>
      </c>
      <c r="AS384" s="23">
        <f>ROUND(MAX(AR278:AR308),2)</f>
        <v>0.51</v>
      </c>
      <c r="AU384" s="12"/>
      <c r="AW384" s="12"/>
      <c r="BA384" s="10">
        <f>BA309</f>
        <v>0.14800000000000013</v>
      </c>
      <c r="BB384" s="11">
        <f t="shared" ref="BB384" si="239">ROUND(AVERAGE(BB279:BB309),1)</f>
        <v>-0.1</v>
      </c>
    </row>
    <row r="385" spans="1:54" x14ac:dyDescent="0.2">
      <c r="A385" s="1" t="s">
        <v>75</v>
      </c>
      <c r="D385" s="1"/>
      <c r="E385" s="1"/>
      <c r="F385" s="1"/>
      <c r="G385" s="13">
        <f>ROUND(AVERAGE(G310:G339),1)</f>
        <v>-3</v>
      </c>
      <c r="H385" s="1"/>
      <c r="I385" s="13"/>
      <c r="J385" s="1"/>
      <c r="K385" s="13">
        <f t="shared" ref="K385:L385" si="240">ROUND(AVERAGE(K310:K339),1)</f>
        <v>0</v>
      </c>
      <c r="L385" s="13">
        <f t="shared" si="240"/>
        <v>0.8</v>
      </c>
      <c r="M385" s="13">
        <f>ROUND(AVERAGE(M310:M339),1)</f>
        <v>1.8</v>
      </c>
      <c r="N385" s="13">
        <f>ROUND(AVERAGE(N310:N339),1)</f>
        <v>-0.3</v>
      </c>
      <c r="O385" s="11">
        <f>ROUND(MAX(N310:N339),1)</f>
        <v>7.3</v>
      </c>
      <c r="P385" s="13"/>
      <c r="Q385" s="11"/>
      <c r="R385" s="13">
        <f>ROUND(AVERAGE(R310:R339),1)</f>
        <v>0.1</v>
      </c>
      <c r="S385" s="1"/>
      <c r="T385" s="13"/>
      <c r="U385" s="13">
        <f>ROUND(AVERAGE(U310:U339),1)</f>
        <v>-5.3</v>
      </c>
      <c r="V385" s="11">
        <f>ROUND(MIN(U310:U339),1)</f>
        <v>-15.7</v>
      </c>
      <c r="W385" s="13"/>
      <c r="X385" s="11"/>
      <c r="Y385" s="13">
        <f>ROUND(AVERAGE(Y310:Y339),1)</f>
        <v>-0.1</v>
      </c>
      <c r="Z385" s="1"/>
      <c r="AA385" s="1"/>
      <c r="AB385" s="1"/>
      <c r="AC385" s="13">
        <f t="shared" ref="AC385:AE385" si="241">ROUND(AVERAGE(AC310:AC339),1)</f>
        <v>-4.0999999999999996</v>
      </c>
      <c r="AD385" s="13">
        <f t="shared" si="241"/>
        <v>-2.1</v>
      </c>
      <c r="AE385" s="13">
        <f t="shared" si="241"/>
        <v>-5.9</v>
      </c>
      <c r="AF385" s="11"/>
      <c r="AG385" s="11"/>
      <c r="AH385" s="11"/>
      <c r="AI385" s="11"/>
      <c r="AJ385" s="11"/>
      <c r="AK385" s="15">
        <f>AK339*1000</f>
        <v>209.00000000000009</v>
      </c>
      <c r="AL385" s="13">
        <f t="shared" ref="AL385" si="242">ROUND(AVERAGE(AL310:AL339),1)</f>
        <v>0</v>
      </c>
      <c r="AM385" s="13"/>
      <c r="AN385" s="13"/>
      <c r="AO385" s="13">
        <f>ROUND(AVERAGE(AO310:AO339),1)</f>
        <v>79.8</v>
      </c>
      <c r="AP385" s="13">
        <f>ROUND(AVERAGE(AP310:AP339),1)</f>
        <v>62.3</v>
      </c>
      <c r="AQ385" s="11">
        <f>ROUND(MIN(AP310:AP339),1)</f>
        <v>24.7</v>
      </c>
      <c r="AR385" s="14">
        <f>ROUND(AVERAGE(AQ310:AQ339),2)</f>
        <v>0.38</v>
      </c>
      <c r="AS385" s="12">
        <f>ROUND(MAX(AR309:AR338),2)</f>
        <v>0.63</v>
      </c>
      <c r="AU385" s="14"/>
      <c r="AW385" s="14"/>
      <c r="BA385" s="10">
        <f>BA339</f>
        <v>0.20900000000000007</v>
      </c>
      <c r="BB385" s="13">
        <f t="shared" ref="BB385" si="243">ROUND(AVERAGE(BB310:BB339),1)</f>
        <v>0</v>
      </c>
    </row>
    <row r="386" spans="1:54" x14ac:dyDescent="0.2">
      <c r="A386" s="1" t="s">
        <v>76</v>
      </c>
      <c r="D386" s="1"/>
      <c r="E386" s="1"/>
      <c r="F386" s="1"/>
      <c r="G386" s="11">
        <f>ROUND(AVERAGE(G340:G370),1)</f>
        <v>-5.8</v>
      </c>
      <c r="H386" s="1"/>
      <c r="I386" s="11"/>
      <c r="J386" s="1"/>
      <c r="K386" s="11">
        <f t="shared" ref="K386:L386" si="244">ROUND(AVERAGE(K340:K370),1)</f>
        <v>-0.1</v>
      </c>
      <c r="L386" s="11">
        <f t="shared" si="244"/>
        <v>0.3</v>
      </c>
      <c r="M386" s="11">
        <f>ROUND(AVERAGE(M340:M370),1)</f>
        <v>1.2</v>
      </c>
      <c r="N386" s="11">
        <f>ROUND(AVERAGE(N340:N370),1)</f>
        <v>-3.4</v>
      </c>
      <c r="O386" s="11">
        <f>ROUND(MAX(N340:N370),1)</f>
        <v>0.9</v>
      </c>
      <c r="P386" s="11"/>
      <c r="Q386" s="11"/>
      <c r="R386" s="11">
        <f>ROUND(AVERAGE(R340:R370),1)</f>
        <v>0</v>
      </c>
      <c r="S386" s="1"/>
      <c r="T386" s="11"/>
      <c r="U386" s="11">
        <f>ROUND(AVERAGE(U340:U370),1)</f>
        <v>-8.3000000000000007</v>
      </c>
      <c r="V386" s="11">
        <f>ROUND(MIN(U340:U370),1)</f>
        <v>-12.7</v>
      </c>
      <c r="W386" s="11"/>
      <c r="X386" s="11"/>
      <c r="Y386" s="11">
        <f>ROUND(AVERAGE(Y340:Y370),1)</f>
        <v>-0.2</v>
      </c>
      <c r="Z386" s="1"/>
      <c r="AA386" s="1"/>
      <c r="AB386" s="1"/>
      <c r="AC386" s="11">
        <f t="shared" ref="AC386:AE386" si="245">ROUND(AVERAGE(AC340:AC370),1)</f>
        <v>-6.4</v>
      </c>
      <c r="AD386" s="11">
        <f t="shared" si="245"/>
        <v>-4.2</v>
      </c>
      <c r="AE386" s="11">
        <f t="shared" si="245"/>
        <v>-9</v>
      </c>
      <c r="AF386" s="11"/>
      <c r="AG386" s="11"/>
      <c r="AH386" s="11"/>
      <c r="AI386" s="11"/>
      <c r="AJ386" s="11"/>
      <c r="AK386" s="15">
        <f>AK370*1000</f>
        <v>666.99999999999977</v>
      </c>
      <c r="AL386" s="11">
        <f t="shared" ref="AL386" si="246">ROUND(AVERAGE(AL340:AL370),1)</f>
        <v>-0.9</v>
      </c>
      <c r="AM386" s="11"/>
      <c r="AN386" s="11"/>
      <c r="AO386" s="11">
        <f>ROUND(AVERAGE(AO340:AO370),1)</f>
        <v>90.6</v>
      </c>
      <c r="AP386" s="11">
        <f>ROUND(AVERAGE(AP340:AP370),1)</f>
        <v>86.6</v>
      </c>
      <c r="AQ386" s="11">
        <f>ROUND(MIN(AP340:AP370),1)</f>
        <v>63.7</v>
      </c>
      <c r="AR386" s="12">
        <f>ROUND(AVERAGE(AQ340:AQ370),2)</f>
        <v>0.42</v>
      </c>
      <c r="AS386" s="12">
        <f>ROUND(MAX(AR339:AR369),2)</f>
        <v>0.22</v>
      </c>
      <c r="AU386" s="12"/>
      <c r="AW386" s="12"/>
      <c r="BA386" s="10">
        <f>BA370</f>
        <v>0.66699999999999982</v>
      </c>
      <c r="BB386" s="11">
        <f t="shared" ref="BB386" si="247">ROUND(AVERAGE(BB340:BB370),1)</f>
        <v>-0.9</v>
      </c>
    </row>
    <row r="387" spans="1:54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54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54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54" ht="15" x14ac:dyDescent="0.25">
      <c r="A390" s="1" t="s">
        <v>65</v>
      </c>
      <c r="C390" s="15"/>
      <c r="D390" s="15"/>
      <c r="E390" s="1"/>
      <c r="F390" s="15"/>
      <c r="G390" s="15">
        <f>COUNT(G6:G36)</f>
        <v>31</v>
      </c>
      <c r="H390" s="15"/>
      <c r="I390" s="15"/>
      <c r="J390" s="1"/>
      <c r="K390" s="15">
        <f>COUNT(K6:K36)</f>
        <v>31</v>
      </c>
      <c r="L390" s="15">
        <f>COUNT(L6:L36)</f>
        <v>31</v>
      </c>
      <c r="M390" s="15">
        <f>COUNT(M6:M36)</f>
        <v>31</v>
      </c>
      <c r="N390" s="15">
        <f>COUNT(N6:N36)</f>
        <v>31</v>
      </c>
      <c r="O390" s="15">
        <f>COUNT(O6:O36)</f>
        <v>31</v>
      </c>
      <c r="P390" s="15"/>
      <c r="Q390" s="15"/>
      <c r="R390" s="15">
        <f>COUNT(R6:R36)</f>
        <v>31</v>
      </c>
      <c r="S390" s="15"/>
      <c r="T390" s="15"/>
      <c r="U390" s="15">
        <f>COUNT(U6:U36)</f>
        <v>31</v>
      </c>
      <c r="V390" s="15">
        <f>COUNT(V6:V36)</f>
        <v>31</v>
      </c>
      <c r="W390" s="15"/>
      <c r="X390" s="15"/>
      <c r="Y390" s="15">
        <f>COUNT(Y6:Y36)</f>
        <v>31</v>
      </c>
      <c r="Z390" s="15"/>
      <c r="AA390" s="16"/>
      <c r="AB390" s="15"/>
      <c r="AC390" s="15">
        <f>COUNT(AC6:AC36)</f>
        <v>31</v>
      </c>
      <c r="AD390" s="15">
        <f>COUNT(AD6:AD36)</f>
        <v>31</v>
      </c>
      <c r="AE390" s="15">
        <f>COUNT(AE6:AE36)</f>
        <v>31</v>
      </c>
      <c r="AF390" s="15"/>
      <c r="AG390" s="15"/>
      <c r="AH390" s="15"/>
      <c r="AI390" s="15"/>
      <c r="AJ390" s="15"/>
      <c r="AK390" s="15">
        <f>COUNT(AK6:AK36)</f>
        <v>31</v>
      </c>
      <c r="AL390" s="15">
        <f>COUNT(AL6:AL36)</f>
        <v>31</v>
      </c>
      <c r="AM390" s="15"/>
      <c r="AN390" s="15"/>
      <c r="AO390" s="15">
        <f>COUNT(AO6:AO36)</f>
        <v>31</v>
      </c>
      <c r="AP390" s="15">
        <f>COUNT(AP6:AP36)</f>
        <v>31</v>
      </c>
      <c r="AQ390" s="16"/>
      <c r="AR390" s="16"/>
      <c r="AS390" s="16"/>
      <c r="AT390" s="16"/>
      <c r="AU390" s="16"/>
      <c r="AW390" s="16"/>
      <c r="BA390" s="15">
        <f>COUNT(BA6:BA36)</f>
        <v>31</v>
      </c>
      <c r="BB390" s="15">
        <f>COUNT(BB6:BB36)</f>
        <v>31</v>
      </c>
    </row>
    <row r="391" spans="1:54" ht="15" x14ac:dyDescent="0.25">
      <c r="A391" s="1" t="s">
        <v>66</v>
      </c>
      <c r="C391" s="15"/>
      <c r="D391" s="15"/>
      <c r="E391" s="1"/>
      <c r="F391" s="15"/>
      <c r="G391" s="15">
        <f>COUNT(G37:G64)</f>
        <v>28</v>
      </c>
      <c r="H391" s="15"/>
      <c r="I391" s="15"/>
      <c r="J391" s="1"/>
      <c r="K391" s="15">
        <f>COUNT(K37:K64)</f>
        <v>28</v>
      </c>
      <c r="L391" s="15">
        <f>COUNT(L37:L64)</f>
        <v>28</v>
      </c>
      <c r="M391" s="15">
        <f>COUNT(M37:M64)</f>
        <v>28</v>
      </c>
      <c r="N391" s="15">
        <f>COUNT(N37:N64)</f>
        <v>28</v>
      </c>
      <c r="O391" s="15">
        <f>COUNT(O37:O64)</f>
        <v>28</v>
      </c>
      <c r="P391" s="15"/>
      <c r="Q391" s="15"/>
      <c r="R391" s="15">
        <f>COUNT(R37:R64)</f>
        <v>28</v>
      </c>
      <c r="S391" s="15"/>
      <c r="T391" s="15"/>
      <c r="U391" s="15">
        <f>COUNT(U37:U64)</f>
        <v>28</v>
      </c>
      <c r="V391" s="15">
        <f>COUNT(V37:V64)</f>
        <v>28</v>
      </c>
      <c r="W391" s="15"/>
      <c r="X391" s="15"/>
      <c r="Y391" s="15">
        <f>COUNT(Y37:Y64)</f>
        <v>28</v>
      </c>
      <c r="Z391" s="15"/>
      <c r="AA391" s="16"/>
      <c r="AB391" s="15"/>
      <c r="AC391" s="15">
        <f>COUNT(AC37:AC64)</f>
        <v>28</v>
      </c>
      <c r="AD391" s="15">
        <f>COUNT(AD37:AD64)</f>
        <v>28</v>
      </c>
      <c r="AE391" s="15">
        <f>COUNT(AE37:AE64)</f>
        <v>28</v>
      </c>
      <c r="AF391" s="15"/>
      <c r="AG391" s="15"/>
      <c r="AH391" s="15"/>
      <c r="AI391" s="15"/>
      <c r="AJ391" s="15"/>
      <c r="AK391" s="15">
        <f>COUNT(AK37:AK64)</f>
        <v>28</v>
      </c>
      <c r="AL391" s="15">
        <f>COUNT(AL37:AL64)</f>
        <v>28</v>
      </c>
      <c r="AM391" s="15"/>
      <c r="AN391" s="15"/>
      <c r="AO391" s="15">
        <f>COUNT(AO37:AO64)</f>
        <v>28</v>
      </c>
      <c r="AP391" s="15">
        <f>COUNT(AP37:AP64)</f>
        <v>28</v>
      </c>
      <c r="AQ391" s="16"/>
      <c r="AR391" s="16"/>
      <c r="AS391" s="16"/>
      <c r="AT391" s="16"/>
      <c r="AU391" s="16"/>
      <c r="AW391" s="16"/>
      <c r="BA391" s="15">
        <f>COUNT(BA37:BA64)</f>
        <v>28</v>
      </c>
      <c r="BB391" s="15">
        <f>COUNT(BB37:BB64)</f>
        <v>28</v>
      </c>
    </row>
    <row r="392" spans="1:54" ht="15" x14ac:dyDescent="0.25">
      <c r="A392" s="1" t="s">
        <v>67</v>
      </c>
      <c r="C392" s="15"/>
      <c r="D392" s="15"/>
      <c r="E392" s="1"/>
      <c r="F392" s="15"/>
      <c r="G392" s="15">
        <f t="shared" ref="G392" si="248">COUNT(G65:G95)</f>
        <v>31</v>
      </c>
      <c r="H392" s="15"/>
      <c r="I392" s="15"/>
      <c r="J392" s="1"/>
      <c r="K392" s="15">
        <f t="shared" ref="K392:O392" si="249">COUNT(K65:K95)</f>
        <v>31</v>
      </c>
      <c r="L392" s="15">
        <f t="shared" si="249"/>
        <v>31</v>
      </c>
      <c r="M392" s="15">
        <f t="shared" si="249"/>
        <v>31</v>
      </c>
      <c r="N392" s="15">
        <f t="shared" si="249"/>
        <v>31</v>
      </c>
      <c r="O392" s="15">
        <f t="shared" si="249"/>
        <v>31</v>
      </c>
      <c r="P392" s="15"/>
      <c r="Q392" s="15"/>
      <c r="R392" s="15">
        <f t="shared" ref="R392" si="250">COUNT(R65:R95)</f>
        <v>31</v>
      </c>
      <c r="S392" s="15"/>
      <c r="T392" s="15"/>
      <c r="U392" s="15">
        <f t="shared" ref="U392:V392" si="251">COUNT(U65:U95)</f>
        <v>31</v>
      </c>
      <c r="V392" s="15">
        <f t="shared" si="251"/>
        <v>31</v>
      </c>
      <c r="W392" s="15"/>
      <c r="X392" s="15"/>
      <c r="Y392" s="15">
        <f t="shared" ref="Y392" si="252">COUNT(Y65:Y95)</f>
        <v>31</v>
      </c>
      <c r="Z392" s="15"/>
      <c r="AA392" s="16"/>
      <c r="AB392" s="15"/>
      <c r="AC392" s="15">
        <f t="shared" ref="AC392:AE392" si="253">COUNT(AC65:AC95)</f>
        <v>31</v>
      </c>
      <c r="AD392" s="15">
        <f t="shared" si="253"/>
        <v>31</v>
      </c>
      <c r="AE392" s="15">
        <f t="shared" si="253"/>
        <v>31</v>
      </c>
      <c r="AF392" s="15"/>
      <c r="AG392" s="15"/>
      <c r="AH392" s="15"/>
      <c r="AI392" s="15"/>
      <c r="AJ392" s="15"/>
      <c r="AK392" s="15">
        <f t="shared" ref="AK392:AL392" si="254">COUNT(AK65:AK95)</f>
        <v>31</v>
      </c>
      <c r="AL392" s="15">
        <f t="shared" si="254"/>
        <v>31</v>
      </c>
      <c r="AM392" s="15"/>
      <c r="AN392" s="15"/>
      <c r="AO392" s="15">
        <f t="shared" ref="AO392:AP392" si="255">COUNT(AO65:AO95)</f>
        <v>31</v>
      </c>
      <c r="AP392" s="15">
        <f t="shared" si="255"/>
        <v>31</v>
      </c>
      <c r="AQ392" s="16"/>
      <c r="AR392" s="16"/>
      <c r="AS392" s="16"/>
      <c r="AT392" s="16"/>
      <c r="AU392" s="16"/>
      <c r="AW392" s="16"/>
      <c r="BA392" s="15">
        <f t="shared" ref="BA392:BB392" si="256">COUNT(BA65:BA95)</f>
        <v>31</v>
      </c>
      <c r="BB392" s="15">
        <f t="shared" si="256"/>
        <v>31</v>
      </c>
    </row>
    <row r="393" spans="1:54" ht="15" x14ac:dyDescent="0.25">
      <c r="A393" s="1" t="s">
        <v>68</v>
      </c>
      <c r="C393" s="15"/>
      <c r="D393" s="15"/>
      <c r="E393" s="1"/>
      <c r="F393" s="15"/>
      <c r="G393" s="15">
        <f t="shared" ref="G393" si="257">COUNT(G96:G125)</f>
        <v>30</v>
      </c>
      <c r="H393" s="15"/>
      <c r="I393" s="15"/>
      <c r="J393" s="1"/>
      <c r="K393" s="15">
        <f t="shared" ref="K393:O393" si="258">COUNT(K96:K125)</f>
        <v>30</v>
      </c>
      <c r="L393" s="15">
        <f t="shared" si="258"/>
        <v>30</v>
      </c>
      <c r="M393" s="15">
        <f t="shared" si="258"/>
        <v>30</v>
      </c>
      <c r="N393" s="15">
        <f t="shared" si="258"/>
        <v>30</v>
      </c>
      <c r="O393" s="15">
        <f t="shared" si="258"/>
        <v>30</v>
      </c>
      <c r="P393" s="15"/>
      <c r="Q393" s="15"/>
      <c r="R393" s="15">
        <f t="shared" ref="R393" si="259">COUNT(R96:R125)</f>
        <v>30</v>
      </c>
      <c r="S393" s="15"/>
      <c r="T393" s="15"/>
      <c r="U393" s="15">
        <f t="shared" ref="U393:V393" si="260">COUNT(U96:U125)</f>
        <v>30</v>
      </c>
      <c r="V393" s="15">
        <f t="shared" si="260"/>
        <v>30</v>
      </c>
      <c r="W393" s="15"/>
      <c r="X393" s="15"/>
      <c r="Y393" s="15">
        <f t="shared" ref="Y393" si="261">COUNT(Y96:Y125)</f>
        <v>30</v>
      </c>
      <c r="Z393" s="15"/>
      <c r="AA393" s="16"/>
      <c r="AB393" s="15"/>
      <c r="AC393" s="15">
        <f t="shared" ref="AC393:AE393" si="262">COUNT(AC96:AC125)</f>
        <v>30</v>
      </c>
      <c r="AD393" s="15">
        <f t="shared" si="262"/>
        <v>30</v>
      </c>
      <c r="AE393" s="15">
        <f t="shared" si="262"/>
        <v>30</v>
      </c>
      <c r="AF393" s="15"/>
      <c r="AG393" s="15"/>
      <c r="AH393" s="15"/>
      <c r="AI393" s="15"/>
      <c r="AJ393" s="15"/>
      <c r="AK393" s="15">
        <f t="shared" ref="AK393:AL393" si="263">COUNT(AK96:AK125)</f>
        <v>6</v>
      </c>
      <c r="AL393" s="15">
        <f t="shared" si="263"/>
        <v>30</v>
      </c>
      <c r="AM393" s="15"/>
      <c r="AN393" s="15"/>
      <c r="AO393" s="15">
        <f t="shared" ref="AO393:AP393" si="264">COUNT(AO96:AO125)</f>
        <v>30</v>
      </c>
      <c r="AP393" s="15">
        <f t="shared" si="264"/>
        <v>30</v>
      </c>
      <c r="AQ393" s="16"/>
      <c r="AR393" s="16"/>
      <c r="AS393" s="16"/>
      <c r="AT393" s="16"/>
      <c r="AU393" s="16"/>
      <c r="AW393" s="16"/>
      <c r="BA393" s="15">
        <f t="shared" ref="BA393:BB393" si="265">COUNT(BA96:BA125)</f>
        <v>6</v>
      </c>
      <c r="BB393" s="15">
        <f t="shared" si="265"/>
        <v>30</v>
      </c>
    </row>
    <row r="394" spans="1:54" ht="15" x14ac:dyDescent="0.25">
      <c r="A394" s="1" t="s">
        <v>69</v>
      </c>
      <c r="C394" s="15"/>
      <c r="D394" s="15"/>
      <c r="E394" s="1"/>
      <c r="F394" s="15"/>
      <c r="G394" s="15">
        <f t="shared" ref="G394" si="266">COUNT(G126:G156)</f>
        <v>31</v>
      </c>
      <c r="H394" s="15"/>
      <c r="I394" s="15"/>
      <c r="J394" s="1"/>
      <c r="K394" s="15">
        <f t="shared" ref="K394:O394" si="267">COUNT(K126:K156)</f>
        <v>31</v>
      </c>
      <c r="L394" s="15">
        <f t="shared" si="267"/>
        <v>31</v>
      </c>
      <c r="M394" s="15">
        <f t="shared" si="267"/>
        <v>31</v>
      </c>
      <c r="N394" s="15">
        <f t="shared" si="267"/>
        <v>31</v>
      </c>
      <c r="O394" s="15">
        <f t="shared" si="267"/>
        <v>31</v>
      </c>
      <c r="P394" s="15"/>
      <c r="Q394" s="15"/>
      <c r="R394" s="15">
        <f t="shared" ref="R394" si="268">COUNT(R126:R156)</f>
        <v>31</v>
      </c>
      <c r="S394" s="15"/>
      <c r="T394" s="15"/>
      <c r="U394" s="15">
        <f t="shared" ref="U394:V394" si="269">COUNT(U126:U156)</f>
        <v>31</v>
      </c>
      <c r="V394" s="15">
        <f t="shared" si="269"/>
        <v>31</v>
      </c>
      <c r="W394" s="15"/>
      <c r="X394" s="15"/>
      <c r="Y394" s="15">
        <f t="shared" ref="Y394" si="270">COUNT(Y126:Y156)</f>
        <v>31</v>
      </c>
      <c r="Z394" s="15"/>
      <c r="AA394" s="16"/>
      <c r="AB394" s="15"/>
      <c r="AC394" s="15">
        <f t="shared" ref="AC394:AE394" si="271">COUNT(AC126:AC156)</f>
        <v>31</v>
      </c>
      <c r="AD394" s="15">
        <f t="shared" si="271"/>
        <v>31</v>
      </c>
      <c r="AE394" s="15">
        <f t="shared" si="271"/>
        <v>31</v>
      </c>
      <c r="AF394" s="15"/>
      <c r="AG394" s="15"/>
      <c r="AH394" s="15"/>
      <c r="AI394" s="15"/>
      <c r="AJ394" s="15"/>
      <c r="AK394" s="15">
        <f t="shared" ref="AK394:AL394" si="272">COUNT(AK126:AK156)</f>
        <v>13</v>
      </c>
      <c r="AL394" s="15">
        <f t="shared" si="272"/>
        <v>17</v>
      </c>
      <c r="AM394" s="15"/>
      <c r="AN394" s="15"/>
      <c r="AO394" s="15">
        <f t="shared" ref="AO394:AP394" si="273">COUNT(AO126:AO156)</f>
        <v>31</v>
      </c>
      <c r="AP394" s="15">
        <f t="shared" si="273"/>
        <v>31</v>
      </c>
      <c r="AQ394" s="16"/>
      <c r="AR394" s="16"/>
      <c r="AS394" s="16"/>
      <c r="AT394" s="16"/>
      <c r="AU394" s="16"/>
      <c r="AW394" s="16"/>
      <c r="BA394" s="15">
        <f t="shared" ref="BA394:BB394" si="274">COUNT(BA126:BA156)</f>
        <v>13</v>
      </c>
      <c r="BB394" s="15">
        <f t="shared" si="274"/>
        <v>17</v>
      </c>
    </row>
    <row r="395" spans="1:54" ht="15" x14ac:dyDescent="0.25">
      <c r="A395" s="1" t="s">
        <v>70</v>
      </c>
      <c r="C395" s="15"/>
      <c r="D395" s="15"/>
      <c r="E395" s="1"/>
      <c r="F395" s="15"/>
      <c r="G395" s="15">
        <f t="shared" ref="G395" si="275">COUNT(G157:G186)</f>
        <v>30</v>
      </c>
      <c r="H395" s="15"/>
      <c r="I395" s="15"/>
      <c r="J395" s="1"/>
      <c r="K395" s="15">
        <f t="shared" ref="K395:O395" si="276">COUNT(K157:K186)</f>
        <v>30</v>
      </c>
      <c r="L395" s="15">
        <f t="shared" si="276"/>
        <v>30</v>
      </c>
      <c r="M395" s="15">
        <f t="shared" si="276"/>
        <v>30</v>
      </c>
      <c r="N395" s="15">
        <f t="shared" si="276"/>
        <v>30</v>
      </c>
      <c r="O395" s="15">
        <f t="shared" si="276"/>
        <v>30</v>
      </c>
      <c r="P395" s="15"/>
      <c r="Q395" s="15"/>
      <c r="R395" s="15">
        <f t="shared" ref="R395" si="277">COUNT(R157:R186)</f>
        <v>30</v>
      </c>
      <c r="S395" s="15"/>
      <c r="T395" s="15"/>
      <c r="U395" s="15">
        <f t="shared" ref="U395:V395" si="278">COUNT(U157:U186)</f>
        <v>30</v>
      </c>
      <c r="V395" s="15">
        <f t="shared" si="278"/>
        <v>30</v>
      </c>
      <c r="W395" s="15"/>
      <c r="X395" s="15"/>
      <c r="Y395" s="15">
        <f t="shared" ref="Y395" si="279">COUNT(Y157:Y186)</f>
        <v>30</v>
      </c>
      <c r="Z395" s="15"/>
      <c r="AA395" s="16"/>
      <c r="AB395" s="15"/>
      <c r="AC395" s="15">
        <f t="shared" ref="AC395:AE395" si="280">COUNT(AC157:AC186)</f>
        <v>30</v>
      </c>
      <c r="AD395" s="15">
        <f t="shared" si="280"/>
        <v>30</v>
      </c>
      <c r="AE395" s="15">
        <f t="shared" si="280"/>
        <v>30</v>
      </c>
      <c r="AF395" s="15"/>
      <c r="AG395" s="15"/>
      <c r="AH395" s="15"/>
      <c r="AI395" s="15"/>
      <c r="AJ395" s="15"/>
      <c r="AK395" s="15">
        <f t="shared" ref="AK395:AL395" si="281">COUNT(AK157:AK186)</f>
        <v>30</v>
      </c>
      <c r="AL395" s="15">
        <f t="shared" si="281"/>
        <v>0</v>
      </c>
      <c r="AM395" s="15"/>
      <c r="AN395" s="15"/>
      <c r="AO395" s="15">
        <f t="shared" ref="AO395:AP395" si="282">COUNT(AO157:AO186)</f>
        <v>30</v>
      </c>
      <c r="AP395" s="15">
        <f t="shared" si="282"/>
        <v>30</v>
      </c>
      <c r="AQ395" s="16"/>
      <c r="AR395" s="16"/>
      <c r="AS395" s="16"/>
      <c r="AT395" s="16"/>
      <c r="AU395" s="16"/>
      <c r="AW395" s="16"/>
      <c r="BA395" s="15">
        <f t="shared" ref="BA395:BB395" si="283">COUNT(BA157:BA186)</f>
        <v>30</v>
      </c>
      <c r="BB395" s="15">
        <f t="shared" si="283"/>
        <v>0</v>
      </c>
    </row>
    <row r="396" spans="1:54" ht="15" x14ac:dyDescent="0.25">
      <c r="A396" s="1" t="s">
        <v>71</v>
      </c>
      <c r="C396" s="15"/>
      <c r="D396" s="15"/>
      <c r="E396" s="1"/>
      <c r="F396" s="15"/>
      <c r="G396" s="15">
        <f t="shared" ref="G396" si="284">COUNT(G187:G217)</f>
        <v>31</v>
      </c>
      <c r="H396" s="15"/>
      <c r="I396" s="15"/>
      <c r="J396" s="1"/>
      <c r="K396" s="15">
        <f t="shared" ref="K396:O396" si="285">COUNT(K187:K217)</f>
        <v>31</v>
      </c>
      <c r="L396" s="15">
        <f t="shared" si="285"/>
        <v>31</v>
      </c>
      <c r="M396" s="15">
        <f t="shared" si="285"/>
        <v>31</v>
      </c>
      <c r="N396" s="15">
        <f t="shared" si="285"/>
        <v>31</v>
      </c>
      <c r="O396" s="15">
        <f t="shared" si="285"/>
        <v>31</v>
      </c>
      <c r="P396" s="15"/>
      <c r="Q396" s="15"/>
      <c r="R396" s="15">
        <f t="shared" ref="R396" si="286">COUNT(R187:R217)</f>
        <v>31</v>
      </c>
      <c r="S396" s="15"/>
      <c r="T396" s="15"/>
      <c r="U396" s="15">
        <f t="shared" ref="U396:V396" si="287">COUNT(U187:U217)</f>
        <v>31</v>
      </c>
      <c r="V396" s="15">
        <f t="shared" si="287"/>
        <v>31</v>
      </c>
      <c r="W396" s="15"/>
      <c r="X396" s="15"/>
      <c r="Y396" s="15">
        <f t="shared" ref="Y396" si="288">COUNT(Y187:Y217)</f>
        <v>31</v>
      </c>
      <c r="Z396" s="15"/>
      <c r="AA396" s="16"/>
      <c r="AB396" s="15"/>
      <c r="AC396" s="15">
        <f t="shared" ref="AC396:AE396" si="289">COUNT(AC187:AC217)</f>
        <v>31</v>
      </c>
      <c r="AD396" s="15">
        <f t="shared" si="289"/>
        <v>31</v>
      </c>
      <c r="AE396" s="15">
        <f t="shared" si="289"/>
        <v>31</v>
      </c>
      <c r="AF396" s="15"/>
      <c r="AG396" s="15"/>
      <c r="AH396" s="15"/>
      <c r="AI396" s="15"/>
      <c r="AJ396" s="15"/>
      <c r="AK396" s="15">
        <f t="shared" ref="AK396:AL396" si="290">COUNT(AK187:AK217)</f>
        <v>31</v>
      </c>
      <c r="AL396" s="15">
        <f t="shared" si="290"/>
        <v>0</v>
      </c>
      <c r="AM396" s="15"/>
      <c r="AN396" s="15"/>
      <c r="AO396" s="15">
        <f t="shared" ref="AO396:AP396" si="291">COUNT(AO187:AO217)</f>
        <v>31</v>
      </c>
      <c r="AP396" s="15">
        <f t="shared" si="291"/>
        <v>31</v>
      </c>
      <c r="AQ396" s="16"/>
      <c r="AR396" s="16"/>
      <c r="AS396" s="16"/>
      <c r="AT396" s="16"/>
      <c r="AU396" s="16"/>
      <c r="AW396" s="16"/>
      <c r="BA396" s="15">
        <f t="shared" ref="BA396:BB396" si="292">COUNT(BA187:BA217)</f>
        <v>31</v>
      </c>
      <c r="BB396" s="15">
        <f t="shared" si="292"/>
        <v>0</v>
      </c>
    </row>
    <row r="397" spans="1:54" ht="15" x14ac:dyDescent="0.25">
      <c r="A397" s="1" t="s">
        <v>72</v>
      </c>
      <c r="C397" s="15"/>
      <c r="D397" s="15"/>
      <c r="E397" s="1"/>
      <c r="F397" s="15"/>
      <c r="G397" s="15">
        <f t="shared" ref="G397" si="293">COUNT(G218:G248)</f>
        <v>31</v>
      </c>
      <c r="H397" s="15"/>
      <c r="I397" s="15"/>
      <c r="J397" s="1"/>
      <c r="K397" s="15">
        <f t="shared" ref="K397:O397" si="294">COUNT(K218:K248)</f>
        <v>31</v>
      </c>
      <c r="L397" s="15">
        <f t="shared" si="294"/>
        <v>31</v>
      </c>
      <c r="M397" s="15">
        <f t="shared" si="294"/>
        <v>31</v>
      </c>
      <c r="N397" s="15">
        <f t="shared" si="294"/>
        <v>31</v>
      </c>
      <c r="O397" s="15">
        <f t="shared" si="294"/>
        <v>31</v>
      </c>
      <c r="P397" s="15"/>
      <c r="Q397" s="15"/>
      <c r="R397" s="15">
        <f t="shared" ref="R397" si="295">COUNT(R218:R248)</f>
        <v>31</v>
      </c>
      <c r="S397" s="15"/>
      <c r="T397" s="15"/>
      <c r="U397" s="15">
        <f t="shared" ref="U397:V397" si="296">COUNT(U218:U248)</f>
        <v>31</v>
      </c>
      <c r="V397" s="15">
        <f t="shared" si="296"/>
        <v>31</v>
      </c>
      <c r="W397" s="15"/>
      <c r="X397" s="15"/>
      <c r="Y397" s="15">
        <f t="shared" ref="Y397" si="297">COUNT(Y218:Y248)</f>
        <v>31</v>
      </c>
      <c r="Z397" s="15"/>
      <c r="AA397" s="16"/>
      <c r="AB397" s="15"/>
      <c r="AC397" s="15">
        <f t="shared" ref="AC397:AE397" si="298">COUNT(AC218:AC248)</f>
        <v>31</v>
      </c>
      <c r="AD397" s="15">
        <f t="shared" si="298"/>
        <v>31</v>
      </c>
      <c r="AE397" s="15">
        <f t="shared" si="298"/>
        <v>31</v>
      </c>
      <c r="AF397" s="15"/>
      <c r="AG397" s="15"/>
      <c r="AH397" s="15"/>
      <c r="AI397" s="15"/>
      <c r="AJ397" s="15"/>
      <c r="AK397" s="15">
        <f t="shared" ref="AK397:AL397" si="299">COUNT(AK218:AK248)</f>
        <v>31</v>
      </c>
      <c r="AL397" s="15">
        <f t="shared" si="299"/>
        <v>0</v>
      </c>
      <c r="AM397" s="15"/>
      <c r="AN397" s="15"/>
      <c r="AO397" s="15">
        <f t="shared" ref="AO397:AP397" si="300">COUNT(AO218:AO248)</f>
        <v>31</v>
      </c>
      <c r="AP397" s="15">
        <f t="shared" si="300"/>
        <v>31</v>
      </c>
      <c r="AQ397" s="16"/>
      <c r="AR397" s="16"/>
      <c r="AS397" s="16"/>
      <c r="AT397" s="16"/>
      <c r="AU397" s="16"/>
      <c r="AW397" s="16"/>
      <c r="BA397" s="15">
        <f t="shared" ref="BA397:BB397" si="301">COUNT(BA218:BA248)</f>
        <v>31</v>
      </c>
      <c r="BB397" s="15">
        <f t="shared" si="301"/>
        <v>0</v>
      </c>
    </row>
    <row r="398" spans="1:54" ht="15" x14ac:dyDescent="0.25">
      <c r="A398" s="1" t="s">
        <v>73</v>
      </c>
      <c r="C398" s="15"/>
      <c r="D398" s="15"/>
      <c r="E398" s="1"/>
      <c r="F398" s="15"/>
      <c r="G398" s="15">
        <f t="shared" ref="G398" si="302">COUNT(G249:G278)</f>
        <v>30</v>
      </c>
      <c r="H398" s="15"/>
      <c r="I398" s="15"/>
      <c r="J398" s="1"/>
      <c r="K398" s="15">
        <f t="shared" ref="K398:O398" si="303">COUNT(K249:K278)</f>
        <v>30</v>
      </c>
      <c r="L398" s="15">
        <f t="shared" si="303"/>
        <v>30</v>
      </c>
      <c r="M398" s="15">
        <f t="shared" si="303"/>
        <v>30</v>
      </c>
      <c r="N398" s="15">
        <f t="shared" si="303"/>
        <v>30</v>
      </c>
      <c r="O398" s="15">
        <f t="shared" si="303"/>
        <v>30</v>
      </c>
      <c r="P398" s="15"/>
      <c r="Q398" s="15"/>
      <c r="R398" s="15">
        <f t="shared" ref="R398" si="304">COUNT(R249:R278)</f>
        <v>30</v>
      </c>
      <c r="S398" s="15"/>
      <c r="T398" s="15"/>
      <c r="U398" s="15">
        <f t="shared" ref="U398:V398" si="305">COUNT(U249:U278)</f>
        <v>30</v>
      </c>
      <c r="V398" s="15">
        <f t="shared" si="305"/>
        <v>30</v>
      </c>
      <c r="W398" s="15"/>
      <c r="X398" s="15"/>
      <c r="Y398" s="15">
        <f t="shared" ref="Y398" si="306">COUNT(Y249:Y278)</f>
        <v>30</v>
      </c>
      <c r="Z398" s="15"/>
      <c r="AA398" s="16"/>
      <c r="AB398" s="15"/>
      <c r="AC398" s="15">
        <f t="shared" ref="AC398:AE398" si="307">COUNT(AC249:AC278)</f>
        <v>30</v>
      </c>
      <c r="AD398" s="15">
        <f t="shared" si="307"/>
        <v>30</v>
      </c>
      <c r="AE398" s="15">
        <f t="shared" si="307"/>
        <v>30</v>
      </c>
      <c r="AF398" s="15"/>
      <c r="AG398" s="15"/>
      <c r="AH398" s="15"/>
      <c r="AI398" s="15"/>
      <c r="AJ398" s="15"/>
      <c r="AK398" s="15">
        <f t="shared" ref="AK398:AL398" si="308">COUNT(AK249:AK278)</f>
        <v>28</v>
      </c>
      <c r="AL398" s="15">
        <f t="shared" si="308"/>
        <v>0</v>
      </c>
      <c r="AM398" s="15"/>
      <c r="AN398" s="15"/>
      <c r="AO398" s="15">
        <f t="shared" ref="AO398:AP398" si="309">COUNT(AO249:AO278)</f>
        <v>30</v>
      </c>
      <c r="AP398" s="15">
        <f t="shared" si="309"/>
        <v>30</v>
      </c>
      <c r="AQ398" s="16"/>
      <c r="AR398" s="16"/>
      <c r="AS398" s="16"/>
      <c r="AT398" s="16"/>
      <c r="AU398" s="16"/>
      <c r="AW398" s="16"/>
      <c r="BA398" s="15">
        <f t="shared" ref="BA398:BB398" si="310">COUNT(BA249:BA278)</f>
        <v>28</v>
      </c>
      <c r="BB398" s="15">
        <f t="shared" si="310"/>
        <v>0</v>
      </c>
    </row>
    <row r="399" spans="1:54" ht="15" x14ac:dyDescent="0.25">
      <c r="A399" s="1" t="s">
        <v>74</v>
      </c>
      <c r="C399" s="15"/>
      <c r="D399" s="15"/>
      <c r="E399" s="1"/>
      <c r="F399" s="15"/>
      <c r="G399" s="15">
        <f t="shared" ref="G399" si="311">COUNT(G279:G309)</f>
        <v>31</v>
      </c>
      <c r="H399" s="15"/>
      <c r="I399" s="15"/>
      <c r="J399" s="1"/>
      <c r="K399" s="15">
        <f t="shared" ref="K399:O399" si="312">COUNT(K279:K309)</f>
        <v>31</v>
      </c>
      <c r="L399" s="15">
        <f t="shared" si="312"/>
        <v>31</v>
      </c>
      <c r="M399" s="15">
        <f t="shared" si="312"/>
        <v>31</v>
      </c>
      <c r="N399" s="15">
        <f t="shared" si="312"/>
        <v>31</v>
      </c>
      <c r="O399" s="15">
        <f t="shared" si="312"/>
        <v>31</v>
      </c>
      <c r="P399" s="15"/>
      <c r="Q399" s="15"/>
      <c r="R399" s="15">
        <f t="shared" ref="R399" si="313">COUNT(R279:R309)</f>
        <v>31</v>
      </c>
      <c r="S399" s="15"/>
      <c r="T399" s="15"/>
      <c r="U399" s="15">
        <f t="shared" ref="U399:V399" si="314">COUNT(U279:U309)</f>
        <v>31</v>
      </c>
      <c r="V399" s="15">
        <f t="shared" si="314"/>
        <v>31</v>
      </c>
      <c r="W399" s="15"/>
      <c r="X399" s="15"/>
      <c r="Y399" s="15">
        <f t="shared" ref="Y399" si="315">COUNT(Y279:Y309)</f>
        <v>31</v>
      </c>
      <c r="Z399" s="15"/>
      <c r="AA399" s="16"/>
      <c r="AB399" s="15"/>
      <c r="AC399" s="15">
        <f t="shared" ref="AC399:AE399" si="316">COUNT(AC279:AC309)</f>
        <v>31</v>
      </c>
      <c r="AD399" s="15">
        <f t="shared" si="316"/>
        <v>31</v>
      </c>
      <c r="AE399" s="15">
        <f t="shared" si="316"/>
        <v>31</v>
      </c>
      <c r="AF399" s="15"/>
      <c r="AG399" s="15"/>
      <c r="AH399" s="15"/>
      <c r="AI399" s="15"/>
      <c r="AJ399" s="15"/>
      <c r="AK399" s="15">
        <f t="shared" ref="AK399:AL399" si="317">COUNT(AK279:AK309)</f>
        <v>15</v>
      </c>
      <c r="AL399" s="15">
        <f t="shared" si="317"/>
        <v>4</v>
      </c>
      <c r="AM399" s="15"/>
      <c r="AN399" s="15"/>
      <c r="AO399" s="15">
        <f t="shared" ref="AO399:AP399" si="318">COUNT(AO279:AO309)</f>
        <v>31</v>
      </c>
      <c r="AP399" s="15">
        <f t="shared" si="318"/>
        <v>31</v>
      </c>
      <c r="AQ399" s="16"/>
      <c r="AR399" s="16"/>
      <c r="AS399" s="16"/>
      <c r="AT399" s="16"/>
      <c r="AU399" s="16"/>
      <c r="AW399" s="16"/>
      <c r="BA399" s="15">
        <f t="shared" ref="BA399:BB399" si="319">COUNT(BA279:BA309)</f>
        <v>15</v>
      </c>
      <c r="BB399" s="15">
        <f t="shared" si="319"/>
        <v>4</v>
      </c>
    </row>
    <row r="400" spans="1:54" ht="15" x14ac:dyDescent="0.25">
      <c r="A400" s="1" t="s">
        <v>75</v>
      </c>
      <c r="C400" s="15"/>
      <c r="D400" s="15"/>
      <c r="E400" s="1"/>
      <c r="F400" s="15"/>
      <c r="G400" s="15">
        <f t="shared" ref="G400" si="320">COUNT(G310:G339)</f>
        <v>30</v>
      </c>
      <c r="H400" s="15"/>
      <c r="I400" s="15"/>
      <c r="J400" s="1"/>
      <c r="K400" s="15">
        <f t="shared" ref="K400:O400" si="321">COUNT(K310:K339)</f>
        <v>30</v>
      </c>
      <c r="L400" s="15">
        <f t="shared" si="321"/>
        <v>30</v>
      </c>
      <c r="M400" s="15">
        <f t="shared" si="321"/>
        <v>30</v>
      </c>
      <c r="N400" s="15">
        <f t="shared" si="321"/>
        <v>30</v>
      </c>
      <c r="O400" s="15">
        <f t="shared" si="321"/>
        <v>30</v>
      </c>
      <c r="P400" s="15"/>
      <c r="Q400" s="15"/>
      <c r="R400" s="15">
        <f t="shared" ref="R400" si="322">COUNT(R310:R339)</f>
        <v>30</v>
      </c>
      <c r="S400" s="15"/>
      <c r="T400" s="15"/>
      <c r="U400" s="15">
        <f t="shared" ref="U400:V400" si="323">COUNT(U310:U339)</f>
        <v>30</v>
      </c>
      <c r="V400" s="15">
        <f t="shared" si="323"/>
        <v>30</v>
      </c>
      <c r="W400" s="15"/>
      <c r="X400" s="15"/>
      <c r="Y400" s="15">
        <f t="shared" ref="Y400" si="324">COUNT(Y310:Y339)</f>
        <v>30</v>
      </c>
      <c r="Z400" s="15"/>
      <c r="AA400" s="16"/>
      <c r="AB400" s="15"/>
      <c r="AC400" s="15">
        <f t="shared" ref="AC400:AE400" si="325">COUNT(AC310:AC339)</f>
        <v>30</v>
      </c>
      <c r="AD400" s="15">
        <f t="shared" si="325"/>
        <v>30</v>
      </c>
      <c r="AE400" s="15">
        <f t="shared" si="325"/>
        <v>30</v>
      </c>
      <c r="AF400" s="15"/>
      <c r="AG400" s="15"/>
      <c r="AH400" s="15"/>
      <c r="AI400" s="15"/>
      <c r="AJ400" s="15"/>
      <c r="AK400" s="15">
        <f t="shared" ref="AK400:AL400" si="326">COUNT(AK310:AK339)</f>
        <v>30</v>
      </c>
      <c r="AL400" s="15">
        <f t="shared" si="326"/>
        <v>30</v>
      </c>
      <c r="AM400" s="15"/>
      <c r="AN400" s="15"/>
      <c r="AO400" s="15">
        <f t="shared" ref="AO400:AP400" si="327">COUNT(AO310:AO339)</f>
        <v>30</v>
      </c>
      <c r="AP400" s="15">
        <f t="shared" si="327"/>
        <v>30</v>
      </c>
      <c r="AQ400" s="16"/>
      <c r="AR400" s="16"/>
      <c r="AS400" s="16"/>
      <c r="AT400" s="16"/>
      <c r="AU400" s="16"/>
      <c r="AW400" s="16"/>
      <c r="BA400" s="15">
        <f t="shared" ref="BA400:BB400" si="328">COUNT(BA310:BA339)</f>
        <v>30</v>
      </c>
      <c r="BB400" s="15">
        <f t="shared" si="328"/>
        <v>30</v>
      </c>
    </row>
    <row r="401" spans="1:54" ht="15" x14ac:dyDescent="0.25">
      <c r="A401" s="1" t="s">
        <v>76</v>
      </c>
      <c r="C401" s="15"/>
      <c r="D401" s="15"/>
      <c r="E401" s="1"/>
      <c r="F401" s="15"/>
      <c r="G401" s="15">
        <f t="shared" ref="G401" si="329">COUNT(G340:G370)</f>
        <v>31</v>
      </c>
      <c r="H401" s="15"/>
      <c r="I401" s="15"/>
      <c r="J401" s="1"/>
      <c r="K401" s="15">
        <f t="shared" ref="K401:O401" si="330">COUNT(K340:K370)</f>
        <v>31</v>
      </c>
      <c r="L401" s="15">
        <f t="shared" si="330"/>
        <v>31</v>
      </c>
      <c r="M401" s="15">
        <f t="shared" si="330"/>
        <v>31</v>
      </c>
      <c r="N401" s="15">
        <f t="shared" si="330"/>
        <v>31</v>
      </c>
      <c r="O401" s="15">
        <f t="shared" si="330"/>
        <v>31</v>
      </c>
      <c r="P401" s="15"/>
      <c r="Q401" s="15"/>
      <c r="R401" s="15">
        <f t="shared" ref="R401" si="331">COUNT(R340:R370)</f>
        <v>31</v>
      </c>
      <c r="S401" s="15"/>
      <c r="T401" s="15"/>
      <c r="U401" s="15">
        <f t="shared" ref="U401:V401" si="332">COUNT(U340:U370)</f>
        <v>31</v>
      </c>
      <c r="V401" s="15">
        <f t="shared" si="332"/>
        <v>31</v>
      </c>
      <c r="W401" s="15"/>
      <c r="X401" s="15"/>
      <c r="Y401" s="15">
        <f t="shared" ref="Y401" si="333">COUNT(Y340:Y370)</f>
        <v>31</v>
      </c>
      <c r="Z401" s="15"/>
      <c r="AA401" s="16"/>
      <c r="AB401" s="15"/>
      <c r="AC401" s="15">
        <f t="shared" ref="AC401:AE401" si="334">COUNT(AC340:AC370)</f>
        <v>31</v>
      </c>
      <c r="AD401" s="15">
        <f t="shared" si="334"/>
        <v>31</v>
      </c>
      <c r="AE401" s="15">
        <f t="shared" si="334"/>
        <v>31</v>
      </c>
      <c r="AF401" s="15"/>
      <c r="AG401" s="15"/>
      <c r="AH401" s="15"/>
      <c r="AI401" s="15"/>
      <c r="AJ401" s="15"/>
      <c r="AK401" s="15">
        <f t="shared" ref="AK401:AL401" si="335">COUNT(AK340:AK370)</f>
        <v>31</v>
      </c>
      <c r="AL401" s="15">
        <f t="shared" si="335"/>
        <v>31</v>
      </c>
      <c r="AM401" s="15"/>
      <c r="AN401" s="15"/>
      <c r="AO401" s="15">
        <f t="shared" ref="AO401:AP401" si="336">COUNT(AO340:AO370)</f>
        <v>31</v>
      </c>
      <c r="AP401" s="15">
        <f t="shared" si="336"/>
        <v>31</v>
      </c>
      <c r="AQ401" s="16"/>
      <c r="AR401" s="16"/>
      <c r="AS401" s="16"/>
      <c r="AT401" s="16"/>
      <c r="AU401" s="16"/>
      <c r="AW401" s="16"/>
      <c r="BA401" s="15">
        <f t="shared" ref="BA401:BB401" si="337">COUNT(BA340:BA370)</f>
        <v>31</v>
      </c>
      <c r="BB401" s="15">
        <f t="shared" si="337"/>
        <v>31</v>
      </c>
    </row>
    <row r="402" spans="1:54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54" x14ac:dyDescent="0.2">
      <c r="AK403" s="1"/>
      <c r="AW403" s="3"/>
    </row>
    <row r="404" spans="1:54" x14ac:dyDescent="0.2">
      <c r="AW404" s="3"/>
    </row>
    <row r="405" spans="1:54" x14ac:dyDescent="0.2">
      <c r="AW405" s="3"/>
    </row>
    <row r="406" spans="1:54" x14ac:dyDescent="0.2">
      <c r="AW406" s="3"/>
    </row>
    <row r="407" spans="1:54" x14ac:dyDescent="0.2">
      <c r="AW407" s="3"/>
    </row>
    <row r="408" spans="1:54" x14ac:dyDescent="0.2">
      <c r="AW408" s="3"/>
    </row>
    <row r="409" spans="1:54" x14ac:dyDescent="0.2">
      <c r="AW409" s="3"/>
    </row>
    <row r="410" spans="1:54" x14ac:dyDescent="0.2">
      <c r="AW410" s="3"/>
    </row>
    <row r="411" spans="1:54" x14ac:dyDescent="0.2">
      <c r="AW411" s="3"/>
    </row>
  </sheetData>
  <sortState ref="AW149:AY413">
    <sortCondition ref="AX149:AX413"/>
  </sortState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A2" sqref="A2"/>
    </sheetView>
  </sheetViews>
  <sheetFormatPr defaultRowHeight="12.75" x14ac:dyDescent="0.2"/>
  <sheetData>
    <row r="1" spans="1:5" x14ac:dyDescent="0.2">
      <c r="A1" s="1" t="s">
        <v>43</v>
      </c>
      <c r="B1" s="1"/>
    </row>
    <row r="2" spans="1:5" x14ac:dyDescent="0.2">
      <c r="A2" s="1" t="s">
        <v>103</v>
      </c>
      <c r="B2" s="1"/>
      <c r="E2" s="1"/>
    </row>
    <row r="3" spans="1:5" x14ac:dyDescent="0.2">
      <c r="A3" s="1"/>
      <c r="B3" s="1" t="s">
        <v>32</v>
      </c>
    </row>
    <row r="4" spans="1:5" x14ac:dyDescent="0.2">
      <c r="A4" s="1"/>
      <c r="C4" s="1"/>
    </row>
    <row r="5" spans="1:5" x14ac:dyDescent="0.2">
      <c r="A5" s="1" t="s">
        <v>33</v>
      </c>
      <c r="B5" s="1"/>
      <c r="D5" s="1"/>
      <c r="E5" s="1"/>
    </row>
    <row r="6" spans="1:5" x14ac:dyDescent="0.2">
      <c r="A6" s="1"/>
      <c r="B6" s="1" t="s">
        <v>92</v>
      </c>
    </row>
    <row r="7" spans="1:5" x14ac:dyDescent="0.2">
      <c r="A7" s="1"/>
      <c r="B7" s="1"/>
    </row>
    <row r="8" spans="1:5" x14ac:dyDescent="0.2">
      <c r="A8" s="1" t="s">
        <v>34</v>
      </c>
      <c r="B8" s="1"/>
    </row>
    <row r="9" spans="1:5" x14ac:dyDescent="0.2">
      <c r="A9" s="1"/>
      <c r="B9" s="1" t="s">
        <v>92</v>
      </c>
    </row>
    <row r="10" spans="1:5" x14ac:dyDescent="0.2">
      <c r="A10" s="1"/>
      <c r="B10" s="1"/>
    </row>
    <row r="11" spans="1:5" x14ac:dyDescent="0.2">
      <c r="A11" s="1" t="s">
        <v>35</v>
      </c>
      <c r="B11" s="1"/>
    </row>
    <row r="12" spans="1:5" x14ac:dyDescent="0.2">
      <c r="A12" s="1"/>
      <c r="B12" s="1" t="s">
        <v>36</v>
      </c>
    </row>
    <row r="13" spans="1:5" x14ac:dyDescent="0.2">
      <c r="A13" s="1"/>
      <c r="B13" s="1"/>
    </row>
    <row r="14" spans="1:5" x14ac:dyDescent="0.2">
      <c r="A14" s="1" t="s">
        <v>37</v>
      </c>
      <c r="B14" s="1"/>
    </row>
    <row r="15" spans="1:5" x14ac:dyDescent="0.2">
      <c r="B15" s="6" t="s">
        <v>38</v>
      </c>
    </row>
    <row r="16" spans="1:5" x14ac:dyDescent="0.2">
      <c r="B16" s="6" t="s">
        <v>45</v>
      </c>
    </row>
    <row r="17" spans="1:4" x14ac:dyDescent="0.2">
      <c r="B17" s="6"/>
    </row>
    <row r="18" spans="1:4" x14ac:dyDescent="0.2">
      <c r="A18" s="1" t="s">
        <v>39</v>
      </c>
    </row>
    <row r="19" spans="1:4" x14ac:dyDescent="0.2">
      <c r="A19" s="1"/>
      <c r="B19" s="6" t="s">
        <v>38</v>
      </c>
    </row>
    <row r="20" spans="1:4" x14ac:dyDescent="0.2">
      <c r="A20" s="1"/>
      <c r="B20" s="6" t="s">
        <v>40</v>
      </c>
      <c r="D20" s="1" t="s">
        <v>100</v>
      </c>
    </row>
    <row r="21" spans="1:4" x14ac:dyDescent="0.2">
      <c r="A21" s="1"/>
      <c r="B21" s="6"/>
    </row>
    <row r="22" spans="1:4" x14ac:dyDescent="0.2">
      <c r="A22" s="1" t="s">
        <v>41</v>
      </c>
      <c r="B22" s="6"/>
    </row>
    <row r="23" spans="1:4" x14ac:dyDescent="0.2">
      <c r="B23" s="1" t="s">
        <v>42</v>
      </c>
    </row>
    <row r="24" spans="1:4" x14ac:dyDescent="0.2">
      <c r="C24" s="5" t="s">
        <v>110</v>
      </c>
    </row>
    <row r="25" spans="1:4" x14ac:dyDescent="0.2">
      <c r="A25" s="1" t="s">
        <v>112</v>
      </c>
      <c r="B25" s="1"/>
    </row>
    <row r="26" spans="1:4" x14ac:dyDescent="0.2">
      <c r="A26" s="1"/>
      <c r="B26" s="1" t="s">
        <v>97</v>
      </c>
    </row>
    <row r="28" spans="1:4" x14ac:dyDescent="0.2">
      <c r="A28" s="1" t="s">
        <v>104</v>
      </c>
      <c r="B28" s="1"/>
    </row>
    <row r="29" spans="1:4" x14ac:dyDescent="0.2">
      <c r="A29" s="1"/>
      <c r="B29" s="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" sqref="S1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2000-02-25T00:54:48Z</dcterms:created>
  <dcterms:modified xsi:type="dcterms:W3CDTF">2026-01-02T01:45:00Z</dcterms:modified>
</cp:coreProperties>
</file>