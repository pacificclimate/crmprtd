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P130" i="1" l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A370" i="1" l="1"/>
  <c r="BB370" i="1" s="1"/>
  <c r="BC370" i="1" s="1"/>
  <c r="AZ370" i="1"/>
  <c r="AY370" i="1"/>
  <c r="BB369" i="1"/>
  <c r="BC369" i="1" s="1"/>
  <c r="BA369" i="1"/>
  <c r="AZ369" i="1"/>
  <c r="AY369" i="1"/>
  <c r="BA368" i="1"/>
  <c r="BB368" i="1" s="1"/>
  <c r="BC368" i="1" s="1"/>
  <c r="AZ368" i="1"/>
  <c r="AY368" i="1"/>
  <c r="BB367" i="1"/>
  <c r="BC367" i="1" s="1"/>
  <c r="BA367" i="1"/>
  <c r="AZ367" i="1"/>
  <c r="AY367" i="1"/>
  <c r="BA366" i="1"/>
  <c r="BB366" i="1" s="1"/>
  <c r="BC366" i="1" s="1"/>
  <c r="AZ366" i="1"/>
  <c r="AY366" i="1"/>
  <c r="BB365" i="1"/>
  <c r="BC365" i="1" s="1"/>
  <c r="BA365" i="1"/>
  <c r="AZ365" i="1"/>
  <c r="AY365" i="1"/>
  <c r="BA364" i="1"/>
  <c r="BB364" i="1" s="1"/>
  <c r="BC364" i="1" s="1"/>
  <c r="AZ364" i="1"/>
  <c r="AY364" i="1"/>
  <c r="BB363" i="1"/>
  <c r="BC363" i="1" s="1"/>
  <c r="BA363" i="1"/>
  <c r="AZ363" i="1"/>
  <c r="AY363" i="1"/>
  <c r="BA362" i="1"/>
  <c r="BB362" i="1" s="1"/>
  <c r="BC362" i="1" s="1"/>
  <c r="AZ362" i="1"/>
  <c r="AY362" i="1"/>
  <c r="BB361" i="1"/>
  <c r="BC361" i="1" s="1"/>
  <c r="BA361" i="1"/>
  <c r="AZ361" i="1"/>
  <c r="AY361" i="1"/>
  <c r="BA360" i="1"/>
  <c r="BB360" i="1" s="1"/>
  <c r="BC360" i="1" s="1"/>
  <c r="AZ360" i="1"/>
  <c r="AY360" i="1"/>
  <c r="BB359" i="1"/>
  <c r="BC359" i="1" s="1"/>
  <c r="BA359" i="1"/>
  <c r="AZ359" i="1"/>
  <c r="AY359" i="1"/>
  <c r="BA358" i="1"/>
  <c r="BB358" i="1" s="1"/>
  <c r="BC358" i="1" s="1"/>
  <c r="AZ358" i="1"/>
  <c r="AY358" i="1"/>
  <c r="BB357" i="1"/>
  <c r="BC357" i="1" s="1"/>
  <c r="BA357" i="1"/>
  <c r="AZ357" i="1"/>
  <c r="AY357" i="1"/>
  <c r="BA356" i="1"/>
  <c r="BB356" i="1" s="1"/>
  <c r="BC356" i="1" s="1"/>
  <c r="AZ356" i="1"/>
  <c r="AY356" i="1"/>
  <c r="BB355" i="1"/>
  <c r="BC355" i="1" s="1"/>
  <c r="BA355" i="1"/>
  <c r="AZ355" i="1"/>
  <c r="AY355" i="1"/>
  <c r="BA354" i="1"/>
  <c r="BB354" i="1" s="1"/>
  <c r="BC354" i="1" s="1"/>
  <c r="AZ354" i="1"/>
  <c r="AY354" i="1"/>
  <c r="BB353" i="1"/>
  <c r="BC353" i="1" s="1"/>
  <c r="BA353" i="1"/>
  <c r="AZ353" i="1"/>
  <c r="AY353" i="1"/>
  <c r="BA352" i="1"/>
  <c r="BB352" i="1" s="1"/>
  <c r="BC352" i="1" s="1"/>
  <c r="AZ352" i="1"/>
  <c r="AY352" i="1"/>
  <c r="BB351" i="1"/>
  <c r="BC351" i="1" s="1"/>
  <c r="BA351" i="1"/>
  <c r="AZ351" i="1"/>
  <c r="AY351" i="1"/>
  <c r="BA350" i="1"/>
  <c r="BB350" i="1" s="1"/>
  <c r="BC350" i="1" s="1"/>
  <c r="AZ350" i="1"/>
  <c r="AY350" i="1"/>
  <c r="BB349" i="1"/>
  <c r="BC349" i="1" s="1"/>
  <c r="BA349" i="1"/>
  <c r="AZ349" i="1"/>
  <c r="AY349" i="1"/>
  <c r="BA348" i="1"/>
  <c r="BB348" i="1" s="1"/>
  <c r="BC348" i="1" s="1"/>
  <c r="AZ348" i="1"/>
  <c r="AY348" i="1"/>
  <c r="BB347" i="1"/>
  <c r="BC347" i="1" s="1"/>
  <c r="BA347" i="1"/>
  <c r="AZ347" i="1"/>
  <c r="AY347" i="1"/>
  <c r="BA346" i="1"/>
  <c r="BB346" i="1" s="1"/>
  <c r="BC346" i="1" s="1"/>
  <c r="AZ346" i="1"/>
  <c r="AY346" i="1"/>
  <c r="BB345" i="1"/>
  <c r="BC345" i="1" s="1"/>
  <c r="BA345" i="1"/>
  <c r="AZ345" i="1"/>
  <c r="AY345" i="1"/>
  <c r="BA344" i="1"/>
  <c r="BB344" i="1" s="1"/>
  <c r="BC344" i="1" s="1"/>
  <c r="AZ344" i="1"/>
  <c r="AY344" i="1"/>
  <c r="BB343" i="1"/>
  <c r="BC343" i="1" s="1"/>
  <c r="BA343" i="1"/>
  <c r="AZ343" i="1"/>
  <c r="AY343" i="1"/>
  <c r="BA342" i="1"/>
  <c r="BB342" i="1" s="1"/>
  <c r="BC342" i="1" s="1"/>
  <c r="AZ342" i="1"/>
  <c r="AY342" i="1"/>
  <c r="BB341" i="1"/>
  <c r="BC341" i="1" s="1"/>
  <c r="BA341" i="1"/>
  <c r="AZ341" i="1"/>
  <c r="AY341" i="1"/>
  <c r="BA340" i="1"/>
  <c r="BB340" i="1" s="1"/>
  <c r="BC340" i="1" s="1"/>
  <c r="AZ340" i="1"/>
  <c r="AY340" i="1"/>
  <c r="BB339" i="1"/>
  <c r="BC339" i="1" s="1"/>
  <c r="BA339" i="1"/>
  <c r="AZ339" i="1"/>
  <c r="AY339" i="1"/>
  <c r="BA338" i="1"/>
  <c r="BB338" i="1" s="1"/>
  <c r="BC338" i="1" s="1"/>
  <c r="AZ338" i="1"/>
  <c r="AY338" i="1"/>
  <c r="BB337" i="1"/>
  <c r="BC337" i="1" s="1"/>
  <c r="BA337" i="1"/>
  <c r="AZ337" i="1"/>
  <c r="AY337" i="1"/>
  <c r="BA336" i="1"/>
  <c r="BB336" i="1" s="1"/>
  <c r="BC336" i="1" s="1"/>
  <c r="AZ336" i="1"/>
  <c r="AY336" i="1"/>
  <c r="BB335" i="1"/>
  <c r="BC335" i="1" s="1"/>
  <c r="BA335" i="1"/>
  <c r="AZ335" i="1"/>
  <c r="AY335" i="1"/>
  <c r="BA334" i="1"/>
  <c r="BB334" i="1" s="1"/>
  <c r="BC334" i="1" s="1"/>
  <c r="AZ334" i="1"/>
  <c r="AY334" i="1"/>
  <c r="BB333" i="1"/>
  <c r="BC333" i="1" s="1"/>
  <c r="BA333" i="1"/>
  <c r="AZ333" i="1"/>
  <c r="AY333" i="1"/>
  <c r="BA332" i="1"/>
  <c r="BB332" i="1" s="1"/>
  <c r="BC332" i="1" s="1"/>
  <c r="AZ332" i="1"/>
  <c r="AY332" i="1"/>
  <c r="BB331" i="1"/>
  <c r="BC331" i="1" s="1"/>
  <c r="BA331" i="1"/>
  <c r="AZ331" i="1"/>
  <c r="AY331" i="1"/>
  <c r="BA330" i="1"/>
  <c r="BB330" i="1" s="1"/>
  <c r="BC330" i="1" s="1"/>
  <c r="AZ330" i="1"/>
  <c r="AY330" i="1"/>
  <c r="BB329" i="1"/>
  <c r="BC329" i="1" s="1"/>
  <c r="BA329" i="1"/>
  <c r="AZ329" i="1"/>
  <c r="AY329" i="1"/>
  <c r="BA328" i="1"/>
  <c r="BB328" i="1" s="1"/>
  <c r="BC328" i="1" s="1"/>
  <c r="AZ328" i="1"/>
  <c r="AY328" i="1"/>
  <c r="BB327" i="1"/>
  <c r="BC327" i="1" s="1"/>
  <c r="BA327" i="1"/>
  <c r="AZ327" i="1"/>
  <c r="AY327" i="1"/>
  <c r="BA326" i="1"/>
  <c r="BB326" i="1" s="1"/>
  <c r="BC326" i="1" s="1"/>
  <c r="AZ326" i="1"/>
  <c r="AY326" i="1"/>
  <c r="BB325" i="1"/>
  <c r="BC325" i="1" s="1"/>
  <c r="BA325" i="1"/>
  <c r="AZ325" i="1"/>
  <c r="AY325" i="1"/>
  <c r="BA324" i="1"/>
  <c r="BB324" i="1" s="1"/>
  <c r="BC324" i="1" s="1"/>
  <c r="AZ324" i="1"/>
  <c r="AY324" i="1"/>
  <c r="BB323" i="1"/>
  <c r="BC323" i="1" s="1"/>
  <c r="BA323" i="1"/>
  <c r="AZ323" i="1"/>
  <c r="AY323" i="1"/>
  <c r="BA322" i="1"/>
  <c r="BB322" i="1" s="1"/>
  <c r="BC322" i="1" s="1"/>
  <c r="AZ322" i="1"/>
  <c r="AY322" i="1"/>
  <c r="BB321" i="1"/>
  <c r="BC321" i="1" s="1"/>
  <c r="BA321" i="1"/>
  <c r="AZ321" i="1"/>
  <c r="AY321" i="1"/>
  <c r="BA320" i="1"/>
  <c r="BB320" i="1" s="1"/>
  <c r="BC320" i="1" s="1"/>
  <c r="AZ320" i="1"/>
  <c r="AY320" i="1"/>
  <c r="BB319" i="1"/>
  <c r="BC319" i="1" s="1"/>
  <c r="BA319" i="1"/>
  <c r="AZ319" i="1"/>
  <c r="AY319" i="1"/>
  <c r="BA318" i="1"/>
  <c r="BB318" i="1" s="1"/>
  <c r="BC318" i="1" s="1"/>
  <c r="AZ318" i="1"/>
  <c r="AY318" i="1"/>
  <c r="BB317" i="1"/>
  <c r="BC317" i="1" s="1"/>
  <c r="BA317" i="1"/>
  <c r="AZ317" i="1"/>
  <c r="AY317" i="1"/>
  <c r="BA316" i="1"/>
  <c r="BB316" i="1" s="1"/>
  <c r="BC316" i="1" s="1"/>
  <c r="AZ316" i="1"/>
  <c r="AY316" i="1"/>
  <c r="BB315" i="1"/>
  <c r="BC315" i="1" s="1"/>
  <c r="BA315" i="1"/>
  <c r="AZ315" i="1"/>
  <c r="AY315" i="1"/>
  <c r="BA314" i="1"/>
  <c r="BB314" i="1" s="1"/>
  <c r="BC314" i="1" s="1"/>
  <c r="AZ314" i="1"/>
  <c r="AY314" i="1"/>
  <c r="BB313" i="1"/>
  <c r="BC313" i="1" s="1"/>
  <c r="BA313" i="1"/>
  <c r="AZ313" i="1"/>
  <c r="AY313" i="1"/>
  <c r="BA312" i="1"/>
  <c r="BB312" i="1" s="1"/>
  <c r="BC312" i="1" s="1"/>
  <c r="AZ312" i="1"/>
  <c r="AY312" i="1"/>
  <c r="BB311" i="1"/>
  <c r="BC311" i="1" s="1"/>
  <c r="BA311" i="1"/>
  <c r="AZ311" i="1"/>
  <c r="AY311" i="1"/>
  <c r="BA310" i="1"/>
  <c r="BB310" i="1" s="1"/>
  <c r="BC310" i="1" s="1"/>
  <c r="AZ310" i="1"/>
  <c r="AY310" i="1"/>
  <c r="BB309" i="1"/>
  <c r="BC309" i="1" s="1"/>
  <c r="BA309" i="1"/>
  <c r="AZ309" i="1"/>
  <c r="AY309" i="1"/>
  <c r="BA308" i="1"/>
  <c r="BB308" i="1" s="1"/>
  <c r="BC308" i="1" s="1"/>
  <c r="AZ308" i="1"/>
  <c r="AY308" i="1"/>
  <c r="BB307" i="1"/>
  <c r="BC307" i="1" s="1"/>
  <c r="BA307" i="1"/>
  <c r="AZ307" i="1"/>
  <c r="AY307" i="1"/>
  <c r="BA306" i="1"/>
  <c r="BB306" i="1" s="1"/>
  <c r="BC306" i="1" s="1"/>
  <c r="AZ306" i="1"/>
  <c r="AY306" i="1"/>
  <c r="BB305" i="1"/>
  <c r="BC305" i="1" s="1"/>
  <c r="BA305" i="1"/>
  <c r="AZ305" i="1"/>
  <c r="AY305" i="1"/>
  <c r="BA304" i="1"/>
  <c r="BB304" i="1" s="1"/>
  <c r="BC304" i="1" s="1"/>
  <c r="AZ304" i="1"/>
  <c r="AY304" i="1"/>
  <c r="BB303" i="1"/>
  <c r="BC303" i="1" s="1"/>
  <c r="BA303" i="1"/>
  <c r="AZ303" i="1"/>
  <c r="AY303" i="1"/>
  <c r="BA302" i="1"/>
  <c r="BB302" i="1" s="1"/>
  <c r="BC302" i="1" s="1"/>
  <c r="AZ302" i="1"/>
  <c r="AY302" i="1"/>
  <c r="BB301" i="1"/>
  <c r="BC301" i="1" s="1"/>
  <c r="BA301" i="1"/>
  <c r="AZ301" i="1"/>
  <c r="AY301" i="1"/>
  <c r="BA300" i="1"/>
  <c r="BB300" i="1" s="1"/>
  <c r="BC300" i="1" s="1"/>
  <c r="AZ300" i="1"/>
  <c r="AY300" i="1"/>
  <c r="BB299" i="1"/>
  <c r="BC299" i="1" s="1"/>
  <c r="BA299" i="1"/>
  <c r="AZ299" i="1"/>
  <c r="AY299" i="1"/>
  <c r="BA298" i="1"/>
  <c r="BB298" i="1" s="1"/>
  <c r="BC298" i="1" s="1"/>
  <c r="AZ298" i="1"/>
  <c r="AY298" i="1"/>
  <c r="BB297" i="1"/>
  <c r="BC297" i="1" s="1"/>
  <c r="BA297" i="1"/>
  <c r="AZ297" i="1"/>
  <c r="AY297" i="1"/>
  <c r="BA296" i="1"/>
  <c r="BB296" i="1" s="1"/>
  <c r="BC296" i="1" s="1"/>
  <c r="AZ296" i="1"/>
  <c r="AY296" i="1"/>
  <c r="BB295" i="1"/>
  <c r="BC295" i="1" s="1"/>
  <c r="BA295" i="1"/>
  <c r="AZ295" i="1"/>
  <c r="AY295" i="1"/>
  <c r="BA294" i="1"/>
  <c r="BB294" i="1" s="1"/>
  <c r="BC294" i="1" s="1"/>
  <c r="AZ294" i="1"/>
  <c r="AY294" i="1"/>
  <c r="BB293" i="1"/>
  <c r="BC293" i="1" s="1"/>
  <c r="BA293" i="1"/>
  <c r="AZ293" i="1"/>
  <c r="AY293" i="1"/>
  <c r="BA292" i="1"/>
  <c r="BB292" i="1" s="1"/>
  <c r="BC292" i="1" s="1"/>
  <c r="AZ292" i="1"/>
  <c r="AY292" i="1"/>
  <c r="BB291" i="1"/>
  <c r="BC291" i="1" s="1"/>
  <c r="BA291" i="1"/>
  <c r="AZ291" i="1"/>
  <c r="AY291" i="1"/>
  <c r="BA290" i="1"/>
  <c r="BB290" i="1" s="1"/>
  <c r="BC290" i="1" s="1"/>
  <c r="AZ290" i="1"/>
  <c r="AY290" i="1"/>
  <c r="BB289" i="1"/>
  <c r="BC289" i="1" s="1"/>
  <c r="BA289" i="1"/>
  <c r="AZ289" i="1"/>
  <c r="AY289" i="1"/>
  <c r="BA288" i="1"/>
  <c r="BB288" i="1" s="1"/>
  <c r="BC288" i="1" s="1"/>
  <c r="AZ288" i="1"/>
  <c r="AY288" i="1"/>
  <c r="BB287" i="1"/>
  <c r="BC287" i="1" s="1"/>
  <c r="BA287" i="1"/>
  <c r="AZ287" i="1"/>
  <c r="AY287" i="1"/>
  <c r="BA286" i="1"/>
  <c r="BB286" i="1" s="1"/>
  <c r="BC286" i="1" s="1"/>
  <c r="AZ286" i="1"/>
  <c r="AY286" i="1"/>
  <c r="BB285" i="1"/>
  <c r="BC285" i="1" s="1"/>
  <c r="BA285" i="1"/>
  <c r="AZ285" i="1"/>
  <c r="AY285" i="1"/>
  <c r="BC284" i="1"/>
  <c r="BA284" i="1"/>
  <c r="BB284" i="1" s="1"/>
  <c r="AZ284" i="1"/>
  <c r="AY284" i="1"/>
  <c r="BB283" i="1"/>
  <c r="BC283" i="1" s="1"/>
  <c r="BA283" i="1"/>
  <c r="AZ283" i="1"/>
  <c r="AY283" i="1"/>
  <c r="BC282" i="1"/>
  <c r="BA282" i="1"/>
  <c r="BB282" i="1" s="1"/>
  <c r="AZ282" i="1"/>
  <c r="AY282" i="1"/>
  <c r="BB281" i="1"/>
  <c r="BC281" i="1" s="1"/>
  <c r="BA281" i="1"/>
  <c r="AZ281" i="1"/>
  <c r="AY281" i="1"/>
  <c r="BC280" i="1"/>
  <c r="BA280" i="1"/>
  <c r="BB280" i="1" s="1"/>
  <c r="AZ280" i="1"/>
  <c r="AY280" i="1"/>
  <c r="BB279" i="1"/>
  <c r="BC279" i="1" s="1"/>
  <c r="BA279" i="1"/>
  <c r="AZ279" i="1"/>
  <c r="AY279" i="1"/>
  <c r="BC278" i="1"/>
  <c r="BA278" i="1"/>
  <c r="BB278" i="1" s="1"/>
  <c r="AZ278" i="1"/>
  <c r="AY278" i="1"/>
  <c r="BB277" i="1"/>
  <c r="BC277" i="1" s="1"/>
  <c r="BA277" i="1"/>
  <c r="AZ277" i="1"/>
  <c r="AY277" i="1"/>
  <c r="BC276" i="1"/>
  <c r="BA276" i="1"/>
  <c r="BB276" i="1" s="1"/>
  <c r="AZ276" i="1"/>
  <c r="AY276" i="1"/>
  <c r="BB275" i="1"/>
  <c r="BC275" i="1" s="1"/>
  <c r="BA275" i="1"/>
  <c r="AZ275" i="1"/>
  <c r="AY275" i="1"/>
  <c r="BC274" i="1"/>
  <c r="BA274" i="1"/>
  <c r="BB274" i="1" s="1"/>
  <c r="AZ274" i="1"/>
  <c r="AY274" i="1"/>
  <c r="BB273" i="1"/>
  <c r="BC273" i="1" s="1"/>
  <c r="BA273" i="1"/>
  <c r="AZ273" i="1"/>
  <c r="AY273" i="1"/>
  <c r="BC272" i="1"/>
  <c r="BA272" i="1"/>
  <c r="BB272" i="1" s="1"/>
  <c r="AZ272" i="1"/>
  <c r="AY272" i="1"/>
  <c r="BB271" i="1"/>
  <c r="BC271" i="1" s="1"/>
  <c r="BA271" i="1"/>
  <c r="AZ271" i="1"/>
  <c r="AY271" i="1"/>
  <c r="BC270" i="1"/>
  <c r="BA270" i="1"/>
  <c r="BB270" i="1" s="1"/>
  <c r="AZ270" i="1"/>
  <c r="AY270" i="1"/>
  <c r="BB269" i="1"/>
  <c r="BC269" i="1" s="1"/>
  <c r="BA269" i="1"/>
  <c r="AZ269" i="1"/>
  <c r="AY269" i="1"/>
  <c r="BC268" i="1"/>
  <c r="BA268" i="1"/>
  <c r="BB268" i="1" s="1"/>
  <c r="AZ268" i="1"/>
  <c r="AY268" i="1"/>
  <c r="BB267" i="1"/>
  <c r="BC267" i="1" s="1"/>
  <c r="BA267" i="1"/>
  <c r="AZ267" i="1"/>
  <c r="AY267" i="1"/>
  <c r="BC266" i="1"/>
  <c r="BA266" i="1"/>
  <c r="BB266" i="1" s="1"/>
  <c r="AZ266" i="1"/>
  <c r="AY266" i="1"/>
  <c r="BB265" i="1"/>
  <c r="BC265" i="1" s="1"/>
  <c r="BA265" i="1"/>
  <c r="AZ265" i="1"/>
  <c r="AY265" i="1"/>
  <c r="BC264" i="1"/>
  <c r="BA264" i="1"/>
  <c r="BB264" i="1" s="1"/>
  <c r="AZ264" i="1"/>
  <c r="AY264" i="1"/>
  <c r="BB263" i="1"/>
  <c r="BC263" i="1" s="1"/>
  <c r="BA263" i="1"/>
  <c r="AZ263" i="1"/>
  <c r="AY263" i="1"/>
  <c r="BC262" i="1"/>
  <c r="BA262" i="1"/>
  <c r="BB262" i="1" s="1"/>
  <c r="AZ262" i="1"/>
  <c r="AY262" i="1"/>
  <c r="BB261" i="1"/>
  <c r="BC261" i="1" s="1"/>
  <c r="BA261" i="1"/>
  <c r="AZ261" i="1"/>
  <c r="AY261" i="1"/>
  <c r="BC260" i="1"/>
  <c r="BA260" i="1"/>
  <c r="BB260" i="1" s="1"/>
  <c r="AZ260" i="1"/>
  <c r="AY260" i="1"/>
  <c r="BB259" i="1"/>
  <c r="BC259" i="1" s="1"/>
  <c r="BA259" i="1"/>
  <c r="AZ259" i="1"/>
  <c r="AY259" i="1"/>
  <c r="BC258" i="1"/>
  <c r="BA258" i="1"/>
  <c r="BB258" i="1" s="1"/>
  <c r="AZ258" i="1"/>
  <c r="AY258" i="1"/>
  <c r="BB257" i="1"/>
  <c r="BC257" i="1" s="1"/>
  <c r="BA257" i="1"/>
  <c r="AZ257" i="1"/>
  <c r="AY257" i="1"/>
  <c r="BC256" i="1"/>
  <c r="BA256" i="1"/>
  <c r="BB256" i="1" s="1"/>
  <c r="AZ256" i="1"/>
  <c r="AY256" i="1"/>
  <c r="BB255" i="1"/>
  <c r="BC255" i="1" s="1"/>
  <c r="BA255" i="1"/>
  <c r="AZ255" i="1"/>
  <c r="AY255" i="1"/>
  <c r="BC254" i="1"/>
  <c r="BA254" i="1"/>
  <c r="BB254" i="1" s="1"/>
  <c r="AZ254" i="1"/>
  <c r="AY254" i="1"/>
  <c r="BB253" i="1"/>
  <c r="BC253" i="1" s="1"/>
  <c r="BA253" i="1"/>
  <c r="AZ253" i="1"/>
  <c r="AY253" i="1"/>
  <c r="BC252" i="1"/>
  <c r="BA252" i="1"/>
  <c r="BB252" i="1" s="1"/>
  <c r="AZ252" i="1"/>
  <c r="AY252" i="1"/>
  <c r="BB251" i="1"/>
  <c r="BC251" i="1" s="1"/>
  <c r="BA251" i="1"/>
  <c r="AZ251" i="1"/>
  <c r="AY251" i="1"/>
  <c r="BC250" i="1"/>
  <c r="BA250" i="1"/>
  <c r="BB250" i="1" s="1"/>
  <c r="AZ250" i="1"/>
  <c r="AY250" i="1"/>
  <c r="BB249" i="1"/>
  <c r="BC249" i="1" s="1"/>
  <c r="BA249" i="1"/>
  <c r="AZ249" i="1"/>
  <c r="AY249" i="1"/>
  <c r="BC248" i="1"/>
  <c r="BA248" i="1"/>
  <c r="BB248" i="1" s="1"/>
  <c r="AZ248" i="1"/>
  <c r="AY248" i="1"/>
  <c r="BB247" i="1"/>
  <c r="BC247" i="1" s="1"/>
  <c r="BA247" i="1"/>
  <c r="AZ247" i="1"/>
  <c r="AY247" i="1"/>
  <c r="BC246" i="1"/>
  <c r="BA246" i="1"/>
  <c r="BB246" i="1" s="1"/>
  <c r="AZ246" i="1"/>
  <c r="AY246" i="1"/>
  <c r="BB245" i="1"/>
  <c r="BC245" i="1" s="1"/>
  <c r="BA245" i="1"/>
  <c r="AZ245" i="1"/>
  <c r="AY245" i="1"/>
  <c r="BC244" i="1"/>
  <c r="BA244" i="1"/>
  <c r="BB244" i="1" s="1"/>
  <c r="AZ244" i="1"/>
  <c r="AY244" i="1"/>
  <c r="BB243" i="1"/>
  <c r="BC243" i="1" s="1"/>
  <c r="BA243" i="1"/>
  <c r="AZ243" i="1"/>
  <c r="AY243" i="1"/>
  <c r="BC242" i="1"/>
  <c r="BA242" i="1"/>
  <c r="BB242" i="1" s="1"/>
  <c r="AZ242" i="1"/>
  <c r="AY242" i="1"/>
  <c r="BB241" i="1"/>
  <c r="BC241" i="1" s="1"/>
  <c r="BA241" i="1"/>
  <c r="AZ241" i="1"/>
  <c r="AY241" i="1"/>
  <c r="BC240" i="1"/>
  <c r="BA240" i="1"/>
  <c r="BB240" i="1" s="1"/>
  <c r="AZ240" i="1"/>
  <c r="AY240" i="1"/>
  <c r="BB239" i="1"/>
  <c r="BC239" i="1" s="1"/>
  <c r="BA239" i="1"/>
  <c r="AZ239" i="1"/>
  <c r="AY239" i="1"/>
  <c r="BC238" i="1"/>
  <c r="BA238" i="1"/>
  <c r="BB238" i="1" s="1"/>
  <c r="AZ238" i="1"/>
  <c r="AY238" i="1"/>
  <c r="BB237" i="1"/>
  <c r="BC237" i="1" s="1"/>
  <c r="BA237" i="1"/>
  <c r="AZ237" i="1"/>
  <c r="AY237" i="1"/>
  <c r="BC236" i="1"/>
  <c r="BA236" i="1"/>
  <c r="BB236" i="1" s="1"/>
  <c r="AZ236" i="1"/>
  <c r="AY236" i="1"/>
  <c r="BB235" i="1"/>
  <c r="BC235" i="1" s="1"/>
  <c r="BA235" i="1"/>
  <c r="AZ235" i="1"/>
  <c r="AY235" i="1"/>
  <c r="BC234" i="1"/>
  <c r="BA234" i="1"/>
  <c r="BB234" i="1" s="1"/>
  <c r="AZ234" i="1"/>
  <c r="AY234" i="1"/>
  <c r="BB233" i="1"/>
  <c r="BC233" i="1" s="1"/>
  <c r="BA233" i="1"/>
  <c r="AZ233" i="1"/>
  <c r="AY233" i="1"/>
  <c r="BC232" i="1"/>
  <c r="BA232" i="1"/>
  <c r="BB232" i="1" s="1"/>
  <c r="AZ232" i="1"/>
  <c r="AY232" i="1"/>
  <c r="BB231" i="1"/>
  <c r="BC231" i="1" s="1"/>
  <c r="BA231" i="1"/>
  <c r="AZ231" i="1"/>
  <c r="AY231" i="1"/>
  <c r="BC230" i="1"/>
  <c r="BA230" i="1"/>
  <c r="BB230" i="1" s="1"/>
  <c r="AZ230" i="1"/>
  <c r="AY230" i="1"/>
  <c r="BB229" i="1"/>
  <c r="BC229" i="1" s="1"/>
  <c r="BA229" i="1"/>
  <c r="AZ229" i="1"/>
  <c r="AY229" i="1"/>
  <c r="BC228" i="1"/>
  <c r="BA228" i="1"/>
  <c r="BB228" i="1" s="1"/>
  <c r="AZ228" i="1"/>
  <c r="AY228" i="1"/>
  <c r="BB227" i="1"/>
  <c r="BC227" i="1" s="1"/>
  <c r="BA227" i="1"/>
  <c r="AZ227" i="1"/>
  <c r="AY227" i="1"/>
  <c r="BC226" i="1"/>
  <c r="BA226" i="1"/>
  <c r="BB226" i="1" s="1"/>
  <c r="AZ226" i="1"/>
  <c r="AY226" i="1"/>
  <c r="BB225" i="1"/>
  <c r="BC225" i="1" s="1"/>
  <c r="BA225" i="1"/>
  <c r="AZ225" i="1"/>
  <c r="AY225" i="1"/>
  <c r="BC224" i="1"/>
  <c r="BA224" i="1"/>
  <c r="BB224" i="1" s="1"/>
  <c r="AZ224" i="1"/>
  <c r="AY224" i="1"/>
  <c r="BB223" i="1"/>
  <c r="BC223" i="1" s="1"/>
  <c r="BA223" i="1"/>
  <c r="AZ223" i="1"/>
  <c r="AY223" i="1"/>
  <c r="BC222" i="1"/>
  <c r="BA222" i="1"/>
  <c r="BB222" i="1" s="1"/>
  <c r="AZ222" i="1"/>
  <c r="AY222" i="1"/>
  <c r="BB221" i="1"/>
  <c r="BC221" i="1" s="1"/>
  <c r="BA221" i="1"/>
  <c r="AZ221" i="1"/>
  <c r="AY221" i="1"/>
  <c r="BC220" i="1"/>
  <c r="BA220" i="1"/>
  <c r="BB220" i="1" s="1"/>
  <c r="AZ220" i="1"/>
  <c r="AY220" i="1"/>
  <c r="BB219" i="1"/>
  <c r="BC219" i="1" s="1"/>
  <c r="BA219" i="1"/>
  <c r="AZ219" i="1"/>
  <c r="AY219" i="1"/>
  <c r="BC218" i="1"/>
  <c r="BA218" i="1"/>
  <c r="BB218" i="1" s="1"/>
  <c r="AZ218" i="1"/>
  <c r="AY218" i="1"/>
  <c r="BB217" i="1"/>
  <c r="BC217" i="1" s="1"/>
  <c r="BA217" i="1"/>
  <c r="AZ217" i="1"/>
  <c r="AY217" i="1"/>
  <c r="BC216" i="1"/>
  <c r="BA216" i="1"/>
  <c r="BB216" i="1" s="1"/>
  <c r="AZ216" i="1"/>
  <c r="AY216" i="1"/>
  <c r="BB215" i="1"/>
  <c r="BC215" i="1" s="1"/>
  <c r="BA215" i="1"/>
  <c r="AZ215" i="1"/>
  <c r="AY215" i="1"/>
  <c r="BC214" i="1"/>
  <c r="BA214" i="1"/>
  <c r="BB214" i="1" s="1"/>
  <c r="AZ214" i="1"/>
  <c r="AY214" i="1"/>
  <c r="BB213" i="1"/>
  <c r="BC213" i="1" s="1"/>
  <c r="BA213" i="1"/>
  <c r="AZ213" i="1"/>
  <c r="AY213" i="1"/>
  <c r="BC212" i="1"/>
  <c r="BA212" i="1"/>
  <c r="BB212" i="1" s="1"/>
  <c r="AZ212" i="1"/>
  <c r="AY212" i="1"/>
  <c r="BB211" i="1"/>
  <c r="BC211" i="1" s="1"/>
  <c r="BA211" i="1"/>
  <c r="AZ211" i="1"/>
  <c r="AY211" i="1"/>
  <c r="BC210" i="1"/>
  <c r="BA210" i="1"/>
  <c r="BB210" i="1" s="1"/>
  <c r="AZ210" i="1"/>
  <c r="AY210" i="1"/>
  <c r="BB209" i="1"/>
  <c r="BC209" i="1" s="1"/>
  <c r="BA209" i="1"/>
  <c r="AZ209" i="1"/>
  <c r="AY209" i="1"/>
  <c r="BC208" i="1"/>
  <c r="BA208" i="1"/>
  <c r="BB208" i="1" s="1"/>
  <c r="AZ208" i="1"/>
  <c r="AY208" i="1"/>
  <c r="BB207" i="1"/>
  <c r="BC207" i="1" s="1"/>
  <c r="BA207" i="1"/>
  <c r="AZ207" i="1"/>
  <c r="AY207" i="1"/>
  <c r="BC206" i="1"/>
  <c r="BA206" i="1"/>
  <c r="BB206" i="1" s="1"/>
  <c r="AZ206" i="1"/>
  <c r="AY206" i="1"/>
  <c r="BA205" i="1"/>
  <c r="BB205" i="1" s="1"/>
  <c r="BC205" i="1" s="1"/>
  <c r="AZ205" i="1"/>
  <c r="AY205" i="1"/>
  <c r="BB204" i="1"/>
  <c r="BC204" i="1" s="1"/>
  <c r="BA204" i="1"/>
  <c r="AZ204" i="1"/>
  <c r="AY204" i="1"/>
  <c r="BA203" i="1"/>
  <c r="BB203" i="1" s="1"/>
  <c r="BC203" i="1" s="1"/>
  <c r="AZ203" i="1"/>
  <c r="AY203" i="1"/>
  <c r="BB202" i="1"/>
  <c r="BC202" i="1" s="1"/>
  <c r="BA202" i="1"/>
  <c r="AZ202" i="1"/>
  <c r="AY202" i="1"/>
  <c r="BA201" i="1"/>
  <c r="BB201" i="1" s="1"/>
  <c r="BC201" i="1" s="1"/>
  <c r="AZ201" i="1"/>
  <c r="AY201" i="1"/>
  <c r="BB200" i="1"/>
  <c r="BC200" i="1" s="1"/>
  <c r="BA200" i="1"/>
  <c r="AZ200" i="1"/>
  <c r="AY200" i="1"/>
  <c r="BA199" i="1"/>
  <c r="BB199" i="1" s="1"/>
  <c r="BC199" i="1" s="1"/>
  <c r="AZ199" i="1"/>
  <c r="AY199" i="1"/>
  <c r="BB198" i="1"/>
  <c r="BC198" i="1" s="1"/>
  <c r="BA198" i="1"/>
  <c r="AZ198" i="1"/>
  <c r="AY198" i="1"/>
  <c r="BA197" i="1"/>
  <c r="BB197" i="1" s="1"/>
  <c r="BC197" i="1" s="1"/>
  <c r="AZ197" i="1"/>
  <c r="AY197" i="1"/>
  <c r="BB196" i="1"/>
  <c r="BC196" i="1" s="1"/>
  <c r="BA196" i="1"/>
  <c r="AZ196" i="1"/>
  <c r="AY196" i="1"/>
  <c r="BA195" i="1"/>
  <c r="BB195" i="1" s="1"/>
  <c r="BC195" i="1" s="1"/>
  <c r="AZ195" i="1"/>
  <c r="AY195" i="1"/>
  <c r="BB194" i="1"/>
  <c r="BC194" i="1" s="1"/>
  <c r="BA194" i="1"/>
  <c r="AZ194" i="1"/>
  <c r="AY194" i="1"/>
  <c r="BA193" i="1"/>
  <c r="BB193" i="1" s="1"/>
  <c r="BC193" i="1" s="1"/>
  <c r="AZ193" i="1"/>
  <c r="AY193" i="1"/>
  <c r="BB192" i="1"/>
  <c r="BC192" i="1" s="1"/>
  <c r="BA192" i="1"/>
  <c r="AZ192" i="1"/>
  <c r="AY192" i="1"/>
  <c r="BA191" i="1"/>
  <c r="BB191" i="1" s="1"/>
  <c r="BC191" i="1" s="1"/>
  <c r="AZ191" i="1"/>
  <c r="AY191" i="1"/>
  <c r="BB190" i="1"/>
  <c r="BC190" i="1" s="1"/>
  <c r="BA190" i="1"/>
  <c r="AZ190" i="1"/>
  <c r="AY190" i="1"/>
  <c r="BA189" i="1"/>
  <c r="BB189" i="1" s="1"/>
  <c r="BC189" i="1" s="1"/>
  <c r="AZ189" i="1"/>
  <c r="AY189" i="1"/>
  <c r="BB188" i="1"/>
  <c r="BC188" i="1" s="1"/>
  <c r="BA188" i="1"/>
  <c r="AZ188" i="1"/>
  <c r="AY188" i="1"/>
  <c r="BA187" i="1"/>
  <c r="BB187" i="1" s="1"/>
  <c r="BC187" i="1" s="1"/>
  <c r="AZ187" i="1"/>
  <c r="AY187" i="1"/>
  <c r="BB186" i="1"/>
  <c r="BC186" i="1" s="1"/>
  <c r="BA186" i="1"/>
  <c r="AZ186" i="1"/>
  <c r="AY186" i="1"/>
  <c r="BA185" i="1"/>
  <c r="BB185" i="1" s="1"/>
  <c r="BC185" i="1" s="1"/>
  <c r="AZ185" i="1"/>
  <c r="AY185" i="1"/>
  <c r="BB184" i="1"/>
  <c r="BC184" i="1" s="1"/>
  <c r="BA184" i="1"/>
  <c r="AZ184" i="1"/>
  <c r="AY184" i="1"/>
  <c r="BA183" i="1"/>
  <c r="BB183" i="1" s="1"/>
  <c r="BC183" i="1" s="1"/>
  <c r="AZ183" i="1"/>
  <c r="AY183" i="1"/>
  <c r="BB182" i="1"/>
  <c r="BC182" i="1" s="1"/>
  <c r="BA182" i="1"/>
  <c r="AZ182" i="1"/>
  <c r="AY182" i="1"/>
  <c r="BA181" i="1"/>
  <c r="BB181" i="1" s="1"/>
  <c r="BC181" i="1" s="1"/>
  <c r="AZ181" i="1"/>
  <c r="AY181" i="1"/>
  <c r="BB180" i="1"/>
  <c r="BC180" i="1" s="1"/>
  <c r="BA180" i="1"/>
  <c r="AZ180" i="1"/>
  <c r="AY180" i="1"/>
  <c r="BA179" i="1"/>
  <c r="BB179" i="1" s="1"/>
  <c r="BC179" i="1" s="1"/>
  <c r="AZ179" i="1"/>
  <c r="AY179" i="1"/>
  <c r="BB178" i="1"/>
  <c r="BC178" i="1" s="1"/>
  <c r="BA178" i="1"/>
  <c r="AZ178" i="1"/>
  <c r="AY178" i="1"/>
  <c r="BA177" i="1"/>
  <c r="BB177" i="1" s="1"/>
  <c r="BC177" i="1" s="1"/>
  <c r="AZ177" i="1"/>
  <c r="AY177" i="1"/>
  <c r="BB176" i="1"/>
  <c r="BC176" i="1" s="1"/>
  <c r="BA176" i="1"/>
  <c r="AZ176" i="1"/>
  <c r="AY176" i="1"/>
  <c r="BA175" i="1"/>
  <c r="BB175" i="1" s="1"/>
  <c r="BC175" i="1" s="1"/>
  <c r="AZ175" i="1"/>
  <c r="AY175" i="1"/>
  <c r="BB174" i="1"/>
  <c r="BC174" i="1" s="1"/>
  <c r="BA174" i="1"/>
  <c r="AZ174" i="1"/>
  <c r="AY174" i="1"/>
  <c r="BA173" i="1"/>
  <c r="BB173" i="1" s="1"/>
  <c r="BC173" i="1" s="1"/>
  <c r="AZ173" i="1"/>
  <c r="AY173" i="1"/>
  <c r="BB172" i="1"/>
  <c r="BC172" i="1" s="1"/>
  <c r="BA172" i="1"/>
  <c r="AZ172" i="1"/>
  <c r="AY172" i="1"/>
  <c r="BA171" i="1"/>
  <c r="BB171" i="1" s="1"/>
  <c r="BC171" i="1" s="1"/>
  <c r="AZ171" i="1"/>
  <c r="AY171" i="1"/>
  <c r="BB170" i="1"/>
  <c r="BC170" i="1" s="1"/>
  <c r="BA170" i="1"/>
  <c r="AZ170" i="1"/>
  <c r="AY170" i="1"/>
  <c r="BA169" i="1"/>
  <c r="BB169" i="1" s="1"/>
  <c r="BC169" i="1" s="1"/>
  <c r="AZ169" i="1"/>
  <c r="AY169" i="1"/>
  <c r="BB168" i="1"/>
  <c r="BC168" i="1" s="1"/>
  <c r="BA168" i="1"/>
  <c r="AZ168" i="1"/>
  <c r="AY168" i="1"/>
  <c r="BA167" i="1"/>
  <c r="BB167" i="1" s="1"/>
  <c r="BC167" i="1" s="1"/>
  <c r="AZ167" i="1"/>
  <c r="AY167" i="1"/>
  <c r="BB166" i="1"/>
  <c r="BC166" i="1" s="1"/>
  <c r="BA166" i="1"/>
  <c r="AZ166" i="1"/>
  <c r="AY166" i="1"/>
  <c r="BA165" i="1"/>
  <c r="BB165" i="1" s="1"/>
  <c r="BC165" i="1" s="1"/>
  <c r="AZ165" i="1"/>
  <c r="AY165" i="1"/>
  <c r="BB164" i="1"/>
  <c r="BC164" i="1" s="1"/>
  <c r="BA164" i="1"/>
  <c r="AZ164" i="1"/>
  <c r="AY164" i="1"/>
  <c r="BA163" i="1"/>
  <c r="BB163" i="1" s="1"/>
  <c r="BC163" i="1" s="1"/>
  <c r="AZ163" i="1"/>
  <c r="AY163" i="1"/>
  <c r="BB162" i="1"/>
  <c r="BC162" i="1" s="1"/>
  <c r="BA162" i="1"/>
  <c r="AZ162" i="1"/>
  <c r="AY162" i="1"/>
  <c r="BA161" i="1"/>
  <c r="BB161" i="1" s="1"/>
  <c r="BC161" i="1" s="1"/>
  <c r="AZ161" i="1"/>
  <c r="AY161" i="1"/>
  <c r="BB160" i="1"/>
  <c r="BC160" i="1" s="1"/>
  <c r="BA160" i="1"/>
  <c r="AZ160" i="1"/>
  <c r="AY160" i="1"/>
  <c r="BA159" i="1"/>
  <c r="BB159" i="1" s="1"/>
  <c r="BC159" i="1" s="1"/>
  <c r="AZ159" i="1"/>
  <c r="AY159" i="1"/>
  <c r="BB158" i="1"/>
  <c r="BC158" i="1" s="1"/>
  <c r="BA158" i="1"/>
  <c r="AZ158" i="1"/>
  <c r="AY158" i="1"/>
  <c r="BA157" i="1"/>
  <c r="BB157" i="1" s="1"/>
  <c r="BC157" i="1" s="1"/>
  <c r="AZ157" i="1"/>
  <c r="AY157" i="1"/>
  <c r="BB156" i="1"/>
  <c r="BC156" i="1" s="1"/>
  <c r="BA156" i="1"/>
  <c r="AZ156" i="1"/>
  <c r="AY156" i="1"/>
  <c r="BA155" i="1"/>
  <c r="BB155" i="1" s="1"/>
  <c r="BC155" i="1" s="1"/>
  <c r="AZ155" i="1"/>
  <c r="AY155" i="1"/>
  <c r="BB154" i="1"/>
  <c r="BC154" i="1" s="1"/>
  <c r="BA154" i="1"/>
  <c r="AZ154" i="1"/>
  <c r="AY154" i="1"/>
  <c r="BA153" i="1"/>
  <c r="BB153" i="1" s="1"/>
  <c r="BC153" i="1" s="1"/>
  <c r="AZ153" i="1"/>
  <c r="AY153" i="1"/>
  <c r="BB152" i="1"/>
  <c r="BC152" i="1" s="1"/>
  <c r="BA152" i="1"/>
  <c r="AZ152" i="1"/>
  <c r="AY152" i="1"/>
  <c r="BA151" i="1"/>
  <c r="BB151" i="1" s="1"/>
  <c r="BC151" i="1" s="1"/>
  <c r="AZ151" i="1"/>
  <c r="AY151" i="1"/>
  <c r="BB150" i="1"/>
  <c r="BC150" i="1" s="1"/>
  <c r="BA150" i="1"/>
  <c r="AZ150" i="1"/>
  <c r="AY150" i="1"/>
  <c r="BA149" i="1"/>
  <c r="BB149" i="1" s="1"/>
  <c r="BC149" i="1" s="1"/>
  <c r="AZ149" i="1"/>
  <c r="AY149" i="1"/>
  <c r="BB148" i="1"/>
  <c r="BC148" i="1" s="1"/>
  <c r="BA148" i="1"/>
  <c r="AZ148" i="1"/>
  <c r="AY148" i="1"/>
  <c r="BA147" i="1"/>
  <c r="BB147" i="1" s="1"/>
  <c r="BC147" i="1" s="1"/>
  <c r="AZ147" i="1"/>
  <c r="AY147" i="1"/>
  <c r="BB146" i="1"/>
  <c r="BC146" i="1" s="1"/>
  <c r="BA146" i="1"/>
  <c r="AZ146" i="1"/>
  <c r="AY146" i="1"/>
  <c r="BA145" i="1"/>
  <c r="BB145" i="1" s="1"/>
  <c r="BC145" i="1" s="1"/>
  <c r="AZ145" i="1"/>
  <c r="AY145" i="1"/>
  <c r="BB144" i="1"/>
  <c r="BC144" i="1" s="1"/>
  <c r="BA144" i="1"/>
  <c r="AZ144" i="1"/>
  <c r="AY144" i="1"/>
  <c r="BA143" i="1"/>
  <c r="BB143" i="1" s="1"/>
  <c r="BC143" i="1" s="1"/>
  <c r="AZ143" i="1"/>
  <c r="AY143" i="1"/>
  <c r="BB142" i="1"/>
  <c r="BC142" i="1" s="1"/>
  <c r="BA142" i="1"/>
  <c r="AZ142" i="1"/>
  <c r="AY142" i="1"/>
  <c r="BA141" i="1"/>
  <c r="BB141" i="1" s="1"/>
  <c r="BC141" i="1" s="1"/>
  <c r="AZ141" i="1"/>
  <c r="AY141" i="1"/>
  <c r="BB140" i="1"/>
  <c r="BC140" i="1" s="1"/>
  <c r="BA140" i="1"/>
  <c r="AZ140" i="1"/>
  <c r="AY140" i="1"/>
  <c r="BA139" i="1"/>
  <c r="BB139" i="1" s="1"/>
  <c r="BC139" i="1" s="1"/>
  <c r="AZ139" i="1"/>
  <c r="AY139" i="1"/>
  <c r="BB138" i="1"/>
  <c r="BC138" i="1" s="1"/>
  <c r="BA138" i="1"/>
  <c r="AZ138" i="1"/>
  <c r="AY138" i="1"/>
  <c r="BA137" i="1"/>
  <c r="BB137" i="1" s="1"/>
  <c r="BC137" i="1" s="1"/>
  <c r="AZ137" i="1"/>
  <c r="AY137" i="1"/>
  <c r="BB136" i="1"/>
  <c r="BC136" i="1" s="1"/>
  <c r="BA136" i="1"/>
  <c r="AZ136" i="1"/>
  <c r="AY136" i="1"/>
  <c r="BA135" i="1"/>
  <c r="BB135" i="1" s="1"/>
  <c r="BC135" i="1" s="1"/>
  <c r="AZ135" i="1"/>
  <c r="AY135" i="1"/>
  <c r="BB134" i="1"/>
  <c r="BC134" i="1" s="1"/>
  <c r="BA134" i="1"/>
  <c r="AZ134" i="1"/>
  <c r="AY134" i="1"/>
  <c r="BA133" i="1"/>
  <c r="BB133" i="1" s="1"/>
  <c r="BC133" i="1" s="1"/>
  <c r="AZ133" i="1"/>
  <c r="AY133" i="1"/>
  <c r="BB132" i="1"/>
  <c r="BC132" i="1" s="1"/>
  <c r="BA132" i="1"/>
  <c r="AZ132" i="1"/>
  <c r="AY132" i="1"/>
  <c r="BA131" i="1"/>
  <c r="BB131" i="1" s="1"/>
  <c r="BC131" i="1" s="1"/>
  <c r="AZ131" i="1"/>
  <c r="AY131" i="1"/>
  <c r="BB130" i="1"/>
  <c r="BC130" i="1" s="1"/>
  <c r="BA130" i="1"/>
  <c r="AZ130" i="1"/>
  <c r="AY130" i="1"/>
  <c r="BA129" i="1"/>
  <c r="BB129" i="1" s="1"/>
  <c r="BC129" i="1" s="1"/>
  <c r="AZ129" i="1"/>
  <c r="AY129" i="1"/>
  <c r="BB128" i="1"/>
  <c r="BC128" i="1" s="1"/>
  <c r="BA128" i="1"/>
  <c r="AZ128" i="1"/>
  <c r="AY128" i="1"/>
  <c r="BA127" i="1"/>
  <c r="BB127" i="1" s="1"/>
  <c r="BC127" i="1" s="1"/>
  <c r="AZ127" i="1"/>
  <c r="AY127" i="1"/>
  <c r="BB126" i="1"/>
  <c r="BC126" i="1" s="1"/>
  <c r="BA126" i="1"/>
  <c r="AZ126" i="1"/>
  <c r="AY126" i="1"/>
  <c r="BA125" i="1"/>
  <c r="BB125" i="1" s="1"/>
  <c r="BC125" i="1" s="1"/>
  <c r="AZ125" i="1"/>
  <c r="AY125" i="1"/>
  <c r="BB124" i="1"/>
  <c r="BC124" i="1" s="1"/>
  <c r="BA124" i="1"/>
  <c r="AZ124" i="1"/>
  <c r="AY124" i="1"/>
  <c r="BA123" i="1"/>
  <c r="BB123" i="1" s="1"/>
  <c r="BC123" i="1" s="1"/>
  <c r="AZ123" i="1"/>
  <c r="AY123" i="1"/>
  <c r="BB122" i="1"/>
  <c r="BC122" i="1" s="1"/>
  <c r="BA122" i="1"/>
  <c r="AZ122" i="1"/>
  <c r="AY122" i="1"/>
  <c r="BA121" i="1"/>
  <c r="BB121" i="1" s="1"/>
  <c r="BC121" i="1" s="1"/>
  <c r="AZ121" i="1"/>
  <c r="AY121" i="1"/>
  <c r="BB120" i="1"/>
  <c r="BC120" i="1" s="1"/>
  <c r="BA120" i="1"/>
  <c r="AZ120" i="1"/>
  <c r="AY120" i="1"/>
  <c r="BA119" i="1"/>
  <c r="BB119" i="1" s="1"/>
  <c r="BC119" i="1" s="1"/>
  <c r="AZ119" i="1"/>
  <c r="AY119" i="1"/>
  <c r="BB118" i="1"/>
  <c r="BC118" i="1" s="1"/>
  <c r="BA118" i="1"/>
  <c r="AZ118" i="1"/>
  <c r="AY118" i="1"/>
  <c r="BA117" i="1"/>
  <c r="BB117" i="1" s="1"/>
  <c r="BC117" i="1" s="1"/>
  <c r="AZ117" i="1"/>
  <c r="AY117" i="1"/>
  <c r="BB116" i="1"/>
  <c r="BC116" i="1" s="1"/>
  <c r="BA116" i="1"/>
  <c r="AZ116" i="1"/>
  <c r="AY116" i="1"/>
  <c r="BA115" i="1"/>
  <c r="BB115" i="1" s="1"/>
  <c r="BC115" i="1" s="1"/>
  <c r="AZ115" i="1"/>
  <c r="AY115" i="1"/>
  <c r="BB114" i="1"/>
  <c r="BC114" i="1" s="1"/>
  <c r="BA114" i="1"/>
  <c r="AZ114" i="1"/>
  <c r="AY114" i="1"/>
  <c r="BA113" i="1"/>
  <c r="BB113" i="1" s="1"/>
  <c r="BC113" i="1" s="1"/>
  <c r="AZ113" i="1"/>
  <c r="AY113" i="1"/>
  <c r="BB112" i="1"/>
  <c r="BC112" i="1" s="1"/>
  <c r="BA112" i="1"/>
  <c r="AZ112" i="1"/>
  <c r="AY112" i="1"/>
  <c r="BA111" i="1"/>
  <c r="BB111" i="1" s="1"/>
  <c r="BC111" i="1" s="1"/>
  <c r="AZ111" i="1"/>
  <c r="AY111" i="1"/>
  <c r="BB110" i="1"/>
  <c r="BC110" i="1" s="1"/>
  <c r="BA110" i="1"/>
  <c r="AZ110" i="1"/>
  <c r="AY110" i="1"/>
  <c r="BA109" i="1"/>
  <c r="BB109" i="1" s="1"/>
  <c r="BC109" i="1" s="1"/>
  <c r="AZ109" i="1"/>
  <c r="AY109" i="1"/>
  <c r="BB108" i="1"/>
  <c r="BC108" i="1" s="1"/>
  <c r="BA108" i="1"/>
  <c r="AZ108" i="1"/>
  <c r="AY108" i="1"/>
  <c r="BA107" i="1"/>
  <c r="BB107" i="1" s="1"/>
  <c r="BC107" i="1" s="1"/>
  <c r="AZ107" i="1"/>
  <c r="AY107" i="1"/>
  <c r="BB106" i="1"/>
  <c r="BC106" i="1" s="1"/>
  <c r="BA106" i="1"/>
  <c r="AZ106" i="1"/>
  <c r="AY106" i="1"/>
  <c r="BA105" i="1"/>
  <c r="BB105" i="1" s="1"/>
  <c r="BC105" i="1" s="1"/>
  <c r="AZ105" i="1"/>
  <c r="AY105" i="1"/>
  <c r="BB104" i="1"/>
  <c r="BC104" i="1" s="1"/>
  <c r="BA104" i="1"/>
  <c r="AZ104" i="1"/>
  <c r="AY104" i="1"/>
  <c r="BA103" i="1"/>
  <c r="BB103" i="1" s="1"/>
  <c r="BC103" i="1" s="1"/>
  <c r="AZ103" i="1"/>
  <c r="AY103" i="1"/>
  <c r="BB102" i="1"/>
  <c r="BC102" i="1" s="1"/>
  <c r="BA102" i="1"/>
  <c r="AZ102" i="1"/>
  <c r="AY102" i="1"/>
  <c r="BA101" i="1"/>
  <c r="BB101" i="1" s="1"/>
  <c r="BC101" i="1" s="1"/>
  <c r="AZ101" i="1"/>
  <c r="AY101" i="1"/>
  <c r="BB100" i="1"/>
  <c r="BC100" i="1" s="1"/>
  <c r="BA100" i="1"/>
  <c r="AZ100" i="1"/>
  <c r="AY100" i="1"/>
  <c r="BA99" i="1"/>
  <c r="BB99" i="1" s="1"/>
  <c r="BC99" i="1" s="1"/>
  <c r="AZ99" i="1"/>
  <c r="AY99" i="1"/>
  <c r="BB98" i="1"/>
  <c r="BC98" i="1" s="1"/>
  <c r="BA98" i="1"/>
  <c r="AZ98" i="1"/>
  <c r="AY98" i="1"/>
  <c r="BA97" i="1"/>
  <c r="BB97" i="1" s="1"/>
  <c r="BC97" i="1" s="1"/>
  <c r="AZ97" i="1"/>
  <c r="AY97" i="1"/>
  <c r="BB96" i="1"/>
  <c r="BC96" i="1" s="1"/>
  <c r="BA96" i="1"/>
  <c r="AZ96" i="1"/>
  <c r="AY96" i="1"/>
  <c r="BA95" i="1"/>
  <c r="BB95" i="1" s="1"/>
  <c r="BC95" i="1" s="1"/>
  <c r="AZ95" i="1"/>
  <c r="AY95" i="1"/>
  <c r="BB94" i="1"/>
  <c r="BC94" i="1" s="1"/>
  <c r="BA94" i="1"/>
  <c r="AZ94" i="1"/>
  <c r="AY94" i="1"/>
  <c r="BA93" i="1"/>
  <c r="BB93" i="1" s="1"/>
  <c r="BC93" i="1" s="1"/>
  <c r="AZ93" i="1"/>
  <c r="AY93" i="1"/>
  <c r="BB92" i="1"/>
  <c r="BC92" i="1" s="1"/>
  <c r="BA92" i="1"/>
  <c r="AZ92" i="1"/>
  <c r="AY92" i="1"/>
  <c r="BA91" i="1"/>
  <c r="BB91" i="1" s="1"/>
  <c r="BC91" i="1" s="1"/>
  <c r="AZ91" i="1"/>
  <c r="AY91" i="1"/>
  <c r="BB90" i="1"/>
  <c r="BC90" i="1" s="1"/>
  <c r="BA90" i="1"/>
  <c r="AZ90" i="1"/>
  <c r="AY90" i="1"/>
  <c r="BA89" i="1"/>
  <c r="BB89" i="1" s="1"/>
  <c r="BC89" i="1" s="1"/>
  <c r="AZ89" i="1"/>
  <c r="AY89" i="1"/>
  <c r="BB88" i="1"/>
  <c r="BC88" i="1" s="1"/>
  <c r="BA88" i="1"/>
  <c r="AZ88" i="1"/>
  <c r="AY88" i="1"/>
  <c r="BA87" i="1"/>
  <c r="BB87" i="1" s="1"/>
  <c r="BC87" i="1" s="1"/>
  <c r="AZ87" i="1"/>
  <c r="AY87" i="1"/>
  <c r="BB86" i="1"/>
  <c r="BC86" i="1" s="1"/>
  <c r="BA86" i="1"/>
  <c r="AZ86" i="1"/>
  <c r="AY86" i="1"/>
  <c r="BA85" i="1"/>
  <c r="BB85" i="1" s="1"/>
  <c r="BC85" i="1" s="1"/>
  <c r="AZ85" i="1"/>
  <c r="AY85" i="1"/>
  <c r="BB84" i="1"/>
  <c r="BC84" i="1" s="1"/>
  <c r="BA84" i="1"/>
  <c r="AZ84" i="1"/>
  <c r="AY84" i="1"/>
  <c r="BA83" i="1"/>
  <c r="BB83" i="1" s="1"/>
  <c r="BC83" i="1" s="1"/>
  <c r="AZ83" i="1"/>
  <c r="AY83" i="1"/>
  <c r="BB82" i="1"/>
  <c r="BC82" i="1" s="1"/>
  <c r="BA82" i="1"/>
  <c r="AZ82" i="1"/>
  <c r="AY82" i="1"/>
  <c r="BA81" i="1"/>
  <c r="BB81" i="1" s="1"/>
  <c r="BC81" i="1" s="1"/>
  <c r="AZ81" i="1"/>
  <c r="AY81" i="1"/>
  <c r="BB80" i="1"/>
  <c r="BC80" i="1" s="1"/>
  <c r="BA80" i="1"/>
  <c r="AZ80" i="1"/>
  <c r="AY80" i="1"/>
  <c r="BA79" i="1"/>
  <c r="BB79" i="1" s="1"/>
  <c r="BC79" i="1" s="1"/>
  <c r="AZ79" i="1"/>
  <c r="AY79" i="1"/>
  <c r="BB78" i="1"/>
  <c r="BC78" i="1" s="1"/>
  <c r="BA78" i="1"/>
  <c r="AZ78" i="1"/>
  <c r="AY78" i="1"/>
  <c r="BA77" i="1"/>
  <c r="BB77" i="1" s="1"/>
  <c r="BC77" i="1" s="1"/>
  <c r="AZ77" i="1"/>
  <c r="AY77" i="1"/>
  <c r="BB76" i="1"/>
  <c r="BC76" i="1" s="1"/>
  <c r="BA76" i="1"/>
  <c r="AZ76" i="1"/>
  <c r="AY76" i="1"/>
  <c r="BA75" i="1"/>
  <c r="BB75" i="1" s="1"/>
  <c r="BC75" i="1" s="1"/>
  <c r="AZ75" i="1"/>
  <c r="AY75" i="1"/>
  <c r="BB74" i="1"/>
  <c r="BC74" i="1" s="1"/>
  <c r="BA74" i="1"/>
  <c r="AZ74" i="1"/>
  <c r="AY74" i="1"/>
  <c r="BA73" i="1"/>
  <c r="BB73" i="1" s="1"/>
  <c r="BC73" i="1" s="1"/>
  <c r="AZ73" i="1"/>
  <c r="AY73" i="1"/>
  <c r="BB72" i="1"/>
  <c r="BC72" i="1" s="1"/>
  <c r="BA72" i="1"/>
  <c r="AZ72" i="1"/>
  <c r="AY72" i="1"/>
  <c r="BA71" i="1"/>
  <c r="BB71" i="1" s="1"/>
  <c r="BC71" i="1" s="1"/>
  <c r="AZ71" i="1"/>
  <c r="AY71" i="1"/>
  <c r="BB70" i="1"/>
  <c r="BC70" i="1" s="1"/>
  <c r="BA70" i="1"/>
  <c r="AZ70" i="1"/>
  <c r="AY70" i="1"/>
  <c r="BA69" i="1"/>
  <c r="BB69" i="1" s="1"/>
  <c r="BC69" i="1" s="1"/>
  <c r="AZ69" i="1"/>
  <c r="AY69" i="1"/>
  <c r="BB68" i="1"/>
  <c r="BC68" i="1" s="1"/>
  <c r="BA68" i="1"/>
  <c r="AZ68" i="1"/>
  <c r="AY68" i="1"/>
  <c r="BA67" i="1"/>
  <c r="BB67" i="1" s="1"/>
  <c r="BC67" i="1" s="1"/>
  <c r="AZ67" i="1"/>
  <c r="AY67" i="1"/>
  <c r="BB66" i="1"/>
  <c r="BC66" i="1" s="1"/>
  <c r="BA66" i="1"/>
  <c r="AZ66" i="1"/>
  <c r="AY66" i="1"/>
  <c r="BA65" i="1"/>
  <c r="BB65" i="1" s="1"/>
  <c r="BC65" i="1" s="1"/>
  <c r="AZ65" i="1"/>
  <c r="AY65" i="1"/>
  <c r="BB64" i="1"/>
  <c r="BC64" i="1" s="1"/>
  <c r="BA64" i="1"/>
  <c r="AZ64" i="1"/>
  <c r="AY64" i="1"/>
  <c r="BA63" i="1"/>
  <c r="BB63" i="1" s="1"/>
  <c r="BC63" i="1" s="1"/>
  <c r="AZ63" i="1"/>
  <c r="AY63" i="1"/>
  <c r="BB62" i="1"/>
  <c r="BC62" i="1" s="1"/>
  <c r="BA62" i="1"/>
  <c r="AZ62" i="1"/>
  <c r="AY62" i="1"/>
  <c r="BN370" i="1"/>
  <c r="BN369" i="1"/>
  <c r="BN368" i="1"/>
  <c r="BN367" i="1"/>
  <c r="BN366" i="1"/>
  <c r="BN365" i="1"/>
  <c r="BN364" i="1"/>
  <c r="BN363" i="1"/>
  <c r="BN362" i="1"/>
  <c r="BN361" i="1"/>
  <c r="BN360" i="1"/>
  <c r="BN359" i="1"/>
  <c r="BN358" i="1"/>
  <c r="BN357" i="1"/>
  <c r="BN356" i="1"/>
  <c r="BN355" i="1"/>
  <c r="BN354" i="1"/>
  <c r="BN353" i="1"/>
  <c r="BN352" i="1"/>
  <c r="BN351" i="1"/>
  <c r="BN350" i="1"/>
  <c r="BN349" i="1"/>
  <c r="BN348" i="1"/>
  <c r="BN347" i="1"/>
  <c r="BN346" i="1"/>
  <c r="BN345" i="1"/>
  <c r="BN344" i="1"/>
  <c r="BN343" i="1"/>
  <c r="BN342" i="1"/>
  <c r="BN341" i="1"/>
  <c r="BN340" i="1"/>
  <c r="BN339" i="1"/>
  <c r="BN338" i="1"/>
  <c r="BN337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N323" i="1"/>
  <c r="BN322" i="1"/>
  <c r="BN321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W370" i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M370" i="1"/>
  <c r="BL370" i="1"/>
  <c r="BM369" i="1"/>
  <c r="BL369" i="1"/>
  <c r="BM368" i="1"/>
  <c r="BL368" i="1"/>
  <c r="BM367" i="1"/>
  <c r="BL367" i="1"/>
  <c r="BM366" i="1"/>
  <c r="BL366" i="1"/>
  <c r="BM365" i="1"/>
  <c r="BL365" i="1"/>
  <c r="BM364" i="1"/>
  <c r="BL364" i="1"/>
  <c r="BM363" i="1"/>
  <c r="BL363" i="1"/>
  <c r="BM362" i="1"/>
  <c r="BL362" i="1"/>
  <c r="BM361" i="1"/>
  <c r="BL361" i="1"/>
  <c r="BM360" i="1"/>
  <c r="BL360" i="1"/>
  <c r="BM359" i="1"/>
  <c r="BL359" i="1"/>
  <c r="BM358" i="1"/>
  <c r="BL358" i="1"/>
  <c r="BM357" i="1"/>
  <c r="BL357" i="1"/>
  <c r="BM356" i="1"/>
  <c r="BL356" i="1"/>
  <c r="BM355" i="1"/>
  <c r="BL355" i="1"/>
  <c r="BM354" i="1"/>
  <c r="BL354" i="1"/>
  <c r="BM353" i="1"/>
  <c r="BL353" i="1"/>
  <c r="BM352" i="1"/>
  <c r="BL352" i="1"/>
  <c r="BM351" i="1"/>
  <c r="BL351" i="1"/>
  <c r="BM350" i="1"/>
  <c r="BL350" i="1"/>
  <c r="BM349" i="1"/>
  <c r="BL349" i="1"/>
  <c r="BM348" i="1"/>
  <c r="BL348" i="1"/>
  <c r="BM347" i="1"/>
  <c r="BL347" i="1"/>
  <c r="BM346" i="1"/>
  <c r="BL346" i="1"/>
  <c r="BM345" i="1"/>
  <c r="BL345" i="1"/>
  <c r="BM344" i="1"/>
  <c r="BL344" i="1"/>
  <c r="BM343" i="1"/>
  <c r="BL343" i="1"/>
  <c r="BM342" i="1"/>
  <c r="BL342" i="1"/>
  <c r="BM341" i="1"/>
  <c r="BL341" i="1"/>
  <c r="BM340" i="1"/>
  <c r="BL340" i="1"/>
  <c r="BM339" i="1"/>
  <c r="BL339" i="1"/>
  <c r="BM338" i="1"/>
  <c r="BL338" i="1"/>
  <c r="BM337" i="1"/>
  <c r="BL337" i="1"/>
  <c r="BM336" i="1"/>
  <c r="BL336" i="1"/>
  <c r="BM335" i="1"/>
  <c r="BL335" i="1"/>
  <c r="BM334" i="1"/>
  <c r="BL334" i="1"/>
  <c r="BM333" i="1"/>
  <c r="BL333" i="1"/>
  <c r="BM332" i="1"/>
  <c r="BL332" i="1"/>
  <c r="BM331" i="1"/>
  <c r="BL331" i="1"/>
  <c r="BM330" i="1"/>
  <c r="BL330" i="1"/>
  <c r="BM329" i="1"/>
  <c r="BL329" i="1"/>
  <c r="BM328" i="1"/>
  <c r="BL328" i="1"/>
  <c r="BM327" i="1"/>
  <c r="BL327" i="1"/>
  <c r="BM326" i="1"/>
  <c r="BL326" i="1"/>
  <c r="BM325" i="1"/>
  <c r="BL325" i="1"/>
  <c r="BM324" i="1"/>
  <c r="BL324" i="1"/>
  <c r="BM323" i="1"/>
  <c r="BL323" i="1"/>
  <c r="BM322" i="1"/>
  <c r="BL322" i="1"/>
  <c r="BM321" i="1"/>
  <c r="BL321" i="1"/>
  <c r="BM320" i="1"/>
  <c r="BL320" i="1"/>
  <c r="BM319" i="1"/>
  <c r="BL319" i="1"/>
  <c r="BM318" i="1"/>
  <c r="BL318" i="1"/>
  <c r="BM317" i="1"/>
  <c r="BL317" i="1"/>
  <c r="BM316" i="1"/>
  <c r="BL316" i="1"/>
  <c r="BM315" i="1"/>
  <c r="BL315" i="1"/>
  <c r="BM314" i="1"/>
  <c r="BL314" i="1"/>
  <c r="BM313" i="1"/>
  <c r="BL313" i="1"/>
  <c r="BM312" i="1"/>
  <c r="BL312" i="1"/>
  <c r="BM311" i="1"/>
  <c r="BL311" i="1"/>
  <c r="BM310" i="1"/>
  <c r="BL310" i="1"/>
  <c r="BM309" i="1"/>
  <c r="BL309" i="1"/>
  <c r="BM308" i="1"/>
  <c r="BL308" i="1"/>
  <c r="BM307" i="1"/>
  <c r="BL307" i="1"/>
  <c r="BM306" i="1"/>
  <c r="BL306" i="1"/>
  <c r="BM305" i="1"/>
  <c r="BL305" i="1"/>
  <c r="BM304" i="1"/>
  <c r="BL304" i="1"/>
  <c r="BM303" i="1"/>
  <c r="BL303" i="1"/>
  <c r="BM302" i="1"/>
  <c r="BL302" i="1"/>
  <c r="BM301" i="1"/>
  <c r="BL301" i="1"/>
  <c r="BM300" i="1"/>
  <c r="BL300" i="1"/>
  <c r="BM299" i="1"/>
  <c r="BL299" i="1"/>
  <c r="BM298" i="1"/>
  <c r="BL298" i="1"/>
  <c r="BM297" i="1"/>
  <c r="BL297" i="1"/>
  <c r="BM296" i="1"/>
  <c r="BL296" i="1"/>
  <c r="BM295" i="1"/>
  <c r="BL295" i="1"/>
  <c r="BM294" i="1"/>
  <c r="BL294" i="1"/>
  <c r="BM293" i="1"/>
  <c r="BL293" i="1"/>
  <c r="BM292" i="1"/>
  <c r="BL292" i="1"/>
  <c r="BM291" i="1"/>
  <c r="BL291" i="1"/>
  <c r="BM290" i="1"/>
  <c r="BL290" i="1"/>
  <c r="BM289" i="1"/>
  <c r="BL289" i="1"/>
  <c r="BM288" i="1"/>
  <c r="BL288" i="1"/>
  <c r="BM287" i="1"/>
  <c r="BL287" i="1"/>
  <c r="BM286" i="1"/>
  <c r="BL286" i="1"/>
  <c r="BM285" i="1"/>
  <c r="BL285" i="1"/>
  <c r="BM284" i="1"/>
  <c r="BL284" i="1"/>
  <c r="BM283" i="1"/>
  <c r="BL283" i="1"/>
  <c r="BM282" i="1"/>
  <c r="BL282" i="1"/>
  <c r="BM281" i="1"/>
  <c r="BL281" i="1"/>
  <c r="BM280" i="1"/>
  <c r="BL280" i="1"/>
  <c r="BM279" i="1"/>
  <c r="BL279" i="1"/>
  <c r="BM278" i="1"/>
  <c r="BL278" i="1"/>
  <c r="BM277" i="1"/>
  <c r="BL277" i="1"/>
  <c r="BM276" i="1"/>
  <c r="BL276" i="1"/>
  <c r="BM275" i="1"/>
  <c r="BL275" i="1"/>
  <c r="BM274" i="1"/>
  <c r="BL274" i="1"/>
  <c r="BM273" i="1"/>
  <c r="BL273" i="1"/>
  <c r="BM272" i="1"/>
  <c r="BL272" i="1"/>
  <c r="BM271" i="1"/>
  <c r="BL271" i="1"/>
  <c r="BM270" i="1"/>
  <c r="BL270" i="1"/>
  <c r="BM269" i="1"/>
  <c r="BL269" i="1"/>
  <c r="BM268" i="1"/>
  <c r="BL268" i="1"/>
  <c r="BM267" i="1"/>
  <c r="BL267" i="1"/>
  <c r="BM266" i="1"/>
  <c r="BL266" i="1"/>
  <c r="BM265" i="1"/>
  <c r="BL265" i="1"/>
  <c r="BM264" i="1"/>
  <c r="BL264" i="1"/>
  <c r="BM263" i="1"/>
  <c r="BL263" i="1"/>
  <c r="BM262" i="1"/>
  <c r="BL262" i="1"/>
  <c r="BM261" i="1"/>
  <c r="BL261" i="1"/>
  <c r="BM260" i="1"/>
  <c r="BL260" i="1"/>
  <c r="BM259" i="1"/>
  <c r="BL259" i="1"/>
  <c r="BM258" i="1"/>
  <c r="BL258" i="1"/>
  <c r="BM257" i="1"/>
  <c r="BL257" i="1"/>
  <c r="BM256" i="1"/>
  <c r="BL256" i="1"/>
  <c r="BM255" i="1"/>
  <c r="BL255" i="1"/>
  <c r="BM254" i="1"/>
  <c r="BL254" i="1"/>
  <c r="BM253" i="1"/>
  <c r="BL253" i="1"/>
  <c r="BM252" i="1"/>
  <c r="BL252" i="1"/>
  <c r="BM251" i="1"/>
  <c r="BL251" i="1"/>
  <c r="BM250" i="1"/>
  <c r="BL250" i="1"/>
  <c r="BM249" i="1"/>
  <c r="BL249" i="1"/>
  <c r="BM248" i="1"/>
  <c r="BL248" i="1"/>
  <c r="BM247" i="1"/>
  <c r="BL247" i="1"/>
  <c r="BM246" i="1"/>
  <c r="BL246" i="1"/>
  <c r="BM245" i="1"/>
  <c r="BL245" i="1"/>
  <c r="BM244" i="1"/>
  <c r="BL244" i="1"/>
  <c r="BM243" i="1"/>
  <c r="BL243" i="1"/>
  <c r="BM242" i="1"/>
  <c r="BL242" i="1"/>
  <c r="BM241" i="1"/>
  <c r="BL241" i="1"/>
  <c r="BM240" i="1"/>
  <c r="BL240" i="1"/>
  <c r="BM239" i="1"/>
  <c r="BL239" i="1"/>
  <c r="BM238" i="1"/>
  <c r="BL238" i="1"/>
  <c r="BM237" i="1"/>
  <c r="BL237" i="1"/>
  <c r="BM236" i="1"/>
  <c r="BL236" i="1"/>
  <c r="BM235" i="1"/>
  <c r="BL235" i="1"/>
  <c r="BM234" i="1"/>
  <c r="BL234" i="1"/>
  <c r="BM233" i="1"/>
  <c r="BL233" i="1"/>
  <c r="BM232" i="1"/>
  <c r="BL232" i="1"/>
  <c r="BM231" i="1"/>
  <c r="BL231" i="1"/>
  <c r="BM230" i="1"/>
  <c r="BL230" i="1"/>
  <c r="BM229" i="1"/>
  <c r="BL229" i="1"/>
  <c r="BM228" i="1"/>
  <c r="BL228" i="1"/>
  <c r="BM227" i="1"/>
  <c r="BL227" i="1"/>
  <c r="BM226" i="1"/>
  <c r="BL226" i="1"/>
  <c r="BM225" i="1"/>
  <c r="BL225" i="1"/>
  <c r="BM224" i="1"/>
  <c r="BL224" i="1"/>
  <c r="BM223" i="1"/>
  <c r="BL223" i="1"/>
  <c r="BM222" i="1"/>
  <c r="BL222" i="1"/>
  <c r="BM221" i="1"/>
  <c r="BL221" i="1"/>
  <c r="BM220" i="1"/>
  <c r="BL220" i="1"/>
  <c r="BM219" i="1"/>
  <c r="BL219" i="1"/>
  <c r="BM218" i="1"/>
  <c r="BL218" i="1"/>
  <c r="BM217" i="1"/>
  <c r="BL217" i="1"/>
  <c r="BM216" i="1"/>
  <c r="BL216" i="1"/>
  <c r="BM215" i="1"/>
  <c r="BL215" i="1"/>
  <c r="BM214" i="1"/>
  <c r="BL214" i="1"/>
  <c r="BM213" i="1"/>
  <c r="BL213" i="1"/>
  <c r="BM212" i="1"/>
  <c r="BL212" i="1"/>
  <c r="BM211" i="1"/>
  <c r="BL211" i="1"/>
  <c r="BM210" i="1"/>
  <c r="BL210" i="1"/>
  <c r="BM209" i="1"/>
  <c r="BL209" i="1"/>
  <c r="BM208" i="1"/>
  <c r="BL208" i="1"/>
  <c r="BM207" i="1"/>
  <c r="BL207" i="1"/>
  <c r="BM206" i="1"/>
  <c r="BL206" i="1"/>
  <c r="BM205" i="1"/>
  <c r="BL205" i="1"/>
  <c r="BM204" i="1"/>
  <c r="BL204" i="1"/>
  <c r="BM203" i="1"/>
  <c r="BL203" i="1"/>
  <c r="BM202" i="1"/>
  <c r="BL202" i="1"/>
  <c r="BM201" i="1"/>
  <c r="BL201" i="1"/>
  <c r="BM200" i="1"/>
  <c r="BL200" i="1"/>
  <c r="BM199" i="1"/>
  <c r="BL199" i="1"/>
  <c r="BM198" i="1"/>
  <c r="BL198" i="1"/>
  <c r="BM197" i="1"/>
  <c r="BL197" i="1"/>
  <c r="BM196" i="1"/>
  <c r="BL196" i="1"/>
  <c r="BM195" i="1"/>
  <c r="BL195" i="1"/>
  <c r="BM194" i="1"/>
  <c r="BL194" i="1"/>
  <c r="BM193" i="1"/>
  <c r="BL193" i="1"/>
  <c r="BM192" i="1"/>
  <c r="BL192" i="1"/>
  <c r="BM191" i="1"/>
  <c r="BL191" i="1"/>
  <c r="BM190" i="1"/>
  <c r="BL190" i="1"/>
  <c r="BM189" i="1"/>
  <c r="BL189" i="1"/>
  <c r="BM188" i="1"/>
  <c r="BL188" i="1"/>
  <c r="BM187" i="1"/>
  <c r="BL187" i="1"/>
  <c r="BM186" i="1"/>
  <c r="BL186" i="1"/>
  <c r="BM185" i="1"/>
  <c r="BL185" i="1"/>
  <c r="BM184" i="1"/>
  <c r="BL184" i="1"/>
  <c r="BM183" i="1"/>
  <c r="BL183" i="1"/>
  <c r="BM182" i="1"/>
  <c r="BL182" i="1"/>
  <c r="BM181" i="1"/>
  <c r="BL181" i="1"/>
  <c r="BM180" i="1"/>
  <c r="BL180" i="1"/>
  <c r="BM179" i="1"/>
  <c r="BL179" i="1"/>
  <c r="BM178" i="1"/>
  <c r="BL178" i="1"/>
  <c r="BM177" i="1"/>
  <c r="BL177" i="1"/>
  <c r="BM176" i="1"/>
  <c r="BL176" i="1"/>
  <c r="BM175" i="1"/>
  <c r="BL175" i="1"/>
  <c r="BM174" i="1"/>
  <c r="BL174" i="1"/>
  <c r="BM173" i="1"/>
  <c r="BL173" i="1"/>
  <c r="BM172" i="1"/>
  <c r="BL172" i="1"/>
  <c r="BM171" i="1"/>
  <c r="BL171" i="1"/>
  <c r="BM170" i="1"/>
  <c r="BL170" i="1"/>
  <c r="BM169" i="1"/>
  <c r="BL169" i="1"/>
  <c r="BM168" i="1"/>
  <c r="BL168" i="1"/>
  <c r="BM167" i="1"/>
  <c r="BL167" i="1"/>
  <c r="BM166" i="1"/>
  <c r="BL166" i="1"/>
  <c r="BM165" i="1"/>
  <c r="BL165" i="1"/>
  <c r="BM164" i="1"/>
  <c r="BL164" i="1"/>
  <c r="BM163" i="1"/>
  <c r="BL163" i="1"/>
  <c r="BM162" i="1"/>
  <c r="BL162" i="1"/>
  <c r="BM161" i="1"/>
  <c r="BL161" i="1"/>
  <c r="BM160" i="1"/>
  <c r="BL160" i="1"/>
  <c r="BM159" i="1"/>
  <c r="BL159" i="1"/>
  <c r="BM158" i="1"/>
  <c r="BL158" i="1"/>
  <c r="BM157" i="1"/>
  <c r="BL157" i="1"/>
  <c r="BM156" i="1"/>
  <c r="BL156" i="1"/>
  <c r="BM155" i="1"/>
  <c r="BL155" i="1"/>
  <c r="BM154" i="1"/>
  <c r="BL154" i="1"/>
  <c r="BM153" i="1"/>
  <c r="BL153" i="1"/>
  <c r="BM152" i="1"/>
  <c r="BL152" i="1"/>
  <c r="BM151" i="1"/>
  <c r="BL151" i="1"/>
  <c r="BM150" i="1"/>
  <c r="BL150" i="1"/>
  <c r="BM149" i="1"/>
  <c r="BL149" i="1"/>
  <c r="BM148" i="1"/>
  <c r="BL148" i="1"/>
  <c r="BM147" i="1"/>
  <c r="BL147" i="1"/>
  <c r="BM146" i="1"/>
  <c r="BL146" i="1"/>
  <c r="BM145" i="1"/>
  <c r="BL145" i="1"/>
  <c r="BM144" i="1"/>
  <c r="BL144" i="1"/>
  <c r="BM143" i="1"/>
  <c r="BL143" i="1"/>
  <c r="BM142" i="1"/>
  <c r="BL142" i="1"/>
  <c r="BM141" i="1"/>
  <c r="BL141" i="1"/>
  <c r="BM140" i="1"/>
  <c r="BL140" i="1"/>
  <c r="BM139" i="1"/>
  <c r="BL139" i="1"/>
  <c r="BM138" i="1"/>
  <c r="BL138" i="1"/>
  <c r="BM137" i="1"/>
  <c r="BL137" i="1"/>
  <c r="BM136" i="1"/>
  <c r="BL136" i="1"/>
  <c r="BM135" i="1"/>
  <c r="BL135" i="1"/>
  <c r="BM134" i="1"/>
  <c r="BL134" i="1"/>
  <c r="BM133" i="1"/>
  <c r="BL133" i="1"/>
  <c r="BM132" i="1"/>
  <c r="BL132" i="1"/>
  <c r="BM131" i="1"/>
  <c r="BL131" i="1"/>
  <c r="BM130" i="1"/>
  <c r="BL130" i="1"/>
  <c r="BM129" i="1"/>
  <c r="BL129" i="1"/>
  <c r="BM128" i="1"/>
  <c r="BL128" i="1"/>
  <c r="BM127" i="1"/>
  <c r="BL127" i="1"/>
  <c r="BM126" i="1"/>
  <c r="BL126" i="1"/>
  <c r="BM125" i="1"/>
  <c r="BL125" i="1"/>
  <c r="BM124" i="1"/>
  <c r="BL124" i="1"/>
  <c r="BM123" i="1"/>
  <c r="BL123" i="1"/>
  <c r="BM122" i="1"/>
  <c r="BL122" i="1"/>
  <c r="BM121" i="1"/>
  <c r="BL121" i="1"/>
  <c r="BM120" i="1"/>
  <c r="BL120" i="1"/>
  <c r="BM119" i="1"/>
  <c r="BL119" i="1"/>
  <c r="BM118" i="1"/>
  <c r="BL118" i="1"/>
  <c r="BM117" i="1"/>
  <c r="BL117" i="1"/>
  <c r="BM116" i="1"/>
  <c r="BL116" i="1"/>
  <c r="BM115" i="1"/>
  <c r="BL115" i="1"/>
  <c r="BM114" i="1"/>
  <c r="BL114" i="1"/>
  <c r="BM113" i="1"/>
  <c r="BL113" i="1"/>
  <c r="BM112" i="1"/>
  <c r="BL112" i="1"/>
  <c r="BM111" i="1"/>
  <c r="BL111" i="1"/>
  <c r="BM110" i="1"/>
  <c r="BL110" i="1"/>
  <c r="BM109" i="1"/>
  <c r="BL109" i="1"/>
  <c r="BM108" i="1"/>
  <c r="BL108" i="1"/>
  <c r="BM107" i="1"/>
  <c r="BL107" i="1"/>
  <c r="BM106" i="1"/>
  <c r="BL106" i="1"/>
  <c r="BM105" i="1"/>
  <c r="BL105" i="1"/>
  <c r="BM104" i="1"/>
  <c r="BL104" i="1"/>
  <c r="BM103" i="1"/>
  <c r="BL103" i="1"/>
  <c r="BM102" i="1"/>
  <c r="BL102" i="1"/>
  <c r="BM101" i="1"/>
  <c r="BL101" i="1"/>
  <c r="BM100" i="1"/>
  <c r="BL100" i="1"/>
  <c r="BM99" i="1"/>
  <c r="BL99" i="1"/>
  <c r="BM98" i="1"/>
  <c r="BL98" i="1"/>
  <c r="BM97" i="1"/>
  <c r="BL97" i="1"/>
  <c r="BM96" i="1"/>
  <c r="BL96" i="1"/>
  <c r="BM95" i="1"/>
  <c r="BL95" i="1"/>
  <c r="BM94" i="1"/>
  <c r="BL94" i="1"/>
  <c r="BM93" i="1"/>
  <c r="BL93" i="1"/>
  <c r="BM92" i="1"/>
  <c r="BL92" i="1"/>
  <c r="BM91" i="1"/>
  <c r="BL91" i="1"/>
  <c r="BM90" i="1"/>
  <c r="BL90" i="1"/>
  <c r="BM89" i="1"/>
  <c r="BL89" i="1"/>
  <c r="BM88" i="1"/>
  <c r="BL88" i="1"/>
  <c r="BM87" i="1"/>
  <c r="BL87" i="1"/>
  <c r="BM86" i="1"/>
  <c r="BL86" i="1"/>
  <c r="BM85" i="1"/>
  <c r="BL85" i="1"/>
  <c r="BM84" i="1"/>
  <c r="BL84" i="1"/>
  <c r="BM83" i="1"/>
  <c r="BL83" i="1"/>
  <c r="BM82" i="1"/>
  <c r="BL82" i="1"/>
  <c r="BM81" i="1"/>
  <c r="BL81" i="1"/>
  <c r="BM80" i="1"/>
  <c r="BL80" i="1"/>
  <c r="BM79" i="1"/>
  <c r="BL79" i="1"/>
  <c r="BM78" i="1"/>
  <c r="BL78" i="1"/>
  <c r="BM77" i="1"/>
  <c r="BL77" i="1"/>
  <c r="BM76" i="1"/>
  <c r="BL76" i="1"/>
  <c r="BM75" i="1"/>
  <c r="BL75" i="1"/>
  <c r="BM74" i="1"/>
  <c r="BL74" i="1"/>
  <c r="BM73" i="1"/>
  <c r="BL73" i="1"/>
  <c r="BM72" i="1"/>
  <c r="BL72" i="1"/>
  <c r="BM71" i="1"/>
  <c r="BL71" i="1"/>
  <c r="BM70" i="1"/>
  <c r="BL70" i="1"/>
  <c r="BM69" i="1"/>
  <c r="BL69" i="1"/>
  <c r="BM68" i="1"/>
  <c r="BL68" i="1"/>
  <c r="BM67" i="1"/>
  <c r="BL67" i="1"/>
  <c r="BM66" i="1"/>
  <c r="BL66" i="1"/>
  <c r="BM65" i="1"/>
  <c r="BL65" i="1"/>
  <c r="BM64" i="1"/>
  <c r="BL64" i="1"/>
  <c r="BM63" i="1"/>
  <c r="BL63" i="1"/>
  <c r="BM62" i="1"/>
  <c r="BL62" i="1"/>
  <c r="BM61" i="1"/>
  <c r="BL61" i="1"/>
  <c r="BM60" i="1"/>
  <c r="BL60" i="1"/>
  <c r="BM59" i="1"/>
  <c r="BL59" i="1"/>
  <c r="BM58" i="1"/>
  <c r="BL58" i="1"/>
  <c r="BM57" i="1"/>
  <c r="BL57" i="1"/>
  <c r="BM56" i="1"/>
  <c r="BL56" i="1"/>
  <c r="BM55" i="1"/>
  <c r="BL55" i="1"/>
  <c r="BM54" i="1"/>
  <c r="BL54" i="1"/>
  <c r="BM53" i="1"/>
  <c r="BL53" i="1"/>
  <c r="BM52" i="1"/>
  <c r="BL52" i="1"/>
  <c r="BM51" i="1"/>
  <c r="BL51" i="1"/>
  <c r="BM50" i="1"/>
  <c r="BL50" i="1"/>
  <c r="BM49" i="1"/>
  <c r="BL49" i="1"/>
  <c r="BM48" i="1"/>
  <c r="BL48" i="1"/>
  <c r="BM47" i="1"/>
  <c r="BL47" i="1"/>
  <c r="BM46" i="1"/>
  <c r="BL46" i="1"/>
  <c r="BM45" i="1"/>
  <c r="BL45" i="1"/>
  <c r="BM44" i="1"/>
  <c r="BL44" i="1"/>
  <c r="BM43" i="1"/>
  <c r="BL43" i="1"/>
  <c r="BM42" i="1"/>
  <c r="BL42" i="1"/>
  <c r="BM41" i="1"/>
  <c r="BL41" i="1"/>
  <c r="BM40" i="1"/>
  <c r="BL40" i="1"/>
  <c r="BM39" i="1"/>
  <c r="BL39" i="1"/>
  <c r="BM38" i="1"/>
  <c r="BL38" i="1"/>
  <c r="BM37" i="1"/>
  <c r="BL37" i="1"/>
  <c r="BM36" i="1"/>
  <c r="BL36" i="1"/>
  <c r="BM35" i="1"/>
  <c r="BL35" i="1"/>
  <c r="BM34" i="1"/>
  <c r="BL34" i="1"/>
  <c r="BM33" i="1"/>
  <c r="BL33" i="1"/>
  <c r="BM32" i="1"/>
  <c r="BL32" i="1"/>
  <c r="BM31" i="1"/>
  <c r="BL31" i="1"/>
  <c r="BM30" i="1"/>
  <c r="BL30" i="1"/>
  <c r="BM29" i="1"/>
  <c r="BL29" i="1"/>
  <c r="BM28" i="1"/>
  <c r="BL28" i="1"/>
  <c r="BM27" i="1"/>
  <c r="BL27" i="1"/>
  <c r="BM26" i="1"/>
  <c r="BL26" i="1"/>
  <c r="BM25" i="1"/>
  <c r="BL25" i="1"/>
  <c r="BM24" i="1"/>
  <c r="BL24" i="1"/>
  <c r="BM23" i="1"/>
  <c r="BL23" i="1"/>
  <c r="BM22" i="1"/>
  <c r="BL22" i="1"/>
  <c r="BM21" i="1"/>
  <c r="BL21" i="1"/>
  <c r="BM20" i="1"/>
  <c r="BL20" i="1"/>
  <c r="BM19" i="1"/>
  <c r="BL19" i="1"/>
  <c r="BM18" i="1"/>
  <c r="BL18" i="1"/>
  <c r="BM17" i="1"/>
  <c r="BL17" i="1"/>
  <c r="BM16" i="1"/>
  <c r="BL16" i="1"/>
  <c r="BM15" i="1"/>
  <c r="BL15" i="1"/>
  <c r="BM14" i="1"/>
  <c r="BL14" i="1"/>
  <c r="BM13" i="1"/>
  <c r="BL13" i="1"/>
  <c r="BM12" i="1"/>
  <c r="BL12" i="1"/>
  <c r="BM11" i="1"/>
  <c r="BL11" i="1"/>
  <c r="BM10" i="1"/>
  <c r="BL10" i="1"/>
  <c r="BM9" i="1"/>
  <c r="BL9" i="1"/>
  <c r="BM8" i="1"/>
  <c r="BL8" i="1"/>
  <c r="BM7" i="1"/>
  <c r="BL7" i="1"/>
  <c r="AP370" i="1" l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P6" i="1"/>
  <c r="BY192" i="1" l="1"/>
  <c r="BX192" i="1"/>
  <c r="BY191" i="1"/>
  <c r="BX191" i="1"/>
  <c r="BY190" i="1"/>
  <c r="BX190" i="1"/>
  <c r="BY189" i="1"/>
  <c r="BX189" i="1"/>
  <c r="BY188" i="1"/>
  <c r="BX188" i="1"/>
  <c r="BY187" i="1"/>
  <c r="BX187" i="1"/>
  <c r="BY186" i="1"/>
  <c r="BX186" i="1"/>
  <c r="BY185" i="1"/>
  <c r="BX185" i="1"/>
  <c r="BY184" i="1"/>
  <c r="BX184" i="1"/>
  <c r="BY183" i="1"/>
  <c r="BX183" i="1"/>
  <c r="BY182" i="1"/>
  <c r="BX182" i="1"/>
  <c r="BY181" i="1"/>
  <c r="BX181" i="1"/>
  <c r="BY180" i="1"/>
  <c r="BX180" i="1"/>
  <c r="BY179" i="1"/>
  <c r="BX179" i="1"/>
  <c r="BY178" i="1"/>
  <c r="BX178" i="1"/>
  <c r="BY177" i="1"/>
  <c r="BX177" i="1"/>
  <c r="BY176" i="1"/>
  <c r="BX176" i="1"/>
  <c r="BY175" i="1"/>
  <c r="BX175" i="1"/>
  <c r="BY174" i="1"/>
  <c r="BX174" i="1"/>
  <c r="BY173" i="1"/>
  <c r="BX173" i="1"/>
  <c r="BY172" i="1"/>
  <c r="BX172" i="1"/>
  <c r="BY171" i="1"/>
  <c r="BX171" i="1"/>
  <c r="BY170" i="1"/>
  <c r="BX170" i="1"/>
  <c r="BY169" i="1"/>
  <c r="BX169" i="1"/>
  <c r="BY168" i="1"/>
  <c r="BX168" i="1"/>
  <c r="BY167" i="1"/>
  <c r="BX167" i="1"/>
  <c r="BY166" i="1"/>
  <c r="BX166" i="1"/>
  <c r="BY165" i="1"/>
  <c r="BX165" i="1"/>
  <c r="BY164" i="1"/>
  <c r="BX164" i="1"/>
  <c r="BY163" i="1"/>
  <c r="BX163" i="1"/>
  <c r="BY162" i="1"/>
  <c r="BX162" i="1"/>
  <c r="BY161" i="1"/>
  <c r="BX161" i="1"/>
  <c r="BY160" i="1"/>
  <c r="BX160" i="1"/>
  <c r="BY159" i="1"/>
  <c r="BX159" i="1"/>
  <c r="BY158" i="1"/>
  <c r="BX158" i="1"/>
  <c r="BY157" i="1"/>
  <c r="BX157" i="1"/>
  <c r="BY156" i="1"/>
  <c r="BX156" i="1"/>
  <c r="BY155" i="1"/>
  <c r="BX155" i="1"/>
  <c r="BY154" i="1"/>
  <c r="BX154" i="1"/>
  <c r="BY153" i="1"/>
  <c r="BX153" i="1"/>
  <c r="BY152" i="1"/>
  <c r="BX152" i="1"/>
  <c r="BY151" i="1"/>
  <c r="BX151" i="1"/>
  <c r="BY150" i="1"/>
  <c r="BX150" i="1"/>
  <c r="BY149" i="1"/>
  <c r="BX149" i="1"/>
  <c r="BY148" i="1"/>
  <c r="BX148" i="1"/>
  <c r="BY147" i="1"/>
  <c r="BX147" i="1"/>
  <c r="BY146" i="1"/>
  <c r="BX146" i="1"/>
  <c r="BY145" i="1"/>
  <c r="BX145" i="1"/>
  <c r="BY144" i="1"/>
  <c r="BX144" i="1"/>
  <c r="BY143" i="1"/>
  <c r="BX143" i="1"/>
  <c r="BY142" i="1"/>
  <c r="BX142" i="1"/>
  <c r="BY141" i="1"/>
  <c r="BX141" i="1"/>
  <c r="BY140" i="1"/>
  <c r="BX140" i="1"/>
  <c r="BY139" i="1"/>
  <c r="BX139" i="1"/>
  <c r="BY138" i="1"/>
  <c r="BX138" i="1"/>
  <c r="BY137" i="1"/>
  <c r="BX137" i="1"/>
  <c r="BY136" i="1"/>
  <c r="BX136" i="1"/>
  <c r="BY135" i="1"/>
  <c r="BX135" i="1"/>
  <c r="BY134" i="1"/>
  <c r="BX134" i="1"/>
  <c r="BY133" i="1"/>
  <c r="BX133" i="1"/>
  <c r="BY132" i="1"/>
  <c r="BX132" i="1"/>
  <c r="BY131" i="1"/>
  <c r="BX131" i="1"/>
  <c r="BY130" i="1"/>
  <c r="BX130" i="1"/>
  <c r="BY129" i="1"/>
  <c r="BX129" i="1"/>
  <c r="BY128" i="1"/>
  <c r="BX128" i="1"/>
  <c r="BY127" i="1"/>
  <c r="BX127" i="1"/>
  <c r="BY126" i="1"/>
  <c r="BX126" i="1"/>
  <c r="BY125" i="1"/>
  <c r="BX125" i="1"/>
  <c r="BY124" i="1"/>
  <c r="BX124" i="1"/>
  <c r="BY123" i="1"/>
  <c r="BX123" i="1"/>
  <c r="BY122" i="1"/>
  <c r="BX122" i="1"/>
  <c r="BY121" i="1"/>
  <c r="BX121" i="1"/>
  <c r="BY120" i="1"/>
  <c r="BX120" i="1"/>
  <c r="BY119" i="1"/>
  <c r="BX119" i="1"/>
  <c r="BY118" i="1"/>
  <c r="BX118" i="1"/>
  <c r="BY117" i="1"/>
  <c r="BX117" i="1"/>
  <c r="BY116" i="1"/>
  <c r="BX116" i="1"/>
  <c r="BY115" i="1"/>
  <c r="BX115" i="1"/>
  <c r="BY114" i="1"/>
  <c r="BX114" i="1"/>
  <c r="BY113" i="1"/>
  <c r="BX113" i="1"/>
  <c r="BY112" i="1"/>
  <c r="BX112" i="1"/>
  <c r="BY111" i="1"/>
  <c r="BX111" i="1"/>
  <c r="BY110" i="1"/>
  <c r="BX110" i="1"/>
  <c r="BY109" i="1"/>
  <c r="BX109" i="1"/>
  <c r="BY108" i="1"/>
  <c r="BX108" i="1"/>
  <c r="BY107" i="1"/>
  <c r="BX107" i="1"/>
  <c r="BY106" i="1"/>
  <c r="BX106" i="1"/>
  <c r="BY105" i="1"/>
  <c r="BX105" i="1"/>
  <c r="BY104" i="1"/>
  <c r="BX104" i="1"/>
  <c r="BY103" i="1"/>
  <c r="BX103" i="1"/>
  <c r="BY102" i="1"/>
  <c r="BX102" i="1"/>
  <c r="BY101" i="1"/>
  <c r="BX101" i="1"/>
  <c r="BY100" i="1"/>
  <c r="BX100" i="1"/>
  <c r="BY99" i="1"/>
  <c r="BX99" i="1"/>
  <c r="BY98" i="1"/>
  <c r="BX98" i="1"/>
  <c r="BY97" i="1"/>
  <c r="BX97" i="1"/>
  <c r="BY96" i="1"/>
  <c r="BX96" i="1"/>
  <c r="BY95" i="1"/>
  <c r="BX95" i="1"/>
  <c r="BY94" i="1"/>
  <c r="BX94" i="1"/>
  <c r="BY93" i="1"/>
  <c r="BX93" i="1"/>
  <c r="BY92" i="1"/>
  <c r="BX92" i="1"/>
  <c r="BY91" i="1"/>
  <c r="BX91" i="1"/>
  <c r="BY90" i="1"/>
  <c r="BX90" i="1"/>
  <c r="BY89" i="1"/>
  <c r="BX89" i="1"/>
  <c r="BY88" i="1"/>
  <c r="BX88" i="1"/>
  <c r="BY87" i="1"/>
  <c r="BX87" i="1"/>
  <c r="BY86" i="1"/>
  <c r="BX86" i="1"/>
  <c r="BY85" i="1"/>
  <c r="BX85" i="1"/>
  <c r="BY84" i="1"/>
  <c r="BX84" i="1"/>
  <c r="BY83" i="1"/>
  <c r="BX83" i="1"/>
  <c r="BY82" i="1"/>
  <c r="BX82" i="1"/>
  <c r="BY81" i="1"/>
  <c r="BX81" i="1"/>
  <c r="BY80" i="1"/>
  <c r="BX80" i="1"/>
  <c r="BY79" i="1"/>
  <c r="BX79" i="1"/>
  <c r="BY78" i="1"/>
  <c r="BX78" i="1"/>
  <c r="BY77" i="1"/>
  <c r="BX77" i="1"/>
  <c r="BY76" i="1"/>
  <c r="BX76" i="1"/>
  <c r="BY75" i="1"/>
  <c r="BX75" i="1"/>
  <c r="BY74" i="1"/>
  <c r="BX74" i="1"/>
  <c r="BY73" i="1"/>
  <c r="BX73" i="1"/>
  <c r="BY72" i="1"/>
  <c r="BX72" i="1"/>
  <c r="BY71" i="1"/>
  <c r="BX71" i="1"/>
  <c r="BY70" i="1"/>
  <c r="BX70" i="1"/>
  <c r="BY69" i="1"/>
  <c r="BX69" i="1"/>
  <c r="BY68" i="1"/>
  <c r="BX68" i="1"/>
  <c r="BY67" i="1"/>
  <c r="BX67" i="1"/>
  <c r="BY66" i="1"/>
  <c r="BX66" i="1"/>
  <c r="BY65" i="1"/>
  <c r="BX65" i="1"/>
  <c r="BY64" i="1"/>
  <c r="BX64" i="1"/>
  <c r="BY63" i="1"/>
  <c r="BX63" i="1"/>
  <c r="BY62" i="1"/>
  <c r="BX62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I193" i="1" l="1"/>
  <c r="BH193" i="1"/>
  <c r="BG193" i="1"/>
  <c r="BI192" i="1"/>
  <c r="BH192" i="1"/>
  <c r="BG192" i="1"/>
  <c r="BI191" i="1"/>
  <c r="BH191" i="1"/>
  <c r="BG191" i="1"/>
  <c r="BI190" i="1"/>
  <c r="BH190" i="1"/>
  <c r="BG190" i="1"/>
  <c r="BI189" i="1"/>
  <c r="BH189" i="1"/>
  <c r="BG189" i="1"/>
  <c r="BI188" i="1"/>
  <c r="BH188" i="1"/>
  <c r="BG188" i="1"/>
  <c r="BI187" i="1"/>
  <c r="BH187" i="1"/>
  <c r="BG187" i="1"/>
  <c r="BI186" i="1"/>
  <c r="BH186" i="1"/>
  <c r="BG186" i="1"/>
  <c r="BI185" i="1"/>
  <c r="BH185" i="1"/>
  <c r="BG185" i="1"/>
  <c r="BI184" i="1"/>
  <c r="BH184" i="1"/>
  <c r="BG184" i="1"/>
  <c r="BI183" i="1"/>
  <c r="BH183" i="1"/>
  <c r="BG183" i="1"/>
  <c r="BI182" i="1"/>
  <c r="BH182" i="1"/>
  <c r="BG182" i="1"/>
  <c r="BI181" i="1"/>
  <c r="BH181" i="1"/>
  <c r="BG181" i="1"/>
  <c r="BI180" i="1"/>
  <c r="BH180" i="1"/>
  <c r="BG180" i="1"/>
  <c r="BI179" i="1"/>
  <c r="BH179" i="1"/>
  <c r="BG179" i="1"/>
  <c r="BI178" i="1"/>
  <c r="BH178" i="1"/>
  <c r="BG178" i="1"/>
  <c r="BI177" i="1"/>
  <c r="BH177" i="1"/>
  <c r="BG177" i="1"/>
  <c r="BI176" i="1"/>
  <c r="BH176" i="1"/>
  <c r="BG176" i="1"/>
  <c r="BI175" i="1"/>
  <c r="BH175" i="1"/>
  <c r="BG175" i="1"/>
  <c r="BI174" i="1"/>
  <c r="BH174" i="1"/>
  <c r="BG174" i="1"/>
  <c r="BI173" i="1"/>
  <c r="BH173" i="1"/>
  <c r="BG173" i="1"/>
  <c r="BI172" i="1"/>
  <c r="BH172" i="1"/>
  <c r="BG172" i="1"/>
  <c r="BI171" i="1"/>
  <c r="BH171" i="1"/>
  <c r="BG171" i="1"/>
  <c r="BI170" i="1"/>
  <c r="BH170" i="1"/>
  <c r="BG170" i="1"/>
  <c r="BI169" i="1"/>
  <c r="BH169" i="1"/>
  <c r="BG169" i="1"/>
  <c r="BI168" i="1"/>
  <c r="BH168" i="1"/>
  <c r="BG168" i="1"/>
  <c r="BI167" i="1"/>
  <c r="BH167" i="1"/>
  <c r="BG167" i="1"/>
  <c r="BI166" i="1"/>
  <c r="BH166" i="1"/>
  <c r="BG166" i="1"/>
  <c r="BI165" i="1"/>
  <c r="BH165" i="1"/>
  <c r="BG165" i="1"/>
  <c r="BI164" i="1"/>
  <c r="BH164" i="1"/>
  <c r="BG164" i="1"/>
  <c r="BI163" i="1"/>
  <c r="BH163" i="1"/>
  <c r="BG163" i="1"/>
  <c r="BI162" i="1"/>
  <c r="BH162" i="1"/>
  <c r="BG162" i="1"/>
  <c r="BI161" i="1"/>
  <c r="BH161" i="1"/>
  <c r="BG161" i="1"/>
  <c r="BI160" i="1"/>
  <c r="BH160" i="1"/>
  <c r="BG160" i="1"/>
  <c r="BI159" i="1"/>
  <c r="BH159" i="1"/>
  <c r="BG159" i="1"/>
  <c r="BI158" i="1"/>
  <c r="BH158" i="1"/>
  <c r="BG158" i="1"/>
  <c r="BI157" i="1"/>
  <c r="BH157" i="1"/>
  <c r="BG157" i="1"/>
  <c r="BI156" i="1"/>
  <c r="BH156" i="1"/>
  <c r="BG156" i="1"/>
  <c r="BI155" i="1"/>
  <c r="BH155" i="1"/>
  <c r="BG155" i="1"/>
  <c r="BI154" i="1"/>
  <c r="BH154" i="1"/>
  <c r="BG154" i="1"/>
  <c r="BI153" i="1"/>
  <c r="BH153" i="1"/>
  <c r="BG153" i="1"/>
  <c r="BI152" i="1"/>
  <c r="BH152" i="1"/>
  <c r="BG152" i="1"/>
  <c r="BI151" i="1"/>
  <c r="BH151" i="1"/>
  <c r="BG151" i="1"/>
  <c r="BI150" i="1"/>
  <c r="BH150" i="1"/>
  <c r="BG150" i="1"/>
  <c r="BI149" i="1"/>
  <c r="BH149" i="1"/>
  <c r="BG149" i="1"/>
  <c r="BI148" i="1"/>
  <c r="BH148" i="1"/>
  <c r="BG148" i="1"/>
  <c r="BI147" i="1"/>
  <c r="BH147" i="1"/>
  <c r="BG147" i="1"/>
  <c r="BI146" i="1"/>
  <c r="BH146" i="1"/>
  <c r="BG146" i="1"/>
  <c r="BI145" i="1"/>
  <c r="BH145" i="1"/>
  <c r="BG145" i="1"/>
  <c r="BI144" i="1"/>
  <c r="BH144" i="1"/>
  <c r="BG144" i="1"/>
  <c r="BI143" i="1"/>
  <c r="BH143" i="1"/>
  <c r="BG143" i="1"/>
  <c r="BI142" i="1"/>
  <c r="BH142" i="1"/>
  <c r="BG142" i="1"/>
  <c r="BI141" i="1"/>
  <c r="BH141" i="1"/>
  <c r="BG141" i="1"/>
  <c r="BI140" i="1"/>
  <c r="BH140" i="1"/>
  <c r="BG140" i="1"/>
  <c r="BI139" i="1"/>
  <c r="BH139" i="1"/>
  <c r="BG139" i="1"/>
  <c r="BI138" i="1"/>
  <c r="BH138" i="1"/>
  <c r="BG138" i="1"/>
  <c r="BI137" i="1"/>
  <c r="BH137" i="1"/>
  <c r="BG137" i="1"/>
  <c r="BI136" i="1"/>
  <c r="BH136" i="1"/>
  <c r="BG136" i="1"/>
  <c r="BI135" i="1"/>
  <c r="BH135" i="1"/>
  <c r="BG135" i="1"/>
  <c r="BI134" i="1"/>
  <c r="BH134" i="1"/>
  <c r="BG134" i="1"/>
  <c r="BI133" i="1"/>
  <c r="BH133" i="1"/>
  <c r="BG133" i="1"/>
  <c r="BI132" i="1"/>
  <c r="BH132" i="1"/>
  <c r="BG132" i="1"/>
  <c r="BI131" i="1"/>
  <c r="BH131" i="1"/>
  <c r="BG131" i="1"/>
  <c r="BI130" i="1"/>
  <c r="BH130" i="1"/>
  <c r="BG130" i="1"/>
  <c r="BI129" i="1"/>
  <c r="BH129" i="1"/>
  <c r="BG129" i="1"/>
  <c r="BI128" i="1"/>
  <c r="BH128" i="1"/>
  <c r="BG128" i="1"/>
  <c r="BI127" i="1"/>
  <c r="BH127" i="1"/>
  <c r="BG127" i="1"/>
  <c r="BI126" i="1"/>
  <c r="BH126" i="1"/>
  <c r="BG126" i="1"/>
  <c r="BI125" i="1"/>
  <c r="BH125" i="1"/>
  <c r="BG125" i="1"/>
  <c r="BI124" i="1"/>
  <c r="BH124" i="1"/>
  <c r="BG124" i="1"/>
  <c r="BI123" i="1"/>
  <c r="BH123" i="1"/>
  <c r="BG123" i="1"/>
  <c r="BI122" i="1"/>
  <c r="BH122" i="1"/>
  <c r="BG122" i="1"/>
  <c r="BI121" i="1"/>
  <c r="BH121" i="1"/>
  <c r="BG121" i="1"/>
  <c r="BI120" i="1"/>
  <c r="BH120" i="1"/>
  <c r="BG120" i="1"/>
  <c r="BI119" i="1"/>
  <c r="BH119" i="1"/>
  <c r="BG119" i="1"/>
  <c r="BI118" i="1"/>
  <c r="BH118" i="1"/>
  <c r="BG118" i="1"/>
  <c r="BI117" i="1"/>
  <c r="BH117" i="1"/>
  <c r="BG117" i="1"/>
  <c r="BI116" i="1"/>
  <c r="BH116" i="1"/>
  <c r="BG116" i="1"/>
  <c r="BI115" i="1"/>
  <c r="BH115" i="1"/>
  <c r="BG115" i="1"/>
  <c r="BI114" i="1"/>
  <c r="BH114" i="1"/>
  <c r="BG114" i="1"/>
  <c r="BI113" i="1"/>
  <c r="BH113" i="1"/>
  <c r="BG113" i="1"/>
  <c r="BI112" i="1"/>
  <c r="BH112" i="1"/>
  <c r="BG112" i="1"/>
  <c r="BI111" i="1"/>
  <c r="BH111" i="1"/>
  <c r="BG111" i="1"/>
  <c r="BI110" i="1"/>
  <c r="BH110" i="1"/>
  <c r="BG110" i="1"/>
  <c r="BI109" i="1"/>
  <c r="BH109" i="1"/>
  <c r="BG109" i="1"/>
  <c r="BI108" i="1"/>
  <c r="BH108" i="1"/>
  <c r="BG108" i="1"/>
  <c r="BI107" i="1"/>
  <c r="BH107" i="1"/>
  <c r="BG107" i="1"/>
  <c r="BI106" i="1"/>
  <c r="BH106" i="1"/>
  <c r="BG106" i="1"/>
  <c r="BI105" i="1"/>
  <c r="BH105" i="1"/>
  <c r="BG105" i="1"/>
  <c r="BI104" i="1"/>
  <c r="BH104" i="1"/>
  <c r="BG104" i="1"/>
  <c r="BI103" i="1"/>
  <c r="BH103" i="1"/>
  <c r="BG103" i="1"/>
  <c r="BI102" i="1"/>
  <c r="BH102" i="1"/>
  <c r="BG102" i="1"/>
  <c r="BI101" i="1"/>
  <c r="BH101" i="1"/>
  <c r="BG101" i="1"/>
  <c r="BI100" i="1"/>
  <c r="BH100" i="1"/>
  <c r="BG100" i="1"/>
  <c r="BI99" i="1"/>
  <c r="BH99" i="1"/>
  <c r="BG99" i="1"/>
  <c r="BI98" i="1"/>
  <c r="BH98" i="1"/>
  <c r="BG98" i="1"/>
  <c r="BI97" i="1"/>
  <c r="BH97" i="1"/>
  <c r="BG97" i="1"/>
  <c r="BI96" i="1"/>
  <c r="BH96" i="1"/>
  <c r="BG96" i="1"/>
  <c r="BI95" i="1"/>
  <c r="BH95" i="1"/>
  <c r="BG95" i="1"/>
  <c r="BI94" i="1"/>
  <c r="BH94" i="1"/>
  <c r="BG94" i="1"/>
  <c r="BI93" i="1"/>
  <c r="BH93" i="1"/>
  <c r="BG93" i="1"/>
  <c r="BI92" i="1"/>
  <c r="BH92" i="1"/>
  <c r="BG92" i="1"/>
  <c r="BI91" i="1"/>
  <c r="BH91" i="1"/>
  <c r="BG91" i="1"/>
  <c r="BI90" i="1"/>
  <c r="BH90" i="1"/>
  <c r="BG90" i="1"/>
  <c r="BI89" i="1"/>
  <c r="BH89" i="1"/>
  <c r="BG89" i="1"/>
  <c r="BI88" i="1"/>
  <c r="BH88" i="1"/>
  <c r="BG88" i="1"/>
  <c r="BI87" i="1"/>
  <c r="BH87" i="1"/>
  <c r="BG87" i="1"/>
  <c r="BI86" i="1"/>
  <c r="BH86" i="1"/>
  <c r="BG86" i="1"/>
  <c r="BI85" i="1"/>
  <c r="BH85" i="1"/>
  <c r="BG85" i="1"/>
  <c r="BI84" i="1"/>
  <c r="BH84" i="1"/>
  <c r="BG84" i="1"/>
  <c r="BI83" i="1"/>
  <c r="BH83" i="1"/>
  <c r="BG83" i="1"/>
  <c r="BI82" i="1"/>
  <c r="BH82" i="1"/>
  <c r="BG82" i="1"/>
  <c r="BI81" i="1"/>
  <c r="BH81" i="1"/>
  <c r="BG81" i="1"/>
  <c r="BI80" i="1"/>
  <c r="BH80" i="1"/>
  <c r="BG80" i="1"/>
  <c r="BI79" i="1"/>
  <c r="BH79" i="1"/>
  <c r="BG79" i="1"/>
  <c r="BI78" i="1"/>
  <c r="BH78" i="1"/>
  <c r="BG78" i="1"/>
  <c r="BI77" i="1"/>
  <c r="BH77" i="1"/>
  <c r="BG77" i="1"/>
  <c r="BI76" i="1"/>
  <c r="BH76" i="1"/>
  <c r="BG76" i="1"/>
  <c r="BI75" i="1"/>
  <c r="BH75" i="1"/>
  <c r="BG75" i="1"/>
  <c r="BI74" i="1"/>
  <c r="BH74" i="1"/>
  <c r="BG74" i="1"/>
  <c r="BI73" i="1"/>
  <c r="BH73" i="1"/>
  <c r="BG73" i="1"/>
  <c r="BI72" i="1"/>
  <c r="BH72" i="1"/>
  <c r="BG72" i="1"/>
  <c r="BI71" i="1"/>
  <c r="BH71" i="1"/>
  <c r="BG71" i="1"/>
  <c r="BI70" i="1"/>
  <c r="BH70" i="1"/>
  <c r="BG70" i="1"/>
  <c r="BI69" i="1"/>
  <c r="BH69" i="1"/>
  <c r="BG69" i="1"/>
  <c r="BI68" i="1"/>
  <c r="BH68" i="1"/>
  <c r="BG68" i="1"/>
  <c r="BI67" i="1"/>
  <c r="BH67" i="1"/>
  <c r="BG67" i="1"/>
  <c r="BI66" i="1"/>
  <c r="BH66" i="1"/>
  <c r="BG66" i="1"/>
  <c r="BI65" i="1"/>
  <c r="BH65" i="1"/>
  <c r="BG65" i="1"/>
  <c r="BI64" i="1"/>
  <c r="BH64" i="1"/>
  <c r="BG64" i="1"/>
  <c r="BI63" i="1"/>
  <c r="BH63" i="1"/>
  <c r="BG63" i="1"/>
  <c r="BI62" i="1"/>
  <c r="BH62" i="1"/>
  <c r="BG62" i="1"/>
  <c r="BO307" i="1" l="1"/>
  <c r="BO309" i="1"/>
  <c r="BO311" i="1"/>
  <c r="BO313" i="1"/>
  <c r="BO315" i="1"/>
  <c r="BO317" i="1"/>
  <c r="BO319" i="1"/>
  <c r="BO321" i="1"/>
  <c r="BO323" i="1"/>
  <c r="BO325" i="1"/>
  <c r="BO327" i="1"/>
  <c r="BO329" i="1"/>
  <c r="BO331" i="1"/>
  <c r="BO333" i="1"/>
  <c r="BO335" i="1"/>
  <c r="BO337" i="1"/>
  <c r="BO339" i="1"/>
  <c r="BO341" i="1"/>
  <c r="BO343" i="1"/>
  <c r="BO345" i="1"/>
  <c r="BO347" i="1"/>
  <c r="BO349" i="1"/>
  <c r="BO351" i="1"/>
  <c r="BO353" i="1"/>
  <c r="BO355" i="1"/>
  <c r="BO357" i="1"/>
  <c r="BO359" i="1"/>
  <c r="BO361" i="1"/>
  <c r="BO363" i="1"/>
  <c r="BO365" i="1"/>
  <c r="BO367" i="1"/>
  <c r="BO369" i="1"/>
  <c r="BO306" i="1"/>
  <c r="BO308" i="1"/>
  <c r="BO310" i="1"/>
  <c r="BO312" i="1"/>
  <c r="BO314" i="1"/>
  <c r="BO316" i="1"/>
  <c r="BO318" i="1"/>
  <c r="BO320" i="1"/>
  <c r="BO322" i="1"/>
  <c r="BO324" i="1"/>
  <c r="BO326" i="1"/>
  <c r="BO328" i="1"/>
  <c r="BO330" i="1"/>
  <c r="BO332" i="1"/>
  <c r="BO334" i="1"/>
  <c r="BO336" i="1"/>
  <c r="BO338" i="1"/>
  <c r="BO340" i="1"/>
  <c r="BO342" i="1"/>
  <c r="BO344" i="1"/>
  <c r="BO346" i="1"/>
  <c r="BO348" i="1"/>
  <c r="BO350" i="1"/>
  <c r="BO352" i="1"/>
  <c r="BO354" i="1"/>
  <c r="BO356" i="1"/>
  <c r="BO358" i="1"/>
  <c r="BO360" i="1"/>
  <c r="BO362" i="1"/>
  <c r="BO364" i="1"/>
  <c r="BO366" i="1"/>
  <c r="BO368" i="1"/>
  <c r="BO370" i="1"/>
  <c r="AU193" i="1"/>
  <c r="AU370" i="1" l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BE6" i="1"/>
  <c r="BO6" i="1" l="1"/>
  <c r="BO8" i="1"/>
  <c r="BO10" i="1"/>
  <c r="BO12" i="1"/>
  <c r="BO14" i="1"/>
  <c r="BO16" i="1"/>
  <c r="BO18" i="1"/>
  <c r="BO20" i="1"/>
  <c r="BO22" i="1"/>
  <c r="BO24" i="1"/>
  <c r="BO26" i="1"/>
  <c r="BO28" i="1"/>
  <c r="BO30" i="1"/>
  <c r="BO32" i="1"/>
  <c r="BO34" i="1"/>
  <c r="BO36" i="1"/>
  <c r="BO38" i="1"/>
  <c r="BO40" i="1"/>
  <c r="BO42" i="1"/>
  <c r="BO44" i="1"/>
  <c r="BO46" i="1"/>
  <c r="BO48" i="1"/>
  <c r="BO50" i="1"/>
  <c r="BO52" i="1"/>
  <c r="BO54" i="1"/>
  <c r="BO56" i="1"/>
  <c r="BO58" i="1"/>
  <c r="BO60" i="1"/>
  <c r="BO7" i="1"/>
  <c r="BO9" i="1"/>
  <c r="BO11" i="1"/>
  <c r="BO13" i="1"/>
  <c r="BO15" i="1"/>
  <c r="BO17" i="1"/>
  <c r="BO19" i="1"/>
  <c r="BO21" i="1"/>
  <c r="BO23" i="1"/>
  <c r="BO25" i="1"/>
  <c r="BO27" i="1"/>
  <c r="BO29" i="1"/>
  <c r="BO31" i="1"/>
  <c r="BO33" i="1"/>
  <c r="BO35" i="1"/>
  <c r="BO37" i="1"/>
  <c r="BO39" i="1"/>
  <c r="BO41" i="1"/>
  <c r="BO43" i="1"/>
  <c r="BO45" i="1"/>
  <c r="BO47" i="1"/>
  <c r="BO49" i="1"/>
  <c r="BO51" i="1"/>
  <c r="BO53" i="1"/>
  <c r="BO55" i="1"/>
  <c r="BO57" i="1"/>
  <c r="BO59" i="1"/>
  <c r="BO61" i="1"/>
  <c r="BP321" i="1"/>
  <c r="BP319" i="1"/>
  <c r="BP348" i="1"/>
  <c r="BP347" i="1"/>
  <c r="BP351" i="1"/>
  <c r="BP350" i="1"/>
  <c r="BP349" i="1"/>
  <c r="BP352" i="1"/>
  <c r="BP322" i="1"/>
  <c r="BP320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S370" i="1"/>
  <c r="BR370" i="1"/>
  <c r="BQ370" i="1"/>
  <c r="BS369" i="1"/>
  <c r="BR369" i="1"/>
  <c r="BQ369" i="1"/>
  <c r="BS368" i="1"/>
  <c r="BR368" i="1"/>
  <c r="BQ368" i="1"/>
  <c r="BS367" i="1"/>
  <c r="BR367" i="1"/>
  <c r="BQ367" i="1"/>
  <c r="BS366" i="1"/>
  <c r="BR366" i="1"/>
  <c r="BQ366" i="1"/>
  <c r="BS365" i="1"/>
  <c r="BR365" i="1"/>
  <c r="BQ365" i="1"/>
  <c r="BS364" i="1"/>
  <c r="BR364" i="1"/>
  <c r="BQ364" i="1"/>
  <c r="BS363" i="1"/>
  <c r="BR363" i="1"/>
  <c r="BQ363" i="1"/>
  <c r="BS362" i="1"/>
  <c r="BR362" i="1"/>
  <c r="BQ362" i="1"/>
  <c r="BS361" i="1"/>
  <c r="BR361" i="1"/>
  <c r="BQ361" i="1"/>
  <c r="BS360" i="1"/>
  <c r="BR360" i="1"/>
  <c r="BQ360" i="1"/>
  <c r="BS359" i="1"/>
  <c r="BR359" i="1"/>
  <c r="BQ359" i="1"/>
  <c r="BS358" i="1"/>
  <c r="BR358" i="1"/>
  <c r="BQ358" i="1"/>
  <c r="BS357" i="1"/>
  <c r="BR357" i="1"/>
  <c r="BQ357" i="1"/>
  <c r="BS356" i="1"/>
  <c r="BR356" i="1"/>
  <c r="BQ356" i="1"/>
  <c r="BS355" i="1"/>
  <c r="BR355" i="1"/>
  <c r="BQ355" i="1"/>
  <c r="BS354" i="1"/>
  <c r="BR354" i="1"/>
  <c r="BQ354" i="1"/>
  <c r="BS353" i="1"/>
  <c r="BR353" i="1"/>
  <c r="BQ353" i="1"/>
  <c r="BS352" i="1"/>
  <c r="BR352" i="1"/>
  <c r="BQ352" i="1"/>
  <c r="BS351" i="1"/>
  <c r="BR351" i="1"/>
  <c r="BQ351" i="1"/>
  <c r="BS350" i="1"/>
  <c r="BR350" i="1"/>
  <c r="BQ350" i="1"/>
  <c r="BS349" i="1"/>
  <c r="BR349" i="1"/>
  <c r="BQ349" i="1"/>
  <c r="BS348" i="1"/>
  <c r="BR348" i="1"/>
  <c r="BQ348" i="1"/>
  <c r="BS347" i="1"/>
  <c r="BR347" i="1"/>
  <c r="BQ347" i="1"/>
  <c r="BS346" i="1"/>
  <c r="BR346" i="1"/>
  <c r="BQ346" i="1"/>
  <c r="BS345" i="1"/>
  <c r="BR345" i="1"/>
  <c r="BQ345" i="1"/>
  <c r="BS344" i="1"/>
  <c r="BR344" i="1"/>
  <c r="BQ344" i="1"/>
  <c r="BS343" i="1"/>
  <c r="BR343" i="1"/>
  <c r="BQ343" i="1"/>
  <c r="BS342" i="1"/>
  <c r="BR342" i="1"/>
  <c r="BQ342" i="1"/>
  <c r="BS341" i="1"/>
  <c r="BR341" i="1"/>
  <c r="BQ341" i="1"/>
  <c r="BS340" i="1"/>
  <c r="BR340" i="1"/>
  <c r="BQ340" i="1"/>
  <c r="BS339" i="1"/>
  <c r="BR339" i="1"/>
  <c r="BQ339" i="1"/>
  <c r="BS338" i="1"/>
  <c r="BR338" i="1"/>
  <c r="BQ338" i="1"/>
  <c r="BS337" i="1"/>
  <c r="BR337" i="1"/>
  <c r="BQ337" i="1"/>
  <c r="BS336" i="1"/>
  <c r="BR336" i="1"/>
  <c r="BQ336" i="1"/>
  <c r="BS335" i="1"/>
  <c r="BR335" i="1"/>
  <c r="BQ335" i="1"/>
  <c r="BS334" i="1"/>
  <c r="BR334" i="1"/>
  <c r="BQ334" i="1"/>
  <c r="BS333" i="1"/>
  <c r="BR333" i="1"/>
  <c r="BQ333" i="1"/>
  <c r="BS332" i="1"/>
  <c r="BR332" i="1"/>
  <c r="BQ332" i="1"/>
  <c r="BS331" i="1"/>
  <c r="BR331" i="1"/>
  <c r="BQ331" i="1"/>
  <c r="BS330" i="1"/>
  <c r="BR330" i="1"/>
  <c r="BQ330" i="1"/>
  <c r="BS329" i="1"/>
  <c r="BR329" i="1"/>
  <c r="BQ329" i="1"/>
  <c r="BS328" i="1"/>
  <c r="BR328" i="1"/>
  <c r="BQ328" i="1"/>
  <c r="BS327" i="1"/>
  <c r="BR327" i="1"/>
  <c r="BQ327" i="1"/>
  <c r="BS326" i="1"/>
  <c r="BR326" i="1"/>
  <c r="BQ326" i="1"/>
  <c r="BS325" i="1"/>
  <c r="BR325" i="1"/>
  <c r="BQ325" i="1"/>
  <c r="BS324" i="1"/>
  <c r="BR324" i="1"/>
  <c r="BQ324" i="1"/>
  <c r="BS323" i="1"/>
  <c r="BR323" i="1"/>
  <c r="BQ323" i="1"/>
  <c r="BS322" i="1"/>
  <c r="BR322" i="1"/>
  <c r="BQ322" i="1"/>
  <c r="BS321" i="1"/>
  <c r="BR321" i="1"/>
  <c r="BQ321" i="1"/>
  <c r="BS320" i="1"/>
  <c r="BR320" i="1"/>
  <c r="BQ320" i="1"/>
  <c r="BS319" i="1"/>
  <c r="BR319" i="1"/>
  <c r="BQ319" i="1"/>
  <c r="BS318" i="1"/>
  <c r="BR318" i="1"/>
  <c r="BQ318" i="1"/>
  <c r="BS317" i="1"/>
  <c r="BR317" i="1"/>
  <c r="BQ317" i="1"/>
  <c r="BS316" i="1"/>
  <c r="BR316" i="1"/>
  <c r="BQ316" i="1"/>
  <c r="BS315" i="1"/>
  <c r="BR315" i="1"/>
  <c r="BQ315" i="1"/>
  <c r="BS314" i="1"/>
  <c r="BR314" i="1"/>
  <c r="BQ314" i="1"/>
  <c r="BS313" i="1"/>
  <c r="BR313" i="1"/>
  <c r="BQ313" i="1"/>
  <c r="BS312" i="1"/>
  <c r="BR312" i="1"/>
  <c r="BQ312" i="1"/>
  <c r="BS311" i="1"/>
  <c r="BR311" i="1"/>
  <c r="BQ311" i="1"/>
  <c r="BS310" i="1"/>
  <c r="BR310" i="1"/>
  <c r="BQ310" i="1"/>
  <c r="BS309" i="1"/>
  <c r="BR309" i="1"/>
  <c r="BQ309" i="1"/>
  <c r="BS308" i="1"/>
  <c r="BR308" i="1"/>
  <c r="BQ308" i="1"/>
  <c r="BS307" i="1"/>
  <c r="BR307" i="1"/>
  <c r="BQ307" i="1"/>
  <c r="BS306" i="1"/>
  <c r="BR306" i="1"/>
  <c r="BQ306" i="1"/>
  <c r="BS305" i="1"/>
  <c r="BR305" i="1"/>
  <c r="BQ305" i="1"/>
  <c r="BS304" i="1"/>
  <c r="BR304" i="1"/>
  <c r="BQ304" i="1"/>
  <c r="BS303" i="1"/>
  <c r="BR303" i="1"/>
  <c r="BQ303" i="1"/>
  <c r="BS302" i="1"/>
  <c r="BR302" i="1"/>
  <c r="BQ302" i="1"/>
  <c r="BS301" i="1"/>
  <c r="BR301" i="1"/>
  <c r="BQ301" i="1"/>
  <c r="BS300" i="1"/>
  <c r="BR300" i="1"/>
  <c r="BQ300" i="1"/>
  <c r="BS299" i="1"/>
  <c r="BR299" i="1"/>
  <c r="BQ299" i="1"/>
  <c r="BS298" i="1"/>
  <c r="BR298" i="1"/>
  <c r="BQ298" i="1"/>
  <c r="BS297" i="1"/>
  <c r="BR297" i="1"/>
  <c r="BQ297" i="1"/>
  <c r="BS296" i="1"/>
  <c r="BR296" i="1"/>
  <c r="BQ296" i="1"/>
  <c r="BS295" i="1"/>
  <c r="BR295" i="1"/>
  <c r="BQ295" i="1"/>
  <c r="BS294" i="1"/>
  <c r="BR294" i="1"/>
  <c r="BQ294" i="1"/>
  <c r="BS293" i="1"/>
  <c r="BR293" i="1"/>
  <c r="BQ293" i="1"/>
  <c r="BS292" i="1"/>
  <c r="BR292" i="1"/>
  <c r="BQ292" i="1"/>
  <c r="BS291" i="1"/>
  <c r="BR291" i="1"/>
  <c r="BQ291" i="1"/>
  <c r="BS290" i="1"/>
  <c r="BR290" i="1"/>
  <c r="BQ290" i="1"/>
  <c r="BS289" i="1"/>
  <c r="BR289" i="1"/>
  <c r="BQ289" i="1"/>
  <c r="BS288" i="1"/>
  <c r="BR288" i="1"/>
  <c r="BQ288" i="1"/>
  <c r="BS287" i="1"/>
  <c r="BR287" i="1"/>
  <c r="BQ287" i="1"/>
  <c r="BS286" i="1"/>
  <c r="BR286" i="1"/>
  <c r="BQ286" i="1"/>
  <c r="BS285" i="1"/>
  <c r="BR285" i="1"/>
  <c r="BQ285" i="1"/>
  <c r="BS284" i="1"/>
  <c r="BR284" i="1"/>
  <c r="BQ284" i="1"/>
  <c r="BS283" i="1"/>
  <c r="BR283" i="1"/>
  <c r="BQ283" i="1"/>
  <c r="BS282" i="1"/>
  <c r="BR282" i="1"/>
  <c r="BQ282" i="1"/>
  <c r="BS281" i="1"/>
  <c r="BR281" i="1"/>
  <c r="BQ281" i="1"/>
  <c r="BS280" i="1"/>
  <c r="BR280" i="1"/>
  <c r="BQ280" i="1"/>
  <c r="BS279" i="1"/>
  <c r="BR279" i="1"/>
  <c r="BQ279" i="1"/>
  <c r="BS278" i="1"/>
  <c r="BR278" i="1"/>
  <c r="BQ278" i="1"/>
  <c r="BS277" i="1"/>
  <c r="BR277" i="1"/>
  <c r="BQ277" i="1"/>
  <c r="BS276" i="1"/>
  <c r="BR276" i="1"/>
  <c r="BQ276" i="1"/>
  <c r="BS275" i="1"/>
  <c r="BR275" i="1"/>
  <c r="BQ275" i="1"/>
  <c r="BS274" i="1"/>
  <c r="BR274" i="1"/>
  <c r="BQ274" i="1"/>
  <c r="BS273" i="1"/>
  <c r="BR273" i="1"/>
  <c r="BQ273" i="1"/>
  <c r="BS272" i="1"/>
  <c r="BR272" i="1"/>
  <c r="BQ272" i="1"/>
  <c r="BS271" i="1"/>
  <c r="BR271" i="1"/>
  <c r="BQ271" i="1"/>
  <c r="BS270" i="1"/>
  <c r="BR270" i="1"/>
  <c r="BQ270" i="1"/>
  <c r="BS269" i="1"/>
  <c r="BR269" i="1"/>
  <c r="BQ269" i="1"/>
  <c r="BS268" i="1"/>
  <c r="BR268" i="1"/>
  <c r="BQ268" i="1"/>
  <c r="BS267" i="1"/>
  <c r="BR267" i="1"/>
  <c r="BQ267" i="1"/>
  <c r="BS266" i="1"/>
  <c r="BR266" i="1"/>
  <c r="BQ266" i="1"/>
  <c r="BS265" i="1"/>
  <c r="BR265" i="1"/>
  <c r="BQ265" i="1"/>
  <c r="BS264" i="1"/>
  <c r="BR264" i="1"/>
  <c r="BQ264" i="1"/>
  <c r="BS263" i="1"/>
  <c r="BR263" i="1"/>
  <c r="BQ263" i="1"/>
  <c r="BS262" i="1"/>
  <c r="BR262" i="1"/>
  <c r="BQ262" i="1"/>
  <c r="BS261" i="1"/>
  <c r="BR261" i="1"/>
  <c r="BQ261" i="1"/>
  <c r="BS260" i="1"/>
  <c r="BR260" i="1"/>
  <c r="BQ260" i="1"/>
  <c r="BS259" i="1"/>
  <c r="BR259" i="1"/>
  <c r="BQ259" i="1"/>
  <c r="BS258" i="1"/>
  <c r="BR258" i="1"/>
  <c r="BQ258" i="1"/>
  <c r="BS257" i="1"/>
  <c r="BR257" i="1"/>
  <c r="BQ257" i="1"/>
  <c r="BS256" i="1"/>
  <c r="BR256" i="1"/>
  <c r="BQ256" i="1"/>
  <c r="BS255" i="1"/>
  <c r="BR255" i="1"/>
  <c r="BQ255" i="1"/>
  <c r="BS254" i="1"/>
  <c r="BR254" i="1"/>
  <c r="BQ254" i="1"/>
  <c r="BS253" i="1"/>
  <c r="BR253" i="1"/>
  <c r="BQ253" i="1"/>
  <c r="BS252" i="1"/>
  <c r="BR252" i="1"/>
  <c r="BQ252" i="1"/>
  <c r="BS251" i="1"/>
  <c r="BR251" i="1"/>
  <c r="BQ251" i="1"/>
  <c r="BS250" i="1"/>
  <c r="BR250" i="1"/>
  <c r="BQ250" i="1"/>
  <c r="BS249" i="1"/>
  <c r="BR249" i="1"/>
  <c r="BQ249" i="1"/>
  <c r="BS248" i="1"/>
  <c r="BR248" i="1"/>
  <c r="BQ248" i="1"/>
  <c r="BS247" i="1"/>
  <c r="BR247" i="1"/>
  <c r="BQ247" i="1"/>
  <c r="BS246" i="1"/>
  <c r="BR246" i="1"/>
  <c r="BQ246" i="1"/>
  <c r="BS245" i="1"/>
  <c r="BR245" i="1"/>
  <c r="BQ245" i="1"/>
  <c r="BS244" i="1"/>
  <c r="BR244" i="1"/>
  <c r="BQ244" i="1"/>
  <c r="BS243" i="1"/>
  <c r="BR243" i="1"/>
  <c r="BQ243" i="1"/>
  <c r="BS242" i="1"/>
  <c r="BR242" i="1"/>
  <c r="BQ242" i="1"/>
  <c r="BS241" i="1"/>
  <c r="BR241" i="1"/>
  <c r="BQ241" i="1"/>
  <c r="BS240" i="1"/>
  <c r="BR240" i="1"/>
  <c r="BQ240" i="1"/>
  <c r="BS239" i="1"/>
  <c r="BR239" i="1"/>
  <c r="BQ239" i="1"/>
  <c r="BS238" i="1"/>
  <c r="BR238" i="1"/>
  <c r="BQ238" i="1"/>
  <c r="BS237" i="1"/>
  <c r="BR237" i="1"/>
  <c r="BQ237" i="1"/>
  <c r="BS236" i="1"/>
  <c r="BR236" i="1"/>
  <c r="BQ236" i="1"/>
  <c r="BS235" i="1"/>
  <c r="BR235" i="1"/>
  <c r="BQ235" i="1"/>
  <c r="BS234" i="1"/>
  <c r="BR234" i="1"/>
  <c r="BQ234" i="1"/>
  <c r="BS233" i="1"/>
  <c r="BR233" i="1"/>
  <c r="BQ233" i="1"/>
  <c r="BS232" i="1"/>
  <c r="BR232" i="1"/>
  <c r="BQ232" i="1"/>
  <c r="BS231" i="1"/>
  <c r="BR231" i="1"/>
  <c r="BQ231" i="1"/>
  <c r="BS230" i="1"/>
  <c r="BR230" i="1"/>
  <c r="BQ230" i="1"/>
  <c r="BS229" i="1"/>
  <c r="BR229" i="1"/>
  <c r="BQ229" i="1"/>
  <c r="BS228" i="1"/>
  <c r="BR228" i="1"/>
  <c r="BQ228" i="1"/>
  <c r="BS227" i="1"/>
  <c r="BR227" i="1"/>
  <c r="BQ227" i="1"/>
  <c r="BS226" i="1"/>
  <c r="BR226" i="1"/>
  <c r="BQ226" i="1"/>
  <c r="BS225" i="1"/>
  <c r="BR225" i="1"/>
  <c r="BQ225" i="1"/>
  <c r="BS224" i="1"/>
  <c r="BR224" i="1"/>
  <c r="BQ224" i="1"/>
  <c r="BS223" i="1"/>
  <c r="BR223" i="1"/>
  <c r="BQ223" i="1"/>
  <c r="BS222" i="1"/>
  <c r="BR222" i="1"/>
  <c r="BQ222" i="1"/>
  <c r="BS221" i="1"/>
  <c r="BR221" i="1"/>
  <c r="BQ221" i="1"/>
  <c r="BS220" i="1"/>
  <c r="BR220" i="1"/>
  <c r="BQ220" i="1"/>
  <c r="BS219" i="1"/>
  <c r="BR219" i="1"/>
  <c r="BQ219" i="1"/>
  <c r="BS218" i="1"/>
  <c r="BR218" i="1"/>
  <c r="BQ218" i="1"/>
  <c r="BS217" i="1"/>
  <c r="BR217" i="1"/>
  <c r="BQ217" i="1"/>
  <c r="BS216" i="1"/>
  <c r="BR216" i="1"/>
  <c r="BQ216" i="1"/>
  <c r="BS215" i="1"/>
  <c r="BR215" i="1"/>
  <c r="BQ215" i="1"/>
  <c r="BS214" i="1"/>
  <c r="BR214" i="1"/>
  <c r="BQ214" i="1"/>
  <c r="BS213" i="1"/>
  <c r="BR213" i="1"/>
  <c r="BQ213" i="1"/>
  <c r="BS212" i="1"/>
  <c r="BR212" i="1"/>
  <c r="BQ212" i="1"/>
  <c r="BS211" i="1"/>
  <c r="BR211" i="1"/>
  <c r="BQ211" i="1"/>
  <c r="BS210" i="1"/>
  <c r="BR210" i="1"/>
  <c r="BQ210" i="1"/>
  <c r="BS209" i="1"/>
  <c r="BR209" i="1"/>
  <c r="BQ209" i="1"/>
  <c r="BS208" i="1"/>
  <c r="BR208" i="1"/>
  <c r="BQ208" i="1"/>
  <c r="BS207" i="1"/>
  <c r="BR207" i="1"/>
  <c r="BQ207" i="1"/>
  <c r="BS206" i="1"/>
  <c r="BR206" i="1"/>
  <c r="BQ206" i="1"/>
  <c r="BS205" i="1"/>
  <c r="BR205" i="1"/>
  <c r="BQ205" i="1"/>
  <c r="BS204" i="1"/>
  <c r="BR204" i="1"/>
  <c r="BQ204" i="1"/>
  <c r="BS203" i="1"/>
  <c r="BR203" i="1"/>
  <c r="BQ203" i="1"/>
  <c r="BS202" i="1"/>
  <c r="BR202" i="1"/>
  <c r="BQ202" i="1"/>
  <c r="BS201" i="1"/>
  <c r="BR201" i="1"/>
  <c r="BQ201" i="1"/>
  <c r="BS200" i="1"/>
  <c r="BR200" i="1"/>
  <c r="BQ200" i="1"/>
  <c r="BS199" i="1"/>
  <c r="BR199" i="1"/>
  <c r="BQ199" i="1"/>
  <c r="BS198" i="1"/>
  <c r="BR198" i="1"/>
  <c r="BQ198" i="1"/>
  <c r="BS197" i="1"/>
  <c r="BR197" i="1"/>
  <c r="BQ197" i="1"/>
  <c r="BS196" i="1"/>
  <c r="BR196" i="1"/>
  <c r="BQ196" i="1"/>
  <c r="BS195" i="1"/>
  <c r="BR195" i="1"/>
  <c r="BQ195" i="1"/>
  <c r="BS194" i="1"/>
  <c r="BR194" i="1"/>
  <c r="BQ194" i="1"/>
  <c r="BS193" i="1"/>
  <c r="BR193" i="1"/>
  <c r="BQ193" i="1"/>
  <c r="BS192" i="1"/>
  <c r="BR192" i="1"/>
  <c r="BQ192" i="1"/>
  <c r="BS191" i="1"/>
  <c r="BR191" i="1"/>
  <c r="BQ191" i="1"/>
  <c r="BS190" i="1"/>
  <c r="BR190" i="1"/>
  <c r="BQ190" i="1"/>
  <c r="BS189" i="1"/>
  <c r="BR189" i="1"/>
  <c r="BQ189" i="1"/>
  <c r="BS188" i="1"/>
  <c r="BR188" i="1"/>
  <c r="BQ188" i="1"/>
  <c r="BS187" i="1"/>
  <c r="BR187" i="1"/>
  <c r="BQ187" i="1"/>
  <c r="BS186" i="1"/>
  <c r="BR186" i="1"/>
  <c r="BQ186" i="1"/>
  <c r="BS185" i="1"/>
  <c r="BR185" i="1"/>
  <c r="BQ185" i="1"/>
  <c r="BS184" i="1"/>
  <c r="BR184" i="1"/>
  <c r="BQ184" i="1"/>
  <c r="BS183" i="1"/>
  <c r="BR183" i="1"/>
  <c r="BQ183" i="1"/>
  <c r="BS182" i="1"/>
  <c r="BR182" i="1"/>
  <c r="BQ182" i="1"/>
  <c r="BS181" i="1"/>
  <c r="BR181" i="1"/>
  <c r="BQ181" i="1"/>
  <c r="BS180" i="1"/>
  <c r="BR180" i="1"/>
  <c r="BQ180" i="1"/>
  <c r="BS179" i="1"/>
  <c r="BR179" i="1"/>
  <c r="BQ179" i="1"/>
  <c r="BS178" i="1"/>
  <c r="BR178" i="1"/>
  <c r="BQ178" i="1"/>
  <c r="BS177" i="1"/>
  <c r="BR177" i="1"/>
  <c r="BQ177" i="1"/>
  <c r="BS176" i="1"/>
  <c r="BR176" i="1"/>
  <c r="BQ176" i="1"/>
  <c r="BS175" i="1"/>
  <c r="BR175" i="1"/>
  <c r="BQ175" i="1"/>
  <c r="BS174" i="1"/>
  <c r="BR174" i="1"/>
  <c r="BQ174" i="1"/>
  <c r="BS173" i="1"/>
  <c r="BR173" i="1"/>
  <c r="BQ173" i="1"/>
  <c r="BS172" i="1"/>
  <c r="BR172" i="1"/>
  <c r="BQ172" i="1"/>
  <c r="BS171" i="1"/>
  <c r="BR171" i="1"/>
  <c r="BQ171" i="1"/>
  <c r="BS170" i="1"/>
  <c r="BR170" i="1"/>
  <c r="BQ170" i="1"/>
  <c r="BS169" i="1"/>
  <c r="BR169" i="1"/>
  <c r="BQ169" i="1"/>
  <c r="BS168" i="1"/>
  <c r="BR168" i="1"/>
  <c r="BQ168" i="1"/>
  <c r="BS167" i="1"/>
  <c r="BR167" i="1"/>
  <c r="BQ167" i="1"/>
  <c r="BS166" i="1"/>
  <c r="BR166" i="1"/>
  <c r="BQ166" i="1"/>
  <c r="BS165" i="1"/>
  <c r="BR165" i="1"/>
  <c r="BQ165" i="1"/>
  <c r="BS164" i="1"/>
  <c r="BR164" i="1"/>
  <c r="BQ164" i="1"/>
  <c r="BS163" i="1"/>
  <c r="BR163" i="1"/>
  <c r="BQ163" i="1"/>
  <c r="BS162" i="1"/>
  <c r="BR162" i="1"/>
  <c r="BQ162" i="1"/>
  <c r="BS161" i="1"/>
  <c r="BR161" i="1"/>
  <c r="BQ161" i="1"/>
  <c r="BS160" i="1"/>
  <c r="BR160" i="1"/>
  <c r="BQ160" i="1"/>
  <c r="BS159" i="1"/>
  <c r="BR159" i="1"/>
  <c r="BQ159" i="1"/>
  <c r="BS158" i="1"/>
  <c r="BR158" i="1"/>
  <c r="BQ158" i="1"/>
  <c r="BS157" i="1"/>
  <c r="BR157" i="1"/>
  <c r="BQ157" i="1"/>
  <c r="BS156" i="1"/>
  <c r="BR156" i="1"/>
  <c r="BQ156" i="1"/>
  <c r="BS155" i="1"/>
  <c r="BR155" i="1"/>
  <c r="BQ155" i="1"/>
  <c r="BS154" i="1"/>
  <c r="BR154" i="1"/>
  <c r="BQ154" i="1"/>
  <c r="BS153" i="1"/>
  <c r="BR153" i="1"/>
  <c r="BQ153" i="1"/>
  <c r="BS152" i="1"/>
  <c r="BR152" i="1"/>
  <c r="BQ152" i="1"/>
  <c r="BS151" i="1"/>
  <c r="BR151" i="1"/>
  <c r="BQ151" i="1"/>
  <c r="BS150" i="1"/>
  <c r="BR150" i="1"/>
  <c r="BQ150" i="1"/>
  <c r="BS149" i="1"/>
  <c r="BR149" i="1"/>
  <c r="BQ149" i="1"/>
  <c r="BS148" i="1"/>
  <c r="BR148" i="1"/>
  <c r="BQ148" i="1"/>
  <c r="BS147" i="1"/>
  <c r="BR147" i="1"/>
  <c r="BQ147" i="1"/>
  <c r="BS146" i="1"/>
  <c r="BR146" i="1"/>
  <c r="BQ146" i="1"/>
  <c r="BS145" i="1"/>
  <c r="BR145" i="1"/>
  <c r="BQ145" i="1"/>
  <c r="BS144" i="1"/>
  <c r="BR144" i="1"/>
  <c r="BQ144" i="1"/>
  <c r="BS143" i="1"/>
  <c r="BR143" i="1"/>
  <c r="BQ143" i="1"/>
  <c r="BS142" i="1"/>
  <c r="BR142" i="1"/>
  <c r="BQ142" i="1"/>
  <c r="BS141" i="1"/>
  <c r="BR141" i="1"/>
  <c r="BQ141" i="1"/>
  <c r="BS140" i="1"/>
  <c r="BR140" i="1"/>
  <c r="BQ140" i="1"/>
  <c r="BS139" i="1"/>
  <c r="BR139" i="1"/>
  <c r="BQ139" i="1"/>
  <c r="BS138" i="1"/>
  <c r="BR138" i="1"/>
  <c r="BQ138" i="1"/>
  <c r="BS137" i="1"/>
  <c r="BR137" i="1"/>
  <c r="BQ137" i="1"/>
  <c r="BS136" i="1"/>
  <c r="BR136" i="1"/>
  <c r="BQ136" i="1"/>
  <c r="BS135" i="1"/>
  <c r="BR135" i="1"/>
  <c r="BQ135" i="1"/>
  <c r="BS134" i="1"/>
  <c r="BR134" i="1"/>
  <c r="BQ134" i="1"/>
  <c r="BS133" i="1"/>
  <c r="BR133" i="1"/>
  <c r="BQ133" i="1"/>
  <c r="BS132" i="1"/>
  <c r="BR132" i="1"/>
  <c r="BQ132" i="1"/>
  <c r="BS131" i="1"/>
  <c r="BR131" i="1"/>
  <c r="BQ131" i="1"/>
  <c r="BS130" i="1"/>
  <c r="BR130" i="1"/>
  <c r="BQ130" i="1"/>
  <c r="BS129" i="1"/>
  <c r="BR129" i="1"/>
  <c r="BQ129" i="1"/>
  <c r="BS128" i="1"/>
  <c r="BR128" i="1"/>
  <c r="BQ128" i="1"/>
  <c r="BS127" i="1"/>
  <c r="BR127" i="1"/>
  <c r="BQ127" i="1"/>
  <c r="BS126" i="1"/>
  <c r="BR126" i="1"/>
  <c r="BQ126" i="1"/>
  <c r="BS125" i="1"/>
  <c r="BR125" i="1"/>
  <c r="BQ125" i="1"/>
  <c r="BS124" i="1"/>
  <c r="BR124" i="1"/>
  <c r="BQ124" i="1"/>
  <c r="BS123" i="1"/>
  <c r="BR123" i="1"/>
  <c r="BQ123" i="1"/>
  <c r="BS122" i="1"/>
  <c r="BR122" i="1"/>
  <c r="BQ122" i="1"/>
  <c r="BS121" i="1"/>
  <c r="BR121" i="1"/>
  <c r="BQ121" i="1"/>
  <c r="BS120" i="1"/>
  <c r="BR120" i="1"/>
  <c r="BQ120" i="1"/>
  <c r="BS119" i="1"/>
  <c r="BR119" i="1"/>
  <c r="BQ119" i="1"/>
  <c r="BS118" i="1"/>
  <c r="BR118" i="1"/>
  <c r="BQ118" i="1"/>
  <c r="BS117" i="1"/>
  <c r="BR117" i="1"/>
  <c r="BQ117" i="1"/>
  <c r="BS116" i="1"/>
  <c r="BR116" i="1"/>
  <c r="BQ116" i="1"/>
  <c r="BS115" i="1"/>
  <c r="BR115" i="1"/>
  <c r="BQ115" i="1"/>
  <c r="BS114" i="1"/>
  <c r="BR114" i="1"/>
  <c r="BQ114" i="1"/>
  <c r="BS113" i="1"/>
  <c r="BR113" i="1"/>
  <c r="BQ113" i="1"/>
  <c r="BS112" i="1"/>
  <c r="BR112" i="1"/>
  <c r="BQ112" i="1"/>
  <c r="BS111" i="1"/>
  <c r="BR111" i="1"/>
  <c r="BQ111" i="1"/>
  <c r="BS110" i="1"/>
  <c r="BR110" i="1"/>
  <c r="BQ110" i="1"/>
  <c r="BS109" i="1"/>
  <c r="BR109" i="1"/>
  <c r="BQ109" i="1"/>
  <c r="BS108" i="1"/>
  <c r="BR108" i="1"/>
  <c r="BQ108" i="1"/>
  <c r="BS107" i="1"/>
  <c r="BR107" i="1"/>
  <c r="BQ107" i="1"/>
  <c r="BS106" i="1"/>
  <c r="BR106" i="1"/>
  <c r="BQ106" i="1"/>
  <c r="BS105" i="1"/>
  <c r="BR105" i="1"/>
  <c r="BQ105" i="1"/>
  <c r="BS104" i="1"/>
  <c r="BR104" i="1"/>
  <c r="BQ104" i="1"/>
  <c r="BS103" i="1"/>
  <c r="BR103" i="1"/>
  <c r="BQ103" i="1"/>
  <c r="BS102" i="1"/>
  <c r="BR102" i="1"/>
  <c r="BQ102" i="1"/>
  <c r="BS101" i="1"/>
  <c r="BR101" i="1"/>
  <c r="BQ101" i="1"/>
  <c r="BS100" i="1"/>
  <c r="BR100" i="1"/>
  <c r="BQ100" i="1"/>
  <c r="BS99" i="1"/>
  <c r="BR99" i="1"/>
  <c r="BQ99" i="1"/>
  <c r="BS98" i="1"/>
  <c r="BR98" i="1"/>
  <c r="BQ98" i="1"/>
  <c r="BS97" i="1"/>
  <c r="BR97" i="1"/>
  <c r="BQ97" i="1"/>
  <c r="BS96" i="1"/>
  <c r="BR96" i="1"/>
  <c r="BQ96" i="1"/>
  <c r="BS95" i="1"/>
  <c r="BR95" i="1"/>
  <c r="BQ95" i="1"/>
  <c r="BS94" i="1"/>
  <c r="BR94" i="1"/>
  <c r="BQ94" i="1"/>
  <c r="BS93" i="1"/>
  <c r="BR93" i="1"/>
  <c r="BQ93" i="1"/>
  <c r="BS92" i="1"/>
  <c r="BR92" i="1"/>
  <c r="BQ92" i="1"/>
  <c r="BS91" i="1"/>
  <c r="BR91" i="1"/>
  <c r="BQ91" i="1"/>
  <c r="BS90" i="1"/>
  <c r="BR90" i="1"/>
  <c r="BQ90" i="1"/>
  <c r="BS89" i="1"/>
  <c r="BR89" i="1"/>
  <c r="BQ89" i="1"/>
  <c r="BS88" i="1"/>
  <c r="BR88" i="1"/>
  <c r="BQ88" i="1"/>
  <c r="BS87" i="1"/>
  <c r="BR87" i="1"/>
  <c r="BQ87" i="1"/>
  <c r="BS86" i="1"/>
  <c r="BR86" i="1"/>
  <c r="BQ86" i="1"/>
  <c r="BS85" i="1"/>
  <c r="BR85" i="1"/>
  <c r="BQ85" i="1"/>
  <c r="BS84" i="1"/>
  <c r="BR84" i="1"/>
  <c r="BQ84" i="1"/>
  <c r="BS83" i="1"/>
  <c r="BR83" i="1"/>
  <c r="BQ83" i="1"/>
  <c r="BS82" i="1"/>
  <c r="BR82" i="1"/>
  <c r="BQ82" i="1"/>
  <c r="BS81" i="1"/>
  <c r="BR81" i="1"/>
  <c r="BQ81" i="1"/>
  <c r="BS80" i="1"/>
  <c r="BR80" i="1"/>
  <c r="BQ80" i="1"/>
  <c r="BS79" i="1"/>
  <c r="BR79" i="1"/>
  <c r="BQ79" i="1"/>
  <c r="BS78" i="1"/>
  <c r="BR78" i="1"/>
  <c r="BQ78" i="1"/>
  <c r="BS77" i="1"/>
  <c r="BR77" i="1"/>
  <c r="BQ77" i="1"/>
  <c r="BS76" i="1"/>
  <c r="BR76" i="1"/>
  <c r="BQ76" i="1"/>
  <c r="BS75" i="1"/>
  <c r="BR75" i="1"/>
  <c r="BQ75" i="1"/>
  <c r="BS74" i="1"/>
  <c r="BR74" i="1"/>
  <c r="BQ74" i="1"/>
  <c r="BS73" i="1"/>
  <c r="BR73" i="1"/>
  <c r="BQ73" i="1"/>
  <c r="BS72" i="1"/>
  <c r="BR72" i="1"/>
  <c r="BQ72" i="1"/>
  <c r="BS71" i="1"/>
  <c r="BR71" i="1"/>
  <c r="BQ71" i="1"/>
  <c r="BS70" i="1"/>
  <c r="BR70" i="1"/>
  <c r="BQ70" i="1"/>
  <c r="BS69" i="1"/>
  <c r="BR69" i="1"/>
  <c r="BQ69" i="1"/>
  <c r="BS68" i="1"/>
  <c r="BR68" i="1"/>
  <c r="BQ68" i="1"/>
  <c r="BS67" i="1"/>
  <c r="BR67" i="1"/>
  <c r="BQ67" i="1"/>
  <c r="BS66" i="1"/>
  <c r="BR66" i="1"/>
  <c r="BQ66" i="1"/>
  <c r="BS65" i="1"/>
  <c r="BR65" i="1"/>
  <c r="BQ65" i="1"/>
  <c r="BS64" i="1"/>
  <c r="BR64" i="1"/>
  <c r="BQ64" i="1"/>
  <c r="BS63" i="1"/>
  <c r="BR63" i="1"/>
  <c r="BQ63" i="1"/>
  <c r="BS62" i="1"/>
  <c r="BR62" i="1"/>
  <c r="BQ62" i="1"/>
  <c r="BS61" i="1"/>
  <c r="BR61" i="1"/>
  <c r="BQ61" i="1"/>
  <c r="BS60" i="1"/>
  <c r="BR60" i="1"/>
  <c r="BQ60" i="1"/>
  <c r="BS59" i="1"/>
  <c r="BR59" i="1"/>
  <c r="BQ59" i="1"/>
  <c r="BS58" i="1"/>
  <c r="BR58" i="1"/>
  <c r="BQ58" i="1"/>
  <c r="BS57" i="1"/>
  <c r="BR57" i="1"/>
  <c r="BQ57" i="1"/>
  <c r="BS56" i="1"/>
  <c r="BR56" i="1"/>
  <c r="BQ56" i="1"/>
  <c r="BS55" i="1"/>
  <c r="BR55" i="1"/>
  <c r="BQ55" i="1"/>
  <c r="BS54" i="1"/>
  <c r="BR54" i="1"/>
  <c r="BQ54" i="1"/>
  <c r="BS53" i="1"/>
  <c r="BR53" i="1"/>
  <c r="BQ53" i="1"/>
  <c r="BS52" i="1"/>
  <c r="BR52" i="1"/>
  <c r="BQ52" i="1"/>
  <c r="BS51" i="1"/>
  <c r="BR51" i="1"/>
  <c r="BQ51" i="1"/>
  <c r="BS50" i="1"/>
  <c r="BR50" i="1"/>
  <c r="BQ50" i="1"/>
  <c r="BS49" i="1"/>
  <c r="BR49" i="1"/>
  <c r="BQ49" i="1"/>
  <c r="BS48" i="1"/>
  <c r="BR48" i="1"/>
  <c r="BQ48" i="1"/>
  <c r="BS47" i="1"/>
  <c r="BR47" i="1"/>
  <c r="BQ47" i="1"/>
  <c r="BS46" i="1"/>
  <c r="BR46" i="1"/>
  <c r="BQ46" i="1"/>
  <c r="BS45" i="1"/>
  <c r="BR45" i="1"/>
  <c r="BQ45" i="1"/>
  <c r="BS44" i="1"/>
  <c r="BR44" i="1"/>
  <c r="BQ44" i="1"/>
  <c r="BS43" i="1"/>
  <c r="BR43" i="1"/>
  <c r="BQ43" i="1"/>
  <c r="BS42" i="1"/>
  <c r="BR42" i="1"/>
  <c r="BQ42" i="1"/>
  <c r="BS41" i="1"/>
  <c r="BR41" i="1"/>
  <c r="BQ41" i="1"/>
  <c r="BS40" i="1"/>
  <c r="BR40" i="1"/>
  <c r="BQ40" i="1"/>
  <c r="BS39" i="1"/>
  <c r="BR39" i="1"/>
  <c r="BQ39" i="1"/>
  <c r="BS38" i="1"/>
  <c r="BR38" i="1"/>
  <c r="BQ38" i="1"/>
  <c r="BS37" i="1"/>
  <c r="BR37" i="1"/>
  <c r="BQ37" i="1"/>
  <c r="BS36" i="1"/>
  <c r="BR36" i="1"/>
  <c r="BQ36" i="1"/>
  <c r="BS35" i="1"/>
  <c r="BR35" i="1"/>
  <c r="BQ35" i="1"/>
  <c r="BS34" i="1"/>
  <c r="BR34" i="1"/>
  <c r="BQ34" i="1"/>
  <c r="BS33" i="1"/>
  <c r="BR33" i="1"/>
  <c r="BQ33" i="1"/>
  <c r="BS32" i="1"/>
  <c r="BR32" i="1"/>
  <c r="BQ32" i="1"/>
  <c r="BS31" i="1"/>
  <c r="BR31" i="1"/>
  <c r="BQ31" i="1"/>
  <c r="BS30" i="1"/>
  <c r="BR30" i="1"/>
  <c r="BQ30" i="1"/>
  <c r="BS29" i="1"/>
  <c r="BR29" i="1"/>
  <c r="BQ29" i="1"/>
  <c r="BS28" i="1"/>
  <c r="BR28" i="1"/>
  <c r="BQ28" i="1"/>
  <c r="BS27" i="1"/>
  <c r="BR27" i="1"/>
  <c r="BQ27" i="1"/>
  <c r="BS26" i="1"/>
  <c r="BR26" i="1"/>
  <c r="BQ26" i="1"/>
  <c r="BS25" i="1"/>
  <c r="BR25" i="1"/>
  <c r="BQ25" i="1"/>
  <c r="BS24" i="1"/>
  <c r="BR24" i="1"/>
  <c r="BQ24" i="1"/>
  <c r="BS23" i="1"/>
  <c r="BR23" i="1"/>
  <c r="BQ23" i="1"/>
  <c r="BS22" i="1"/>
  <c r="BR22" i="1"/>
  <c r="BQ22" i="1"/>
  <c r="BS21" i="1"/>
  <c r="BR21" i="1"/>
  <c r="BQ21" i="1"/>
  <c r="BS20" i="1"/>
  <c r="BR20" i="1"/>
  <c r="BQ20" i="1"/>
  <c r="BS19" i="1"/>
  <c r="BR19" i="1"/>
  <c r="BQ19" i="1"/>
  <c r="BS18" i="1"/>
  <c r="BR18" i="1"/>
  <c r="BQ18" i="1"/>
  <c r="BS17" i="1"/>
  <c r="BR17" i="1"/>
  <c r="BQ17" i="1"/>
  <c r="BS16" i="1"/>
  <c r="BR16" i="1"/>
  <c r="BQ16" i="1"/>
  <c r="BS15" i="1"/>
  <c r="BR15" i="1"/>
  <c r="BQ15" i="1"/>
  <c r="BS14" i="1"/>
  <c r="BR14" i="1"/>
  <c r="BQ14" i="1"/>
  <c r="BS13" i="1"/>
  <c r="BR13" i="1"/>
  <c r="BQ13" i="1"/>
  <c r="BS12" i="1"/>
  <c r="BR12" i="1"/>
  <c r="BQ12" i="1"/>
  <c r="BS11" i="1"/>
  <c r="BR11" i="1"/>
  <c r="BQ11" i="1"/>
  <c r="BS10" i="1"/>
  <c r="BR10" i="1"/>
  <c r="BQ10" i="1"/>
  <c r="BS9" i="1"/>
  <c r="BR9" i="1"/>
  <c r="BQ9" i="1"/>
  <c r="BS8" i="1"/>
  <c r="BR8" i="1"/>
  <c r="BQ8" i="1"/>
  <c r="BS7" i="1"/>
  <c r="BR7" i="1"/>
  <c r="BQ7" i="1"/>
  <c r="BS6" i="1"/>
  <c r="BR6" i="1"/>
  <c r="BQ6" i="1"/>
  <c r="BP356" i="1" l="1"/>
  <c r="BP355" i="1"/>
  <c r="BP354" i="1"/>
  <c r="BP353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Y296" i="1" l="1"/>
  <c r="BX296" i="1"/>
  <c r="BY298" i="1"/>
  <c r="BX298" i="1"/>
  <c r="BY300" i="1"/>
  <c r="BX300" i="1"/>
  <c r="BY302" i="1"/>
  <c r="BX302" i="1"/>
  <c r="BY304" i="1"/>
  <c r="BX304" i="1"/>
  <c r="BY306" i="1"/>
  <c r="BX306" i="1"/>
  <c r="BY308" i="1"/>
  <c r="BX308" i="1"/>
  <c r="BY310" i="1"/>
  <c r="BX310" i="1"/>
  <c r="BY312" i="1"/>
  <c r="BX312" i="1"/>
  <c r="BY314" i="1"/>
  <c r="BX314" i="1"/>
  <c r="BY316" i="1"/>
  <c r="BX316" i="1"/>
  <c r="BY318" i="1"/>
  <c r="BX318" i="1"/>
  <c r="BY320" i="1"/>
  <c r="BX320" i="1"/>
  <c r="BY322" i="1"/>
  <c r="BX322" i="1"/>
  <c r="BY324" i="1"/>
  <c r="BX324" i="1"/>
  <c r="BY326" i="1"/>
  <c r="BX326" i="1"/>
  <c r="BY328" i="1"/>
  <c r="BX328" i="1"/>
  <c r="BY330" i="1"/>
  <c r="BX330" i="1"/>
  <c r="BY332" i="1"/>
  <c r="BX332" i="1"/>
  <c r="BY334" i="1"/>
  <c r="BX334" i="1"/>
  <c r="BY336" i="1"/>
  <c r="BX336" i="1"/>
  <c r="BY338" i="1"/>
  <c r="BX338" i="1"/>
  <c r="BY340" i="1"/>
  <c r="BX340" i="1"/>
  <c r="BY342" i="1"/>
  <c r="BX342" i="1"/>
  <c r="BY344" i="1"/>
  <c r="BX344" i="1"/>
  <c r="BY346" i="1"/>
  <c r="BX346" i="1"/>
  <c r="BY348" i="1"/>
  <c r="BX348" i="1"/>
  <c r="BY350" i="1"/>
  <c r="BX350" i="1"/>
  <c r="BY352" i="1"/>
  <c r="BX352" i="1"/>
  <c r="BY354" i="1"/>
  <c r="BX354" i="1"/>
  <c r="BY356" i="1"/>
  <c r="BX356" i="1"/>
  <c r="BY358" i="1"/>
  <c r="BX358" i="1"/>
  <c r="BY360" i="1"/>
  <c r="BX360" i="1"/>
  <c r="BY362" i="1"/>
  <c r="BX362" i="1"/>
  <c r="BY364" i="1"/>
  <c r="BX364" i="1"/>
  <c r="BY366" i="1"/>
  <c r="BX366" i="1"/>
  <c r="BY368" i="1"/>
  <c r="BX368" i="1"/>
  <c r="BY370" i="1"/>
  <c r="BX370" i="1"/>
  <c r="BY295" i="1"/>
  <c r="BX295" i="1"/>
  <c r="BY297" i="1"/>
  <c r="BX297" i="1"/>
  <c r="BY299" i="1"/>
  <c r="BX299" i="1"/>
  <c r="BY301" i="1"/>
  <c r="BX301" i="1"/>
  <c r="BY303" i="1"/>
  <c r="BX303" i="1"/>
  <c r="BY305" i="1"/>
  <c r="BX305" i="1"/>
  <c r="BY307" i="1"/>
  <c r="BX307" i="1"/>
  <c r="BY309" i="1"/>
  <c r="BX309" i="1"/>
  <c r="BY311" i="1"/>
  <c r="BX311" i="1"/>
  <c r="BY313" i="1"/>
  <c r="BX313" i="1"/>
  <c r="BY315" i="1"/>
  <c r="BX315" i="1"/>
  <c r="BY317" i="1"/>
  <c r="BX317" i="1"/>
  <c r="BY319" i="1"/>
  <c r="BX319" i="1"/>
  <c r="BY321" i="1"/>
  <c r="BX321" i="1"/>
  <c r="BY323" i="1"/>
  <c r="BX323" i="1"/>
  <c r="BY325" i="1"/>
  <c r="BX325" i="1"/>
  <c r="BY327" i="1"/>
  <c r="BX327" i="1"/>
  <c r="BY329" i="1"/>
  <c r="BX329" i="1"/>
  <c r="BY331" i="1"/>
  <c r="BX331" i="1"/>
  <c r="BY333" i="1"/>
  <c r="BX333" i="1"/>
  <c r="BY335" i="1"/>
  <c r="BX335" i="1"/>
  <c r="BY337" i="1"/>
  <c r="BX337" i="1"/>
  <c r="BY339" i="1"/>
  <c r="BX339" i="1"/>
  <c r="BY341" i="1"/>
  <c r="BX341" i="1"/>
  <c r="BY343" i="1"/>
  <c r="BX343" i="1"/>
  <c r="BY345" i="1"/>
  <c r="BX345" i="1"/>
  <c r="BY347" i="1"/>
  <c r="BX347" i="1"/>
  <c r="BY349" i="1"/>
  <c r="BX349" i="1"/>
  <c r="BY351" i="1"/>
  <c r="BX351" i="1"/>
  <c r="BY353" i="1"/>
  <c r="BX353" i="1"/>
  <c r="BY355" i="1"/>
  <c r="BX355" i="1"/>
  <c r="BY357" i="1"/>
  <c r="BX357" i="1"/>
  <c r="BY359" i="1"/>
  <c r="BX359" i="1"/>
  <c r="BY361" i="1"/>
  <c r="BX361" i="1"/>
  <c r="BY363" i="1"/>
  <c r="BX363" i="1"/>
  <c r="BY365" i="1"/>
  <c r="BX365" i="1"/>
  <c r="BY367" i="1"/>
  <c r="BX367" i="1"/>
  <c r="BY369" i="1"/>
  <c r="BX369" i="1"/>
  <c r="CB65" i="1"/>
  <c r="CA65" i="1"/>
  <c r="BF65" i="1"/>
  <c r="BE65" i="1"/>
  <c r="BK65" i="1"/>
  <c r="BJ65" i="1"/>
  <c r="CB64" i="1"/>
  <c r="CA64" i="1"/>
  <c r="BF64" i="1"/>
  <c r="BE64" i="1"/>
  <c r="BJ64" i="1"/>
  <c r="CB63" i="1"/>
  <c r="CA63" i="1"/>
  <c r="BF63" i="1"/>
  <c r="BE63" i="1"/>
  <c r="BK63" i="1"/>
  <c r="BJ63" i="1"/>
  <c r="BK64" i="1" l="1"/>
  <c r="BP318" i="1" l="1"/>
  <c r="BY294" i="1" l="1"/>
  <c r="BX294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 l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2" i="1"/>
  <c r="AZ61" i="1"/>
  <c r="BJ61" i="1" s="1"/>
  <c r="AZ60" i="1"/>
  <c r="BJ60" i="1" s="1"/>
  <c r="AZ59" i="1"/>
  <c r="BJ59" i="1" s="1"/>
  <c r="AZ58" i="1"/>
  <c r="BJ58" i="1" s="1"/>
  <c r="AZ57" i="1"/>
  <c r="BJ57" i="1" s="1"/>
  <c r="AZ56" i="1"/>
  <c r="BJ56" i="1" s="1"/>
  <c r="AZ55" i="1"/>
  <c r="BJ55" i="1" s="1"/>
  <c r="AZ54" i="1"/>
  <c r="BJ54" i="1" s="1"/>
  <c r="AZ53" i="1"/>
  <c r="BJ53" i="1" s="1"/>
  <c r="AZ52" i="1"/>
  <c r="BJ52" i="1" s="1"/>
  <c r="AZ51" i="1"/>
  <c r="BJ51" i="1" s="1"/>
  <c r="AZ50" i="1"/>
  <c r="BJ50" i="1" s="1"/>
  <c r="AZ49" i="1"/>
  <c r="BJ49" i="1" s="1"/>
  <c r="AZ48" i="1"/>
  <c r="BJ48" i="1" s="1"/>
  <c r="AZ47" i="1"/>
  <c r="BJ47" i="1" s="1"/>
  <c r="AZ46" i="1"/>
  <c r="BJ46" i="1" s="1"/>
  <c r="AZ45" i="1"/>
  <c r="BJ45" i="1" s="1"/>
  <c r="AZ44" i="1"/>
  <c r="BJ44" i="1" s="1"/>
  <c r="AZ43" i="1"/>
  <c r="BJ43" i="1" s="1"/>
  <c r="AZ42" i="1"/>
  <c r="BJ42" i="1" s="1"/>
  <c r="AZ41" i="1"/>
  <c r="BJ41" i="1" s="1"/>
  <c r="AZ40" i="1"/>
  <c r="BJ40" i="1" s="1"/>
  <c r="AZ39" i="1"/>
  <c r="BJ39" i="1" s="1"/>
  <c r="AZ38" i="1"/>
  <c r="BJ38" i="1" s="1"/>
  <c r="AZ37" i="1"/>
  <c r="BJ37" i="1" s="1"/>
  <c r="AZ36" i="1"/>
  <c r="BJ36" i="1" s="1"/>
  <c r="AZ35" i="1"/>
  <c r="BJ35" i="1" s="1"/>
  <c r="AZ34" i="1"/>
  <c r="BJ34" i="1" s="1"/>
  <c r="AZ33" i="1"/>
  <c r="BJ33" i="1" s="1"/>
  <c r="AZ32" i="1"/>
  <c r="BJ32" i="1" s="1"/>
  <c r="AZ31" i="1"/>
  <c r="BJ31" i="1" s="1"/>
  <c r="AZ30" i="1"/>
  <c r="BJ30" i="1" s="1"/>
  <c r="AZ29" i="1"/>
  <c r="BJ29" i="1" s="1"/>
  <c r="AZ28" i="1"/>
  <c r="BJ28" i="1" s="1"/>
  <c r="AZ27" i="1"/>
  <c r="BJ27" i="1" s="1"/>
  <c r="AZ26" i="1"/>
  <c r="BJ26" i="1" s="1"/>
  <c r="AZ25" i="1"/>
  <c r="BJ25" i="1" s="1"/>
  <c r="AZ24" i="1"/>
  <c r="BJ24" i="1" s="1"/>
  <c r="AZ23" i="1"/>
  <c r="BJ23" i="1" s="1"/>
  <c r="AZ22" i="1"/>
  <c r="BJ22" i="1" s="1"/>
  <c r="AZ21" i="1"/>
  <c r="BJ21" i="1" s="1"/>
  <c r="AZ20" i="1"/>
  <c r="BJ20" i="1" s="1"/>
  <c r="AZ19" i="1"/>
  <c r="BJ19" i="1" s="1"/>
  <c r="AZ18" i="1"/>
  <c r="BJ18" i="1" s="1"/>
  <c r="AZ17" i="1"/>
  <c r="BJ17" i="1" s="1"/>
  <c r="AZ16" i="1"/>
  <c r="BJ16" i="1" s="1"/>
  <c r="AZ15" i="1"/>
  <c r="BJ15" i="1" s="1"/>
  <c r="AZ14" i="1"/>
  <c r="BJ14" i="1" s="1"/>
  <c r="AZ13" i="1"/>
  <c r="BJ13" i="1" s="1"/>
  <c r="AZ12" i="1"/>
  <c r="BJ12" i="1" s="1"/>
  <c r="AZ11" i="1"/>
  <c r="BJ11" i="1" s="1"/>
  <c r="AZ10" i="1"/>
  <c r="BJ10" i="1" s="1"/>
  <c r="AZ9" i="1"/>
  <c r="BJ9" i="1" s="1"/>
  <c r="AZ8" i="1"/>
  <c r="BJ8" i="1" s="1"/>
  <c r="AZ7" i="1"/>
  <c r="BJ7" i="1" s="1"/>
  <c r="AZ6" i="1"/>
  <c r="BJ6" i="1" s="1"/>
  <c r="BA61" i="1"/>
  <c r="AY61" i="1"/>
  <c r="BA60" i="1"/>
  <c r="AY60" i="1"/>
  <c r="BA59" i="1"/>
  <c r="AY59" i="1"/>
  <c r="BA58" i="1"/>
  <c r="AY58" i="1"/>
  <c r="BA57" i="1"/>
  <c r="AY57" i="1"/>
  <c r="BA56" i="1"/>
  <c r="AY56" i="1"/>
  <c r="BA55" i="1"/>
  <c r="AY55" i="1"/>
  <c r="BA54" i="1"/>
  <c r="AY54" i="1"/>
  <c r="BA53" i="1"/>
  <c r="AY53" i="1"/>
  <c r="BA52" i="1"/>
  <c r="AY52" i="1"/>
  <c r="BA51" i="1"/>
  <c r="AY51" i="1"/>
  <c r="BA50" i="1"/>
  <c r="AY50" i="1"/>
  <c r="BA49" i="1"/>
  <c r="AY49" i="1"/>
  <c r="BA48" i="1"/>
  <c r="AY48" i="1"/>
  <c r="BA47" i="1"/>
  <c r="AY47" i="1"/>
  <c r="BA46" i="1"/>
  <c r="AY46" i="1"/>
  <c r="BA45" i="1"/>
  <c r="AY45" i="1"/>
  <c r="BA44" i="1"/>
  <c r="AY44" i="1"/>
  <c r="BA43" i="1"/>
  <c r="AY43" i="1"/>
  <c r="BA42" i="1"/>
  <c r="AY42" i="1"/>
  <c r="BA41" i="1"/>
  <c r="AY41" i="1"/>
  <c r="BA40" i="1"/>
  <c r="AY40" i="1"/>
  <c r="BA39" i="1"/>
  <c r="AY39" i="1"/>
  <c r="BA38" i="1"/>
  <c r="AY38" i="1"/>
  <c r="BA37" i="1"/>
  <c r="AY37" i="1"/>
  <c r="BA36" i="1"/>
  <c r="AY36" i="1"/>
  <c r="BA35" i="1"/>
  <c r="AY35" i="1"/>
  <c r="BA34" i="1"/>
  <c r="AY34" i="1"/>
  <c r="BA33" i="1"/>
  <c r="AY33" i="1"/>
  <c r="BA32" i="1"/>
  <c r="AY32" i="1"/>
  <c r="BA31" i="1"/>
  <c r="AY31" i="1"/>
  <c r="BA30" i="1"/>
  <c r="AY30" i="1"/>
  <c r="BA29" i="1"/>
  <c r="AY29" i="1"/>
  <c r="BA28" i="1"/>
  <c r="AY28" i="1"/>
  <c r="BA27" i="1"/>
  <c r="AY27" i="1"/>
  <c r="BA26" i="1"/>
  <c r="AY26" i="1"/>
  <c r="BA25" i="1"/>
  <c r="AY25" i="1"/>
  <c r="BA24" i="1"/>
  <c r="AY24" i="1"/>
  <c r="BA23" i="1"/>
  <c r="AY23" i="1"/>
  <c r="BA22" i="1"/>
  <c r="AY22" i="1"/>
  <c r="BA21" i="1"/>
  <c r="AY21" i="1"/>
  <c r="BA20" i="1"/>
  <c r="AY20" i="1"/>
  <c r="BA19" i="1"/>
  <c r="AY19" i="1"/>
  <c r="BA18" i="1"/>
  <c r="AY18" i="1"/>
  <c r="BA17" i="1"/>
  <c r="AY17" i="1"/>
  <c r="BA16" i="1"/>
  <c r="AY16" i="1"/>
  <c r="BA15" i="1"/>
  <c r="AY15" i="1"/>
  <c r="BA14" i="1"/>
  <c r="AY14" i="1"/>
  <c r="BA13" i="1"/>
  <c r="AY13" i="1"/>
  <c r="BA12" i="1"/>
  <c r="AY12" i="1"/>
  <c r="BA11" i="1"/>
  <c r="AY11" i="1"/>
  <c r="BA10" i="1"/>
  <c r="AY10" i="1"/>
  <c r="BA9" i="1"/>
  <c r="AY9" i="1"/>
  <c r="BA8" i="1"/>
  <c r="AY8" i="1"/>
  <c r="BA7" i="1"/>
  <c r="AY7" i="1"/>
  <c r="BA6" i="1"/>
  <c r="AY6" i="1"/>
  <c r="AY1" i="1" s="1"/>
  <c r="BP370" i="1" l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46" i="1"/>
  <c r="BP345" i="1"/>
  <c r="BP344" i="1"/>
  <c r="BP343" i="1"/>
  <c r="BP342" i="1"/>
  <c r="BP341" i="1"/>
  <c r="BP340" i="1"/>
  <c r="BP339" i="1"/>
  <c r="BP338" i="1"/>
  <c r="BP337" i="1"/>
  <c r="BP336" i="1"/>
  <c r="BP317" i="1"/>
  <c r="BT370" i="1" l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V40" i="1" l="1"/>
  <c r="BI40" i="1"/>
  <c r="CB40" i="1" s="1"/>
  <c r="BH40" i="1"/>
  <c r="CA40" i="1" s="1"/>
  <c r="BG40" i="1"/>
  <c r="BF40" i="1"/>
  <c r="BE40" i="1"/>
  <c r="BK40" i="1"/>
  <c r="BP40" i="1"/>
  <c r="BB40" i="1" l="1"/>
  <c r="BE1" i="1"/>
  <c r="BC40" i="1" l="1"/>
  <c r="BY40" i="1" s="1"/>
  <c r="BX40" i="1"/>
  <c r="BM6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Y280" i="1" l="1"/>
  <c r="BX280" i="1"/>
  <c r="BY282" i="1"/>
  <c r="BX282" i="1"/>
  <c r="BY284" i="1"/>
  <c r="BX284" i="1"/>
  <c r="BY286" i="1"/>
  <c r="BX286" i="1"/>
  <c r="BY288" i="1"/>
  <c r="BX288" i="1"/>
  <c r="BY290" i="1"/>
  <c r="BX290" i="1"/>
  <c r="BY292" i="1"/>
  <c r="BX292" i="1"/>
  <c r="BY279" i="1"/>
  <c r="BX279" i="1"/>
  <c r="BY281" i="1"/>
  <c r="BX281" i="1"/>
  <c r="BY283" i="1"/>
  <c r="BX283" i="1"/>
  <c r="BY285" i="1"/>
  <c r="BX285" i="1"/>
  <c r="BY287" i="1"/>
  <c r="BX287" i="1"/>
  <c r="BY289" i="1"/>
  <c r="BX289" i="1"/>
  <c r="BY291" i="1"/>
  <c r="BX291" i="1"/>
  <c r="BY293" i="1"/>
  <c r="BX293" i="1"/>
  <c r="BY193" i="1" l="1"/>
  <c r="BX193" i="1"/>
  <c r="BY195" i="1"/>
  <c r="BX195" i="1"/>
  <c r="BY197" i="1"/>
  <c r="BX197" i="1"/>
  <c r="BY199" i="1"/>
  <c r="BX199" i="1"/>
  <c r="BY201" i="1"/>
  <c r="BX201" i="1"/>
  <c r="BY203" i="1"/>
  <c r="BX203" i="1"/>
  <c r="BY205" i="1"/>
  <c r="BX205" i="1"/>
  <c r="BY207" i="1"/>
  <c r="BX207" i="1"/>
  <c r="BY209" i="1"/>
  <c r="BX209" i="1"/>
  <c r="BY211" i="1"/>
  <c r="BX211" i="1"/>
  <c r="BY213" i="1"/>
  <c r="BX213" i="1"/>
  <c r="BY215" i="1"/>
  <c r="BX215" i="1"/>
  <c r="BY217" i="1"/>
  <c r="BX217" i="1"/>
  <c r="BY219" i="1"/>
  <c r="BX219" i="1"/>
  <c r="BY221" i="1"/>
  <c r="BX221" i="1"/>
  <c r="BY223" i="1"/>
  <c r="BX223" i="1"/>
  <c r="BY225" i="1"/>
  <c r="BX225" i="1"/>
  <c r="BY227" i="1"/>
  <c r="BX227" i="1"/>
  <c r="BY229" i="1"/>
  <c r="BX229" i="1"/>
  <c r="BY231" i="1"/>
  <c r="BX231" i="1"/>
  <c r="BY233" i="1"/>
  <c r="BX233" i="1"/>
  <c r="BY235" i="1"/>
  <c r="BX235" i="1"/>
  <c r="BY237" i="1"/>
  <c r="BX237" i="1"/>
  <c r="BY239" i="1"/>
  <c r="BX239" i="1"/>
  <c r="BY241" i="1"/>
  <c r="BX241" i="1"/>
  <c r="BY243" i="1"/>
  <c r="BX243" i="1"/>
  <c r="BY245" i="1"/>
  <c r="BX245" i="1"/>
  <c r="BY247" i="1"/>
  <c r="BX247" i="1"/>
  <c r="BY249" i="1"/>
  <c r="BX249" i="1"/>
  <c r="BY251" i="1"/>
  <c r="BX251" i="1"/>
  <c r="BY253" i="1"/>
  <c r="BX253" i="1"/>
  <c r="BY255" i="1"/>
  <c r="BX255" i="1"/>
  <c r="BY257" i="1"/>
  <c r="BX257" i="1"/>
  <c r="BY259" i="1"/>
  <c r="BX259" i="1"/>
  <c r="BY261" i="1"/>
  <c r="BX261" i="1"/>
  <c r="BY263" i="1"/>
  <c r="BX263" i="1"/>
  <c r="BY265" i="1"/>
  <c r="BX265" i="1"/>
  <c r="BY267" i="1"/>
  <c r="BX267" i="1"/>
  <c r="BY269" i="1"/>
  <c r="BX269" i="1"/>
  <c r="BY271" i="1"/>
  <c r="BX271" i="1"/>
  <c r="BY273" i="1"/>
  <c r="BX273" i="1"/>
  <c r="BY275" i="1"/>
  <c r="BX275" i="1"/>
  <c r="BY277" i="1"/>
  <c r="BX277" i="1"/>
  <c r="BY194" i="1"/>
  <c r="BX194" i="1"/>
  <c r="BY196" i="1"/>
  <c r="BX196" i="1"/>
  <c r="BY198" i="1"/>
  <c r="BX198" i="1"/>
  <c r="BY200" i="1"/>
  <c r="BX200" i="1"/>
  <c r="BY202" i="1"/>
  <c r="BX202" i="1"/>
  <c r="BY204" i="1"/>
  <c r="BX204" i="1"/>
  <c r="BY206" i="1"/>
  <c r="BX206" i="1"/>
  <c r="BY208" i="1"/>
  <c r="BX208" i="1"/>
  <c r="BY210" i="1"/>
  <c r="BX210" i="1"/>
  <c r="BY212" i="1"/>
  <c r="BX212" i="1"/>
  <c r="BY214" i="1"/>
  <c r="BX214" i="1"/>
  <c r="BY216" i="1"/>
  <c r="BX216" i="1"/>
  <c r="BY218" i="1"/>
  <c r="BX218" i="1"/>
  <c r="BY220" i="1"/>
  <c r="BX220" i="1"/>
  <c r="BY222" i="1"/>
  <c r="BX222" i="1"/>
  <c r="BY224" i="1"/>
  <c r="BX224" i="1"/>
  <c r="BY226" i="1"/>
  <c r="BX226" i="1"/>
  <c r="BY228" i="1"/>
  <c r="BX228" i="1"/>
  <c r="BY230" i="1"/>
  <c r="BX230" i="1"/>
  <c r="BY232" i="1"/>
  <c r="BX232" i="1"/>
  <c r="BY234" i="1"/>
  <c r="BX234" i="1"/>
  <c r="BY236" i="1"/>
  <c r="BX236" i="1"/>
  <c r="BY238" i="1"/>
  <c r="BX238" i="1"/>
  <c r="BY240" i="1"/>
  <c r="BX240" i="1"/>
  <c r="BY242" i="1"/>
  <c r="BX242" i="1"/>
  <c r="BY244" i="1"/>
  <c r="BX244" i="1"/>
  <c r="BY246" i="1"/>
  <c r="BX246" i="1"/>
  <c r="BY248" i="1"/>
  <c r="BX248" i="1"/>
  <c r="BY250" i="1"/>
  <c r="BX250" i="1"/>
  <c r="BY252" i="1"/>
  <c r="BX252" i="1"/>
  <c r="BY254" i="1"/>
  <c r="BX254" i="1"/>
  <c r="BY256" i="1"/>
  <c r="BX256" i="1"/>
  <c r="BY258" i="1"/>
  <c r="BX258" i="1"/>
  <c r="BY260" i="1"/>
  <c r="BX260" i="1"/>
  <c r="BY262" i="1"/>
  <c r="BX262" i="1"/>
  <c r="BY264" i="1"/>
  <c r="BX264" i="1"/>
  <c r="BY266" i="1"/>
  <c r="BX266" i="1"/>
  <c r="BY268" i="1"/>
  <c r="BX268" i="1"/>
  <c r="BY270" i="1"/>
  <c r="BX270" i="1"/>
  <c r="BY272" i="1"/>
  <c r="BX272" i="1"/>
  <c r="BY274" i="1"/>
  <c r="BX274" i="1"/>
  <c r="BY276" i="1"/>
  <c r="BX276" i="1"/>
  <c r="BY278" i="1"/>
  <c r="BX278" i="1"/>
  <c r="BA401" i="1"/>
  <c r="AY401" i="1"/>
  <c r="AX401" i="1"/>
  <c r="AU401" i="1"/>
  <c r="AT401" i="1"/>
  <c r="AS401" i="1"/>
  <c r="AP401" i="1"/>
  <c r="AC401" i="1"/>
  <c r="S401" i="1"/>
  <c r="M401" i="1"/>
  <c r="L401" i="1"/>
  <c r="G401" i="1"/>
  <c r="BA400" i="1"/>
  <c r="AY400" i="1"/>
  <c r="AX400" i="1"/>
  <c r="AU400" i="1"/>
  <c r="AT400" i="1"/>
  <c r="AS400" i="1"/>
  <c r="AP400" i="1"/>
  <c r="AC400" i="1"/>
  <c r="S400" i="1"/>
  <c r="M400" i="1"/>
  <c r="L400" i="1"/>
  <c r="G400" i="1"/>
  <c r="BA399" i="1"/>
  <c r="AY399" i="1"/>
  <c r="AX399" i="1"/>
  <c r="AT399" i="1"/>
  <c r="AS399" i="1"/>
  <c r="AP399" i="1"/>
  <c r="AC399" i="1"/>
  <c r="S399" i="1"/>
  <c r="M399" i="1"/>
  <c r="L399" i="1"/>
  <c r="G399" i="1"/>
  <c r="BA398" i="1"/>
  <c r="AY398" i="1"/>
  <c r="AQ398" i="1"/>
  <c r="AX398" i="1"/>
  <c r="AT398" i="1"/>
  <c r="AS398" i="1"/>
  <c r="AP398" i="1"/>
  <c r="AC398" i="1"/>
  <c r="S398" i="1"/>
  <c r="M398" i="1"/>
  <c r="L398" i="1"/>
  <c r="G398" i="1"/>
  <c r="BA397" i="1"/>
  <c r="AY397" i="1"/>
  <c r="AQ397" i="1"/>
  <c r="AX397" i="1"/>
  <c r="AT397" i="1"/>
  <c r="AS397" i="1"/>
  <c r="AP397" i="1"/>
  <c r="AC397" i="1"/>
  <c r="S397" i="1"/>
  <c r="M397" i="1"/>
  <c r="L397" i="1"/>
  <c r="G397" i="1"/>
  <c r="BA396" i="1"/>
  <c r="AY396" i="1"/>
  <c r="AQ396" i="1"/>
  <c r="AX396" i="1"/>
  <c r="AT396" i="1"/>
  <c r="AS396" i="1"/>
  <c r="AP396" i="1"/>
  <c r="AC396" i="1"/>
  <c r="S396" i="1"/>
  <c r="M396" i="1"/>
  <c r="L396" i="1"/>
  <c r="G396" i="1"/>
  <c r="AQ395" i="1"/>
  <c r="AX395" i="1"/>
  <c r="AT395" i="1"/>
  <c r="AS395" i="1"/>
  <c r="AP395" i="1"/>
  <c r="AC395" i="1"/>
  <c r="S395" i="1"/>
  <c r="M395" i="1"/>
  <c r="L395" i="1"/>
  <c r="G395" i="1"/>
  <c r="AX394" i="1"/>
  <c r="AT394" i="1"/>
  <c r="AS394" i="1"/>
  <c r="AC394" i="1"/>
  <c r="S394" i="1"/>
  <c r="M394" i="1"/>
  <c r="L394" i="1"/>
  <c r="G394" i="1"/>
  <c r="AX393" i="1"/>
  <c r="AT393" i="1"/>
  <c r="AS393" i="1"/>
  <c r="AC393" i="1"/>
  <c r="S393" i="1"/>
  <c r="M393" i="1"/>
  <c r="L393" i="1"/>
  <c r="G393" i="1"/>
  <c r="AX392" i="1"/>
  <c r="AT392" i="1"/>
  <c r="AS392" i="1"/>
  <c r="AC392" i="1"/>
  <c r="S392" i="1"/>
  <c r="M392" i="1"/>
  <c r="L392" i="1"/>
  <c r="G392" i="1"/>
  <c r="AX391" i="1"/>
  <c r="AT391" i="1"/>
  <c r="AS391" i="1"/>
  <c r="AC391" i="1"/>
  <c r="S391" i="1"/>
  <c r="M391" i="1"/>
  <c r="L391" i="1"/>
  <c r="G391" i="1"/>
  <c r="AX390" i="1"/>
  <c r="AT390" i="1"/>
  <c r="AS390" i="1"/>
  <c r="AC390" i="1"/>
  <c r="S390" i="1"/>
  <c r="M390" i="1"/>
  <c r="L390" i="1"/>
  <c r="G390" i="1"/>
  <c r="BD386" i="1"/>
  <c r="BC386" i="1"/>
  <c r="BB386" i="1"/>
  <c r="BA386" i="1"/>
  <c r="AY386" i="1"/>
  <c r="AX386" i="1"/>
  <c r="AT386" i="1"/>
  <c r="AS386" i="1"/>
  <c r="BD385" i="1"/>
  <c r="BC385" i="1"/>
  <c r="BB385" i="1"/>
  <c r="BA385" i="1"/>
  <c r="AY385" i="1"/>
  <c r="AX385" i="1"/>
  <c r="AT385" i="1"/>
  <c r="AS385" i="1"/>
  <c r="BD384" i="1"/>
  <c r="BC384" i="1"/>
  <c r="BB384" i="1"/>
  <c r="BA384" i="1"/>
  <c r="AY384" i="1"/>
  <c r="AX384" i="1"/>
  <c r="AT384" i="1"/>
  <c r="AS384" i="1"/>
  <c r="BD383" i="1"/>
  <c r="BC383" i="1"/>
  <c r="BB383" i="1"/>
  <c r="BA383" i="1"/>
  <c r="AY383" i="1"/>
  <c r="AQ383" i="1"/>
  <c r="AX383" i="1"/>
  <c r="AT383" i="1"/>
  <c r="AS383" i="1"/>
  <c r="BD382" i="1"/>
  <c r="BC382" i="1"/>
  <c r="BB382" i="1"/>
  <c r="BA382" i="1"/>
  <c r="AY382" i="1"/>
  <c r="AQ382" i="1"/>
  <c r="AX382" i="1"/>
  <c r="AT382" i="1"/>
  <c r="AS382" i="1"/>
  <c r="BD381" i="1"/>
  <c r="BC381" i="1"/>
  <c r="BB381" i="1"/>
  <c r="BA381" i="1"/>
  <c r="AY381" i="1"/>
  <c r="AQ381" i="1"/>
  <c r="AX381" i="1"/>
  <c r="AT381" i="1"/>
  <c r="AS381" i="1"/>
  <c r="AQ380" i="1"/>
  <c r="AX380" i="1"/>
  <c r="AT380" i="1"/>
  <c r="AS380" i="1"/>
  <c r="AX379" i="1"/>
  <c r="AT379" i="1"/>
  <c r="AS379" i="1"/>
  <c r="AX378" i="1"/>
  <c r="AT378" i="1"/>
  <c r="AS378" i="1"/>
  <c r="AX377" i="1"/>
  <c r="AT377" i="1"/>
  <c r="AS377" i="1"/>
  <c r="AX376" i="1"/>
  <c r="AT376" i="1"/>
  <c r="AS376" i="1"/>
  <c r="AX375" i="1"/>
  <c r="AT375" i="1"/>
  <c r="AS375" i="1"/>
  <c r="BK370" i="1"/>
  <c r="BI370" i="1"/>
  <c r="CB370" i="1" s="1"/>
  <c r="BH370" i="1"/>
  <c r="CA370" i="1" s="1"/>
  <c r="BG370" i="1"/>
  <c r="BF370" i="1"/>
  <c r="BE370" i="1"/>
  <c r="BK369" i="1"/>
  <c r="BI369" i="1"/>
  <c r="CB369" i="1" s="1"/>
  <c r="BH369" i="1"/>
  <c r="CA369" i="1" s="1"/>
  <c r="BG369" i="1"/>
  <c r="BF369" i="1"/>
  <c r="BE369" i="1"/>
  <c r="BK368" i="1"/>
  <c r="BI368" i="1"/>
  <c r="CB368" i="1" s="1"/>
  <c r="BH368" i="1"/>
  <c r="CA368" i="1" s="1"/>
  <c r="BG368" i="1"/>
  <c r="BF368" i="1"/>
  <c r="BE368" i="1"/>
  <c r="BK367" i="1"/>
  <c r="BI367" i="1"/>
  <c r="CB367" i="1" s="1"/>
  <c r="BH367" i="1"/>
  <c r="CA367" i="1" s="1"/>
  <c r="BG367" i="1"/>
  <c r="BF367" i="1"/>
  <c r="BE367" i="1"/>
  <c r="BK366" i="1"/>
  <c r="BI366" i="1"/>
  <c r="CB366" i="1" s="1"/>
  <c r="BH366" i="1"/>
  <c r="CA366" i="1" s="1"/>
  <c r="BG366" i="1"/>
  <c r="BF366" i="1"/>
  <c r="BE366" i="1"/>
  <c r="BK365" i="1"/>
  <c r="BI365" i="1"/>
  <c r="CB365" i="1" s="1"/>
  <c r="BH365" i="1"/>
  <c r="CA365" i="1" s="1"/>
  <c r="BG365" i="1"/>
  <c r="BF365" i="1"/>
  <c r="BE365" i="1"/>
  <c r="BK364" i="1"/>
  <c r="BI364" i="1"/>
  <c r="CB364" i="1" s="1"/>
  <c r="BH364" i="1"/>
  <c r="CA364" i="1" s="1"/>
  <c r="BG364" i="1"/>
  <c r="BF364" i="1"/>
  <c r="BE364" i="1"/>
  <c r="BK363" i="1"/>
  <c r="BI363" i="1"/>
  <c r="CB363" i="1" s="1"/>
  <c r="BH363" i="1"/>
  <c r="CA363" i="1" s="1"/>
  <c r="BG363" i="1"/>
  <c r="BF363" i="1"/>
  <c r="BE363" i="1"/>
  <c r="BK362" i="1"/>
  <c r="BI362" i="1"/>
  <c r="CB362" i="1" s="1"/>
  <c r="BH362" i="1"/>
  <c r="CA362" i="1" s="1"/>
  <c r="BG362" i="1"/>
  <c r="BF362" i="1"/>
  <c r="BE362" i="1"/>
  <c r="BK361" i="1"/>
  <c r="BI361" i="1"/>
  <c r="CB361" i="1" s="1"/>
  <c r="BH361" i="1"/>
  <c r="CA361" i="1" s="1"/>
  <c r="BG361" i="1"/>
  <c r="BF361" i="1"/>
  <c r="BE361" i="1"/>
  <c r="BK360" i="1"/>
  <c r="BI360" i="1"/>
  <c r="CB360" i="1" s="1"/>
  <c r="BH360" i="1"/>
  <c r="CA360" i="1" s="1"/>
  <c r="BG360" i="1"/>
  <c r="BF360" i="1"/>
  <c r="BE360" i="1"/>
  <c r="BK359" i="1"/>
  <c r="BI359" i="1"/>
  <c r="CB359" i="1" s="1"/>
  <c r="BH359" i="1"/>
  <c r="CA359" i="1" s="1"/>
  <c r="BG359" i="1"/>
  <c r="BF359" i="1"/>
  <c r="BE359" i="1"/>
  <c r="BK358" i="1"/>
  <c r="BI358" i="1"/>
  <c r="CB358" i="1" s="1"/>
  <c r="BH358" i="1"/>
  <c r="CA358" i="1" s="1"/>
  <c r="BG358" i="1"/>
  <c r="BF358" i="1"/>
  <c r="BE358" i="1"/>
  <c r="BK357" i="1"/>
  <c r="BI357" i="1"/>
  <c r="CB357" i="1" s="1"/>
  <c r="BH357" i="1"/>
  <c r="CA357" i="1" s="1"/>
  <c r="BG357" i="1"/>
  <c r="BF357" i="1"/>
  <c r="BE357" i="1"/>
  <c r="BK356" i="1"/>
  <c r="BI356" i="1"/>
  <c r="CB356" i="1" s="1"/>
  <c r="BH356" i="1"/>
  <c r="CA356" i="1" s="1"/>
  <c r="BG356" i="1"/>
  <c r="BF356" i="1"/>
  <c r="BE356" i="1"/>
  <c r="BK355" i="1"/>
  <c r="BI355" i="1"/>
  <c r="CB355" i="1" s="1"/>
  <c r="BH355" i="1"/>
  <c r="CA355" i="1" s="1"/>
  <c r="BG355" i="1"/>
  <c r="BF355" i="1"/>
  <c r="BE355" i="1"/>
  <c r="BK354" i="1"/>
  <c r="BI354" i="1"/>
  <c r="CB354" i="1" s="1"/>
  <c r="BH354" i="1"/>
  <c r="CA354" i="1" s="1"/>
  <c r="BG354" i="1"/>
  <c r="BF354" i="1"/>
  <c r="BE354" i="1"/>
  <c r="BK353" i="1"/>
  <c r="BI353" i="1"/>
  <c r="CB353" i="1" s="1"/>
  <c r="BH353" i="1"/>
  <c r="CA353" i="1" s="1"/>
  <c r="BG353" i="1"/>
  <c r="BF353" i="1"/>
  <c r="BE353" i="1"/>
  <c r="BK352" i="1"/>
  <c r="BI352" i="1"/>
  <c r="CB352" i="1" s="1"/>
  <c r="BH352" i="1"/>
  <c r="CA352" i="1" s="1"/>
  <c r="BG352" i="1"/>
  <c r="BF352" i="1"/>
  <c r="BE352" i="1"/>
  <c r="BK351" i="1"/>
  <c r="BI351" i="1"/>
  <c r="CB351" i="1" s="1"/>
  <c r="BH351" i="1"/>
  <c r="CA351" i="1" s="1"/>
  <c r="BG351" i="1"/>
  <c r="BF351" i="1"/>
  <c r="BE351" i="1"/>
  <c r="BK350" i="1"/>
  <c r="BI350" i="1"/>
  <c r="CB350" i="1" s="1"/>
  <c r="BH350" i="1"/>
  <c r="CA350" i="1" s="1"/>
  <c r="BG350" i="1"/>
  <c r="BF350" i="1"/>
  <c r="BE350" i="1"/>
  <c r="BK349" i="1"/>
  <c r="BI349" i="1"/>
  <c r="CB349" i="1" s="1"/>
  <c r="BH349" i="1"/>
  <c r="CA349" i="1" s="1"/>
  <c r="BG349" i="1"/>
  <c r="BF349" i="1"/>
  <c r="BE349" i="1"/>
  <c r="BK348" i="1"/>
  <c r="BI348" i="1"/>
  <c r="CB348" i="1" s="1"/>
  <c r="BH348" i="1"/>
  <c r="CA348" i="1" s="1"/>
  <c r="BG348" i="1"/>
  <c r="BF348" i="1"/>
  <c r="BE348" i="1"/>
  <c r="BK347" i="1"/>
  <c r="BI347" i="1"/>
  <c r="CB347" i="1" s="1"/>
  <c r="BH347" i="1"/>
  <c r="CA347" i="1" s="1"/>
  <c r="BG347" i="1"/>
  <c r="BF347" i="1"/>
  <c r="BE347" i="1"/>
  <c r="BK346" i="1"/>
  <c r="BI346" i="1"/>
  <c r="CB346" i="1" s="1"/>
  <c r="BH346" i="1"/>
  <c r="CA346" i="1" s="1"/>
  <c r="BG346" i="1"/>
  <c r="BF346" i="1"/>
  <c r="BE346" i="1"/>
  <c r="BK345" i="1"/>
  <c r="BI345" i="1"/>
  <c r="CB345" i="1" s="1"/>
  <c r="BH345" i="1"/>
  <c r="CA345" i="1" s="1"/>
  <c r="BG345" i="1"/>
  <c r="BF345" i="1"/>
  <c r="BE345" i="1"/>
  <c r="BK344" i="1"/>
  <c r="BI344" i="1"/>
  <c r="CB344" i="1" s="1"/>
  <c r="BH344" i="1"/>
  <c r="CA344" i="1" s="1"/>
  <c r="BG344" i="1"/>
  <c r="BF344" i="1"/>
  <c r="BE344" i="1"/>
  <c r="BK343" i="1"/>
  <c r="BI343" i="1"/>
  <c r="CB343" i="1" s="1"/>
  <c r="BH343" i="1"/>
  <c r="CA343" i="1" s="1"/>
  <c r="BG343" i="1"/>
  <c r="BF343" i="1"/>
  <c r="BE343" i="1"/>
  <c r="BK342" i="1"/>
  <c r="BI342" i="1"/>
  <c r="CB342" i="1" s="1"/>
  <c r="BH342" i="1"/>
  <c r="CA342" i="1" s="1"/>
  <c r="BG342" i="1"/>
  <c r="BF342" i="1"/>
  <c r="BE342" i="1"/>
  <c r="BK341" i="1"/>
  <c r="BI341" i="1"/>
  <c r="CB341" i="1" s="1"/>
  <c r="BH341" i="1"/>
  <c r="CA341" i="1" s="1"/>
  <c r="BG341" i="1"/>
  <c r="BF341" i="1"/>
  <c r="BE341" i="1"/>
  <c r="BK340" i="1"/>
  <c r="BI340" i="1"/>
  <c r="CB340" i="1" s="1"/>
  <c r="BH340" i="1"/>
  <c r="CA340" i="1" s="1"/>
  <c r="BG340" i="1"/>
  <c r="BF340" i="1"/>
  <c r="BE340" i="1"/>
  <c r="BK339" i="1"/>
  <c r="BI339" i="1"/>
  <c r="CB339" i="1" s="1"/>
  <c r="BH339" i="1"/>
  <c r="CA339" i="1" s="1"/>
  <c r="BG339" i="1"/>
  <c r="BF339" i="1"/>
  <c r="BE339" i="1"/>
  <c r="BK338" i="1"/>
  <c r="BI338" i="1"/>
  <c r="CB338" i="1" s="1"/>
  <c r="BH338" i="1"/>
  <c r="CA338" i="1" s="1"/>
  <c r="BG338" i="1"/>
  <c r="BF338" i="1"/>
  <c r="BE338" i="1"/>
  <c r="BK337" i="1"/>
  <c r="BI337" i="1"/>
  <c r="CB337" i="1" s="1"/>
  <c r="BH337" i="1"/>
  <c r="CA337" i="1" s="1"/>
  <c r="BG337" i="1"/>
  <c r="BF337" i="1"/>
  <c r="BE337" i="1"/>
  <c r="BK336" i="1"/>
  <c r="BI336" i="1"/>
  <c r="CB336" i="1" s="1"/>
  <c r="BH336" i="1"/>
  <c r="CA336" i="1" s="1"/>
  <c r="BG336" i="1"/>
  <c r="BF336" i="1"/>
  <c r="BE336" i="1"/>
  <c r="BK335" i="1"/>
  <c r="BI335" i="1"/>
  <c r="CB335" i="1" s="1"/>
  <c r="BH335" i="1"/>
  <c r="CA335" i="1" s="1"/>
  <c r="BG335" i="1"/>
  <c r="BF335" i="1"/>
  <c r="BE335" i="1"/>
  <c r="BK334" i="1"/>
  <c r="BI334" i="1"/>
  <c r="CB334" i="1" s="1"/>
  <c r="BH334" i="1"/>
  <c r="CA334" i="1" s="1"/>
  <c r="BG334" i="1"/>
  <c r="BF334" i="1"/>
  <c r="BE334" i="1"/>
  <c r="BK333" i="1"/>
  <c r="BI333" i="1"/>
  <c r="CB333" i="1" s="1"/>
  <c r="BH333" i="1"/>
  <c r="CA333" i="1" s="1"/>
  <c r="BG333" i="1"/>
  <c r="BF333" i="1"/>
  <c r="BE333" i="1"/>
  <c r="BK332" i="1"/>
  <c r="BI332" i="1"/>
  <c r="CB332" i="1" s="1"/>
  <c r="BH332" i="1"/>
  <c r="CA332" i="1" s="1"/>
  <c r="BG332" i="1"/>
  <c r="BF332" i="1"/>
  <c r="BE332" i="1"/>
  <c r="BK331" i="1"/>
  <c r="BI331" i="1"/>
  <c r="CB331" i="1" s="1"/>
  <c r="BH331" i="1"/>
  <c r="CA331" i="1" s="1"/>
  <c r="BG331" i="1"/>
  <c r="BF331" i="1"/>
  <c r="BE331" i="1"/>
  <c r="BK330" i="1"/>
  <c r="BI330" i="1"/>
  <c r="CB330" i="1" s="1"/>
  <c r="BH330" i="1"/>
  <c r="CA330" i="1" s="1"/>
  <c r="BG330" i="1"/>
  <c r="BF330" i="1"/>
  <c r="BE330" i="1"/>
  <c r="BK329" i="1"/>
  <c r="BI329" i="1"/>
  <c r="CB329" i="1" s="1"/>
  <c r="BH329" i="1"/>
  <c r="CA329" i="1" s="1"/>
  <c r="BG329" i="1"/>
  <c r="BF329" i="1"/>
  <c r="BE329" i="1"/>
  <c r="BK328" i="1"/>
  <c r="BI328" i="1"/>
  <c r="CB328" i="1" s="1"/>
  <c r="BH328" i="1"/>
  <c r="CA328" i="1" s="1"/>
  <c r="BG328" i="1"/>
  <c r="BF328" i="1"/>
  <c r="BE328" i="1"/>
  <c r="BK327" i="1"/>
  <c r="BI327" i="1"/>
  <c r="CB327" i="1" s="1"/>
  <c r="BH327" i="1"/>
  <c r="CA327" i="1" s="1"/>
  <c r="BG327" i="1"/>
  <c r="BF327" i="1"/>
  <c r="BE327" i="1"/>
  <c r="BK326" i="1"/>
  <c r="BI326" i="1"/>
  <c r="CB326" i="1" s="1"/>
  <c r="BH326" i="1"/>
  <c r="CA326" i="1" s="1"/>
  <c r="BG326" i="1"/>
  <c r="BF326" i="1"/>
  <c r="BE326" i="1"/>
  <c r="BK325" i="1"/>
  <c r="BI325" i="1"/>
  <c r="CB325" i="1" s="1"/>
  <c r="BH325" i="1"/>
  <c r="CA325" i="1" s="1"/>
  <c r="BG325" i="1"/>
  <c r="BF325" i="1"/>
  <c r="BE325" i="1"/>
  <c r="BK324" i="1"/>
  <c r="BI324" i="1"/>
  <c r="CB324" i="1" s="1"/>
  <c r="BH324" i="1"/>
  <c r="CA324" i="1" s="1"/>
  <c r="BG324" i="1"/>
  <c r="BF324" i="1"/>
  <c r="BE324" i="1"/>
  <c r="BK323" i="1"/>
  <c r="BI323" i="1"/>
  <c r="CB323" i="1" s="1"/>
  <c r="BH323" i="1"/>
  <c r="CA323" i="1" s="1"/>
  <c r="BG323" i="1"/>
  <c r="BF323" i="1"/>
  <c r="BE323" i="1"/>
  <c r="BK322" i="1"/>
  <c r="BI322" i="1"/>
  <c r="CB322" i="1" s="1"/>
  <c r="BH322" i="1"/>
  <c r="CA322" i="1" s="1"/>
  <c r="BG322" i="1"/>
  <c r="BF322" i="1"/>
  <c r="BE322" i="1"/>
  <c r="BK321" i="1"/>
  <c r="BI321" i="1"/>
  <c r="CB321" i="1" s="1"/>
  <c r="BH321" i="1"/>
  <c r="CA321" i="1" s="1"/>
  <c r="BG321" i="1"/>
  <c r="BF321" i="1"/>
  <c r="BE321" i="1"/>
  <c r="BK320" i="1"/>
  <c r="BI320" i="1"/>
  <c r="CB320" i="1" s="1"/>
  <c r="BH320" i="1"/>
  <c r="CA320" i="1" s="1"/>
  <c r="BG320" i="1"/>
  <c r="BF320" i="1"/>
  <c r="BE320" i="1"/>
  <c r="BK319" i="1"/>
  <c r="BI319" i="1"/>
  <c r="CB319" i="1" s="1"/>
  <c r="BH319" i="1"/>
  <c r="CA319" i="1" s="1"/>
  <c r="BG319" i="1"/>
  <c r="BF319" i="1"/>
  <c r="BE319" i="1"/>
  <c r="BK318" i="1"/>
  <c r="BI318" i="1"/>
  <c r="CB318" i="1" s="1"/>
  <c r="BH318" i="1"/>
  <c r="CA318" i="1" s="1"/>
  <c r="BG318" i="1"/>
  <c r="BF318" i="1"/>
  <c r="BE318" i="1"/>
  <c r="BK317" i="1"/>
  <c r="BI317" i="1"/>
  <c r="CB317" i="1" s="1"/>
  <c r="BH317" i="1"/>
  <c r="CA317" i="1" s="1"/>
  <c r="BG317" i="1"/>
  <c r="BF317" i="1"/>
  <c r="BE317" i="1"/>
  <c r="BK316" i="1"/>
  <c r="BI316" i="1"/>
  <c r="CB316" i="1" s="1"/>
  <c r="BH316" i="1"/>
  <c r="CA316" i="1" s="1"/>
  <c r="BG316" i="1"/>
  <c r="BF316" i="1"/>
  <c r="BE316" i="1"/>
  <c r="BK315" i="1"/>
  <c r="BI315" i="1"/>
  <c r="CB315" i="1" s="1"/>
  <c r="BH315" i="1"/>
  <c r="CA315" i="1" s="1"/>
  <c r="BG315" i="1"/>
  <c r="BF315" i="1"/>
  <c r="BE315" i="1"/>
  <c r="BK314" i="1"/>
  <c r="BI314" i="1"/>
  <c r="CB314" i="1" s="1"/>
  <c r="BH314" i="1"/>
  <c r="CA314" i="1" s="1"/>
  <c r="BG314" i="1"/>
  <c r="BF314" i="1"/>
  <c r="BE314" i="1"/>
  <c r="BK313" i="1"/>
  <c r="BI313" i="1"/>
  <c r="CB313" i="1" s="1"/>
  <c r="BH313" i="1"/>
  <c r="CA313" i="1" s="1"/>
  <c r="BG313" i="1"/>
  <c r="BF313" i="1"/>
  <c r="BE313" i="1"/>
  <c r="BK312" i="1"/>
  <c r="BI312" i="1"/>
  <c r="CB312" i="1" s="1"/>
  <c r="BH312" i="1"/>
  <c r="CA312" i="1" s="1"/>
  <c r="BG312" i="1"/>
  <c r="BF312" i="1"/>
  <c r="BE312" i="1"/>
  <c r="BK311" i="1"/>
  <c r="BI311" i="1"/>
  <c r="CB311" i="1" s="1"/>
  <c r="BH311" i="1"/>
  <c r="CA311" i="1" s="1"/>
  <c r="BG311" i="1"/>
  <c r="BF311" i="1"/>
  <c r="BE311" i="1"/>
  <c r="BK310" i="1"/>
  <c r="BI310" i="1"/>
  <c r="CB310" i="1" s="1"/>
  <c r="BH310" i="1"/>
  <c r="CA310" i="1" s="1"/>
  <c r="BG310" i="1"/>
  <c r="BF310" i="1"/>
  <c r="BE310" i="1"/>
  <c r="BK309" i="1"/>
  <c r="BI309" i="1"/>
  <c r="CB309" i="1" s="1"/>
  <c r="BH309" i="1"/>
  <c r="CA309" i="1" s="1"/>
  <c r="BG309" i="1"/>
  <c r="BF309" i="1"/>
  <c r="BE309" i="1"/>
  <c r="BK308" i="1"/>
  <c r="BI308" i="1"/>
  <c r="CB308" i="1" s="1"/>
  <c r="BH308" i="1"/>
  <c r="CA308" i="1" s="1"/>
  <c r="BG308" i="1"/>
  <c r="BF308" i="1"/>
  <c r="BE308" i="1"/>
  <c r="BK307" i="1"/>
  <c r="BI307" i="1"/>
  <c r="CB307" i="1" s="1"/>
  <c r="BH307" i="1"/>
  <c r="CA307" i="1" s="1"/>
  <c r="BG307" i="1"/>
  <c r="BF307" i="1"/>
  <c r="BE307" i="1"/>
  <c r="BK306" i="1"/>
  <c r="BI306" i="1"/>
  <c r="CB306" i="1" s="1"/>
  <c r="BH306" i="1"/>
  <c r="CA306" i="1" s="1"/>
  <c r="BG306" i="1"/>
  <c r="BF306" i="1"/>
  <c r="BE306" i="1"/>
  <c r="BK305" i="1"/>
  <c r="BI305" i="1"/>
  <c r="CB305" i="1" s="1"/>
  <c r="BH305" i="1"/>
  <c r="CA305" i="1" s="1"/>
  <c r="BG305" i="1"/>
  <c r="BF305" i="1"/>
  <c r="BE305" i="1"/>
  <c r="BK304" i="1"/>
  <c r="BI304" i="1"/>
  <c r="CB304" i="1" s="1"/>
  <c r="BH304" i="1"/>
  <c r="CA304" i="1" s="1"/>
  <c r="BG304" i="1"/>
  <c r="BF304" i="1"/>
  <c r="BE304" i="1"/>
  <c r="BK303" i="1"/>
  <c r="BI303" i="1"/>
  <c r="CB303" i="1" s="1"/>
  <c r="BH303" i="1"/>
  <c r="CA303" i="1" s="1"/>
  <c r="BG303" i="1"/>
  <c r="BF303" i="1"/>
  <c r="BE303" i="1"/>
  <c r="BK302" i="1"/>
  <c r="BI302" i="1"/>
  <c r="CB302" i="1" s="1"/>
  <c r="BH302" i="1"/>
  <c r="CA302" i="1" s="1"/>
  <c r="BG302" i="1"/>
  <c r="BF302" i="1"/>
  <c r="BE302" i="1"/>
  <c r="BK301" i="1"/>
  <c r="BI301" i="1"/>
  <c r="CB301" i="1" s="1"/>
  <c r="BH301" i="1"/>
  <c r="CA301" i="1" s="1"/>
  <c r="BG301" i="1"/>
  <c r="BF301" i="1"/>
  <c r="BE301" i="1"/>
  <c r="BK300" i="1"/>
  <c r="BI300" i="1"/>
  <c r="CB300" i="1" s="1"/>
  <c r="BH300" i="1"/>
  <c r="CA300" i="1" s="1"/>
  <c r="BG300" i="1"/>
  <c r="BF300" i="1"/>
  <c r="BE300" i="1"/>
  <c r="BK299" i="1"/>
  <c r="BI299" i="1"/>
  <c r="CB299" i="1" s="1"/>
  <c r="BH299" i="1"/>
  <c r="CA299" i="1" s="1"/>
  <c r="BG299" i="1"/>
  <c r="BF299" i="1"/>
  <c r="BE299" i="1"/>
  <c r="BK298" i="1"/>
  <c r="BI298" i="1"/>
  <c r="CB298" i="1" s="1"/>
  <c r="BH298" i="1"/>
  <c r="CA298" i="1" s="1"/>
  <c r="BG298" i="1"/>
  <c r="BF298" i="1"/>
  <c r="BE298" i="1"/>
  <c r="BK297" i="1"/>
  <c r="BI297" i="1"/>
  <c r="CB297" i="1" s="1"/>
  <c r="BH297" i="1"/>
  <c r="CA297" i="1" s="1"/>
  <c r="BG297" i="1"/>
  <c r="BF297" i="1"/>
  <c r="BE297" i="1"/>
  <c r="BK296" i="1"/>
  <c r="BI296" i="1"/>
  <c r="CB296" i="1" s="1"/>
  <c r="BH296" i="1"/>
  <c r="CA296" i="1" s="1"/>
  <c r="BG296" i="1"/>
  <c r="BF296" i="1"/>
  <c r="BE296" i="1"/>
  <c r="BK295" i="1"/>
  <c r="BI295" i="1"/>
  <c r="CB295" i="1" s="1"/>
  <c r="BH295" i="1"/>
  <c r="CA295" i="1" s="1"/>
  <c r="BG295" i="1"/>
  <c r="BF295" i="1"/>
  <c r="BE295" i="1"/>
  <c r="BK294" i="1"/>
  <c r="BI294" i="1"/>
  <c r="CB294" i="1" s="1"/>
  <c r="BH294" i="1"/>
  <c r="CA294" i="1" s="1"/>
  <c r="BG294" i="1"/>
  <c r="BF294" i="1"/>
  <c r="BE294" i="1"/>
  <c r="BK293" i="1"/>
  <c r="BI293" i="1"/>
  <c r="CB293" i="1" s="1"/>
  <c r="BH293" i="1"/>
  <c r="CA293" i="1" s="1"/>
  <c r="BG293" i="1"/>
  <c r="BF293" i="1"/>
  <c r="BE293" i="1"/>
  <c r="BK292" i="1"/>
  <c r="BI292" i="1"/>
  <c r="CB292" i="1" s="1"/>
  <c r="BH292" i="1"/>
  <c r="CA292" i="1" s="1"/>
  <c r="BG292" i="1"/>
  <c r="BF292" i="1"/>
  <c r="BE292" i="1"/>
  <c r="BK291" i="1"/>
  <c r="BI291" i="1"/>
  <c r="CB291" i="1" s="1"/>
  <c r="BH291" i="1"/>
  <c r="CA291" i="1" s="1"/>
  <c r="BG291" i="1"/>
  <c r="BF291" i="1"/>
  <c r="BE291" i="1"/>
  <c r="BK290" i="1"/>
  <c r="BI290" i="1"/>
  <c r="CB290" i="1" s="1"/>
  <c r="BH290" i="1"/>
  <c r="CA290" i="1" s="1"/>
  <c r="BG290" i="1"/>
  <c r="BF290" i="1"/>
  <c r="BE290" i="1"/>
  <c r="BK289" i="1"/>
  <c r="BI289" i="1"/>
  <c r="CB289" i="1" s="1"/>
  <c r="BH289" i="1"/>
  <c r="CA289" i="1" s="1"/>
  <c r="BG289" i="1"/>
  <c r="BF289" i="1"/>
  <c r="BE289" i="1"/>
  <c r="BK288" i="1"/>
  <c r="BI288" i="1"/>
  <c r="CB288" i="1" s="1"/>
  <c r="BH288" i="1"/>
  <c r="CA288" i="1" s="1"/>
  <c r="BG288" i="1"/>
  <c r="BF288" i="1"/>
  <c r="BE288" i="1"/>
  <c r="BK287" i="1"/>
  <c r="BI287" i="1"/>
  <c r="CB287" i="1" s="1"/>
  <c r="BH287" i="1"/>
  <c r="CA287" i="1" s="1"/>
  <c r="BG287" i="1"/>
  <c r="BF287" i="1"/>
  <c r="BE287" i="1"/>
  <c r="BK286" i="1"/>
  <c r="BI286" i="1"/>
  <c r="CB286" i="1" s="1"/>
  <c r="BH286" i="1"/>
  <c r="CA286" i="1" s="1"/>
  <c r="BG286" i="1"/>
  <c r="BF286" i="1"/>
  <c r="BE286" i="1"/>
  <c r="BK285" i="1"/>
  <c r="BI285" i="1"/>
  <c r="CB285" i="1" s="1"/>
  <c r="BH285" i="1"/>
  <c r="CA285" i="1" s="1"/>
  <c r="BG285" i="1"/>
  <c r="BF285" i="1"/>
  <c r="BE285" i="1"/>
  <c r="BK284" i="1"/>
  <c r="BI284" i="1"/>
  <c r="CB284" i="1" s="1"/>
  <c r="BH284" i="1"/>
  <c r="CA284" i="1" s="1"/>
  <c r="BG284" i="1"/>
  <c r="BF284" i="1"/>
  <c r="BE284" i="1"/>
  <c r="BK283" i="1"/>
  <c r="BI283" i="1"/>
  <c r="CB283" i="1" s="1"/>
  <c r="BH283" i="1"/>
  <c r="CA283" i="1" s="1"/>
  <c r="BG283" i="1"/>
  <c r="BF283" i="1"/>
  <c r="BE283" i="1"/>
  <c r="BK282" i="1"/>
  <c r="BI282" i="1"/>
  <c r="CB282" i="1" s="1"/>
  <c r="BH282" i="1"/>
  <c r="CA282" i="1" s="1"/>
  <c r="BG282" i="1"/>
  <c r="BF282" i="1"/>
  <c r="BE282" i="1"/>
  <c r="BK281" i="1"/>
  <c r="BI281" i="1"/>
  <c r="CB281" i="1" s="1"/>
  <c r="BH281" i="1"/>
  <c r="CA281" i="1" s="1"/>
  <c r="BG281" i="1"/>
  <c r="BF281" i="1"/>
  <c r="BE281" i="1"/>
  <c r="BK280" i="1"/>
  <c r="BI280" i="1"/>
  <c r="CB280" i="1" s="1"/>
  <c r="BH280" i="1"/>
  <c r="CA280" i="1" s="1"/>
  <c r="BG280" i="1"/>
  <c r="BF280" i="1"/>
  <c r="BE280" i="1"/>
  <c r="BK279" i="1"/>
  <c r="BI279" i="1"/>
  <c r="CB279" i="1" s="1"/>
  <c r="BH279" i="1"/>
  <c r="CA279" i="1" s="1"/>
  <c r="BG279" i="1"/>
  <c r="BF279" i="1"/>
  <c r="BE279" i="1"/>
  <c r="BK278" i="1"/>
  <c r="BI278" i="1"/>
  <c r="CB278" i="1" s="1"/>
  <c r="BH278" i="1"/>
  <c r="CA278" i="1" s="1"/>
  <c r="BG278" i="1"/>
  <c r="BF278" i="1"/>
  <c r="BE278" i="1"/>
  <c r="BK277" i="1"/>
  <c r="BI277" i="1"/>
  <c r="CB277" i="1" s="1"/>
  <c r="BH277" i="1"/>
  <c r="CA277" i="1" s="1"/>
  <c r="BG277" i="1"/>
  <c r="BF277" i="1"/>
  <c r="BE277" i="1"/>
  <c r="BK276" i="1"/>
  <c r="BI276" i="1"/>
  <c r="CB276" i="1" s="1"/>
  <c r="BH276" i="1"/>
  <c r="CA276" i="1" s="1"/>
  <c r="BG276" i="1"/>
  <c r="BF276" i="1"/>
  <c r="BE276" i="1"/>
  <c r="BK275" i="1"/>
  <c r="BI275" i="1"/>
  <c r="CB275" i="1" s="1"/>
  <c r="BH275" i="1"/>
  <c r="CA275" i="1" s="1"/>
  <c r="BG275" i="1"/>
  <c r="BF275" i="1"/>
  <c r="BE275" i="1"/>
  <c r="BK274" i="1"/>
  <c r="BI274" i="1"/>
  <c r="CB274" i="1" s="1"/>
  <c r="BH274" i="1"/>
  <c r="CA274" i="1" s="1"/>
  <c r="BG274" i="1"/>
  <c r="BF274" i="1"/>
  <c r="BE274" i="1"/>
  <c r="BK273" i="1"/>
  <c r="BI273" i="1"/>
  <c r="CB273" i="1" s="1"/>
  <c r="BH273" i="1"/>
  <c r="CA273" i="1" s="1"/>
  <c r="BG273" i="1"/>
  <c r="BF273" i="1"/>
  <c r="BE273" i="1"/>
  <c r="BK272" i="1"/>
  <c r="BI272" i="1"/>
  <c r="CB272" i="1" s="1"/>
  <c r="BH272" i="1"/>
  <c r="CA272" i="1" s="1"/>
  <c r="BG272" i="1"/>
  <c r="BF272" i="1"/>
  <c r="BE272" i="1"/>
  <c r="BK271" i="1"/>
  <c r="BI271" i="1"/>
  <c r="CB271" i="1" s="1"/>
  <c r="BH271" i="1"/>
  <c r="CA271" i="1" s="1"/>
  <c r="BG271" i="1"/>
  <c r="BF271" i="1"/>
  <c r="BE271" i="1"/>
  <c r="BK270" i="1"/>
  <c r="BI270" i="1"/>
  <c r="CB270" i="1" s="1"/>
  <c r="BH270" i="1"/>
  <c r="CA270" i="1" s="1"/>
  <c r="BG270" i="1"/>
  <c r="BF270" i="1"/>
  <c r="BE270" i="1"/>
  <c r="BK269" i="1"/>
  <c r="BI269" i="1"/>
  <c r="CB269" i="1" s="1"/>
  <c r="BH269" i="1"/>
  <c r="CA269" i="1" s="1"/>
  <c r="BG269" i="1"/>
  <c r="BF269" i="1"/>
  <c r="BE269" i="1"/>
  <c r="BK268" i="1"/>
  <c r="BI268" i="1"/>
  <c r="CB268" i="1" s="1"/>
  <c r="BH268" i="1"/>
  <c r="CA268" i="1" s="1"/>
  <c r="BG268" i="1"/>
  <c r="BF268" i="1"/>
  <c r="BE268" i="1"/>
  <c r="BK267" i="1"/>
  <c r="BI267" i="1"/>
  <c r="CB267" i="1" s="1"/>
  <c r="BH267" i="1"/>
  <c r="CA267" i="1" s="1"/>
  <c r="BG267" i="1"/>
  <c r="BF267" i="1"/>
  <c r="BE267" i="1"/>
  <c r="BK266" i="1"/>
  <c r="BI266" i="1"/>
  <c r="CB266" i="1" s="1"/>
  <c r="BH266" i="1"/>
  <c r="CA266" i="1" s="1"/>
  <c r="BG266" i="1"/>
  <c r="BF266" i="1"/>
  <c r="BE266" i="1"/>
  <c r="BK265" i="1"/>
  <c r="BI265" i="1"/>
  <c r="CB265" i="1" s="1"/>
  <c r="BH265" i="1"/>
  <c r="CA265" i="1" s="1"/>
  <c r="BG265" i="1"/>
  <c r="BF265" i="1"/>
  <c r="BE265" i="1"/>
  <c r="BK264" i="1"/>
  <c r="BI264" i="1"/>
  <c r="CB264" i="1" s="1"/>
  <c r="BH264" i="1"/>
  <c r="CA264" i="1" s="1"/>
  <c r="BG264" i="1"/>
  <c r="BF264" i="1"/>
  <c r="BE264" i="1"/>
  <c r="BK263" i="1"/>
  <c r="BI263" i="1"/>
  <c r="CB263" i="1" s="1"/>
  <c r="BH263" i="1"/>
  <c r="CA263" i="1" s="1"/>
  <c r="BG263" i="1"/>
  <c r="BF263" i="1"/>
  <c r="BE263" i="1"/>
  <c r="BK262" i="1"/>
  <c r="BI262" i="1"/>
  <c r="CB262" i="1" s="1"/>
  <c r="BH262" i="1"/>
  <c r="CA262" i="1" s="1"/>
  <c r="BG262" i="1"/>
  <c r="BF262" i="1"/>
  <c r="BE262" i="1"/>
  <c r="BK261" i="1"/>
  <c r="BI261" i="1"/>
  <c r="CB261" i="1" s="1"/>
  <c r="BH261" i="1"/>
  <c r="CA261" i="1" s="1"/>
  <c r="BG261" i="1"/>
  <c r="BF261" i="1"/>
  <c r="BE261" i="1"/>
  <c r="BK260" i="1"/>
  <c r="BI260" i="1"/>
  <c r="CB260" i="1" s="1"/>
  <c r="BH260" i="1"/>
  <c r="CA260" i="1" s="1"/>
  <c r="BG260" i="1"/>
  <c r="BF260" i="1"/>
  <c r="BE260" i="1"/>
  <c r="BK259" i="1"/>
  <c r="BI259" i="1"/>
  <c r="CB259" i="1" s="1"/>
  <c r="BH259" i="1"/>
  <c r="CA259" i="1" s="1"/>
  <c r="BG259" i="1"/>
  <c r="BF259" i="1"/>
  <c r="BE259" i="1"/>
  <c r="BK258" i="1"/>
  <c r="BI258" i="1"/>
  <c r="CB258" i="1" s="1"/>
  <c r="BH258" i="1"/>
  <c r="CA258" i="1" s="1"/>
  <c r="BG258" i="1"/>
  <c r="BF258" i="1"/>
  <c r="BE258" i="1"/>
  <c r="BK257" i="1"/>
  <c r="BI257" i="1"/>
  <c r="CB257" i="1" s="1"/>
  <c r="BH257" i="1"/>
  <c r="CA257" i="1" s="1"/>
  <c r="BG257" i="1"/>
  <c r="BF257" i="1"/>
  <c r="BE257" i="1"/>
  <c r="BK256" i="1"/>
  <c r="BI256" i="1"/>
  <c r="CB256" i="1" s="1"/>
  <c r="BH256" i="1"/>
  <c r="CA256" i="1" s="1"/>
  <c r="BG256" i="1"/>
  <c r="BF256" i="1"/>
  <c r="BE256" i="1"/>
  <c r="BK255" i="1"/>
  <c r="BI255" i="1"/>
  <c r="CB255" i="1" s="1"/>
  <c r="BH255" i="1"/>
  <c r="CA255" i="1" s="1"/>
  <c r="BG255" i="1"/>
  <c r="BF255" i="1"/>
  <c r="BE255" i="1"/>
  <c r="BK254" i="1"/>
  <c r="BI254" i="1"/>
  <c r="CB254" i="1" s="1"/>
  <c r="BH254" i="1"/>
  <c r="CA254" i="1" s="1"/>
  <c r="BG254" i="1"/>
  <c r="BF254" i="1"/>
  <c r="BE254" i="1"/>
  <c r="BK253" i="1"/>
  <c r="BI253" i="1"/>
  <c r="CB253" i="1" s="1"/>
  <c r="BH253" i="1"/>
  <c r="CA253" i="1" s="1"/>
  <c r="BG253" i="1"/>
  <c r="BF253" i="1"/>
  <c r="BE253" i="1"/>
  <c r="BK252" i="1"/>
  <c r="BI252" i="1"/>
  <c r="CB252" i="1" s="1"/>
  <c r="BH252" i="1"/>
  <c r="CA252" i="1" s="1"/>
  <c r="BG252" i="1"/>
  <c r="BF252" i="1"/>
  <c r="BE252" i="1"/>
  <c r="BK251" i="1"/>
  <c r="BI251" i="1"/>
  <c r="CB251" i="1" s="1"/>
  <c r="BH251" i="1"/>
  <c r="CA251" i="1" s="1"/>
  <c r="BG251" i="1"/>
  <c r="BF251" i="1"/>
  <c r="BE251" i="1"/>
  <c r="BK250" i="1"/>
  <c r="BI250" i="1"/>
  <c r="CB250" i="1" s="1"/>
  <c r="BH250" i="1"/>
  <c r="CA250" i="1" s="1"/>
  <c r="BG250" i="1"/>
  <c r="BF250" i="1"/>
  <c r="BE250" i="1"/>
  <c r="BK249" i="1"/>
  <c r="BI249" i="1"/>
  <c r="CB249" i="1" s="1"/>
  <c r="BH249" i="1"/>
  <c r="CA249" i="1" s="1"/>
  <c r="BG249" i="1"/>
  <c r="BF249" i="1"/>
  <c r="BE249" i="1"/>
  <c r="BK248" i="1"/>
  <c r="BI248" i="1"/>
  <c r="CB248" i="1" s="1"/>
  <c r="BH248" i="1"/>
  <c r="CA248" i="1" s="1"/>
  <c r="BG248" i="1"/>
  <c r="BF248" i="1"/>
  <c r="BE248" i="1"/>
  <c r="BK247" i="1"/>
  <c r="BI247" i="1"/>
  <c r="CB247" i="1" s="1"/>
  <c r="BH247" i="1"/>
  <c r="CA247" i="1" s="1"/>
  <c r="BG247" i="1"/>
  <c r="BF247" i="1"/>
  <c r="BE247" i="1"/>
  <c r="BK246" i="1"/>
  <c r="BI246" i="1"/>
  <c r="CB246" i="1" s="1"/>
  <c r="BH246" i="1"/>
  <c r="CA246" i="1" s="1"/>
  <c r="BG246" i="1"/>
  <c r="BF246" i="1"/>
  <c r="BE246" i="1"/>
  <c r="BK245" i="1"/>
  <c r="BI245" i="1"/>
  <c r="CB245" i="1" s="1"/>
  <c r="BH245" i="1"/>
  <c r="CA245" i="1" s="1"/>
  <c r="BG245" i="1"/>
  <c r="BF245" i="1"/>
  <c r="BE245" i="1"/>
  <c r="BK244" i="1"/>
  <c r="BI244" i="1"/>
  <c r="CB244" i="1" s="1"/>
  <c r="BH244" i="1"/>
  <c r="CA244" i="1" s="1"/>
  <c r="BG244" i="1"/>
  <c r="BF244" i="1"/>
  <c r="BE244" i="1"/>
  <c r="BK243" i="1"/>
  <c r="BI243" i="1"/>
  <c r="CB243" i="1" s="1"/>
  <c r="BH243" i="1"/>
  <c r="CA243" i="1" s="1"/>
  <c r="BG243" i="1"/>
  <c r="BF243" i="1"/>
  <c r="BE243" i="1"/>
  <c r="BK242" i="1"/>
  <c r="BI242" i="1"/>
  <c r="CB242" i="1" s="1"/>
  <c r="BH242" i="1"/>
  <c r="CA242" i="1" s="1"/>
  <c r="BG242" i="1"/>
  <c r="BF242" i="1"/>
  <c r="BE242" i="1"/>
  <c r="BK241" i="1"/>
  <c r="BI241" i="1"/>
  <c r="CB241" i="1" s="1"/>
  <c r="BH241" i="1"/>
  <c r="CA241" i="1" s="1"/>
  <c r="BG241" i="1"/>
  <c r="BF241" i="1"/>
  <c r="BE241" i="1"/>
  <c r="BK240" i="1"/>
  <c r="BI240" i="1"/>
  <c r="CB240" i="1" s="1"/>
  <c r="BH240" i="1"/>
  <c r="CA240" i="1" s="1"/>
  <c r="BG240" i="1"/>
  <c r="BF240" i="1"/>
  <c r="BE240" i="1"/>
  <c r="BK239" i="1"/>
  <c r="BI239" i="1"/>
  <c r="CB239" i="1" s="1"/>
  <c r="BH239" i="1"/>
  <c r="CA239" i="1" s="1"/>
  <c r="BG239" i="1"/>
  <c r="BF239" i="1"/>
  <c r="BE239" i="1"/>
  <c r="BK238" i="1"/>
  <c r="BI238" i="1"/>
  <c r="CB238" i="1" s="1"/>
  <c r="BH238" i="1"/>
  <c r="CA238" i="1" s="1"/>
  <c r="BG238" i="1"/>
  <c r="BF238" i="1"/>
  <c r="BE238" i="1"/>
  <c r="BK237" i="1"/>
  <c r="BI237" i="1"/>
  <c r="CB237" i="1" s="1"/>
  <c r="BH237" i="1"/>
  <c r="CA237" i="1" s="1"/>
  <c r="BG237" i="1"/>
  <c r="BF237" i="1"/>
  <c r="BE237" i="1"/>
  <c r="BK236" i="1"/>
  <c r="BI236" i="1"/>
  <c r="CB236" i="1" s="1"/>
  <c r="BH236" i="1"/>
  <c r="CA236" i="1" s="1"/>
  <c r="BG236" i="1"/>
  <c r="BF236" i="1"/>
  <c r="BE236" i="1"/>
  <c r="BK235" i="1"/>
  <c r="BI235" i="1"/>
  <c r="CB235" i="1" s="1"/>
  <c r="BH235" i="1"/>
  <c r="CA235" i="1" s="1"/>
  <c r="BG235" i="1"/>
  <c r="BF235" i="1"/>
  <c r="BE235" i="1"/>
  <c r="BK234" i="1"/>
  <c r="BI234" i="1"/>
  <c r="CB234" i="1" s="1"/>
  <c r="BH234" i="1"/>
  <c r="CA234" i="1" s="1"/>
  <c r="BG234" i="1"/>
  <c r="BF234" i="1"/>
  <c r="BE234" i="1"/>
  <c r="BK233" i="1"/>
  <c r="BI233" i="1"/>
  <c r="CB233" i="1" s="1"/>
  <c r="BH233" i="1"/>
  <c r="CA233" i="1" s="1"/>
  <c r="BG233" i="1"/>
  <c r="BF233" i="1"/>
  <c r="BE233" i="1"/>
  <c r="BK232" i="1"/>
  <c r="BI232" i="1"/>
  <c r="CB232" i="1" s="1"/>
  <c r="BH232" i="1"/>
  <c r="CA232" i="1" s="1"/>
  <c r="BG232" i="1"/>
  <c r="BF232" i="1"/>
  <c r="BE232" i="1"/>
  <c r="BK231" i="1"/>
  <c r="BI231" i="1"/>
  <c r="CB231" i="1" s="1"/>
  <c r="BH231" i="1"/>
  <c r="CA231" i="1" s="1"/>
  <c r="BG231" i="1"/>
  <c r="BF231" i="1"/>
  <c r="BE231" i="1"/>
  <c r="BK230" i="1"/>
  <c r="BI230" i="1"/>
  <c r="CB230" i="1" s="1"/>
  <c r="BH230" i="1"/>
  <c r="CA230" i="1" s="1"/>
  <c r="BG230" i="1"/>
  <c r="BF230" i="1"/>
  <c r="BE230" i="1"/>
  <c r="BK229" i="1"/>
  <c r="BI229" i="1"/>
  <c r="CB229" i="1" s="1"/>
  <c r="BH229" i="1"/>
  <c r="CA229" i="1" s="1"/>
  <c r="BG229" i="1"/>
  <c r="BF229" i="1"/>
  <c r="BE229" i="1"/>
  <c r="BK228" i="1"/>
  <c r="BI228" i="1"/>
  <c r="CB228" i="1" s="1"/>
  <c r="BH228" i="1"/>
  <c r="CA228" i="1" s="1"/>
  <c r="BG228" i="1"/>
  <c r="BF228" i="1"/>
  <c r="BE228" i="1"/>
  <c r="BK227" i="1"/>
  <c r="BI227" i="1"/>
  <c r="CB227" i="1" s="1"/>
  <c r="BH227" i="1"/>
  <c r="CA227" i="1" s="1"/>
  <c r="BG227" i="1"/>
  <c r="BF227" i="1"/>
  <c r="BE227" i="1"/>
  <c r="BK226" i="1"/>
  <c r="BI226" i="1"/>
  <c r="CB226" i="1" s="1"/>
  <c r="BH226" i="1"/>
  <c r="CA226" i="1" s="1"/>
  <c r="BG226" i="1"/>
  <c r="BF226" i="1"/>
  <c r="BE226" i="1"/>
  <c r="BK225" i="1"/>
  <c r="BI225" i="1"/>
  <c r="CB225" i="1" s="1"/>
  <c r="BH225" i="1"/>
  <c r="CA225" i="1" s="1"/>
  <c r="BG225" i="1"/>
  <c r="BF225" i="1"/>
  <c r="BE225" i="1"/>
  <c r="BK224" i="1"/>
  <c r="BI224" i="1"/>
  <c r="CB224" i="1" s="1"/>
  <c r="BH224" i="1"/>
  <c r="CA224" i="1" s="1"/>
  <c r="BG224" i="1"/>
  <c r="BF224" i="1"/>
  <c r="BE224" i="1"/>
  <c r="BK223" i="1"/>
  <c r="BI223" i="1"/>
  <c r="CB223" i="1" s="1"/>
  <c r="BH223" i="1"/>
  <c r="CA223" i="1" s="1"/>
  <c r="BG223" i="1"/>
  <c r="BF223" i="1"/>
  <c r="BE223" i="1"/>
  <c r="BK222" i="1"/>
  <c r="BI222" i="1"/>
  <c r="CB222" i="1" s="1"/>
  <c r="BH222" i="1"/>
  <c r="CA222" i="1" s="1"/>
  <c r="BG222" i="1"/>
  <c r="BF222" i="1"/>
  <c r="BE222" i="1"/>
  <c r="BK221" i="1"/>
  <c r="BI221" i="1"/>
  <c r="CB221" i="1" s="1"/>
  <c r="BH221" i="1"/>
  <c r="CA221" i="1" s="1"/>
  <c r="BG221" i="1"/>
  <c r="BF221" i="1"/>
  <c r="BE221" i="1"/>
  <c r="BK220" i="1"/>
  <c r="BI220" i="1"/>
  <c r="CB220" i="1" s="1"/>
  <c r="BH220" i="1"/>
  <c r="CA220" i="1" s="1"/>
  <c r="BG220" i="1"/>
  <c r="BF220" i="1"/>
  <c r="BE220" i="1"/>
  <c r="BK219" i="1"/>
  <c r="BI219" i="1"/>
  <c r="CB219" i="1" s="1"/>
  <c r="BH219" i="1"/>
  <c r="CA219" i="1" s="1"/>
  <c r="BG219" i="1"/>
  <c r="BF219" i="1"/>
  <c r="BE219" i="1"/>
  <c r="BK218" i="1"/>
  <c r="BI218" i="1"/>
  <c r="CB218" i="1" s="1"/>
  <c r="BH218" i="1"/>
  <c r="CA218" i="1" s="1"/>
  <c r="BG218" i="1"/>
  <c r="BF218" i="1"/>
  <c r="BE218" i="1"/>
  <c r="BK217" i="1"/>
  <c r="BI217" i="1"/>
  <c r="CB217" i="1" s="1"/>
  <c r="BH217" i="1"/>
  <c r="CA217" i="1" s="1"/>
  <c r="BG217" i="1"/>
  <c r="BF217" i="1"/>
  <c r="BE217" i="1"/>
  <c r="BK216" i="1"/>
  <c r="BI216" i="1"/>
  <c r="CB216" i="1" s="1"/>
  <c r="BH216" i="1"/>
  <c r="CA216" i="1" s="1"/>
  <c r="BG216" i="1"/>
  <c r="BF216" i="1"/>
  <c r="BE216" i="1"/>
  <c r="BK215" i="1"/>
  <c r="BI215" i="1"/>
  <c r="CB215" i="1" s="1"/>
  <c r="BH215" i="1"/>
  <c r="CA215" i="1" s="1"/>
  <c r="BG215" i="1"/>
  <c r="BF215" i="1"/>
  <c r="BE215" i="1"/>
  <c r="BK214" i="1"/>
  <c r="BI214" i="1"/>
  <c r="CB214" i="1" s="1"/>
  <c r="BH214" i="1"/>
  <c r="CA214" i="1" s="1"/>
  <c r="BG214" i="1"/>
  <c r="BF214" i="1"/>
  <c r="BE214" i="1"/>
  <c r="BK213" i="1"/>
  <c r="BI213" i="1"/>
  <c r="CB213" i="1" s="1"/>
  <c r="BH213" i="1"/>
  <c r="CA213" i="1" s="1"/>
  <c r="BG213" i="1"/>
  <c r="BF213" i="1"/>
  <c r="BE213" i="1"/>
  <c r="BK212" i="1"/>
  <c r="BI212" i="1"/>
  <c r="CB212" i="1" s="1"/>
  <c r="BH212" i="1"/>
  <c r="CA212" i="1" s="1"/>
  <c r="BG212" i="1"/>
  <c r="BF212" i="1"/>
  <c r="BE212" i="1"/>
  <c r="BK211" i="1"/>
  <c r="BI211" i="1"/>
  <c r="CB211" i="1" s="1"/>
  <c r="BH211" i="1"/>
  <c r="CA211" i="1" s="1"/>
  <c r="BG211" i="1"/>
  <c r="BF211" i="1"/>
  <c r="BE211" i="1"/>
  <c r="BK210" i="1"/>
  <c r="BI210" i="1"/>
  <c r="CB210" i="1" s="1"/>
  <c r="BH210" i="1"/>
  <c r="CA210" i="1" s="1"/>
  <c r="BG210" i="1"/>
  <c r="BF210" i="1"/>
  <c r="BE210" i="1"/>
  <c r="BK209" i="1"/>
  <c r="BI209" i="1"/>
  <c r="CB209" i="1" s="1"/>
  <c r="BH209" i="1"/>
  <c r="CA209" i="1" s="1"/>
  <c r="BG209" i="1"/>
  <c r="BF209" i="1"/>
  <c r="BE209" i="1"/>
  <c r="BK208" i="1"/>
  <c r="BI208" i="1"/>
  <c r="CB208" i="1" s="1"/>
  <c r="BH208" i="1"/>
  <c r="CA208" i="1" s="1"/>
  <c r="BG208" i="1"/>
  <c r="BF208" i="1"/>
  <c r="BE208" i="1"/>
  <c r="BK207" i="1"/>
  <c r="BI207" i="1"/>
  <c r="CB207" i="1" s="1"/>
  <c r="BH207" i="1"/>
  <c r="CA207" i="1" s="1"/>
  <c r="BG207" i="1"/>
  <c r="BF207" i="1"/>
  <c r="BE207" i="1"/>
  <c r="BK206" i="1"/>
  <c r="BI206" i="1"/>
  <c r="CB206" i="1" s="1"/>
  <c r="BH206" i="1"/>
  <c r="CA206" i="1" s="1"/>
  <c r="BG206" i="1"/>
  <c r="BF206" i="1"/>
  <c r="BE206" i="1"/>
  <c r="BK205" i="1"/>
  <c r="BI205" i="1"/>
  <c r="CB205" i="1" s="1"/>
  <c r="BH205" i="1"/>
  <c r="CA205" i="1" s="1"/>
  <c r="BG205" i="1"/>
  <c r="BF205" i="1"/>
  <c r="BE205" i="1"/>
  <c r="BK204" i="1"/>
  <c r="BI204" i="1"/>
  <c r="CB204" i="1" s="1"/>
  <c r="BH204" i="1"/>
  <c r="CA204" i="1" s="1"/>
  <c r="BG204" i="1"/>
  <c r="BF204" i="1"/>
  <c r="BE204" i="1"/>
  <c r="BK203" i="1"/>
  <c r="BI203" i="1"/>
  <c r="CB203" i="1" s="1"/>
  <c r="BH203" i="1"/>
  <c r="CA203" i="1" s="1"/>
  <c r="BG203" i="1"/>
  <c r="BF203" i="1"/>
  <c r="BE203" i="1"/>
  <c r="BK202" i="1"/>
  <c r="BI202" i="1"/>
  <c r="CB202" i="1" s="1"/>
  <c r="BH202" i="1"/>
  <c r="CA202" i="1" s="1"/>
  <c r="BG202" i="1"/>
  <c r="BF202" i="1"/>
  <c r="BE202" i="1"/>
  <c r="BK201" i="1"/>
  <c r="BI201" i="1"/>
  <c r="CB201" i="1" s="1"/>
  <c r="BH201" i="1"/>
  <c r="CA201" i="1" s="1"/>
  <c r="BG201" i="1"/>
  <c r="BF201" i="1"/>
  <c r="BE201" i="1"/>
  <c r="BK200" i="1"/>
  <c r="BI200" i="1"/>
  <c r="CB200" i="1" s="1"/>
  <c r="BH200" i="1"/>
  <c r="CA200" i="1" s="1"/>
  <c r="BG200" i="1"/>
  <c r="BF200" i="1"/>
  <c r="BE200" i="1"/>
  <c r="BK199" i="1"/>
  <c r="BI199" i="1"/>
  <c r="CB199" i="1" s="1"/>
  <c r="BH199" i="1"/>
  <c r="CA199" i="1" s="1"/>
  <c r="BG199" i="1"/>
  <c r="BF199" i="1"/>
  <c r="BE199" i="1"/>
  <c r="BK198" i="1"/>
  <c r="BI198" i="1"/>
  <c r="CB198" i="1" s="1"/>
  <c r="BH198" i="1"/>
  <c r="CA198" i="1" s="1"/>
  <c r="BG198" i="1"/>
  <c r="BF198" i="1"/>
  <c r="BE198" i="1"/>
  <c r="BK197" i="1"/>
  <c r="BI197" i="1"/>
  <c r="CB197" i="1" s="1"/>
  <c r="BH197" i="1"/>
  <c r="CA197" i="1" s="1"/>
  <c r="BG197" i="1"/>
  <c r="BF197" i="1"/>
  <c r="BE197" i="1"/>
  <c r="BK196" i="1"/>
  <c r="BI196" i="1"/>
  <c r="CB196" i="1" s="1"/>
  <c r="BH196" i="1"/>
  <c r="CA196" i="1" s="1"/>
  <c r="BG196" i="1"/>
  <c r="BF196" i="1"/>
  <c r="BE196" i="1"/>
  <c r="BK195" i="1"/>
  <c r="BI195" i="1"/>
  <c r="CB195" i="1" s="1"/>
  <c r="BH195" i="1"/>
  <c r="CA195" i="1" s="1"/>
  <c r="BG195" i="1"/>
  <c r="BF195" i="1"/>
  <c r="BE195" i="1"/>
  <c r="BK194" i="1"/>
  <c r="BI194" i="1"/>
  <c r="CB194" i="1" s="1"/>
  <c r="BH194" i="1"/>
  <c r="CA194" i="1" s="1"/>
  <c r="BG194" i="1"/>
  <c r="BF194" i="1"/>
  <c r="BE194" i="1"/>
  <c r="BK193" i="1"/>
  <c r="CB193" i="1"/>
  <c r="CA193" i="1"/>
  <c r="BF193" i="1"/>
  <c r="BE193" i="1"/>
  <c r="BK192" i="1"/>
  <c r="CB192" i="1"/>
  <c r="CA192" i="1"/>
  <c r="BF192" i="1"/>
  <c r="BE192" i="1"/>
  <c r="BK191" i="1"/>
  <c r="CB191" i="1"/>
  <c r="CA191" i="1"/>
  <c r="BF191" i="1"/>
  <c r="BE191" i="1"/>
  <c r="BK190" i="1"/>
  <c r="CB190" i="1"/>
  <c r="CA190" i="1"/>
  <c r="BF190" i="1"/>
  <c r="BE190" i="1"/>
  <c r="BK189" i="1"/>
  <c r="CB189" i="1"/>
  <c r="CA189" i="1"/>
  <c r="BF189" i="1"/>
  <c r="BE189" i="1"/>
  <c r="BK188" i="1"/>
  <c r="CB188" i="1"/>
  <c r="CA188" i="1"/>
  <c r="BF188" i="1"/>
  <c r="BE188" i="1"/>
  <c r="BK187" i="1"/>
  <c r="CB187" i="1"/>
  <c r="CA187" i="1"/>
  <c r="BF187" i="1"/>
  <c r="BE187" i="1"/>
  <c r="BK186" i="1"/>
  <c r="CB186" i="1"/>
  <c r="CA186" i="1"/>
  <c r="BF186" i="1"/>
  <c r="BE186" i="1"/>
  <c r="BK185" i="1"/>
  <c r="CB185" i="1"/>
  <c r="CA185" i="1"/>
  <c r="BF185" i="1"/>
  <c r="BE185" i="1"/>
  <c r="BK184" i="1"/>
  <c r="CB184" i="1"/>
  <c r="CA184" i="1"/>
  <c r="BF184" i="1"/>
  <c r="BE184" i="1"/>
  <c r="BK183" i="1"/>
  <c r="CB183" i="1"/>
  <c r="CA183" i="1"/>
  <c r="BF183" i="1"/>
  <c r="BE183" i="1"/>
  <c r="BK182" i="1"/>
  <c r="CB182" i="1"/>
  <c r="CA182" i="1"/>
  <c r="BF182" i="1"/>
  <c r="BE182" i="1"/>
  <c r="BK181" i="1"/>
  <c r="CB181" i="1"/>
  <c r="CA181" i="1"/>
  <c r="BF181" i="1"/>
  <c r="BE181" i="1"/>
  <c r="BK180" i="1"/>
  <c r="CB180" i="1"/>
  <c r="CA180" i="1"/>
  <c r="BF180" i="1"/>
  <c r="BE180" i="1"/>
  <c r="BK179" i="1"/>
  <c r="CB179" i="1"/>
  <c r="CA179" i="1"/>
  <c r="BF179" i="1"/>
  <c r="BE179" i="1"/>
  <c r="BK178" i="1"/>
  <c r="CB178" i="1"/>
  <c r="CA178" i="1"/>
  <c r="BF178" i="1"/>
  <c r="BE178" i="1"/>
  <c r="BK177" i="1"/>
  <c r="CB177" i="1"/>
  <c r="CA177" i="1"/>
  <c r="BF177" i="1"/>
  <c r="BE177" i="1"/>
  <c r="BK176" i="1"/>
  <c r="CB176" i="1"/>
  <c r="CA176" i="1"/>
  <c r="BF176" i="1"/>
  <c r="BE176" i="1"/>
  <c r="BK175" i="1"/>
  <c r="CB175" i="1"/>
  <c r="CA175" i="1"/>
  <c r="BF175" i="1"/>
  <c r="BE175" i="1"/>
  <c r="BK174" i="1"/>
  <c r="CB174" i="1"/>
  <c r="CA174" i="1"/>
  <c r="BF174" i="1"/>
  <c r="BE174" i="1"/>
  <c r="BK173" i="1"/>
  <c r="CB173" i="1"/>
  <c r="CA173" i="1"/>
  <c r="BF173" i="1"/>
  <c r="BE173" i="1"/>
  <c r="BK172" i="1"/>
  <c r="CB172" i="1"/>
  <c r="CA172" i="1"/>
  <c r="BF172" i="1"/>
  <c r="BE172" i="1"/>
  <c r="BK171" i="1"/>
  <c r="CB171" i="1"/>
  <c r="CA171" i="1"/>
  <c r="BF171" i="1"/>
  <c r="BE171" i="1"/>
  <c r="BK170" i="1"/>
  <c r="CB170" i="1"/>
  <c r="CA170" i="1"/>
  <c r="BF170" i="1"/>
  <c r="BE170" i="1"/>
  <c r="BK169" i="1"/>
  <c r="CB169" i="1"/>
  <c r="CA169" i="1"/>
  <c r="BF169" i="1"/>
  <c r="BE169" i="1"/>
  <c r="BK168" i="1"/>
  <c r="CB168" i="1"/>
  <c r="CA168" i="1"/>
  <c r="BF168" i="1"/>
  <c r="BE168" i="1"/>
  <c r="BK167" i="1"/>
  <c r="CB167" i="1"/>
  <c r="CA167" i="1"/>
  <c r="BF167" i="1"/>
  <c r="BE167" i="1"/>
  <c r="BK166" i="1"/>
  <c r="CB166" i="1"/>
  <c r="CA166" i="1"/>
  <c r="BF166" i="1"/>
  <c r="BE166" i="1"/>
  <c r="BK165" i="1"/>
  <c r="CB165" i="1"/>
  <c r="CA165" i="1"/>
  <c r="BF165" i="1"/>
  <c r="BE165" i="1"/>
  <c r="BK164" i="1"/>
  <c r="CB164" i="1"/>
  <c r="CA164" i="1"/>
  <c r="BF164" i="1"/>
  <c r="BE164" i="1"/>
  <c r="BK163" i="1"/>
  <c r="CB163" i="1"/>
  <c r="CA163" i="1"/>
  <c r="BF163" i="1"/>
  <c r="BE163" i="1"/>
  <c r="BK162" i="1"/>
  <c r="CB162" i="1"/>
  <c r="CA162" i="1"/>
  <c r="BF162" i="1"/>
  <c r="BE162" i="1"/>
  <c r="BK161" i="1"/>
  <c r="CB161" i="1"/>
  <c r="CA161" i="1"/>
  <c r="BF161" i="1"/>
  <c r="BE161" i="1"/>
  <c r="BK160" i="1"/>
  <c r="CB160" i="1"/>
  <c r="CA160" i="1"/>
  <c r="BF160" i="1"/>
  <c r="BE160" i="1"/>
  <c r="CB159" i="1"/>
  <c r="CA159" i="1"/>
  <c r="BF159" i="1"/>
  <c r="BE159" i="1"/>
  <c r="CB158" i="1"/>
  <c r="CA158" i="1"/>
  <c r="BF158" i="1"/>
  <c r="BE158" i="1"/>
  <c r="CB157" i="1"/>
  <c r="CA157" i="1"/>
  <c r="BF157" i="1"/>
  <c r="BE157" i="1"/>
  <c r="CB156" i="1"/>
  <c r="CA156" i="1"/>
  <c r="BF156" i="1"/>
  <c r="BE156" i="1"/>
  <c r="CB155" i="1"/>
  <c r="CA155" i="1"/>
  <c r="BF155" i="1"/>
  <c r="BE155" i="1"/>
  <c r="CB154" i="1"/>
  <c r="CA154" i="1"/>
  <c r="BF154" i="1"/>
  <c r="BE154" i="1"/>
  <c r="CB153" i="1"/>
  <c r="CA153" i="1"/>
  <c r="BF153" i="1"/>
  <c r="BE153" i="1"/>
  <c r="CB152" i="1"/>
  <c r="CA152" i="1"/>
  <c r="BF152" i="1"/>
  <c r="BE152" i="1"/>
  <c r="CB151" i="1"/>
  <c r="CA151" i="1"/>
  <c r="BF151" i="1"/>
  <c r="BE151" i="1"/>
  <c r="CB150" i="1"/>
  <c r="CA150" i="1"/>
  <c r="BF150" i="1"/>
  <c r="BE150" i="1"/>
  <c r="CB149" i="1"/>
  <c r="CA149" i="1"/>
  <c r="BF149" i="1"/>
  <c r="BE149" i="1"/>
  <c r="CB148" i="1"/>
  <c r="CA148" i="1"/>
  <c r="BF148" i="1"/>
  <c r="BE148" i="1"/>
  <c r="CB147" i="1"/>
  <c r="CA147" i="1"/>
  <c r="BF147" i="1"/>
  <c r="BE147" i="1"/>
  <c r="CB146" i="1"/>
  <c r="CA146" i="1"/>
  <c r="BF146" i="1"/>
  <c r="BE146" i="1"/>
  <c r="CB145" i="1"/>
  <c r="CA145" i="1"/>
  <c r="BF145" i="1"/>
  <c r="BE145" i="1"/>
  <c r="CB144" i="1"/>
  <c r="CA144" i="1"/>
  <c r="BF144" i="1"/>
  <c r="BE144" i="1"/>
  <c r="CB143" i="1"/>
  <c r="CA143" i="1"/>
  <c r="BF143" i="1"/>
  <c r="BE143" i="1"/>
  <c r="CB142" i="1"/>
  <c r="CA142" i="1"/>
  <c r="BF142" i="1"/>
  <c r="BE142" i="1"/>
  <c r="CB141" i="1"/>
  <c r="CA141" i="1"/>
  <c r="BF141" i="1"/>
  <c r="BE141" i="1"/>
  <c r="CB140" i="1"/>
  <c r="CA140" i="1"/>
  <c r="BF140" i="1"/>
  <c r="BE140" i="1"/>
  <c r="CB139" i="1"/>
  <c r="CA139" i="1"/>
  <c r="BF139" i="1"/>
  <c r="BE139" i="1"/>
  <c r="CB138" i="1"/>
  <c r="CA138" i="1"/>
  <c r="BF138" i="1"/>
  <c r="BE138" i="1"/>
  <c r="CB137" i="1"/>
  <c r="CA137" i="1"/>
  <c r="BF137" i="1"/>
  <c r="BE137" i="1"/>
  <c r="CB136" i="1"/>
  <c r="CA136" i="1"/>
  <c r="BF136" i="1"/>
  <c r="BE136" i="1"/>
  <c r="CB135" i="1"/>
  <c r="CA135" i="1"/>
  <c r="BF135" i="1"/>
  <c r="BE135" i="1"/>
  <c r="CB134" i="1"/>
  <c r="CA134" i="1"/>
  <c r="BF134" i="1"/>
  <c r="BE134" i="1"/>
  <c r="CB133" i="1"/>
  <c r="CA133" i="1"/>
  <c r="BF133" i="1"/>
  <c r="BE133" i="1"/>
  <c r="CB132" i="1"/>
  <c r="CA132" i="1"/>
  <c r="BF132" i="1"/>
  <c r="BE132" i="1"/>
  <c r="CB131" i="1"/>
  <c r="CA131" i="1"/>
  <c r="BF131" i="1"/>
  <c r="BE131" i="1"/>
  <c r="CB130" i="1"/>
  <c r="CA130" i="1"/>
  <c r="BF130" i="1"/>
  <c r="BE130" i="1"/>
  <c r="CB129" i="1"/>
  <c r="CA129" i="1"/>
  <c r="BF129" i="1"/>
  <c r="BE129" i="1"/>
  <c r="CB128" i="1"/>
  <c r="CA128" i="1"/>
  <c r="BF128" i="1"/>
  <c r="BE128" i="1"/>
  <c r="CB127" i="1"/>
  <c r="CA127" i="1"/>
  <c r="BF127" i="1"/>
  <c r="BE127" i="1"/>
  <c r="CB126" i="1"/>
  <c r="CA126" i="1"/>
  <c r="BF126" i="1"/>
  <c r="BE126" i="1"/>
  <c r="CB125" i="1"/>
  <c r="CA125" i="1"/>
  <c r="BF125" i="1"/>
  <c r="BE125" i="1"/>
  <c r="CB124" i="1"/>
  <c r="CA124" i="1"/>
  <c r="BF124" i="1"/>
  <c r="BE124" i="1"/>
  <c r="CB123" i="1"/>
  <c r="CA123" i="1"/>
  <c r="BF123" i="1"/>
  <c r="BE123" i="1"/>
  <c r="CB122" i="1"/>
  <c r="CA122" i="1"/>
  <c r="BF122" i="1"/>
  <c r="BE122" i="1"/>
  <c r="CB121" i="1"/>
  <c r="CA121" i="1"/>
  <c r="BF121" i="1"/>
  <c r="BE121" i="1"/>
  <c r="CB120" i="1"/>
  <c r="CA120" i="1"/>
  <c r="BF120" i="1"/>
  <c r="BE120" i="1"/>
  <c r="CB119" i="1"/>
  <c r="CA119" i="1"/>
  <c r="BF119" i="1"/>
  <c r="BE119" i="1"/>
  <c r="CB118" i="1"/>
  <c r="CA118" i="1"/>
  <c r="BF118" i="1"/>
  <c r="BE118" i="1"/>
  <c r="CB117" i="1"/>
  <c r="CA117" i="1"/>
  <c r="BF117" i="1"/>
  <c r="BE117" i="1"/>
  <c r="CB116" i="1"/>
  <c r="CA116" i="1"/>
  <c r="BF116" i="1"/>
  <c r="BE116" i="1"/>
  <c r="CB115" i="1"/>
  <c r="CA115" i="1"/>
  <c r="BF115" i="1"/>
  <c r="BE115" i="1"/>
  <c r="CB114" i="1"/>
  <c r="CA114" i="1"/>
  <c r="BF114" i="1"/>
  <c r="BE114" i="1"/>
  <c r="CB113" i="1"/>
  <c r="CA113" i="1"/>
  <c r="BF113" i="1"/>
  <c r="BE113" i="1"/>
  <c r="CB112" i="1"/>
  <c r="CA112" i="1"/>
  <c r="BF112" i="1"/>
  <c r="BE112" i="1"/>
  <c r="CB111" i="1"/>
  <c r="CA111" i="1"/>
  <c r="BF111" i="1"/>
  <c r="BE111" i="1"/>
  <c r="CB110" i="1"/>
  <c r="CA110" i="1"/>
  <c r="BF110" i="1"/>
  <c r="BE110" i="1"/>
  <c r="CB109" i="1"/>
  <c r="CA109" i="1"/>
  <c r="BF109" i="1"/>
  <c r="BE109" i="1"/>
  <c r="CB108" i="1"/>
  <c r="CA108" i="1"/>
  <c r="BF108" i="1"/>
  <c r="BE108" i="1"/>
  <c r="CB107" i="1"/>
  <c r="CA107" i="1"/>
  <c r="BF107" i="1"/>
  <c r="BE107" i="1"/>
  <c r="CB106" i="1"/>
  <c r="CA106" i="1"/>
  <c r="BF106" i="1"/>
  <c r="BE106" i="1"/>
  <c r="CB105" i="1"/>
  <c r="CA105" i="1"/>
  <c r="BF105" i="1"/>
  <c r="BE105" i="1"/>
  <c r="CB104" i="1"/>
  <c r="CA104" i="1"/>
  <c r="BF104" i="1"/>
  <c r="BE104" i="1"/>
  <c r="CB103" i="1"/>
  <c r="CA103" i="1"/>
  <c r="BF103" i="1"/>
  <c r="BE103" i="1"/>
  <c r="CB102" i="1"/>
  <c r="CA102" i="1"/>
  <c r="BF102" i="1"/>
  <c r="BE102" i="1"/>
  <c r="CB101" i="1"/>
  <c r="CA101" i="1"/>
  <c r="BF101" i="1"/>
  <c r="BE101" i="1"/>
  <c r="CB100" i="1"/>
  <c r="CA100" i="1"/>
  <c r="BF100" i="1"/>
  <c r="BE100" i="1"/>
  <c r="CB99" i="1"/>
  <c r="CA99" i="1"/>
  <c r="BF99" i="1"/>
  <c r="BE99" i="1"/>
  <c r="CB98" i="1"/>
  <c r="CA98" i="1"/>
  <c r="BF98" i="1"/>
  <c r="BE98" i="1"/>
  <c r="CB97" i="1"/>
  <c r="CA97" i="1"/>
  <c r="BF97" i="1"/>
  <c r="BE97" i="1"/>
  <c r="CB96" i="1"/>
  <c r="CA96" i="1"/>
  <c r="BF96" i="1"/>
  <c r="BE96" i="1"/>
  <c r="CB95" i="1"/>
  <c r="CA95" i="1"/>
  <c r="BF95" i="1"/>
  <c r="BE95" i="1"/>
  <c r="CB94" i="1"/>
  <c r="CA94" i="1"/>
  <c r="BF94" i="1"/>
  <c r="BE94" i="1"/>
  <c r="CB93" i="1"/>
  <c r="CA93" i="1"/>
  <c r="BF93" i="1"/>
  <c r="BE93" i="1"/>
  <c r="CB92" i="1"/>
  <c r="CA92" i="1"/>
  <c r="BF92" i="1"/>
  <c r="BE92" i="1"/>
  <c r="CB91" i="1"/>
  <c r="CA91" i="1"/>
  <c r="BF91" i="1"/>
  <c r="BE91" i="1"/>
  <c r="CB90" i="1"/>
  <c r="CA90" i="1"/>
  <c r="BF90" i="1"/>
  <c r="BE90" i="1"/>
  <c r="CB89" i="1"/>
  <c r="CA89" i="1"/>
  <c r="BF89" i="1"/>
  <c r="BE89" i="1"/>
  <c r="CB88" i="1"/>
  <c r="CA88" i="1"/>
  <c r="BF88" i="1"/>
  <c r="BE88" i="1"/>
  <c r="CB87" i="1"/>
  <c r="CA87" i="1"/>
  <c r="BF87" i="1"/>
  <c r="BE87" i="1"/>
  <c r="CB86" i="1"/>
  <c r="CA86" i="1"/>
  <c r="BF86" i="1"/>
  <c r="BE86" i="1"/>
  <c r="CB85" i="1"/>
  <c r="CA85" i="1"/>
  <c r="BF85" i="1"/>
  <c r="BE85" i="1"/>
  <c r="CB84" i="1"/>
  <c r="CA84" i="1"/>
  <c r="BF84" i="1"/>
  <c r="BE84" i="1"/>
  <c r="CB83" i="1"/>
  <c r="CA83" i="1"/>
  <c r="BF83" i="1"/>
  <c r="BE83" i="1"/>
  <c r="CB82" i="1"/>
  <c r="CA82" i="1"/>
  <c r="BF82" i="1"/>
  <c r="BE82" i="1"/>
  <c r="CB81" i="1"/>
  <c r="CA81" i="1"/>
  <c r="BF81" i="1"/>
  <c r="BE81" i="1"/>
  <c r="CB80" i="1"/>
  <c r="CA80" i="1"/>
  <c r="BF80" i="1"/>
  <c r="BE80" i="1"/>
  <c r="CB79" i="1"/>
  <c r="CA79" i="1"/>
  <c r="BF79" i="1"/>
  <c r="BE79" i="1"/>
  <c r="CB78" i="1"/>
  <c r="CA78" i="1"/>
  <c r="BF78" i="1"/>
  <c r="BE78" i="1"/>
  <c r="CB77" i="1"/>
  <c r="CA77" i="1"/>
  <c r="BF77" i="1"/>
  <c r="BE77" i="1"/>
  <c r="CB76" i="1"/>
  <c r="CA76" i="1"/>
  <c r="BF76" i="1"/>
  <c r="BE76" i="1"/>
  <c r="CB75" i="1"/>
  <c r="CA75" i="1"/>
  <c r="BF75" i="1"/>
  <c r="BE75" i="1"/>
  <c r="CB74" i="1"/>
  <c r="CA74" i="1"/>
  <c r="BF74" i="1"/>
  <c r="BE74" i="1"/>
  <c r="CB73" i="1"/>
  <c r="CA73" i="1"/>
  <c r="BF73" i="1"/>
  <c r="BE73" i="1"/>
  <c r="CB72" i="1"/>
  <c r="CA72" i="1"/>
  <c r="BF72" i="1"/>
  <c r="BE72" i="1"/>
  <c r="CB71" i="1"/>
  <c r="CA71" i="1"/>
  <c r="BF71" i="1"/>
  <c r="BE71" i="1"/>
  <c r="CB70" i="1"/>
  <c r="CA70" i="1"/>
  <c r="BF70" i="1"/>
  <c r="BE70" i="1"/>
  <c r="CB69" i="1"/>
  <c r="CA69" i="1"/>
  <c r="BF69" i="1"/>
  <c r="BE69" i="1"/>
  <c r="CB68" i="1"/>
  <c r="CA68" i="1"/>
  <c r="BF68" i="1"/>
  <c r="BE68" i="1"/>
  <c r="CB67" i="1"/>
  <c r="CA67" i="1"/>
  <c r="BF67" i="1"/>
  <c r="BE67" i="1"/>
  <c r="CB66" i="1"/>
  <c r="CA66" i="1"/>
  <c r="BF66" i="1"/>
  <c r="BE66" i="1"/>
  <c r="CB62" i="1"/>
  <c r="CA62" i="1"/>
  <c r="BF62" i="1"/>
  <c r="BE62" i="1"/>
  <c r="BI61" i="1"/>
  <c r="CB61" i="1" s="1"/>
  <c r="BH61" i="1"/>
  <c r="CA61" i="1" s="1"/>
  <c r="BG61" i="1"/>
  <c r="BF61" i="1"/>
  <c r="BE61" i="1"/>
  <c r="BI60" i="1"/>
  <c r="CB60" i="1" s="1"/>
  <c r="BH60" i="1"/>
  <c r="CA60" i="1" s="1"/>
  <c r="BG60" i="1"/>
  <c r="BF60" i="1"/>
  <c r="BE60" i="1"/>
  <c r="BI59" i="1"/>
  <c r="CB59" i="1" s="1"/>
  <c r="BH59" i="1"/>
  <c r="CA59" i="1" s="1"/>
  <c r="BG59" i="1"/>
  <c r="BF59" i="1"/>
  <c r="BE59" i="1"/>
  <c r="BI58" i="1"/>
  <c r="CB58" i="1" s="1"/>
  <c r="BH58" i="1"/>
  <c r="CA58" i="1" s="1"/>
  <c r="BG58" i="1"/>
  <c r="BF58" i="1"/>
  <c r="BE58" i="1"/>
  <c r="BI57" i="1"/>
  <c r="CB57" i="1" s="1"/>
  <c r="BH57" i="1"/>
  <c r="CA57" i="1" s="1"/>
  <c r="BG57" i="1"/>
  <c r="BF57" i="1"/>
  <c r="BE57" i="1"/>
  <c r="BI56" i="1"/>
  <c r="CB56" i="1" s="1"/>
  <c r="BH56" i="1"/>
  <c r="CA56" i="1" s="1"/>
  <c r="BG56" i="1"/>
  <c r="BF56" i="1"/>
  <c r="BE56" i="1"/>
  <c r="BI55" i="1"/>
  <c r="CB55" i="1" s="1"/>
  <c r="BH55" i="1"/>
  <c r="CA55" i="1" s="1"/>
  <c r="BG55" i="1"/>
  <c r="BF55" i="1"/>
  <c r="BE55" i="1"/>
  <c r="BI54" i="1"/>
  <c r="CB54" i="1" s="1"/>
  <c r="BH54" i="1"/>
  <c r="CA54" i="1" s="1"/>
  <c r="BG54" i="1"/>
  <c r="BF54" i="1"/>
  <c r="BE54" i="1"/>
  <c r="BI53" i="1"/>
  <c r="CB53" i="1" s="1"/>
  <c r="BH53" i="1"/>
  <c r="CA53" i="1" s="1"/>
  <c r="BG53" i="1"/>
  <c r="BF53" i="1"/>
  <c r="BE53" i="1"/>
  <c r="BI52" i="1"/>
  <c r="CB52" i="1" s="1"/>
  <c r="BH52" i="1"/>
  <c r="CA52" i="1" s="1"/>
  <c r="BG52" i="1"/>
  <c r="BF52" i="1"/>
  <c r="BE52" i="1"/>
  <c r="BI51" i="1"/>
  <c r="CB51" i="1" s="1"/>
  <c r="BH51" i="1"/>
  <c r="CA51" i="1" s="1"/>
  <c r="BG51" i="1"/>
  <c r="BF51" i="1"/>
  <c r="BE51" i="1"/>
  <c r="BI50" i="1"/>
  <c r="CB50" i="1" s="1"/>
  <c r="BH50" i="1"/>
  <c r="CA50" i="1" s="1"/>
  <c r="BG50" i="1"/>
  <c r="BF50" i="1"/>
  <c r="BE50" i="1"/>
  <c r="BI49" i="1"/>
  <c r="CB49" i="1" s="1"/>
  <c r="BH49" i="1"/>
  <c r="CA49" i="1" s="1"/>
  <c r="BG49" i="1"/>
  <c r="BF49" i="1"/>
  <c r="BE49" i="1"/>
  <c r="BI48" i="1"/>
  <c r="CB48" i="1" s="1"/>
  <c r="BH48" i="1"/>
  <c r="CA48" i="1" s="1"/>
  <c r="BG48" i="1"/>
  <c r="BF48" i="1"/>
  <c r="BE48" i="1"/>
  <c r="BI47" i="1"/>
  <c r="CB47" i="1" s="1"/>
  <c r="BH47" i="1"/>
  <c r="CA47" i="1" s="1"/>
  <c r="BG47" i="1"/>
  <c r="BF47" i="1"/>
  <c r="BE47" i="1"/>
  <c r="BI46" i="1"/>
  <c r="CB46" i="1" s="1"/>
  <c r="BH46" i="1"/>
  <c r="CA46" i="1" s="1"/>
  <c r="BG46" i="1"/>
  <c r="BF46" i="1"/>
  <c r="BE46" i="1"/>
  <c r="BI45" i="1"/>
  <c r="CB45" i="1" s="1"/>
  <c r="BH45" i="1"/>
  <c r="CA45" i="1" s="1"/>
  <c r="BG45" i="1"/>
  <c r="BF45" i="1"/>
  <c r="BE45" i="1"/>
  <c r="BI44" i="1"/>
  <c r="CB44" i="1" s="1"/>
  <c r="BH44" i="1"/>
  <c r="CA44" i="1" s="1"/>
  <c r="BG44" i="1"/>
  <c r="BF44" i="1"/>
  <c r="BE44" i="1"/>
  <c r="BI43" i="1"/>
  <c r="CB43" i="1" s="1"/>
  <c r="BH43" i="1"/>
  <c r="CA43" i="1" s="1"/>
  <c r="BG43" i="1"/>
  <c r="BF43" i="1"/>
  <c r="BE43" i="1"/>
  <c r="BI42" i="1"/>
  <c r="CB42" i="1" s="1"/>
  <c r="BH42" i="1"/>
  <c r="CA42" i="1" s="1"/>
  <c r="BG42" i="1"/>
  <c r="BF42" i="1"/>
  <c r="BE42" i="1"/>
  <c r="BI41" i="1"/>
  <c r="CB41" i="1" s="1"/>
  <c r="BH41" i="1"/>
  <c r="CA41" i="1" s="1"/>
  <c r="BG41" i="1"/>
  <c r="BF41" i="1"/>
  <c r="BE41" i="1"/>
  <c r="BI39" i="1"/>
  <c r="CB39" i="1" s="1"/>
  <c r="BH39" i="1"/>
  <c r="CA39" i="1" s="1"/>
  <c r="BG39" i="1"/>
  <c r="BF39" i="1"/>
  <c r="BE39" i="1"/>
  <c r="BI38" i="1"/>
  <c r="CB38" i="1" s="1"/>
  <c r="BH38" i="1"/>
  <c r="CA38" i="1" s="1"/>
  <c r="BG38" i="1"/>
  <c r="BF38" i="1"/>
  <c r="BE38" i="1"/>
  <c r="BI37" i="1"/>
  <c r="CB37" i="1" s="1"/>
  <c r="BH37" i="1"/>
  <c r="CA37" i="1" s="1"/>
  <c r="BG37" i="1"/>
  <c r="BF37" i="1"/>
  <c r="BE37" i="1"/>
  <c r="BI36" i="1"/>
  <c r="CB36" i="1" s="1"/>
  <c r="BH36" i="1"/>
  <c r="CA36" i="1" s="1"/>
  <c r="BG36" i="1"/>
  <c r="BF36" i="1"/>
  <c r="BE36" i="1"/>
  <c r="BI35" i="1"/>
  <c r="CB35" i="1" s="1"/>
  <c r="BH35" i="1"/>
  <c r="CA35" i="1" s="1"/>
  <c r="BG35" i="1"/>
  <c r="BF35" i="1"/>
  <c r="BE35" i="1"/>
  <c r="BI34" i="1"/>
  <c r="CB34" i="1" s="1"/>
  <c r="BH34" i="1"/>
  <c r="CA34" i="1" s="1"/>
  <c r="BG34" i="1"/>
  <c r="BF34" i="1"/>
  <c r="BE34" i="1"/>
  <c r="BI33" i="1"/>
  <c r="CB33" i="1" s="1"/>
  <c r="BH33" i="1"/>
  <c r="CA33" i="1" s="1"/>
  <c r="BG33" i="1"/>
  <c r="BF33" i="1"/>
  <c r="BE33" i="1"/>
  <c r="BI32" i="1"/>
  <c r="CB32" i="1" s="1"/>
  <c r="BH32" i="1"/>
  <c r="CA32" i="1" s="1"/>
  <c r="BG32" i="1"/>
  <c r="BF32" i="1"/>
  <c r="BE32" i="1"/>
  <c r="BI31" i="1"/>
  <c r="CB31" i="1" s="1"/>
  <c r="BH31" i="1"/>
  <c r="CA31" i="1" s="1"/>
  <c r="BG31" i="1"/>
  <c r="BF31" i="1"/>
  <c r="BE31" i="1"/>
  <c r="BI30" i="1"/>
  <c r="CB30" i="1" s="1"/>
  <c r="BH30" i="1"/>
  <c r="CA30" i="1" s="1"/>
  <c r="BG30" i="1"/>
  <c r="BF30" i="1"/>
  <c r="BE30" i="1"/>
  <c r="BI29" i="1"/>
  <c r="CB29" i="1" s="1"/>
  <c r="BH29" i="1"/>
  <c r="CA29" i="1" s="1"/>
  <c r="BG29" i="1"/>
  <c r="BF29" i="1"/>
  <c r="BE29" i="1"/>
  <c r="BI28" i="1"/>
  <c r="CB28" i="1" s="1"/>
  <c r="BH28" i="1"/>
  <c r="CA28" i="1" s="1"/>
  <c r="BG28" i="1"/>
  <c r="BF28" i="1"/>
  <c r="BE28" i="1"/>
  <c r="BI27" i="1"/>
  <c r="CB27" i="1" s="1"/>
  <c r="BH27" i="1"/>
  <c r="CA27" i="1" s="1"/>
  <c r="BG27" i="1"/>
  <c r="BF27" i="1"/>
  <c r="BE27" i="1"/>
  <c r="BI26" i="1"/>
  <c r="CB26" i="1" s="1"/>
  <c r="BH26" i="1"/>
  <c r="CA26" i="1" s="1"/>
  <c r="BG26" i="1"/>
  <c r="BF26" i="1"/>
  <c r="BE26" i="1"/>
  <c r="BI25" i="1"/>
  <c r="CB25" i="1" s="1"/>
  <c r="BH25" i="1"/>
  <c r="CA25" i="1" s="1"/>
  <c r="BG25" i="1"/>
  <c r="BF25" i="1"/>
  <c r="BE25" i="1"/>
  <c r="BI24" i="1"/>
  <c r="CB24" i="1" s="1"/>
  <c r="BH24" i="1"/>
  <c r="CA24" i="1" s="1"/>
  <c r="BG24" i="1"/>
  <c r="BF24" i="1"/>
  <c r="BE24" i="1"/>
  <c r="BI23" i="1"/>
  <c r="CB23" i="1" s="1"/>
  <c r="BH23" i="1"/>
  <c r="CA23" i="1" s="1"/>
  <c r="BG23" i="1"/>
  <c r="BF23" i="1"/>
  <c r="BE23" i="1"/>
  <c r="BI22" i="1"/>
  <c r="CB22" i="1" s="1"/>
  <c r="BH22" i="1"/>
  <c r="CA22" i="1" s="1"/>
  <c r="BG22" i="1"/>
  <c r="BF22" i="1"/>
  <c r="BE22" i="1"/>
  <c r="BI21" i="1"/>
  <c r="CB21" i="1" s="1"/>
  <c r="BH21" i="1"/>
  <c r="CA21" i="1" s="1"/>
  <c r="BG21" i="1"/>
  <c r="BF21" i="1"/>
  <c r="BE21" i="1"/>
  <c r="BI20" i="1"/>
  <c r="CB20" i="1" s="1"/>
  <c r="BH20" i="1"/>
  <c r="CA20" i="1" s="1"/>
  <c r="BG20" i="1"/>
  <c r="BF20" i="1"/>
  <c r="BE20" i="1"/>
  <c r="BI19" i="1"/>
  <c r="CB19" i="1" s="1"/>
  <c r="BH19" i="1"/>
  <c r="CA19" i="1" s="1"/>
  <c r="BG19" i="1"/>
  <c r="BF19" i="1"/>
  <c r="BE19" i="1"/>
  <c r="BI18" i="1"/>
  <c r="CB18" i="1" s="1"/>
  <c r="BH18" i="1"/>
  <c r="CA18" i="1" s="1"/>
  <c r="BG18" i="1"/>
  <c r="BF18" i="1"/>
  <c r="BE18" i="1"/>
  <c r="BI17" i="1"/>
  <c r="CB17" i="1" s="1"/>
  <c r="BH17" i="1"/>
  <c r="CA17" i="1" s="1"/>
  <c r="BG17" i="1"/>
  <c r="BF17" i="1"/>
  <c r="BE17" i="1"/>
  <c r="BI16" i="1"/>
  <c r="CB16" i="1" s="1"/>
  <c r="BH16" i="1"/>
  <c r="CA16" i="1" s="1"/>
  <c r="BG16" i="1"/>
  <c r="BF16" i="1"/>
  <c r="BE16" i="1"/>
  <c r="BI15" i="1"/>
  <c r="CB15" i="1" s="1"/>
  <c r="BH15" i="1"/>
  <c r="CA15" i="1" s="1"/>
  <c r="BG15" i="1"/>
  <c r="BF15" i="1"/>
  <c r="BE15" i="1"/>
  <c r="BI14" i="1"/>
  <c r="CB14" i="1" s="1"/>
  <c r="BH14" i="1"/>
  <c r="CA14" i="1" s="1"/>
  <c r="BG14" i="1"/>
  <c r="BF14" i="1"/>
  <c r="BE14" i="1"/>
  <c r="BI13" i="1"/>
  <c r="CB13" i="1" s="1"/>
  <c r="BH13" i="1"/>
  <c r="CA13" i="1" s="1"/>
  <c r="BG13" i="1"/>
  <c r="BF13" i="1"/>
  <c r="BE13" i="1"/>
  <c r="BI12" i="1"/>
  <c r="CB12" i="1" s="1"/>
  <c r="BH12" i="1"/>
  <c r="CA12" i="1" s="1"/>
  <c r="BG12" i="1"/>
  <c r="BF12" i="1"/>
  <c r="BE12" i="1"/>
  <c r="BI11" i="1"/>
  <c r="CB11" i="1" s="1"/>
  <c r="BH11" i="1"/>
  <c r="CA11" i="1" s="1"/>
  <c r="BG11" i="1"/>
  <c r="BF11" i="1"/>
  <c r="BE11" i="1"/>
  <c r="BI10" i="1"/>
  <c r="CB10" i="1" s="1"/>
  <c r="BH10" i="1"/>
  <c r="CA10" i="1" s="1"/>
  <c r="BG10" i="1"/>
  <c r="BF10" i="1"/>
  <c r="BE10" i="1"/>
  <c r="BI9" i="1"/>
  <c r="CB9" i="1" s="1"/>
  <c r="BH9" i="1"/>
  <c r="CA9" i="1" s="1"/>
  <c r="BG9" i="1"/>
  <c r="BF9" i="1"/>
  <c r="BE9" i="1"/>
  <c r="BI8" i="1"/>
  <c r="CB8" i="1" s="1"/>
  <c r="BH8" i="1"/>
  <c r="CA8" i="1" s="1"/>
  <c r="BG8" i="1"/>
  <c r="BF8" i="1"/>
  <c r="BE8" i="1"/>
  <c r="BI7" i="1"/>
  <c r="CB7" i="1" s="1"/>
  <c r="BH7" i="1"/>
  <c r="CA7" i="1" s="1"/>
  <c r="BG7" i="1"/>
  <c r="BF7" i="1"/>
  <c r="BE7" i="1"/>
  <c r="BN6" i="1"/>
  <c r="BL6" i="1"/>
  <c r="BI6" i="1"/>
  <c r="CB6" i="1" s="1"/>
  <c r="BH6" i="1"/>
  <c r="CA6" i="1" s="1"/>
  <c r="BG6" i="1"/>
  <c r="BF6" i="1"/>
  <c r="BK133" i="1" l="1"/>
  <c r="BK135" i="1" l="1"/>
  <c r="BK137" i="1"/>
  <c r="BK139" i="1"/>
  <c r="BK141" i="1"/>
  <c r="BK143" i="1"/>
  <c r="BK145" i="1"/>
  <c r="BK147" i="1"/>
  <c r="BK149" i="1"/>
  <c r="BK151" i="1"/>
  <c r="BK153" i="1"/>
  <c r="BK155" i="1"/>
  <c r="BA395" i="1"/>
  <c r="BK157" i="1"/>
  <c r="BK159" i="1"/>
  <c r="BB379" i="1"/>
  <c r="BA379" i="1"/>
  <c r="AY379" i="1"/>
  <c r="AY394" i="1"/>
  <c r="BB380" i="1"/>
  <c r="BA380" i="1"/>
  <c r="AY380" i="1"/>
  <c r="BK134" i="1"/>
  <c r="BK136" i="1"/>
  <c r="BK138" i="1"/>
  <c r="BK140" i="1"/>
  <c r="BK142" i="1"/>
  <c r="BK144" i="1"/>
  <c r="BK146" i="1"/>
  <c r="BK148" i="1"/>
  <c r="BK150" i="1"/>
  <c r="BK152" i="1"/>
  <c r="BK154" i="1"/>
  <c r="BK156" i="1"/>
  <c r="BK158" i="1"/>
  <c r="BK116" i="1"/>
  <c r="BK117" i="1"/>
  <c r="BK118" i="1"/>
  <c r="BK119" i="1"/>
  <c r="BK120" i="1"/>
  <c r="BK121" i="1"/>
  <c r="BK122" i="1"/>
  <c r="BK123" i="1"/>
  <c r="BK124" i="1"/>
  <c r="BK125" i="1"/>
  <c r="BK126" i="1"/>
  <c r="BA394" i="1"/>
  <c r="BK127" i="1"/>
  <c r="BK128" i="1"/>
  <c r="BK129" i="1"/>
  <c r="BK130" i="1"/>
  <c r="BK131" i="1"/>
  <c r="BK132" i="1"/>
  <c r="AY395" i="1"/>
  <c r="BD380" i="1" l="1"/>
  <c r="BC380" i="1"/>
  <c r="BD379" i="1"/>
  <c r="BC379" i="1"/>
  <c r="AP394" i="1" l="1"/>
  <c r="AQ394" i="1"/>
  <c r="AQ379" i="1"/>
  <c r="AP386" i="1"/>
  <c r="AP385" i="1"/>
  <c r="AP384" i="1"/>
  <c r="AP383" i="1"/>
  <c r="AP382" i="1"/>
  <c r="AP381" i="1"/>
  <c r="AP380" i="1"/>
  <c r="AP379" i="1"/>
  <c r="AP378" i="1"/>
  <c r="BK114" i="1" l="1"/>
  <c r="BK112" i="1"/>
  <c r="BK109" i="1"/>
  <c r="BK107" i="1"/>
  <c r="BK105" i="1"/>
  <c r="BK103" i="1"/>
  <c r="BK101" i="1"/>
  <c r="BK99" i="1"/>
  <c r="BK97" i="1"/>
  <c r="BK95" i="1"/>
  <c r="BK93" i="1"/>
  <c r="BK91" i="1"/>
  <c r="BK89" i="1"/>
  <c r="BK87" i="1"/>
  <c r="BK85" i="1"/>
  <c r="BK83" i="1"/>
  <c r="BK81" i="1"/>
  <c r="BK79" i="1"/>
  <c r="BK77" i="1"/>
  <c r="BK76" i="1"/>
  <c r="BK74" i="1"/>
  <c r="BK72" i="1"/>
  <c r="BK70" i="1"/>
  <c r="BK68" i="1"/>
  <c r="BK66" i="1"/>
  <c r="BB61" i="1"/>
  <c r="BK61" i="1"/>
  <c r="BB59" i="1"/>
  <c r="BK59" i="1"/>
  <c r="BB57" i="1"/>
  <c r="BK57" i="1"/>
  <c r="BB55" i="1"/>
  <c r="BK55" i="1"/>
  <c r="BB53" i="1"/>
  <c r="BK53" i="1"/>
  <c r="BB51" i="1"/>
  <c r="BK51" i="1"/>
  <c r="BB49" i="1"/>
  <c r="BK49" i="1"/>
  <c r="BB47" i="1"/>
  <c r="BK47" i="1"/>
  <c r="BB45" i="1"/>
  <c r="BK45" i="1"/>
  <c r="BB44" i="1"/>
  <c r="BK44" i="1"/>
  <c r="BB42" i="1"/>
  <c r="BK42" i="1"/>
  <c r="BB37" i="1"/>
  <c r="BX37" i="1" s="1"/>
  <c r="BK37" i="1"/>
  <c r="BA391" i="1"/>
  <c r="BB35" i="1"/>
  <c r="BK35" i="1"/>
  <c r="BB34" i="1"/>
  <c r="BK34" i="1"/>
  <c r="BB32" i="1"/>
  <c r="BK32" i="1"/>
  <c r="BB30" i="1"/>
  <c r="BK30" i="1"/>
  <c r="BB28" i="1"/>
  <c r="BK28" i="1"/>
  <c r="BB26" i="1"/>
  <c r="BK26" i="1"/>
  <c r="BB24" i="1"/>
  <c r="BK24" i="1"/>
  <c r="BB21" i="1"/>
  <c r="BK21" i="1"/>
  <c r="BB19" i="1"/>
  <c r="BK19" i="1"/>
  <c r="BB18" i="1"/>
  <c r="BK18" i="1"/>
  <c r="BB16" i="1"/>
  <c r="BK16" i="1"/>
  <c r="BB13" i="1"/>
  <c r="BK13" i="1"/>
  <c r="BB11" i="1"/>
  <c r="BK11" i="1"/>
  <c r="BB9" i="1"/>
  <c r="BK9" i="1"/>
  <c r="BB7" i="1"/>
  <c r="BK7" i="1"/>
  <c r="BB6" i="1"/>
  <c r="BX6" i="1" s="1"/>
  <c r="BA390" i="1"/>
  <c r="BK6" i="1"/>
  <c r="AY393" i="1"/>
  <c r="AY390" i="1"/>
  <c r="AY372" i="1"/>
  <c r="BA378" i="1"/>
  <c r="AY378" i="1"/>
  <c r="BB378" i="1"/>
  <c r="AY377" i="1"/>
  <c r="BB377" i="1"/>
  <c r="BA377" i="1"/>
  <c r="BB376" i="1"/>
  <c r="BA376" i="1"/>
  <c r="AY376" i="1"/>
  <c r="BB375" i="1"/>
  <c r="BA375" i="1"/>
  <c r="AY375" i="1"/>
  <c r="BK115" i="1"/>
  <c r="BK113" i="1"/>
  <c r="BK111" i="1"/>
  <c r="BK110" i="1"/>
  <c r="BK108" i="1"/>
  <c r="BK106" i="1"/>
  <c r="BK104" i="1"/>
  <c r="BK102" i="1"/>
  <c r="BK100" i="1"/>
  <c r="BK98" i="1"/>
  <c r="BA393" i="1"/>
  <c r="BK96" i="1"/>
  <c r="BK94" i="1"/>
  <c r="BK92" i="1"/>
  <c r="BK90" i="1"/>
  <c r="BK88" i="1"/>
  <c r="BK86" i="1"/>
  <c r="BK84" i="1"/>
  <c r="BK82" i="1"/>
  <c r="BK80" i="1"/>
  <c r="BK78" i="1"/>
  <c r="BK75" i="1"/>
  <c r="BK73" i="1"/>
  <c r="BK71" i="1"/>
  <c r="BK69" i="1"/>
  <c r="BK67" i="1"/>
  <c r="BA392" i="1"/>
  <c r="BK62" i="1"/>
  <c r="BB60" i="1"/>
  <c r="BK60" i="1"/>
  <c r="BB58" i="1"/>
  <c r="BK58" i="1"/>
  <c r="BB56" i="1"/>
  <c r="BK56" i="1"/>
  <c r="BB54" i="1"/>
  <c r="BK54" i="1"/>
  <c r="BB52" i="1"/>
  <c r="BK52" i="1"/>
  <c r="BB50" i="1"/>
  <c r="BK50" i="1"/>
  <c r="BB48" i="1"/>
  <c r="BK48" i="1"/>
  <c r="BB46" i="1"/>
  <c r="BK46" i="1"/>
  <c r="BB43" i="1"/>
  <c r="BK43" i="1"/>
  <c r="BB41" i="1"/>
  <c r="BK41" i="1"/>
  <c r="BB39" i="1"/>
  <c r="BK39" i="1"/>
  <c r="BB38" i="1"/>
  <c r="BK38" i="1"/>
  <c r="BB36" i="1"/>
  <c r="BK36" i="1"/>
  <c r="BB33" i="1"/>
  <c r="BK33" i="1"/>
  <c r="BB31" i="1"/>
  <c r="BK31" i="1"/>
  <c r="BB29" i="1"/>
  <c r="BK29" i="1"/>
  <c r="BB27" i="1"/>
  <c r="BK27" i="1"/>
  <c r="BB25" i="1"/>
  <c r="BK25" i="1"/>
  <c r="BB23" i="1"/>
  <c r="BK23" i="1"/>
  <c r="BB22" i="1"/>
  <c r="BK22" i="1"/>
  <c r="BB20" i="1"/>
  <c r="BK20" i="1"/>
  <c r="BB17" i="1"/>
  <c r="BK17" i="1"/>
  <c r="BB15" i="1"/>
  <c r="BK15" i="1"/>
  <c r="BB14" i="1"/>
  <c r="BK14" i="1"/>
  <c r="BB12" i="1"/>
  <c r="BK12" i="1"/>
  <c r="BB10" i="1"/>
  <c r="BK10" i="1"/>
  <c r="BB8" i="1"/>
  <c r="BK8" i="1"/>
  <c r="AY392" i="1"/>
  <c r="AY391" i="1"/>
  <c r="N372" i="1"/>
  <c r="BC42" i="1" l="1"/>
  <c r="BY42" i="1" s="1"/>
  <c r="BX42" i="1"/>
  <c r="BC44" i="1"/>
  <c r="BY44" i="1" s="1"/>
  <c r="BX44" i="1"/>
  <c r="BC45" i="1"/>
  <c r="BY45" i="1" s="1"/>
  <c r="BX45" i="1"/>
  <c r="BC47" i="1"/>
  <c r="BY47" i="1" s="1"/>
  <c r="BX47" i="1"/>
  <c r="BC49" i="1"/>
  <c r="BY49" i="1" s="1"/>
  <c r="BX49" i="1"/>
  <c r="BC51" i="1"/>
  <c r="BY51" i="1" s="1"/>
  <c r="BX51" i="1"/>
  <c r="BC53" i="1"/>
  <c r="BY53" i="1" s="1"/>
  <c r="BX53" i="1"/>
  <c r="BC55" i="1"/>
  <c r="BY55" i="1" s="1"/>
  <c r="BX55" i="1"/>
  <c r="BC57" i="1"/>
  <c r="BY57" i="1" s="1"/>
  <c r="BX57" i="1"/>
  <c r="BC59" i="1"/>
  <c r="BY59" i="1" s="1"/>
  <c r="BX59" i="1"/>
  <c r="BC61" i="1"/>
  <c r="BY61" i="1" s="1"/>
  <c r="BX61" i="1"/>
  <c r="BC8" i="1"/>
  <c r="BY8" i="1" s="1"/>
  <c r="BX8" i="1"/>
  <c r="BC10" i="1"/>
  <c r="BY10" i="1" s="1"/>
  <c r="BX10" i="1"/>
  <c r="BC12" i="1"/>
  <c r="BY12" i="1" s="1"/>
  <c r="BX12" i="1"/>
  <c r="BC14" i="1"/>
  <c r="BY14" i="1" s="1"/>
  <c r="BX14" i="1"/>
  <c r="BC15" i="1"/>
  <c r="BY15" i="1" s="1"/>
  <c r="BX15" i="1"/>
  <c r="BC17" i="1"/>
  <c r="BY17" i="1" s="1"/>
  <c r="BX17" i="1"/>
  <c r="BC20" i="1"/>
  <c r="BY20" i="1" s="1"/>
  <c r="BX20" i="1"/>
  <c r="BC22" i="1"/>
  <c r="BY22" i="1" s="1"/>
  <c r="BX22" i="1"/>
  <c r="BC23" i="1"/>
  <c r="BY23" i="1" s="1"/>
  <c r="BX23" i="1"/>
  <c r="BC25" i="1"/>
  <c r="BY25" i="1" s="1"/>
  <c r="BX25" i="1"/>
  <c r="BC27" i="1"/>
  <c r="BY27" i="1" s="1"/>
  <c r="BX27" i="1"/>
  <c r="BC29" i="1"/>
  <c r="BY29" i="1" s="1"/>
  <c r="BX29" i="1"/>
  <c r="BC31" i="1"/>
  <c r="BY31" i="1" s="1"/>
  <c r="BX31" i="1"/>
  <c r="BC33" i="1"/>
  <c r="BY33" i="1" s="1"/>
  <c r="BX33" i="1"/>
  <c r="BC36" i="1"/>
  <c r="BY36" i="1" s="1"/>
  <c r="BX36" i="1"/>
  <c r="BC38" i="1"/>
  <c r="BY38" i="1" s="1"/>
  <c r="BX38" i="1"/>
  <c r="BC39" i="1"/>
  <c r="BY39" i="1" s="1"/>
  <c r="BX39" i="1"/>
  <c r="BC41" i="1"/>
  <c r="BY41" i="1" s="1"/>
  <c r="BX41" i="1"/>
  <c r="BC43" i="1"/>
  <c r="BY43" i="1" s="1"/>
  <c r="BX43" i="1"/>
  <c r="BC46" i="1"/>
  <c r="BY46" i="1" s="1"/>
  <c r="BX46" i="1"/>
  <c r="BC48" i="1"/>
  <c r="BY48" i="1" s="1"/>
  <c r="BX48" i="1"/>
  <c r="BC50" i="1"/>
  <c r="BY50" i="1" s="1"/>
  <c r="BX50" i="1"/>
  <c r="BC52" i="1"/>
  <c r="BY52" i="1" s="1"/>
  <c r="BX52" i="1"/>
  <c r="BC54" i="1"/>
  <c r="BY54" i="1" s="1"/>
  <c r="BX54" i="1"/>
  <c r="BC56" i="1"/>
  <c r="BY56" i="1" s="1"/>
  <c r="BX56" i="1"/>
  <c r="BC58" i="1"/>
  <c r="BY58" i="1" s="1"/>
  <c r="BX58" i="1"/>
  <c r="BC60" i="1"/>
  <c r="BY60" i="1" s="1"/>
  <c r="BX60" i="1"/>
  <c r="BC7" i="1"/>
  <c r="BY7" i="1" s="1"/>
  <c r="BX7" i="1"/>
  <c r="BC9" i="1"/>
  <c r="BY9" i="1" s="1"/>
  <c r="BX9" i="1"/>
  <c r="BC11" i="1"/>
  <c r="BY11" i="1" s="1"/>
  <c r="BX11" i="1"/>
  <c r="BC13" i="1"/>
  <c r="BY13" i="1" s="1"/>
  <c r="BX13" i="1"/>
  <c r="BC16" i="1"/>
  <c r="BY16" i="1" s="1"/>
  <c r="BX16" i="1"/>
  <c r="BC18" i="1"/>
  <c r="BY18" i="1" s="1"/>
  <c r="BX18" i="1"/>
  <c r="BC19" i="1"/>
  <c r="BY19" i="1" s="1"/>
  <c r="BX19" i="1"/>
  <c r="BC21" i="1"/>
  <c r="BY21" i="1" s="1"/>
  <c r="BX21" i="1"/>
  <c r="BC24" i="1"/>
  <c r="BY24" i="1" s="1"/>
  <c r="BX24" i="1"/>
  <c r="BC26" i="1"/>
  <c r="BY26" i="1" s="1"/>
  <c r="BX26" i="1"/>
  <c r="BC28" i="1"/>
  <c r="BY28" i="1" s="1"/>
  <c r="BX28" i="1"/>
  <c r="BC30" i="1"/>
  <c r="BY30" i="1" s="1"/>
  <c r="BX30" i="1"/>
  <c r="BC32" i="1"/>
  <c r="BY32" i="1" s="1"/>
  <c r="BX32" i="1"/>
  <c r="BC34" i="1"/>
  <c r="BY34" i="1" s="1"/>
  <c r="BX34" i="1"/>
  <c r="BC35" i="1"/>
  <c r="BY35" i="1" s="1"/>
  <c r="BX35" i="1"/>
  <c r="BD378" i="1"/>
  <c r="BC378" i="1"/>
  <c r="BC6" i="1"/>
  <c r="BC375" i="1"/>
  <c r="BD377" i="1"/>
  <c r="BC377" i="1"/>
  <c r="BC37" i="1"/>
  <c r="BC376" i="1"/>
  <c r="BD376" i="1" l="1"/>
  <c r="BY37" i="1"/>
  <c r="BD375" i="1"/>
  <c r="BY6" i="1"/>
  <c r="AU399" i="1"/>
  <c r="AU398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AU394" i="1" l="1"/>
  <c r="AU397" i="1"/>
  <c r="M388" i="1"/>
  <c r="AU396" i="1"/>
  <c r="AU395" i="1"/>
  <c r="G388" i="1"/>
  <c r="L388" i="1"/>
  <c r="AQ384" i="1" l="1"/>
  <c r="AQ399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AP377" i="1"/>
  <c r="AP376" i="1"/>
  <c r="AP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Q385" i="1" l="1"/>
  <c r="AP391" i="1"/>
  <c r="AP392" i="1"/>
  <c r="AP390" i="1"/>
  <c r="AU393" i="1"/>
  <c r="AU391" i="1"/>
  <c r="AU392" i="1"/>
  <c r="AQ391" i="1"/>
  <c r="AQ376" i="1"/>
  <c r="AQ392" i="1"/>
  <c r="AQ377" i="1"/>
  <c r="AQ400" i="1"/>
  <c r="AP393" i="1"/>
  <c r="AU390" i="1"/>
  <c r="AQ390" i="1"/>
  <c r="AQ375" i="1"/>
  <c r="AQ393" i="1"/>
  <c r="AQ378" i="1"/>
  <c r="AQ401" i="1"/>
  <c r="AQ386" i="1"/>
</calcChain>
</file>

<file path=xl/sharedStrings.xml><?xml version="1.0" encoding="utf-8"?>
<sst xmlns="http://schemas.openxmlformats.org/spreadsheetml/2006/main" count="1624" uniqueCount="141">
  <si>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</si>
  <si>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</si>
  <si>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</si>
  <si>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</si>
  <si>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</si>
  <si>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</si>
  <si>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</si>
  <si>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</si>
  <si>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</si>
  <si>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</si>
  <si>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</si>
  <si>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</si>
  <si>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</si>
  <si>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</si>
  <si>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</si>
  <si>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</si>
  <si>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</si>
  <si>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</si>
  <si>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</si>
  <si>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</si>
  <si>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</si>
  <si>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</si>
  <si>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</si>
  <si>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</si>
  <si>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</si>
  <si>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</si>
  <si>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</si>
  <si>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</si>
  <si>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</si>
  <si>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</si>
  <si>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</si>
  <si>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</si>
  <si>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</si>
  <si>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</si>
  <si>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</si>
  <si>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</si>
  <si>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</si>
  <si>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</si>
  <si>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</si>
  <si>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</si>
  <si>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</si>
  <si>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</si>
  <si>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</si>
  <si>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</si>
  <si>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</si>
  <si>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</si>
  <si>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</si>
  <si>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</si>
  <si>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</si>
  <si>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</si>
  <si>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</si>
  <si>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</si>
  <si>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</si>
  <si>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</si>
  <si>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</si>
  <si>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</si>
  <si>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</si>
  <si>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</si>
  <si>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</si>
  <si>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</si>
  <si>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</si>
  <si>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</si>
  <si>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</si>
  <si>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</si>
  <si>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</si>
  <si>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</si>
  <si>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</si>
  <si>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</si>
  <si>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</si>
  <si>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</si>
  <si>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</si>
  <si>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</si>
  <si>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</si>
  <si>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</si>
  <si>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</si>
  <si>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</si>
  <si>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</si>
  <si>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</si>
  <si>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</si>
  <si>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</si>
  <si>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</si>
  <si>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</si>
  <si>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</si>
  <si>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</si>
  <si>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</si>
  <si>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</si>
  <si>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</si>
  <si>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</si>
  <si>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</si>
  <si>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</si>
  <si>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</si>
  <si>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</si>
  <si>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</si>
  <si>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</si>
  <si>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</si>
  <si>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</si>
  <si>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</si>
  <si>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</si>
  <si>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</si>
  <si>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</si>
  <si>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</si>
  <si>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</si>
  <si>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</si>
  <si>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</si>
  <si>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</si>
  <si>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</si>
  <si>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</si>
  <si>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</si>
  <si>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</si>
  <si>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</si>
  <si>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</si>
  <si>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</si>
  <si>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</si>
  <si>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</si>
  <si>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Tref</t>
  </si>
  <si>
    <t>Ave C</t>
  </si>
  <si>
    <t>Meta data for PK</t>
  </si>
  <si>
    <t>Summed daily data</t>
  </si>
  <si>
    <t>Adjusted for spectral response</t>
  </si>
  <si>
    <t>HMP35C in Gill sheild at 3 m</t>
  </si>
  <si>
    <t xml:space="preserve">HMP35C in Gill sheild at 3 m. </t>
  </si>
  <si>
    <t xml:space="preserve">Sierra Misco tipping bucket </t>
  </si>
  <si>
    <t>Thermocouples at 0.2 and 0.5 m referenced to thermistor on panel</t>
  </si>
  <si>
    <t>Thermocouples at 0.005 and 0.5 m referenced to thermistor on panel</t>
  </si>
  <si>
    <t>Soil Moisture m3/m3</t>
  </si>
  <si>
    <t>TDR probe installed 7 July</t>
  </si>
  <si>
    <t xml:space="preserve">MetOne anemometer at 3 m </t>
  </si>
  <si>
    <t>Vapour pressure and vpd kPa</t>
  </si>
  <si>
    <t>Snow depth m</t>
  </si>
  <si>
    <t xml:space="preserve">Adjusted Rh to max = 100. </t>
  </si>
  <si>
    <t>Changed solar calibr</t>
  </si>
  <si>
    <t>Penticton Creek Site PK 2019, Daily data</t>
  </si>
  <si>
    <t>PrecipAnalysis</t>
  </si>
  <si>
    <t>Last edit 5/12/25</t>
  </si>
  <si>
    <t>Precipitation falling as snow and rain gauge (discounted snow melt in gauge) from precipitation analysis</t>
  </si>
  <si>
    <t xml:space="preserve">CR10X data logger. </t>
  </si>
  <si>
    <t>Added snow depth (mm) from from precipitation analysis Jan to Dec</t>
  </si>
  <si>
    <t>Increased sensitivity Jan to June 5 by 5% based on comparison with P1 and PJ 5. Then adjusted program</t>
  </si>
  <si>
    <t>Calculated from Tairmax and Rhmin</t>
  </si>
  <si>
    <t>Tsoil15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</si>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</sst>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0" fillId="0" borderId="0" xfId="0" applyFill="1"/>
    <xf numFmtId="1" fontId="1" fillId="0" borderId="0" xfId="0" applyNumberFormat="1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Data!$AS$6:$AS$370</c:f>
              <c:numCache>
                <c:formatCode>0.00</c:formatCode>
                <c:ptCount val="365"/>
                <c:pt idx="0">
                  <c:v>2.04</c:v>
                </c:pt>
                <c:pt idx="1">
                  <c:v>1.4</c:v>
                </c:pt>
                <c:pt idx="2">
                  <c:v>1.35</c:v>
                </c:pt>
                <c:pt idx="3">
                  <c:v>3.2</c:v>
                </c:pt>
                <c:pt idx="4">
                  <c:v>2.1</c:v>
                </c:pt>
                <c:pt idx="5">
                  <c:v>3.36</c:v>
                </c:pt>
                <c:pt idx="6">
                  <c:v>3.94</c:v>
                </c:pt>
                <c:pt idx="7">
                  <c:v>2.0499999999999998</c:v>
                </c:pt>
                <c:pt idx="8">
                  <c:v>1.43</c:v>
                </c:pt>
                <c:pt idx="9">
                  <c:v>3.61</c:v>
                </c:pt>
                <c:pt idx="10">
                  <c:v>3.15</c:v>
                </c:pt>
                <c:pt idx="11">
                  <c:v>4.05</c:v>
                </c:pt>
                <c:pt idx="12">
                  <c:v>5.17</c:v>
                </c:pt>
                <c:pt idx="13">
                  <c:v>5.18</c:v>
                </c:pt>
                <c:pt idx="14">
                  <c:v>5.3</c:v>
                </c:pt>
                <c:pt idx="15">
                  <c:v>2.68</c:v>
                </c:pt>
                <c:pt idx="16">
                  <c:v>1.69</c:v>
                </c:pt>
                <c:pt idx="17">
                  <c:v>2.9</c:v>
                </c:pt>
                <c:pt idx="18">
                  <c:v>5.85</c:v>
                </c:pt>
                <c:pt idx="19">
                  <c:v>3.42</c:v>
                </c:pt>
                <c:pt idx="20">
                  <c:v>1.46</c:v>
                </c:pt>
                <c:pt idx="21">
                  <c:v>1.59</c:v>
                </c:pt>
                <c:pt idx="22">
                  <c:v>4.0199999999999996</c:v>
                </c:pt>
                <c:pt idx="23">
                  <c:v>5.91</c:v>
                </c:pt>
                <c:pt idx="24">
                  <c:v>5.95</c:v>
                </c:pt>
                <c:pt idx="25">
                  <c:v>6.22</c:v>
                </c:pt>
                <c:pt idx="26">
                  <c:v>6.81</c:v>
                </c:pt>
                <c:pt idx="27">
                  <c:v>5.25</c:v>
                </c:pt>
                <c:pt idx="28">
                  <c:v>7.08</c:v>
                </c:pt>
                <c:pt idx="29">
                  <c:v>4.1500000000000004</c:v>
                </c:pt>
                <c:pt idx="30">
                  <c:v>2.76</c:v>
                </c:pt>
                <c:pt idx="31">
                  <c:v>4.37</c:v>
                </c:pt>
                <c:pt idx="32">
                  <c:v>6.1</c:v>
                </c:pt>
                <c:pt idx="33">
                  <c:v>5.44</c:v>
                </c:pt>
                <c:pt idx="34">
                  <c:v>6.75</c:v>
                </c:pt>
                <c:pt idx="35">
                  <c:v>7.31</c:v>
                </c:pt>
                <c:pt idx="36">
                  <c:v>8.58</c:v>
                </c:pt>
                <c:pt idx="37">
                  <c:v>4.21</c:v>
                </c:pt>
                <c:pt idx="38">
                  <c:v>5.0599999999999996</c:v>
                </c:pt>
                <c:pt idx="39">
                  <c:v>7.02</c:v>
                </c:pt>
                <c:pt idx="40">
                  <c:v>7.66</c:v>
                </c:pt>
                <c:pt idx="41">
                  <c:v>6.88</c:v>
                </c:pt>
                <c:pt idx="42">
                  <c:v>3.31</c:v>
                </c:pt>
                <c:pt idx="43">
                  <c:v>8.84</c:v>
                </c:pt>
                <c:pt idx="44">
                  <c:v>5.56</c:v>
                </c:pt>
                <c:pt idx="45">
                  <c:v>5.74</c:v>
                </c:pt>
                <c:pt idx="46">
                  <c:v>4.8</c:v>
                </c:pt>
                <c:pt idx="47">
                  <c:v>5.31</c:v>
                </c:pt>
                <c:pt idx="48">
                  <c:v>10.3</c:v>
                </c:pt>
                <c:pt idx="49">
                  <c:v>5.34</c:v>
                </c:pt>
                <c:pt idx="50">
                  <c:v>6.06</c:v>
                </c:pt>
                <c:pt idx="51">
                  <c:v>7.36</c:v>
                </c:pt>
                <c:pt idx="52">
                  <c:v>4.29</c:v>
                </c:pt>
                <c:pt idx="53">
                  <c:v>4.6900000000000004</c:v>
                </c:pt>
                <c:pt idx="54">
                  <c:v>10.91</c:v>
                </c:pt>
                <c:pt idx="55">
                  <c:v>11.51</c:v>
                </c:pt>
                <c:pt idx="56">
                  <c:v>12.62</c:v>
                </c:pt>
                <c:pt idx="57">
                  <c:v>5.23</c:v>
                </c:pt>
                <c:pt idx="58">
                  <c:v>5.99</c:v>
                </c:pt>
                <c:pt idx="59">
                  <c:v>8.6199999999999992</c:v>
                </c:pt>
                <c:pt idx="60">
                  <c:v>9.69</c:v>
                </c:pt>
                <c:pt idx="61">
                  <c:v>13.27</c:v>
                </c:pt>
                <c:pt idx="62">
                  <c:v>14.27</c:v>
                </c:pt>
                <c:pt idx="63">
                  <c:v>11.4</c:v>
                </c:pt>
                <c:pt idx="64">
                  <c:v>7.54</c:v>
                </c:pt>
                <c:pt idx="65">
                  <c:v>9.0500000000000007</c:v>
                </c:pt>
                <c:pt idx="66">
                  <c:v>11.26</c:v>
                </c:pt>
                <c:pt idx="67">
                  <c:v>7.57</c:v>
                </c:pt>
                <c:pt idx="68">
                  <c:v>15.06</c:v>
                </c:pt>
                <c:pt idx="69">
                  <c:v>7.92</c:v>
                </c:pt>
                <c:pt idx="70">
                  <c:v>7.8</c:v>
                </c:pt>
                <c:pt idx="71">
                  <c:v>14.07</c:v>
                </c:pt>
                <c:pt idx="72">
                  <c:v>12.27</c:v>
                </c:pt>
                <c:pt idx="73">
                  <c:v>12.02</c:v>
                </c:pt>
                <c:pt idx="74">
                  <c:v>15.26</c:v>
                </c:pt>
                <c:pt idx="75">
                  <c:v>16.84</c:v>
                </c:pt>
                <c:pt idx="76">
                  <c:v>17.41</c:v>
                </c:pt>
                <c:pt idx="77">
                  <c:v>17.64</c:v>
                </c:pt>
                <c:pt idx="78">
                  <c:v>17.899999999999999</c:v>
                </c:pt>
                <c:pt idx="79">
                  <c:v>17.77</c:v>
                </c:pt>
                <c:pt idx="80">
                  <c:v>17.43</c:v>
                </c:pt>
                <c:pt idx="81">
                  <c:v>9.3000000000000007</c:v>
                </c:pt>
                <c:pt idx="82">
                  <c:v>8.75</c:v>
                </c:pt>
                <c:pt idx="83">
                  <c:v>12.94</c:v>
                </c:pt>
                <c:pt idx="84">
                  <c:v>11.28</c:v>
                </c:pt>
                <c:pt idx="85">
                  <c:v>18.579999999999998</c:v>
                </c:pt>
                <c:pt idx="86">
                  <c:v>12.34</c:v>
                </c:pt>
                <c:pt idx="87">
                  <c:v>16.52</c:v>
                </c:pt>
                <c:pt idx="88">
                  <c:v>19.190000000000001</c:v>
                </c:pt>
                <c:pt idx="89">
                  <c:v>15.23</c:v>
                </c:pt>
                <c:pt idx="90">
                  <c:v>20.89</c:v>
                </c:pt>
                <c:pt idx="91">
                  <c:v>20.58</c:v>
                </c:pt>
                <c:pt idx="92">
                  <c:v>7.67</c:v>
                </c:pt>
                <c:pt idx="93">
                  <c:v>13.01</c:v>
                </c:pt>
                <c:pt idx="94">
                  <c:v>7.49</c:v>
                </c:pt>
                <c:pt idx="95">
                  <c:v>10.199999999999999</c:v>
                </c:pt>
                <c:pt idx="96">
                  <c:v>17.920000000000002</c:v>
                </c:pt>
                <c:pt idx="97">
                  <c:v>10.81</c:v>
                </c:pt>
                <c:pt idx="98">
                  <c:v>14.87</c:v>
                </c:pt>
                <c:pt idx="99">
                  <c:v>7.88</c:v>
                </c:pt>
                <c:pt idx="100">
                  <c:v>13.54</c:v>
                </c:pt>
                <c:pt idx="101">
                  <c:v>12.69</c:v>
                </c:pt>
                <c:pt idx="102">
                  <c:v>5.09</c:v>
                </c:pt>
                <c:pt idx="103">
                  <c:v>17.46</c:v>
                </c:pt>
                <c:pt idx="104">
                  <c:v>14.94</c:v>
                </c:pt>
                <c:pt idx="105">
                  <c:v>18.18</c:v>
                </c:pt>
                <c:pt idx="106">
                  <c:v>23.14</c:v>
                </c:pt>
                <c:pt idx="107">
                  <c:v>9.43</c:v>
                </c:pt>
                <c:pt idx="108">
                  <c:v>10.68</c:v>
                </c:pt>
                <c:pt idx="109">
                  <c:v>21.65</c:v>
                </c:pt>
                <c:pt idx="110">
                  <c:v>24.22</c:v>
                </c:pt>
                <c:pt idx="111">
                  <c:v>7.72</c:v>
                </c:pt>
                <c:pt idx="112">
                  <c:v>17.14</c:v>
                </c:pt>
                <c:pt idx="113">
                  <c:v>20.420000000000002</c:v>
                </c:pt>
                <c:pt idx="114">
                  <c:v>21.07</c:v>
                </c:pt>
                <c:pt idx="115">
                  <c:v>20.77</c:v>
                </c:pt>
                <c:pt idx="116">
                  <c:v>15.04</c:v>
                </c:pt>
                <c:pt idx="117">
                  <c:v>21.74</c:v>
                </c:pt>
                <c:pt idx="118">
                  <c:v>16.309999999999999</c:v>
                </c:pt>
                <c:pt idx="119">
                  <c:v>21.81</c:v>
                </c:pt>
                <c:pt idx="120">
                  <c:v>18.39</c:v>
                </c:pt>
                <c:pt idx="121">
                  <c:v>16.55</c:v>
                </c:pt>
                <c:pt idx="122">
                  <c:v>25.53</c:v>
                </c:pt>
                <c:pt idx="123">
                  <c:v>17.82</c:v>
                </c:pt>
                <c:pt idx="124">
                  <c:v>23.1</c:v>
                </c:pt>
                <c:pt idx="125">
                  <c:v>24.78</c:v>
                </c:pt>
                <c:pt idx="126">
                  <c:v>27.02</c:v>
                </c:pt>
                <c:pt idx="127">
                  <c:v>22.03</c:v>
                </c:pt>
                <c:pt idx="128">
                  <c:v>28.26</c:v>
                </c:pt>
                <c:pt idx="129">
                  <c:v>24.74</c:v>
                </c:pt>
                <c:pt idx="130">
                  <c:v>23.29</c:v>
                </c:pt>
                <c:pt idx="131">
                  <c:v>28.58</c:v>
                </c:pt>
                <c:pt idx="132">
                  <c:v>23.04</c:v>
                </c:pt>
                <c:pt idx="133">
                  <c:v>8.82</c:v>
                </c:pt>
                <c:pt idx="134">
                  <c:v>26.69</c:v>
                </c:pt>
                <c:pt idx="135">
                  <c:v>11.23</c:v>
                </c:pt>
                <c:pt idx="136">
                  <c:v>11.08</c:v>
                </c:pt>
                <c:pt idx="137">
                  <c:v>12.25</c:v>
                </c:pt>
                <c:pt idx="138">
                  <c:v>15.4</c:v>
                </c:pt>
                <c:pt idx="139">
                  <c:v>17.170000000000002</c:v>
                </c:pt>
                <c:pt idx="140">
                  <c:v>10.65</c:v>
                </c:pt>
                <c:pt idx="141">
                  <c:v>17.170000000000002</c:v>
                </c:pt>
                <c:pt idx="142">
                  <c:v>19.66</c:v>
                </c:pt>
                <c:pt idx="143">
                  <c:v>21.32</c:v>
                </c:pt>
                <c:pt idx="144">
                  <c:v>10.94</c:v>
                </c:pt>
                <c:pt idx="145">
                  <c:v>16.579999999999998</c:v>
                </c:pt>
                <c:pt idx="146">
                  <c:v>30.17</c:v>
                </c:pt>
                <c:pt idx="147">
                  <c:v>27</c:v>
                </c:pt>
                <c:pt idx="148">
                  <c:v>26.46</c:v>
                </c:pt>
                <c:pt idx="149">
                  <c:v>16.14</c:v>
                </c:pt>
                <c:pt idx="150">
                  <c:v>19.84</c:v>
                </c:pt>
                <c:pt idx="151">
                  <c:v>29.89</c:v>
                </c:pt>
                <c:pt idx="152">
                  <c:v>28.08</c:v>
                </c:pt>
                <c:pt idx="153">
                  <c:v>28.93</c:v>
                </c:pt>
                <c:pt idx="154">
                  <c:v>28.42</c:v>
                </c:pt>
                <c:pt idx="155">
                  <c:v>13.02</c:v>
                </c:pt>
                <c:pt idx="156">
                  <c:v>16.190000000000001</c:v>
                </c:pt>
                <c:pt idx="157">
                  <c:v>16.170000000000002</c:v>
                </c:pt>
                <c:pt idx="158">
                  <c:v>16.73</c:v>
                </c:pt>
                <c:pt idx="159">
                  <c:v>23.12</c:v>
                </c:pt>
                <c:pt idx="160">
                  <c:v>15.07</c:v>
                </c:pt>
                <c:pt idx="161">
                  <c:v>28.22</c:v>
                </c:pt>
                <c:pt idx="162">
                  <c:v>26.92</c:v>
                </c:pt>
                <c:pt idx="163">
                  <c:v>24.88</c:v>
                </c:pt>
                <c:pt idx="164">
                  <c:v>28.7</c:v>
                </c:pt>
                <c:pt idx="165">
                  <c:v>25.14</c:v>
                </c:pt>
                <c:pt idx="166">
                  <c:v>14.52</c:v>
                </c:pt>
                <c:pt idx="167">
                  <c:v>29.42</c:v>
                </c:pt>
                <c:pt idx="168">
                  <c:v>28.58</c:v>
                </c:pt>
                <c:pt idx="169">
                  <c:v>19.489999999999998</c:v>
                </c:pt>
                <c:pt idx="170">
                  <c:v>6.09</c:v>
                </c:pt>
                <c:pt idx="171">
                  <c:v>26.39</c:v>
                </c:pt>
                <c:pt idx="172">
                  <c:v>21.28</c:v>
                </c:pt>
                <c:pt idx="173">
                  <c:v>17.600000000000001</c:v>
                </c:pt>
                <c:pt idx="174">
                  <c:v>14.19</c:v>
                </c:pt>
                <c:pt idx="175">
                  <c:v>17.329999999999998</c:v>
                </c:pt>
                <c:pt idx="176">
                  <c:v>24.29</c:v>
                </c:pt>
                <c:pt idx="177">
                  <c:v>16.54</c:v>
                </c:pt>
                <c:pt idx="178">
                  <c:v>25.04</c:v>
                </c:pt>
                <c:pt idx="179">
                  <c:v>16.82</c:v>
                </c:pt>
                <c:pt idx="180">
                  <c:v>20.52</c:v>
                </c:pt>
                <c:pt idx="181">
                  <c:v>27.58</c:v>
                </c:pt>
                <c:pt idx="182">
                  <c:v>15.68</c:v>
                </c:pt>
                <c:pt idx="183">
                  <c:v>23.73</c:v>
                </c:pt>
                <c:pt idx="184">
                  <c:v>12.24</c:v>
                </c:pt>
                <c:pt idx="185">
                  <c:v>11.68</c:v>
                </c:pt>
                <c:pt idx="186">
                  <c:v>16.88</c:v>
                </c:pt>
                <c:pt idx="187">
                  <c:v>18.84</c:v>
                </c:pt>
                <c:pt idx="188">
                  <c:v>18.09</c:v>
                </c:pt>
                <c:pt idx="189">
                  <c:v>19.7</c:v>
                </c:pt>
                <c:pt idx="190">
                  <c:v>12.97</c:v>
                </c:pt>
                <c:pt idx="191">
                  <c:v>18.62</c:v>
                </c:pt>
                <c:pt idx="192">
                  <c:v>21.59</c:v>
                </c:pt>
                <c:pt idx="193">
                  <c:v>21.08</c:v>
                </c:pt>
                <c:pt idx="194">
                  <c:v>19.760000000000002</c:v>
                </c:pt>
                <c:pt idx="195">
                  <c:v>18.850000000000001</c:v>
                </c:pt>
                <c:pt idx="196">
                  <c:v>18.940000000000001</c:v>
                </c:pt>
                <c:pt idx="197">
                  <c:v>10.55</c:v>
                </c:pt>
                <c:pt idx="198">
                  <c:v>21.52</c:v>
                </c:pt>
                <c:pt idx="199">
                  <c:v>18.03</c:v>
                </c:pt>
                <c:pt idx="200">
                  <c:v>17.059999999999999</c:v>
                </c:pt>
                <c:pt idx="201">
                  <c:v>29.53</c:v>
                </c:pt>
                <c:pt idx="202">
                  <c:v>22.71</c:v>
                </c:pt>
                <c:pt idx="203">
                  <c:v>14.54</c:v>
                </c:pt>
                <c:pt idx="204">
                  <c:v>14.91</c:v>
                </c:pt>
                <c:pt idx="205">
                  <c:v>26.34</c:v>
                </c:pt>
                <c:pt idx="206">
                  <c:v>27.37</c:v>
                </c:pt>
                <c:pt idx="207">
                  <c:v>24.35</c:v>
                </c:pt>
                <c:pt idx="208">
                  <c:v>24.38</c:v>
                </c:pt>
                <c:pt idx="209">
                  <c:v>25.37</c:v>
                </c:pt>
                <c:pt idx="210">
                  <c:v>24.67</c:v>
                </c:pt>
                <c:pt idx="211">
                  <c:v>23.25</c:v>
                </c:pt>
                <c:pt idx="212">
                  <c:v>25.2</c:v>
                </c:pt>
                <c:pt idx="213">
                  <c:v>20.41</c:v>
                </c:pt>
                <c:pt idx="214">
                  <c:v>22.92</c:v>
                </c:pt>
                <c:pt idx="215">
                  <c:v>26.76</c:v>
                </c:pt>
                <c:pt idx="216">
                  <c:v>26.16</c:v>
                </c:pt>
                <c:pt idx="217">
                  <c:v>26.9</c:v>
                </c:pt>
                <c:pt idx="218">
                  <c:v>26.77</c:v>
                </c:pt>
                <c:pt idx="219">
                  <c:v>26.36</c:v>
                </c:pt>
                <c:pt idx="220">
                  <c:v>20.91</c:v>
                </c:pt>
                <c:pt idx="221">
                  <c:v>10.96</c:v>
                </c:pt>
                <c:pt idx="222">
                  <c:v>7.07</c:v>
                </c:pt>
                <c:pt idx="223">
                  <c:v>21.73</c:v>
                </c:pt>
                <c:pt idx="224">
                  <c:v>14.1</c:v>
                </c:pt>
                <c:pt idx="225">
                  <c:v>22.94</c:v>
                </c:pt>
                <c:pt idx="226">
                  <c:v>21.29</c:v>
                </c:pt>
                <c:pt idx="227">
                  <c:v>8.81</c:v>
                </c:pt>
                <c:pt idx="228">
                  <c:v>18.32</c:v>
                </c:pt>
                <c:pt idx="229">
                  <c:v>24.38</c:v>
                </c:pt>
                <c:pt idx="230">
                  <c:v>23.49</c:v>
                </c:pt>
                <c:pt idx="231">
                  <c:v>22.44</c:v>
                </c:pt>
                <c:pt idx="232">
                  <c:v>10.83</c:v>
                </c:pt>
                <c:pt idx="233">
                  <c:v>22.87</c:v>
                </c:pt>
                <c:pt idx="234">
                  <c:v>8.24</c:v>
                </c:pt>
                <c:pt idx="235">
                  <c:v>21.56</c:v>
                </c:pt>
                <c:pt idx="236">
                  <c:v>14.64</c:v>
                </c:pt>
                <c:pt idx="237">
                  <c:v>19.82</c:v>
                </c:pt>
                <c:pt idx="238">
                  <c:v>22.31</c:v>
                </c:pt>
                <c:pt idx="239">
                  <c:v>22.22</c:v>
                </c:pt>
                <c:pt idx="240">
                  <c:v>22.21</c:v>
                </c:pt>
                <c:pt idx="241">
                  <c:v>16.399999999999999</c:v>
                </c:pt>
                <c:pt idx="242">
                  <c:v>12.67</c:v>
                </c:pt>
                <c:pt idx="243">
                  <c:v>17.329999999999998</c:v>
                </c:pt>
                <c:pt idx="244">
                  <c:v>20.329999999999998</c:v>
                </c:pt>
                <c:pt idx="245">
                  <c:v>20.66</c:v>
                </c:pt>
                <c:pt idx="246">
                  <c:v>18.850000000000001</c:v>
                </c:pt>
                <c:pt idx="247">
                  <c:v>19.989999999999998</c:v>
                </c:pt>
                <c:pt idx="248">
                  <c:v>14.64</c:v>
                </c:pt>
                <c:pt idx="249">
                  <c:v>14.76</c:v>
                </c:pt>
                <c:pt idx="250">
                  <c:v>4.43</c:v>
                </c:pt>
                <c:pt idx="251">
                  <c:v>8.33</c:v>
                </c:pt>
                <c:pt idx="252">
                  <c:v>8</c:v>
                </c:pt>
                <c:pt idx="253">
                  <c:v>12.52</c:v>
                </c:pt>
                <c:pt idx="254">
                  <c:v>13.58</c:v>
                </c:pt>
                <c:pt idx="255">
                  <c:v>11.02</c:v>
                </c:pt>
                <c:pt idx="256">
                  <c:v>6.79</c:v>
                </c:pt>
                <c:pt idx="257">
                  <c:v>3.21</c:v>
                </c:pt>
                <c:pt idx="258">
                  <c:v>9.01</c:v>
                </c:pt>
                <c:pt idx="259">
                  <c:v>6.39</c:v>
                </c:pt>
                <c:pt idx="260">
                  <c:v>5.89</c:v>
                </c:pt>
                <c:pt idx="261">
                  <c:v>13.15</c:v>
                </c:pt>
                <c:pt idx="262">
                  <c:v>9.6</c:v>
                </c:pt>
                <c:pt idx="263">
                  <c:v>16.25</c:v>
                </c:pt>
                <c:pt idx="264">
                  <c:v>6.45</c:v>
                </c:pt>
                <c:pt idx="265">
                  <c:v>3.52</c:v>
                </c:pt>
                <c:pt idx="266">
                  <c:v>11.74</c:v>
                </c:pt>
                <c:pt idx="267">
                  <c:v>8.69</c:v>
                </c:pt>
                <c:pt idx="268">
                  <c:v>8.24</c:v>
                </c:pt>
                <c:pt idx="269">
                  <c:v>5.0199999999999996</c:v>
                </c:pt>
                <c:pt idx="270">
                  <c:v>5.88</c:v>
                </c:pt>
                <c:pt idx="271">
                  <c:v>6.38</c:v>
                </c:pt>
                <c:pt idx="272">
                  <c:v>9.6999999999999993</c:v>
                </c:pt>
                <c:pt idx="273">
                  <c:v>13.81</c:v>
                </c:pt>
                <c:pt idx="274">
                  <c:v>6.8</c:v>
                </c:pt>
                <c:pt idx="275">
                  <c:v>7.04</c:v>
                </c:pt>
                <c:pt idx="276">
                  <c:v>7.25</c:v>
                </c:pt>
                <c:pt idx="277">
                  <c:v>9.26</c:v>
                </c:pt>
                <c:pt idx="278">
                  <c:v>11.5</c:v>
                </c:pt>
                <c:pt idx="279">
                  <c:v>4.05</c:v>
                </c:pt>
                <c:pt idx="280">
                  <c:v>4.32</c:v>
                </c:pt>
                <c:pt idx="281">
                  <c:v>12.92</c:v>
                </c:pt>
                <c:pt idx="282">
                  <c:v>12.69</c:v>
                </c:pt>
                <c:pt idx="283">
                  <c:v>12.5</c:v>
                </c:pt>
                <c:pt idx="284">
                  <c:v>8.2100000000000009</c:v>
                </c:pt>
                <c:pt idx="285">
                  <c:v>2.23</c:v>
                </c:pt>
                <c:pt idx="286">
                  <c:v>9.3000000000000007</c:v>
                </c:pt>
                <c:pt idx="287">
                  <c:v>4.3099999999999996</c:v>
                </c:pt>
                <c:pt idx="288">
                  <c:v>4.75</c:v>
                </c:pt>
                <c:pt idx="289">
                  <c:v>7.02</c:v>
                </c:pt>
                <c:pt idx="290">
                  <c:v>6.47</c:v>
                </c:pt>
                <c:pt idx="291">
                  <c:v>6.9</c:v>
                </c:pt>
                <c:pt idx="292">
                  <c:v>2.65</c:v>
                </c:pt>
                <c:pt idx="293">
                  <c:v>1.8</c:v>
                </c:pt>
                <c:pt idx="294">
                  <c:v>6.8</c:v>
                </c:pt>
                <c:pt idx="295">
                  <c:v>7.51</c:v>
                </c:pt>
                <c:pt idx="296">
                  <c:v>8.73</c:v>
                </c:pt>
                <c:pt idx="297">
                  <c:v>2.98</c:v>
                </c:pt>
                <c:pt idx="298">
                  <c:v>8.7100000000000009</c:v>
                </c:pt>
                <c:pt idx="299">
                  <c:v>9.6</c:v>
                </c:pt>
                <c:pt idx="300">
                  <c:v>4.03</c:v>
                </c:pt>
                <c:pt idx="301">
                  <c:v>9.39</c:v>
                </c:pt>
                <c:pt idx="302">
                  <c:v>7.69</c:v>
                </c:pt>
                <c:pt idx="303">
                  <c:v>5.91</c:v>
                </c:pt>
                <c:pt idx="304">
                  <c:v>8.0299999999999994</c:v>
                </c:pt>
                <c:pt idx="305">
                  <c:v>5.7</c:v>
                </c:pt>
                <c:pt idx="306">
                  <c:v>5.17</c:v>
                </c:pt>
                <c:pt idx="307">
                  <c:v>6.62</c:v>
                </c:pt>
                <c:pt idx="308">
                  <c:v>7.78</c:v>
                </c:pt>
                <c:pt idx="309">
                  <c:v>8.23</c:v>
                </c:pt>
                <c:pt idx="310">
                  <c:v>5.8</c:v>
                </c:pt>
                <c:pt idx="311">
                  <c:v>1.67</c:v>
                </c:pt>
                <c:pt idx="312">
                  <c:v>2.85</c:v>
                </c:pt>
                <c:pt idx="313">
                  <c:v>6.14</c:v>
                </c:pt>
                <c:pt idx="314">
                  <c:v>4.99</c:v>
                </c:pt>
                <c:pt idx="315">
                  <c:v>1.74</c:v>
                </c:pt>
                <c:pt idx="316">
                  <c:v>5.17</c:v>
                </c:pt>
                <c:pt idx="317">
                  <c:v>4.01</c:v>
                </c:pt>
                <c:pt idx="318">
                  <c:v>2.4</c:v>
                </c:pt>
                <c:pt idx="319">
                  <c:v>1.17</c:v>
                </c:pt>
                <c:pt idx="320">
                  <c:v>2.69</c:v>
                </c:pt>
                <c:pt idx="321">
                  <c:v>2.2799999999999998</c:v>
                </c:pt>
                <c:pt idx="322">
                  <c:v>0.81</c:v>
                </c:pt>
                <c:pt idx="323">
                  <c:v>5.1100000000000003</c:v>
                </c:pt>
                <c:pt idx="324">
                  <c:v>5.38</c:v>
                </c:pt>
                <c:pt idx="325">
                  <c:v>5.28</c:v>
                </c:pt>
                <c:pt idx="326">
                  <c:v>1.41</c:v>
                </c:pt>
                <c:pt idx="327">
                  <c:v>5.41</c:v>
                </c:pt>
                <c:pt idx="328">
                  <c:v>3.08</c:v>
                </c:pt>
                <c:pt idx="329">
                  <c:v>4.47</c:v>
                </c:pt>
                <c:pt idx="330">
                  <c:v>3.61</c:v>
                </c:pt>
                <c:pt idx="331">
                  <c:v>4.8499999999999996</c:v>
                </c:pt>
                <c:pt idx="332">
                  <c:v>4.72</c:v>
                </c:pt>
                <c:pt idx="333">
                  <c:v>4.82</c:v>
                </c:pt>
                <c:pt idx="334">
                  <c:v>1.77</c:v>
                </c:pt>
                <c:pt idx="335">
                  <c:v>1.6</c:v>
                </c:pt>
                <c:pt idx="336">
                  <c:v>3.24</c:v>
                </c:pt>
                <c:pt idx="337">
                  <c:v>1.75</c:v>
                </c:pt>
                <c:pt idx="338">
                  <c:v>2.97</c:v>
                </c:pt>
                <c:pt idx="339">
                  <c:v>1.7</c:v>
                </c:pt>
                <c:pt idx="340">
                  <c:v>1.19</c:v>
                </c:pt>
                <c:pt idx="341">
                  <c:v>3.88</c:v>
                </c:pt>
                <c:pt idx="342">
                  <c:v>3.85</c:v>
                </c:pt>
                <c:pt idx="343">
                  <c:v>3.48</c:v>
                </c:pt>
                <c:pt idx="344">
                  <c:v>2.48</c:v>
                </c:pt>
                <c:pt idx="345">
                  <c:v>2.6</c:v>
                </c:pt>
                <c:pt idx="346">
                  <c:v>2.38</c:v>
                </c:pt>
                <c:pt idx="347">
                  <c:v>1.73</c:v>
                </c:pt>
                <c:pt idx="348">
                  <c:v>2.65</c:v>
                </c:pt>
                <c:pt idx="349">
                  <c:v>1.57</c:v>
                </c:pt>
                <c:pt idx="350">
                  <c:v>2</c:v>
                </c:pt>
                <c:pt idx="351">
                  <c:v>1.57</c:v>
                </c:pt>
                <c:pt idx="352">
                  <c:v>2.13</c:v>
                </c:pt>
                <c:pt idx="353">
                  <c:v>0.95</c:v>
                </c:pt>
                <c:pt idx="354">
                  <c:v>0.71</c:v>
                </c:pt>
                <c:pt idx="355">
                  <c:v>1.73</c:v>
                </c:pt>
                <c:pt idx="356">
                  <c:v>3.85</c:v>
                </c:pt>
                <c:pt idx="357">
                  <c:v>2.65</c:v>
                </c:pt>
                <c:pt idx="358">
                  <c:v>3.72</c:v>
                </c:pt>
                <c:pt idx="359">
                  <c:v>3.64</c:v>
                </c:pt>
                <c:pt idx="360">
                  <c:v>1.62</c:v>
                </c:pt>
                <c:pt idx="361">
                  <c:v>1.65</c:v>
                </c:pt>
                <c:pt idx="362">
                  <c:v>2.68</c:v>
                </c:pt>
                <c:pt idx="363">
                  <c:v>2.06</c:v>
                </c:pt>
                <c:pt idx="364">
                  <c:v>1.5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Data!$AT$6:$AT$370</c:f>
              <c:numCache>
                <c:formatCode>0.00</c:formatCode>
                <c:ptCount val="365"/>
                <c:pt idx="0">
                  <c:v>1.89</c:v>
                </c:pt>
                <c:pt idx="1">
                  <c:v>1.3</c:v>
                </c:pt>
                <c:pt idx="2">
                  <c:v>1.25</c:v>
                </c:pt>
                <c:pt idx="3">
                  <c:v>2.97</c:v>
                </c:pt>
                <c:pt idx="4">
                  <c:v>1.91</c:v>
                </c:pt>
                <c:pt idx="5">
                  <c:v>2.93</c:v>
                </c:pt>
                <c:pt idx="6">
                  <c:v>3.62</c:v>
                </c:pt>
                <c:pt idx="7">
                  <c:v>1.71</c:v>
                </c:pt>
                <c:pt idx="8">
                  <c:v>1.2</c:v>
                </c:pt>
                <c:pt idx="9">
                  <c:v>3.15</c:v>
                </c:pt>
                <c:pt idx="10">
                  <c:v>2.92</c:v>
                </c:pt>
                <c:pt idx="11">
                  <c:v>3.5</c:v>
                </c:pt>
                <c:pt idx="12">
                  <c:v>4.3600000000000003</c:v>
                </c:pt>
                <c:pt idx="13">
                  <c:v>4.58</c:v>
                </c:pt>
                <c:pt idx="14">
                  <c:v>4.51</c:v>
                </c:pt>
                <c:pt idx="15">
                  <c:v>2.2000000000000002</c:v>
                </c:pt>
                <c:pt idx="16">
                  <c:v>1.54</c:v>
                </c:pt>
                <c:pt idx="17">
                  <c:v>2.7</c:v>
                </c:pt>
                <c:pt idx="18">
                  <c:v>5.16</c:v>
                </c:pt>
                <c:pt idx="19">
                  <c:v>2.96</c:v>
                </c:pt>
                <c:pt idx="20">
                  <c:v>1.27</c:v>
                </c:pt>
                <c:pt idx="21">
                  <c:v>1.48</c:v>
                </c:pt>
                <c:pt idx="22">
                  <c:v>3.72</c:v>
                </c:pt>
                <c:pt idx="23">
                  <c:v>5.19</c:v>
                </c:pt>
                <c:pt idx="24">
                  <c:v>5.2</c:v>
                </c:pt>
                <c:pt idx="25">
                  <c:v>5.4</c:v>
                </c:pt>
                <c:pt idx="26">
                  <c:v>5.89</c:v>
                </c:pt>
                <c:pt idx="27">
                  <c:v>4.63</c:v>
                </c:pt>
                <c:pt idx="28">
                  <c:v>6.2</c:v>
                </c:pt>
                <c:pt idx="29">
                  <c:v>3.4</c:v>
                </c:pt>
                <c:pt idx="30">
                  <c:v>2.25</c:v>
                </c:pt>
                <c:pt idx="31">
                  <c:v>3.58</c:v>
                </c:pt>
                <c:pt idx="32">
                  <c:v>5.43</c:v>
                </c:pt>
                <c:pt idx="33">
                  <c:v>4.71</c:v>
                </c:pt>
                <c:pt idx="34">
                  <c:v>6.04</c:v>
                </c:pt>
                <c:pt idx="35">
                  <c:v>6.38</c:v>
                </c:pt>
                <c:pt idx="36">
                  <c:v>7.5</c:v>
                </c:pt>
                <c:pt idx="37">
                  <c:v>3.47</c:v>
                </c:pt>
                <c:pt idx="38">
                  <c:v>4.7</c:v>
                </c:pt>
                <c:pt idx="39">
                  <c:v>5.96</c:v>
                </c:pt>
                <c:pt idx="40">
                  <c:v>6.93</c:v>
                </c:pt>
                <c:pt idx="41">
                  <c:v>6.4</c:v>
                </c:pt>
                <c:pt idx="42">
                  <c:v>3.08</c:v>
                </c:pt>
                <c:pt idx="43">
                  <c:v>8.2200000000000006</c:v>
                </c:pt>
                <c:pt idx="44">
                  <c:v>5.09</c:v>
                </c:pt>
                <c:pt idx="45">
                  <c:v>5.33</c:v>
                </c:pt>
                <c:pt idx="46">
                  <c:v>4.42</c:v>
                </c:pt>
                <c:pt idx="47">
                  <c:v>4.93</c:v>
                </c:pt>
                <c:pt idx="48">
                  <c:v>9.39</c:v>
                </c:pt>
                <c:pt idx="49">
                  <c:v>4.47</c:v>
                </c:pt>
                <c:pt idx="50">
                  <c:v>5.36</c:v>
                </c:pt>
                <c:pt idx="51">
                  <c:v>6.38</c:v>
                </c:pt>
                <c:pt idx="52">
                  <c:v>3.99</c:v>
                </c:pt>
                <c:pt idx="53">
                  <c:v>4.3600000000000003</c:v>
                </c:pt>
                <c:pt idx="54">
                  <c:v>9.7100000000000009</c:v>
                </c:pt>
                <c:pt idx="55">
                  <c:v>10.35</c:v>
                </c:pt>
                <c:pt idx="56">
                  <c:v>10.55</c:v>
                </c:pt>
                <c:pt idx="57">
                  <c:v>4.3</c:v>
                </c:pt>
                <c:pt idx="58">
                  <c:v>5.57</c:v>
                </c:pt>
                <c:pt idx="59">
                  <c:v>8.01</c:v>
                </c:pt>
                <c:pt idx="60">
                  <c:v>8.64</c:v>
                </c:pt>
                <c:pt idx="61">
                  <c:v>11.8</c:v>
                </c:pt>
                <c:pt idx="62">
                  <c:v>12.64</c:v>
                </c:pt>
                <c:pt idx="63">
                  <c:v>9.3000000000000007</c:v>
                </c:pt>
                <c:pt idx="64">
                  <c:v>6.42</c:v>
                </c:pt>
                <c:pt idx="65">
                  <c:v>8.42</c:v>
                </c:pt>
                <c:pt idx="66">
                  <c:v>10.02</c:v>
                </c:pt>
                <c:pt idx="67">
                  <c:v>6.7</c:v>
                </c:pt>
                <c:pt idx="68">
                  <c:v>13.44</c:v>
                </c:pt>
                <c:pt idx="69">
                  <c:v>6.58</c:v>
                </c:pt>
                <c:pt idx="70">
                  <c:v>6.79</c:v>
                </c:pt>
                <c:pt idx="71">
                  <c:v>12.27</c:v>
                </c:pt>
                <c:pt idx="72">
                  <c:v>10.63</c:v>
                </c:pt>
                <c:pt idx="73">
                  <c:v>9.9600000000000009</c:v>
                </c:pt>
                <c:pt idx="74">
                  <c:v>12.72</c:v>
                </c:pt>
                <c:pt idx="75">
                  <c:v>13.6</c:v>
                </c:pt>
                <c:pt idx="76">
                  <c:v>13.66</c:v>
                </c:pt>
                <c:pt idx="77">
                  <c:v>13.59</c:v>
                </c:pt>
                <c:pt idx="78">
                  <c:v>13.6</c:v>
                </c:pt>
                <c:pt idx="79">
                  <c:v>13.58</c:v>
                </c:pt>
                <c:pt idx="80">
                  <c:v>13.28</c:v>
                </c:pt>
                <c:pt idx="81">
                  <c:v>6.6</c:v>
                </c:pt>
                <c:pt idx="82">
                  <c:v>6.18</c:v>
                </c:pt>
                <c:pt idx="83">
                  <c:v>9.4</c:v>
                </c:pt>
                <c:pt idx="84">
                  <c:v>9.5299999999999994</c:v>
                </c:pt>
                <c:pt idx="85">
                  <c:v>15.17</c:v>
                </c:pt>
                <c:pt idx="86">
                  <c:v>9.35</c:v>
                </c:pt>
                <c:pt idx="87">
                  <c:v>12.35</c:v>
                </c:pt>
                <c:pt idx="88">
                  <c:v>13.94</c:v>
                </c:pt>
                <c:pt idx="89">
                  <c:v>11.38</c:v>
                </c:pt>
                <c:pt idx="90">
                  <c:v>14.88</c:v>
                </c:pt>
                <c:pt idx="91">
                  <c:v>14.5</c:v>
                </c:pt>
                <c:pt idx="92">
                  <c:v>5.36</c:v>
                </c:pt>
                <c:pt idx="93">
                  <c:v>8.83</c:v>
                </c:pt>
                <c:pt idx="94">
                  <c:v>5.01</c:v>
                </c:pt>
                <c:pt idx="95">
                  <c:v>8.69</c:v>
                </c:pt>
                <c:pt idx="96">
                  <c:v>13.67</c:v>
                </c:pt>
                <c:pt idx="97">
                  <c:v>7.58</c:v>
                </c:pt>
                <c:pt idx="98">
                  <c:v>10.78</c:v>
                </c:pt>
                <c:pt idx="99">
                  <c:v>6.47</c:v>
                </c:pt>
                <c:pt idx="100">
                  <c:v>11.06</c:v>
                </c:pt>
                <c:pt idx="101">
                  <c:v>9.75</c:v>
                </c:pt>
                <c:pt idx="102">
                  <c:v>4.6399999999999997</c:v>
                </c:pt>
                <c:pt idx="103">
                  <c:v>14.87</c:v>
                </c:pt>
                <c:pt idx="104">
                  <c:v>12.07</c:v>
                </c:pt>
                <c:pt idx="105">
                  <c:v>14.15</c:v>
                </c:pt>
                <c:pt idx="106">
                  <c:v>16.05</c:v>
                </c:pt>
                <c:pt idx="107">
                  <c:v>6.18</c:v>
                </c:pt>
                <c:pt idx="108">
                  <c:v>6.66</c:v>
                </c:pt>
                <c:pt idx="109">
                  <c:v>13.82</c:v>
                </c:pt>
                <c:pt idx="110">
                  <c:v>15.74</c:v>
                </c:pt>
                <c:pt idx="111">
                  <c:v>4.8600000000000003</c:v>
                </c:pt>
                <c:pt idx="112">
                  <c:v>10.59</c:v>
                </c:pt>
                <c:pt idx="113">
                  <c:v>12.92</c:v>
                </c:pt>
                <c:pt idx="114">
                  <c:v>13.67</c:v>
                </c:pt>
                <c:pt idx="115">
                  <c:v>13.14</c:v>
                </c:pt>
                <c:pt idx="116">
                  <c:v>10.98</c:v>
                </c:pt>
                <c:pt idx="117">
                  <c:v>17.04</c:v>
                </c:pt>
                <c:pt idx="118">
                  <c:v>12</c:v>
                </c:pt>
                <c:pt idx="119">
                  <c:v>15.4</c:v>
                </c:pt>
                <c:pt idx="120">
                  <c:v>11.74</c:v>
                </c:pt>
                <c:pt idx="121">
                  <c:v>10.61</c:v>
                </c:pt>
                <c:pt idx="122">
                  <c:v>14.64</c:v>
                </c:pt>
                <c:pt idx="123">
                  <c:v>8.82</c:v>
                </c:pt>
                <c:pt idx="124">
                  <c:v>9.2200000000000006</c:v>
                </c:pt>
                <c:pt idx="125">
                  <c:v>6.49</c:v>
                </c:pt>
                <c:pt idx="126">
                  <c:v>4.63</c:v>
                </c:pt>
                <c:pt idx="127">
                  <c:v>3.67</c:v>
                </c:pt>
                <c:pt idx="128">
                  <c:v>4.7300000000000004</c:v>
                </c:pt>
                <c:pt idx="129">
                  <c:v>4.18</c:v>
                </c:pt>
                <c:pt idx="130">
                  <c:v>3.96</c:v>
                </c:pt>
                <c:pt idx="131">
                  <c:v>4.92</c:v>
                </c:pt>
                <c:pt idx="132">
                  <c:v>4.03</c:v>
                </c:pt>
                <c:pt idx="133">
                  <c:v>1.5</c:v>
                </c:pt>
                <c:pt idx="134">
                  <c:v>4.4400000000000004</c:v>
                </c:pt>
                <c:pt idx="135">
                  <c:v>1.63</c:v>
                </c:pt>
                <c:pt idx="136">
                  <c:v>1.54</c:v>
                </c:pt>
                <c:pt idx="137">
                  <c:v>1.99</c:v>
                </c:pt>
                <c:pt idx="138">
                  <c:v>2.72</c:v>
                </c:pt>
                <c:pt idx="139">
                  <c:v>3.11</c:v>
                </c:pt>
                <c:pt idx="140">
                  <c:v>1.93</c:v>
                </c:pt>
                <c:pt idx="141">
                  <c:v>3.12</c:v>
                </c:pt>
                <c:pt idx="142">
                  <c:v>3.56</c:v>
                </c:pt>
                <c:pt idx="143">
                  <c:v>3.82</c:v>
                </c:pt>
                <c:pt idx="144">
                  <c:v>1.59</c:v>
                </c:pt>
                <c:pt idx="145">
                  <c:v>2.87</c:v>
                </c:pt>
                <c:pt idx="146">
                  <c:v>5.61</c:v>
                </c:pt>
                <c:pt idx="147">
                  <c:v>5.15</c:v>
                </c:pt>
                <c:pt idx="148">
                  <c:v>5.14</c:v>
                </c:pt>
                <c:pt idx="149">
                  <c:v>2.99</c:v>
                </c:pt>
                <c:pt idx="150">
                  <c:v>3.57</c:v>
                </c:pt>
                <c:pt idx="151">
                  <c:v>5.75</c:v>
                </c:pt>
                <c:pt idx="152">
                  <c:v>5.55</c:v>
                </c:pt>
                <c:pt idx="153">
                  <c:v>5.81</c:v>
                </c:pt>
                <c:pt idx="154">
                  <c:v>5.73</c:v>
                </c:pt>
                <c:pt idx="155">
                  <c:v>2.57</c:v>
                </c:pt>
                <c:pt idx="156">
                  <c:v>3.06</c:v>
                </c:pt>
                <c:pt idx="157">
                  <c:v>3.68</c:v>
                </c:pt>
                <c:pt idx="158">
                  <c:v>2.9</c:v>
                </c:pt>
                <c:pt idx="159">
                  <c:v>4.59</c:v>
                </c:pt>
                <c:pt idx="160">
                  <c:v>3.12</c:v>
                </c:pt>
                <c:pt idx="161">
                  <c:v>5.81</c:v>
                </c:pt>
                <c:pt idx="162">
                  <c:v>5.62</c:v>
                </c:pt>
                <c:pt idx="163">
                  <c:v>5.22</c:v>
                </c:pt>
                <c:pt idx="164">
                  <c:v>6</c:v>
                </c:pt>
                <c:pt idx="165">
                  <c:v>5.29</c:v>
                </c:pt>
                <c:pt idx="166">
                  <c:v>3.12</c:v>
                </c:pt>
                <c:pt idx="167">
                  <c:v>6.22</c:v>
                </c:pt>
                <c:pt idx="168">
                  <c:v>6.11</c:v>
                </c:pt>
                <c:pt idx="169">
                  <c:v>4.0599999999999996</c:v>
                </c:pt>
                <c:pt idx="170">
                  <c:v>1.1000000000000001</c:v>
                </c:pt>
                <c:pt idx="171">
                  <c:v>5.36</c:v>
                </c:pt>
                <c:pt idx="172">
                  <c:v>4.6500000000000004</c:v>
                </c:pt>
                <c:pt idx="173">
                  <c:v>3.63</c:v>
                </c:pt>
                <c:pt idx="174">
                  <c:v>2.76</c:v>
                </c:pt>
                <c:pt idx="175">
                  <c:v>3.66</c:v>
                </c:pt>
                <c:pt idx="176">
                  <c:v>5.22</c:v>
                </c:pt>
                <c:pt idx="177">
                  <c:v>3.39</c:v>
                </c:pt>
                <c:pt idx="178">
                  <c:v>5.07</c:v>
                </c:pt>
                <c:pt idx="179">
                  <c:v>3.62</c:v>
                </c:pt>
                <c:pt idx="180">
                  <c:v>4.51</c:v>
                </c:pt>
                <c:pt idx="181">
                  <c:v>5.91</c:v>
                </c:pt>
                <c:pt idx="182">
                  <c:v>3.48</c:v>
                </c:pt>
                <c:pt idx="183">
                  <c:v>5.19</c:v>
                </c:pt>
                <c:pt idx="184">
                  <c:v>2.7</c:v>
                </c:pt>
                <c:pt idx="185">
                  <c:v>2.35</c:v>
                </c:pt>
                <c:pt idx="186">
                  <c:v>3.23</c:v>
                </c:pt>
                <c:pt idx="187">
                  <c:v>4.04</c:v>
                </c:pt>
                <c:pt idx="188">
                  <c:v>3.81</c:v>
                </c:pt>
                <c:pt idx="189">
                  <c:v>4.26</c:v>
                </c:pt>
                <c:pt idx="190">
                  <c:v>2.67</c:v>
                </c:pt>
                <c:pt idx="191">
                  <c:v>3.84</c:v>
                </c:pt>
                <c:pt idx="192">
                  <c:v>4.67</c:v>
                </c:pt>
                <c:pt idx="193">
                  <c:v>4.66</c:v>
                </c:pt>
                <c:pt idx="194">
                  <c:v>4.3499999999999996</c:v>
                </c:pt>
                <c:pt idx="195">
                  <c:v>4.1100000000000003</c:v>
                </c:pt>
                <c:pt idx="196">
                  <c:v>4.21</c:v>
                </c:pt>
                <c:pt idx="197">
                  <c:v>2.09</c:v>
                </c:pt>
                <c:pt idx="198">
                  <c:v>4.6100000000000003</c:v>
                </c:pt>
                <c:pt idx="199">
                  <c:v>3.98</c:v>
                </c:pt>
                <c:pt idx="200">
                  <c:v>3.75</c:v>
                </c:pt>
                <c:pt idx="201">
                  <c:v>6.53</c:v>
                </c:pt>
                <c:pt idx="202">
                  <c:v>5.05</c:v>
                </c:pt>
                <c:pt idx="203">
                  <c:v>3.16</c:v>
                </c:pt>
                <c:pt idx="204">
                  <c:v>3.22</c:v>
                </c:pt>
                <c:pt idx="205">
                  <c:v>5.84</c:v>
                </c:pt>
                <c:pt idx="206">
                  <c:v>6.12</c:v>
                </c:pt>
                <c:pt idx="207">
                  <c:v>5.42</c:v>
                </c:pt>
                <c:pt idx="208">
                  <c:v>5.53</c:v>
                </c:pt>
                <c:pt idx="209">
                  <c:v>5.73</c:v>
                </c:pt>
                <c:pt idx="210">
                  <c:v>5.57</c:v>
                </c:pt>
                <c:pt idx="211">
                  <c:v>5.27</c:v>
                </c:pt>
                <c:pt idx="212">
                  <c:v>5.85</c:v>
                </c:pt>
                <c:pt idx="213">
                  <c:v>4.79</c:v>
                </c:pt>
                <c:pt idx="214">
                  <c:v>5.34</c:v>
                </c:pt>
                <c:pt idx="215">
                  <c:v>6.22</c:v>
                </c:pt>
                <c:pt idx="216">
                  <c:v>6.09</c:v>
                </c:pt>
                <c:pt idx="217">
                  <c:v>6.36</c:v>
                </c:pt>
                <c:pt idx="218">
                  <c:v>6.35</c:v>
                </c:pt>
                <c:pt idx="219">
                  <c:v>6.26</c:v>
                </c:pt>
                <c:pt idx="220">
                  <c:v>4.97</c:v>
                </c:pt>
                <c:pt idx="221">
                  <c:v>2.39</c:v>
                </c:pt>
                <c:pt idx="222">
                  <c:v>1.33</c:v>
                </c:pt>
                <c:pt idx="223">
                  <c:v>4.7300000000000004</c:v>
                </c:pt>
                <c:pt idx="224">
                  <c:v>3.21</c:v>
                </c:pt>
                <c:pt idx="225">
                  <c:v>5.12</c:v>
                </c:pt>
                <c:pt idx="226">
                  <c:v>4.9400000000000004</c:v>
                </c:pt>
                <c:pt idx="227">
                  <c:v>1.98</c:v>
                </c:pt>
                <c:pt idx="228">
                  <c:v>4.21</c:v>
                </c:pt>
                <c:pt idx="229">
                  <c:v>5.67</c:v>
                </c:pt>
                <c:pt idx="230">
                  <c:v>5.55</c:v>
                </c:pt>
                <c:pt idx="231">
                  <c:v>5.28</c:v>
                </c:pt>
                <c:pt idx="232">
                  <c:v>2.52</c:v>
                </c:pt>
                <c:pt idx="233">
                  <c:v>5.33</c:v>
                </c:pt>
                <c:pt idx="234">
                  <c:v>1.85</c:v>
                </c:pt>
                <c:pt idx="235">
                  <c:v>5.05</c:v>
                </c:pt>
                <c:pt idx="236">
                  <c:v>3.17</c:v>
                </c:pt>
                <c:pt idx="237">
                  <c:v>4.38</c:v>
                </c:pt>
                <c:pt idx="238">
                  <c:v>5.21</c:v>
                </c:pt>
                <c:pt idx="239">
                  <c:v>5.23</c:v>
                </c:pt>
                <c:pt idx="240">
                  <c:v>5.26</c:v>
                </c:pt>
                <c:pt idx="241">
                  <c:v>3.83</c:v>
                </c:pt>
                <c:pt idx="242">
                  <c:v>2.93</c:v>
                </c:pt>
                <c:pt idx="243">
                  <c:v>3.99</c:v>
                </c:pt>
                <c:pt idx="244">
                  <c:v>4.79</c:v>
                </c:pt>
                <c:pt idx="245">
                  <c:v>4.8499999999999996</c:v>
                </c:pt>
                <c:pt idx="246">
                  <c:v>4.26</c:v>
                </c:pt>
                <c:pt idx="247">
                  <c:v>4.72</c:v>
                </c:pt>
                <c:pt idx="248">
                  <c:v>3.42</c:v>
                </c:pt>
                <c:pt idx="249">
                  <c:v>3.46</c:v>
                </c:pt>
                <c:pt idx="250">
                  <c:v>0.81</c:v>
                </c:pt>
                <c:pt idx="251">
                  <c:v>1.55</c:v>
                </c:pt>
                <c:pt idx="252">
                  <c:v>1.43</c:v>
                </c:pt>
                <c:pt idx="253">
                  <c:v>2.4500000000000002</c:v>
                </c:pt>
                <c:pt idx="254">
                  <c:v>2.85</c:v>
                </c:pt>
                <c:pt idx="255">
                  <c:v>2.4</c:v>
                </c:pt>
                <c:pt idx="256">
                  <c:v>1.25</c:v>
                </c:pt>
                <c:pt idx="257">
                  <c:v>0.5</c:v>
                </c:pt>
                <c:pt idx="258">
                  <c:v>1.67</c:v>
                </c:pt>
                <c:pt idx="259">
                  <c:v>1.1399999999999999</c:v>
                </c:pt>
                <c:pt idx="260">
                  <c:v>0.98</c:v>
                </c:pt>
                <c:pt idx="261">
                  <c:v>2.64</c:v>
                </c:pt>
                <c:pt idx="262">
                  <c:v>1.85</c:v>
                </c:pt>
                <c:pt idx="263">
                  <c:v>3.54</c:v>
                </c:pt>
                <c:pt idx="264">
                  <c:v>1.22</c:v>
                </c:pt>
                <c:pt idx="265">
                  <c:v>0.55000000000000004</c:v>
                </c:pt>
                <c:pt idx="266">
                  <c:v>2.38</c:v>
                </c:pt>
                <c:pt idx="267">
                  <c:v>1.79</c:v>
                </c:pt>
                <c:pt idx="268">
                  <c:v>1.38</c:v>
                </c:pt>
                <c:pt idx="269">
                  <c:v>1.4</c:v>
                </c:pt>
                <c:pt idx="270">
                  <c:v>5.08</c:v>
                </c:pt>
                <c:pt idx="271">
                  <c:v>5.35</c:v>
                </c:pt>
                <c:pt idx="272">
                  <c:v>8.15</c:v>
                </c:pt>
                <c:pt idx="273">
                  <c:v>10.65</c:v>
                </c:pt>
                <c:pt idx="274">
                  <c:v>4.6900000000000004</c:v>
                </c:pt>
                <c:pt idx="275">
                  <c:v>4.71</c:v>
                </c:pt>
                <c:pt idx="276">
                  <c:v>3.19</c:v>
                </c:pt>
                <c:pt idx="277">
                  <c:v>2.93</c:v>
                </c:pt>
                <c:pt idx="278">
                  <c:v>2.5499999999999998</c:v>
                </c:pt>
                <c:pt idx="279">
                  <c:v>0.7</c:v>
                </c:pt>
                <c:pt idx="280">
                  <c:v>2.27</c:v>
                </c:pt>
                <c:pt idx="281">
                  <c:v>7.87</c:v>
                </c:pt>
                <c:pt idx="282">
                  <c:v>5.53</c:v>
                </c:pt>
                <c:pt idx="283">
                  <c:v>3.68</c:v>
                </c:pt>
                <c:pt idx="284">
                  <c:v>1.86</c:v>
                </c:pt>
                <c:pt idx="285">
                  <c:v>1.06</c:v>
                </c:pt>
                <c:pt idx="286">
                  <c:v>2.65</c:v>
                </c:pt>
                <c:pt idx="287">
                  <c:v>0.8</c:v>
                </c:pt>
                <c:pt idx="288">
                  <c:v>0.95</c:v>
                </c:pt>
                <c:pt idx="289">
                  <c:v>1.61</c:v>
                </c:pt>
                <c:pt idx="290">
                  <c:v>3.61</c:v>
                </c:pt>
                <c:pt idx="291">
                  <c:v>3.25</c:v>
                </c:pt>
                <c:pt idx="292">
                  <c:v>1.69</c:v>
                </c:pt>
                <c:pt idx="293">
                  <c:v>1.68</c:v>
                </c:pt>
                <c:pt idx="294">
                  <c:v>5.65</c:v>
                </c:pt>
                <c:pt idx="295">
                  <c:v>6.09</c:v>
                </c:pt>
                <c:pt idx="296">
                  <c:v>6.5</c:v>
                </c:pt>
                <c:pt idx="297">
                  <c:v>1.94</c:v>
                </c:pt>
                <c:pt idx="298">
                  <c:v>6.67</c:v>
                </c:pt>
                <c:pt idx="299">
                  <c:v>7.01</c:v>
                </c:pt>
                <c:pt idx="300">
                  <c:v>2.98</c:v>
                </c:pt>
                <c:pt idx="301">
                  <c:v>6.95</c:v>
                </c:pt>
                <c:pt idx="302">
                  <c:v>5.48</c:v>
                </c:pt>
                <c:pt idx="303">
                  <c:v>4.0199999999999996</c:v>
                </c:pt>
                <c:pt idx="304">
                  <c:v>5.65</c:v>
                </c:pt>
                <c:pt idx="305">
                  <c:v>3.39</c:v>
                </c:pt>
                <c:pt idx="306">
                  <c:v>2.59</c:v>
                </c:pt>
                <c:pt idx="307">
                  <c:v>2.2400000000000002</c:v>
                </c:pt>
                <c:pt idx="308">
                  <c:v>2.16</c:v>
                </c:pt>
                <c:pt idx="309">
                  <c:v>2.1</c:v>
                </c:pt>
                <c:pt idx="310">
                  <c:v>1.53</c:v>
                </c:pt>
                <c:pt idx="311">
                  <c:v>0.36</c:v>
                </c:pt>
                <c:pt idx="312">
                  <c:v>0.57999999999999996</c:v>
                </c:pt>
                <c:pt idx="313">
                  <c:v>1.34</c:v>
                </c:pt>
                <c:pt idx="314">
                  <c:v>1.18</c:v>
                </c:pt>
                <c:pt idx="315">
                  <c:v>1.57</c:v>
                </c:pt>
                <c:pt idx="316">
                  <c:v>3.61</c:v>
                </c:pt>
                <c:pt idx="317">
                  <c:v>2.65</c:v>
                </c:pt>
                <c:pt idx="318">
                  <c:v>1.7</c:v>
                </c:pt>
                <c:pt idx="319">
                  <c:v>0.87</c:v>
                </c:pt>
                <c:pt idx="320">
                  <c:v>2.12</c:v>
                </c:pt>
                <c:pt idx="321">
                  <c:v>1.59</c:v>
                </c:pt>
                <c:pt idx="322">
                  <c:v>0.75</c:v>
                </c:pt>
                <c:pt idx="323">
                  <c:v>4.62</c:v>
                </c:pt>
                <c:pt idx="324">
                  <c:v>4.3499999999999996</c:v>
                </c:pt>
                <c:pt idx="325">
                  <c:v>4.2300000000000004</c:v>
                </c:pt>
                <c:pt idx="326">
                  <c:v>1.1000000000000001</c:v>
                </c:pt>
                <c:pt idx="327">
                  <c:v>4.25</c:v>
                </c:pt>
                <c:pt idx="328">
                  <c:v>2.83</c:v>
                </c:pt>
                <c:pt idx="329">
                  <c:v>4.07</c:v>
                </c:pt>
                <c:pt idx="330">
                  <c:v>2.97</c:v>
                </c:pt>
                <c:pt idx="331">
                  <c:v>3.85</c:v>
                </c:pt>
                <c:pt idx="332">
                  <c:v>3.8</c:v>
                </c:pt>
                <c:pt idx="333">
                  <c:v>3.83</c:v>
                </c:pt>
                <c:pt idx="334">
                  <c:v>1.42</c:v>
                </c:pt>
                <c:pt idx="335">
                  <c:v>1.49</c:v>
                </c:pt>
                <c:pt idx="336">
                  <c:v>2.65</c:v>
                </c:pt>
                <c:pt idx="337">
                  <c:v>1.45</c:v>
                </c:pt>
                <c:pt idx="338">
                  <c:v>2.34</c:v>
                </c:pt>
                <c:pt idx="339">
                  <c:v>1.38</c:v>
                </c:pt>
                <c:pt idx="340">
                  <c:v>1.06</c:v>
                </c:pt>
                <c:pt idx="341">
                  <c:v>3.61</c:v>
                </c:pt>
                <c:pt idx="342">
                  <c:v>3.44</c:v>
                </c:pt>
                <c:pt idx="343">
                  <c:v>3.02</c:v>
                </c:pt>
                <c:pt idx="344">
                  <c:v>2.31</c:v>
                </c:pt>
                <c:pt idx="345">
                  <c:v>2.41</c:v>
                </c:pt>
                <c:pt idx="346">
                  <c:v>2.2200000000000002</c:v>
                </c:pt>
                <c:pt idx="347">
                  <c:v>1.61</c:v>
                </c:pt>
                <c:pt idx="348">
                  <c:v>2.4700000000000002</c:v>
                </c:pt>
                <c:pt idx="349">
                  <c:v>1.46</c:v>
                </c:pt>
                <c:pt idx="350">
                  <c:v>1.86</c:v>
                </c:pt>
                <c:pt idx="351">
                  <c:v>1.46</c:v>
                </c:pt>
                <c:pt idx="352">
                  <c:v>1.98</c:v>
                </c:pt>
                <c:pt idx="353">
                  <c:v>0.88</c:v>
                </c:pt>
                <c:pt idx="354">
                  <c:v>0.62</c:v>
                </c:pt>
                <c:pt idx="355">
                  <c:v>1.6</c:v>
                </c:pt>
                <c:pt idx="356">
                  <c:v>3.42</c:v>
                </c:pt>
                <c:pt idx="357">
                  <c:v>2.37</c:v>
                </c:pt>
                <c:pt idx="358">
                  <c:v>3.15</c:v>
                </c:pt>
                <c:pt idx="359">
                  <c:v>3.17</c:v>
                </c:pt>
                <c:pt idx="360">
                  <c:v>0.99</c:v>
                </c:pt>
                <c:pt idx="361">
                  <c:v>1.0900000000000001</c:v>
                </c:pt>
                <c:pt idx="362">
                  <c:v>2.39</c:v>
                </c:pt>
                <c:pt idx="363">
                  <c:v>1.82</c:v>
                </c:pt>
                <c:pt idx="364">
                  <c:v>1.39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56160"/>
        <c:axId val="142561280"/>
      </c:lineChart>
      <c:catAx>
        <c:axId val="142556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5612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561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556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493183637319579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-0.7</c:v>
                </c:pt>
                <c:pt idx="1">
                  <c:v>-7.32</c:v>
                </c:pt>
                <c:pt idx="2">
                  <c:v>3.0000000000000001E-3</c:v>
                </c:pt>
                <c:pt idx="3">
                  <c:v>1.3240000000000001</c:v>
                </c:pt>
                <c:pt idx="4">
                  <c:v>0.109</c:v>
                </c:pt>
                <c:pt idx="5">
                  <c:v>-0.59299999999999997</c:v>
                </c:pt>
                <c:pt idx="6">
                  <c:v>-4.2699999999999996</c:v>
                </c:pt>
                <c:pt idx="7">
                  <c:v>-6.367</c:v>
                </c:pt>
                <c:pt idx="8">
                  <c:v>0.47</c:v>
                </c:pt>
                <c:pt idx="9">
                  <c:v>1.2150000000000001</c:v>
                </c:pt>
                <c:pt idx="10">
                  <c:v>-0.23499999999999999</c:v>
                </c:pt>
                <c:pt idx="11">
                  <c:v>0.60399999999999998</c:v>
                </c:pt>
                <c:pt idx="12">
                  <c:v>3.085</c:v>
                </c:pt>
                <c:pt idx="13">
                  <c:v>5.51</c:v>
                </c:pt>
                <c:pt idx="14">
                  <c:v>0.109</c:v>
                </c:pt>
                <c:pt idx="15">
                  <c:v>-0.39600000000000002</c:v>
                </c:pt>
                <c:pt idx="16">
                  <c:v>-0.309</c:v>
                </c:pt>
                <c:pt idx="17">
                  <c:v>-0.94699999999999995</c:v>
                </c:pt>
                <c:pt idx="18">
                  <c:v>2.1150000000000002</c:v>
                </c:pt>
                <c:pt idx="19">
                  <c:v>-2.9689999999999999</c:v>
                </c:pt>
                <c:pt idx="20">
                  <c:v>-5.0259999999999998</c:v>
                </c:pt>
                <c:pt idx="21">
                  <c:v>-6.5330000000000004</c:v>
                </c:pt>
                <c:pt idx="22">
                  <c:v>-2.8690000000000002</c:v>
                </c:pt>
                <c:pt idx="23">
                  <c:v>1.962</c:v>
                </c:pt>
                <c:pt idx="24">
                  <c:v>3.3359999999999999</c:v>
                </c:pt>
                <c:pt idx="25">
                  <c:v>12.9</c:v>
                </c:pt>
                <c:pt idx="26">
                  <c:v>4.9450000000000003</c:v>
                </c:pt>
                <c:pt idx="27">
                  <c:v>-0.15</c:v>
                </c:pt>
                <c:pt idx="28">
                  <c:v>5.7309999999999999</c:v>
                </c:pt>
                <c:pt idx="29">
                  <c:v>5.2759999999999998</c:v>
                </c:pt>
                <c:pt idx="30">
                  <c:v>2.617</c:v>
                </c:pt>
                <c:pt idx="31">
                  <c:v>-0.56799999999999995</c:v>
                </c:pt>
                <c:pt idx="32">
                  <c:v>1.8</c:v>
                </c:pt>
                <c:pt idx="33">
                  <c:v>-8.4700000000000006</c:v>
                </c:pt>
                <c:pt idx="34">
                  <c:v>-18.93</c:v>
                </c:pt>
                <c:pt idx="35">
                  <c:v>-13.75</c:v>
                </c:pt>
                <c:pt idx="36">
                  <c:v>-13.44</c:v>
                </c:pt>
                <c:pt idx="37">
                  <c:v>-7.3</c:v>
                </c:pt>
                <c:pt idx="38">
                  <c:v>-11.57</c:v>
                </c:pt>
                <c:pt idx="39">
                  <c:v>-16.22</c:v>
                </c:pt>
                <c:pt idx="40">
                  <c:v>-8.99</c:v>
                </c:pt>
                <c:pt idx="41">
                  <c:v>-11.14</c:v>
                </c:pt>
                <c:pt idx="42">
                  <c:v>-9.24</c:v>
                </c:pt>
                <c:pt idx="43">
                  <c:v>-3.415</c:v>
                </c:pt>
                <c:pt idx="44">
                  <c:v>-4.3010000000000002</c:v>
                </c:pt>
                <c:pt idx="45">
                  <c:v>-1.841</c:v>
                </c:pt>
                <c:pt idx="46">
                  <c:v>-2.3929999999999998</c:v>
                </c:pt>
                <c:pt idx="47">
                  <c:v>-7.22</c:v>
                </c:pt>
                <c:pt idx="48">
                  <c:v>-7.37</c:v>
                </c:pt>
                <c:pt idx="49">
                  <c:v>-4.5309999999999997</c:v>
                </c:pt>
                <c:pt idx="50">
                  <c:v>-7.19</c:v>
                </c:pt>
                <c:pt idx="51">
                  <c:v>-5.0439999999999996</c:v>
                </c:pt>
                <c:pt idx="52">
                  <c:v>-8.0399999999999991</c:v>
                </c:pt>
                <c:pt idx="53">
                  <c:v>-5.8310000000000004</c:v>
                </c:pt>
                <c:pt idx="54">
                  <c:v>-5.9770000000000003</c:v>
                </c:pt>
                <c:pt idx="55">
                  <c:v>-11.4</c:v>
                </c:pt>
                <c:pt idx="56">
                  <c:v>-7.56</c:v>
                </c:pt>
                <c:pt idx="57">
                  <c:v>-4.8979999999999997</c:v>
                </c:pt>
                <c:pt idx="58">
                  <c:v>-4.7069999999999999</c:v>
                </c:pt>
                <c:pt idx="59">
                  <c:v>-3.9630000000000001</c:v>
                </c:pt>
                <c:pt idx="60">
                  <c:v>-8.43</c:v>
                </c:pt>
                <c:pt idx="61">
                  <c:v>-7.26</c:v>
                </c:pt>
                <c:pt idx="62">
                  <c:v>-4.9779999999999998</c:v>
                </c:pt>
                <c:pt idx="63">
                  <c:v>-2.4430000000000001</c:v>
                </c:pt>
                <c:pt idx="64">
                  <c:v>-1.349</c:v>
                </c:pt>
                <c:pt idx="65">
                  <c:v>-7.1999999999999995E-2</c:v>
                </c:pt>
                <c:pt idx="66">
                  <c:v>1.3839999999999999</c:v>
                </c:pt>
                <c:pt idx="67">
                  <c:v>-0.88200000000000001</c:v>
                </c:pt>
                <c:pt idx="68">
                  <c:v>2.2000000000000002</c:v>
                </c:pt>
                <c:pt idx="69">
                  <c:v>-2.032</c:v>
                </c:pt>
                <c:pt idx="70">
                  <c:v>-3.6560000000000001</c:v>
                </c:pt>
                <c:pt idx="71">
                  <c:v>-0.33600000000000002</c:v>
                </c:pt>
                <c:pt idx="72">
                  <c:v>3.8610000000000002</c:v>
                </c:pt>
                <c:pt idx="73">
                  <c:v>7.06</c:v>
                </c:pt>
                <c:pt idx="74">
                  <c:v>9.0500000000000007</c:v>
                </c:pt>
                <c:pt idx="75">
                  <c:v>8.41</c:v>
                </c:pt>
                <c:pt idx="76">
                  <c:v>13.85</c:v>
                </c:pt>
                <c:pt idx="77">
                  <c:v>15.55</c:v>
                </c:pt>
                <c:pt idx="78">
                  <c:v>16.46</c:v>
                </c:pt>
                <c:pt idx="79">
                  <c:v>17.3</c:v>
                </c:pt>
                <c:pt idx="80">
                  <c:v>15.08</c:v>
                </c:pt>
                <c:pt idx="81">
                  <c:v>9.24</c:v>
                </c:pt>
                <c:pt idx="82">
                  <c:v>9.5</c:v>
                </c:pt>
                <c:pt idx="83">
                  <c:v>6.85</c:v>
                </c:pt>
                <c:pt idx="84">
                  <c:v>4.7300000000000004</c:v>
                </c:pt>
                <c:pt idx="85">
                  <c:v>6.2610000000000001</c:v>
                </c:pt>
                <c:pt idx="86">
                  <c:v>6.5490000000000004</c:v>
                </c:pt>
                <c:pt idx="87">
                  <c:v>8.07</c:v>
                </c:pt>
                <c:pt idx="88">
                  <c:v>10.65</c:v>
                </c:pt>
                <c:pt idx="89">
                  <c:v>10.29</c:v>
                </c:pt>
                <c:pt idx="90">
                  <c:v>8.1300000000000008</c:v>
                </c:pt>
                <c:pt idx="91">
                  <c:v>9.2100000000000009</c:v>
                </c:pt>
                <c:pt idx="92">
                  <c:v>6.0359999999999996</c:v>
                </c:pt>
                <c:pt idx="93">
                  <c:v>8.26</c:v>
                </c:pt>
                <c:pt idx="94">
                  <c:v>5.593</c:v>
                </c:pt>
                <c:pt idx="95">
                  <c:v>3.423</c:v>
                </c:pt>
                <c:pt idx="96">
                  <c:v>6.7050000000000001</c:v>
                </c:pt>
                <c:pt idx="97">
                  <c:v>4.6900000000000004</c:v>
                </c:pt>
                <c:pt idx="98">
                  <c:v>4.9669999999999996</c:v>
                </c:pt>
                <c:pt idx="99">
                  <c:v>2.4460000000000002</c:v>
                </c:pt>
                <c:pt idx="100">
                  <c:v>5.4119999999999999</c:v>
                </c:pt>
                <c:pt idx="101">
                  <c:v>4.7610000000000001</c:v>
                </c:pt>
                <c:pt idx="102">
                  <c:v>2.7610000000000001</c:v>
                </c:pt>
                <c:pt idx="103">
                  <c:v>5.1970000000000001</c:v>
                </c:pt>
                <c:pt idx="104">
                  <c:v>6.5570000000000004</c:v>
                </c:pt>
                <c:pt idx="105">
                  <c:v>8.7100000000000009</c:v>
                </c:pt>
                <c:pt idx="106">
                  <c:v>8.77</c:v>
                </c:pt>
                <c:pt idx="107">
                  <c:v>6.5670000000000002</c:v>
                </c:pt>
                <c:pt idx="108">
                  <c:v>9.5</c:v>
                </c:pt>
                <c:pt idx="109">
                  <c:v>5.2809999999999997</c:v>
                </c:pt>
                <c:pt idx="110">
                  <c:v>13.07</c:v>
                </c:pt>
                <c:pt idx="111">
                  <c:v>10.42</c:v>
                </c:pt>
                <c:pt idx="112">
                  <c:v>9.15</c:v>
                </c:pt>
                <c:pt idx="113">
                  <c:v>6.8659999999999997</c:v>
                </c:pt>
                <c:pt idx="114">
                  <c:v>11.06</c:v>
                </c:pt>
                <c:pt idx="115">
                  <c:v>9.39</c:v>
                </c:pt>
                <c:pt idx="116">
                  <c:v>-4.1000000000000002E-2</c:v>
                </c:pt>
                <c:pt idx="117">
                  <c:v>4.3979999999999997</c:v>
                </c:pt>
                <c:pt idx="118">
                  <c:v>5.335</c:v>
                </c:pt>
                <c:pt idx="119">
                  <c:v>5.3659999999999997</c:v>
                </c:pt>
                <c:pt idx="120">
                  <c:v>7.55</c:v>
                </c:pt>
                <c:pt idx="121">
                  <c:v>9.68</c:v>
                </c:pt>
                <c:pt idx="122">
                  <c:v>13.1</c:v>
                </c:pt>
                <c:pt idx="123">
                  <c:v>13.28</c:v>
                </c:pt>
                <c:pt idx="124">
                  <c:v>11.4</c:v>
                </c:pt>
                <c:pt idx="125">
                  <c:v>14.06</c:v>
                </c:pt>
                <c:pt idx="126">
                  <c:v>12.59</c:v>
                </c:pt>
                <c:pt idx="127">
                  <c:v>13.28</c:v>
                </c:pt>
                <c:pt idx="128">
                  <c:v>16.47</c:v>
                </c:pt>
                <c:pt idx="129">
                  <c:v>18.45</c:v>
                </c:pt>
                <c:pt idx="130">
                  <c:v>21.06</c:v>
                </c:pt>
                <c:pt idx="131">
                  <c:v>19.36</c:v>
                </c:pt>
                <c:pt idx="132">
                  <c:v>16.93</c:v>
                </c:pt>
                <c:pt idx="133">
                  <c:v>12.41</c:v>
                </c:pt>
                <c:pt idx="134">
                  <c:v>13.82</c:v>
                </c:pt>
                <c:pt idx="135">
                  <c:v>11.4</c:v>
                </c:pt>
                <c:pt idx="136">
                  <c:v>7.78</c:v>
                </c:pt>
                <c:pt idx="137">
                  <c:v>10.210000000000001</c:v>
                </c:pt>
                <c:pt idx="138">
                  <c:v>10.31</c:v>
                </c:pt>
                <c:pt idx="139">
                  <c:v>11.11</c:v>
                </c:pt>
                <c:pt idx="140">
                  <c:v>8.91</c:v>
                </c:pt>
                <c:pt idx="141">
                  <c:v>13.78</c:v>
                </c:pt>
                <c:pt idx="142">
                  <c:v>13.69</c:v>
                </c:pt>
                <c:pt idx="143">
                  <c:v>13.41</c:v>
                </c:pt>
                <c:pt idx="144">
                  <c:v>8.67</c:v>
                </c:pt>
                <c:pt idx="145">
                  <c:v>12.84</c:v>
                </c:pt>
                <c:pt idx="146">
                  <c:v>17.68</c:v>
                </c:pt>
                <c:pt idx="147">
                  <c:v>21.08</c:v>
                </c:pt>
                <c:pt idx="148">
                  <c:v>21.39</c:v>
                </c:pt>
                <c:pt idx="149">
                  <c:v>20.18</c:v>
                </c:pt>
                <c:pt idx="150">
                  <c:v>20.45</c:v>
                </c:pt>
                <c:pt idx="151">
                  <c:v>22.75</c:v>
                </c:pt>
                <c:pt idx="152">
                  <c:v>22.85</c:v>
                </c:pt>
                <c:pt idx="153">
                  <c:v>15.64</c:v>
                </c:pt>
                <c:pt idx="154">
                  <c:v>16.55</c:v>
                </c:pt>
                <c:pt idx="155">
                  <c:v>14.13</c:v>
                </c:pt>
                <c:pt idx="156">
                  <c:v>9.6300000000000008</c:v>
                </c:pt>
                <c:pt idx="157">
                  <c:v>7.45</c:v>
                </c:pt>
                <c:pt idx="158">
                  <c:v>10.54</c:v>
                </c:pt>
                <c:pt idx="159">
                  <c:v>15.6</c:v>
                </c:pt>
                <c:pt idx="160">
                  <c:v>13.82</c:v>
                </c:pt>
                <c:pt idx="161">
                  <c:v>18.98</c:v>
                </c:pt>
                <c:pt idx="162">
                  <c:v>23.71</c:v>
                </c:pt>
                <c:pt idx="163">
                  <c:v>22.9</c:v>
                </c:pt>
                <c:pt idx="164">
                  <c:v>20.350000000000001</c:v>
                </c:pt>
                <c:pt idx="165">
                  <c:v>21.01</c:v>
                </c:pt>
                <c:pt idx="166">
                  <c:v>21.25</c:v>
                </c:pt>
                <c:pt idx="167">
                  <c:v>22.69</c:v>
                </c:pt>
                <c:pt idx="168">
                  <c:v>18.190000000000001</c:v>
                </c:pt>
                <c:pt idx="169">
                  <c:v>8.5500000000000007</c:v>
                </c:pt>
                <c:pt idx="170">
                  <c:v>3.919</c:v>
                </c:pt>
                <c:pt idx="171">
                  <c:v>15.81</c:v>
                </c:pt>
                <c:pt idx="172">
                  <c:v>14.97</c:v>
                </c:pt>
                <c:pt idx="173">
                  <c:v>13.64</c:v>
                </c:pt>
                <c:pt idx="174">
                  <c:v>11.41</c:v>
                </c:pt>
                <c:pt idx="175">
                  <c:v>13.87</c:v>
                </c:pt>
                <c:pt idx="176">
                  <c:v>16.899999999999999</c:v>
                </c:pt>
                <c:pt idx="177">
                  <c:v>15.02</c:v>
                </c:pt>
                <c:pt idx="178">
                  <c:v>13.25</c:v>
                </c:pt>
                <c:pt idx="179">
                  <c:v>13.55</c:v>
                </c:pt>
                <c:pt idx="180">
                  <c:v>18.77</c:v>
                </c:pt>
                <c:pt idx="181">
                  <c:v>20.97</c:v>
                </c:pt>
                <c:pt idx="182">
                  <c:v>15.83</c:v>
                </c:pt>
                <c:pt idx="183">
                  <c:v>19.010000000000002</c:v>
                </c:pt>
                <c:pt idx="184">
                  <c:v>16.21</c:v>
                </c:pt>
                <c:pt idx="185">
                  <c:v>15.07</c:v>
                </c:pt>
                <c:pt idx="186">
                  <c:v>15.56</c:v>
                </c:pt>
                <c:pt idx="187">
                  <c:v>15.55</c:v>
                </c:pt>
                <c:pt idx="188">
                  <c:v>16.84</c:v>
                </c:pt>
                <c:pt idx="189">
                  <c:v>20.6</c:v>
                </c:pt>
                <c:pt idx="190">
                  <c:v>18.78</c:v>
                </c:pt>
                <c:pt idx="191">
                  <c:v>17.75</c:v>
                </c:pt>
                <c:pt idx="192">
                  <c:v>19.649999999999999</c:v>
                </c:pt>
                <c:pt idx="193">
                  <c:v>20.149999999999999</c:v>
                </c:pt>
                <c:pt idx="194">
                  <c:v>17.850000000000001</c:v>
                </c:pt>
                <c:pt idx="195">
                  <c:v>18.170000000000002</c:v>
                </c:pt>
                <c:pt idx="196">
                  <c:v>19.760000000000002</c:v>
                </c:pt>
                <c:pt idx="197">
                  <c:v>15.1</c:v>
                </c:pt>
                <c:pt idx="198">
                  <c:v>11.67</c:v>
                </c:pt>
                <c:pt idx="199">
                  <c:v>12.64</c:v>
                </c:pt>
                <c:pt idx="200">
                  <c:v>14.47</c:v>
                </c:pt>
                <c:pt idx="201">
                  <c:v>22.84</c:v>
                </c:pt>
                <c:pt idx="202">
                  <c:v>26.15</c:v>
                </c:pt>
                <c:pt idx="203">
                  <c:v>24.25</c:v>
                </c:pt>
                <c:pt idx="204">
                  <c:v>14.13</c:v>
                </c:pt>
                <c:pt idx="205">
                  <c:v>20.69</c:v>
                </c:pt>
                <c:pt idx="206">
                  <c:v>25.18</c:v>
                </c:pt>
                <c:pt idx="207">
                  <c:v>17.59</c:v>
                </c:pt>
                <c:pt idx="208">
                  <c:v>19.71</c:v>
                </c:pt>
                <c:pt idx="209">
                  <c:v>23.61</c:v>
                </c:pt>
                <c:pt idx="210">
                  <c:v>21.19</c:v>
                </c:pt>
                <c:pt idx="211">
                  <c:v>22.7</c:v>
                </c:pt>
                <c:pt idx="212">
                  <c:v>23.8</c:v>
                </c:pt>
                <c:pt idx="213">
                  <c:v>20.96</c:v>
                </c:pt>
                <c:pt idx="214">
                  <c:v>17.38</c:v>
                </c:pt>
                <c:pt idx="215">
                  <c:v>20.04</c:v>
                </c:pt>
                <c:pt idx="216">
                  <c:v>24.8</c:v>
                </c:pt>
                <c:pt idx="217">
                  <c:v>26.96</c:v>
                </c:pt>
                <c:pt idx="218">
                  <c:v>27.53</c:v>
                </c:pt>
                <c:pt idx="219">
                  <c:v>26.55</c:v>
                </c:pt>
                <c:pt idx="220">
                  <c:v>23.81</c:v>
                </c:pt>
                <c:pt idx="221">
                  <c:v>18.850000000000001</c:v>
                </c:pt>
                <c:pt idx="222">
                  <c:v>12.6</c:v>
                </c:pt>
                <c:pt idx="223">
                  <c:v>18.95</c:v>
                </c:pt>
                <c:pt idx="224">
                  <c:v>19.03</c:v>
                </c:pt>
                <c:pt idx="225">
                  <c:v>19.86</c:v>
                </c:pt>
                <c:pt idx="226">
                  <c:v>20.89</c:v>
                </c:pt>
                <c:pt idx="227">
                  <c:v>15.48</c:v>
                </c:pt>
                <c:pt idx="228">
                  <c:v>17.809999999999999</c:v>
                </c:pt>
                <c:pt idx="229">
                  <c:v>22.2</c:v>
                </c:pt>
                <c:pt idx="230">
                  <c:v>20.9</c:v>
                </c:pt>
                <c:pt idx="231">
                  <c:v>24.72</c:v>
                </c:pt>
                <c:pt idx="232">
                  <c:v>21.25</c:v>
                </c:pt>
                <c:pt idx="233">
                  <c:v>17.190000000000001</c:v>
                </c:pt>
                <c:pt idx="234">
                  <c:v>16.11</c:v>
                </c:pt>
                <c:pt idx="235">
                  <c:v>16.09</c:v>
                </c:pt>
                <c:pt idx="236">
                  <c:v>13.25</c:v>
                </c:pt>
                <c:pt idx="237">
                  <c:v>15.3</c:v>
                </c:pt>
                <c:pt idx="238">
                  <c:v>23.21</c:v>
                </c:pt>
                <c:pt idx="239">
                  <c:v>23.26</c:v>
                </c:pt>
                <c:pt idx="240">
                  <c:v>25.05</c:v>
                </c:pt>
                <c:pt idx="241">
                  <c:v>21.9</c:v>
                </c:pt>
                <c:pt idx="242">
                  <c:v>22.67</c:v>
                </c:pt>
                <c:pt idx="243">
                  <c:v>21.13</c:v>
                </c:pt>
                <c:pt idx="244">
                  <c:v>18.899999999999999</c:v>
                </c:pt>
                <c:pt idx="245">
                  <c:v>24.23</c:v>
                </c:pt>
                <c:pt idx="246">
                  <c:v>20.69</c:v>
                </c:pt>
                <c:pt idx="247">
                  <c:v>23.71</c:v>
                </c:pt>
                <c:pt idx="248">
                  <c:v>23.22</c:v>
                </c:pt>
                <c:pt idx="249">
                  <c:v>21.99</c:v>
                </c:pt>
                <c:pt idx="250">
                  <c:v>12.11</c:v>
                </c:pt>
                <c:pt idx="251">
                  <c:v>14.46</c:v>
                </c:pt>
                <c:pt idx="252">
                  <c:v>14.34</c:v>
                </c:pt>
                <c:pt idx="253">
                  <c:v>14.44</c:v>
                </c:pt>
                <c:pt idx="254">
                  <c:v>16.12</c:v>
                </c:pt>
                <c:pt idx="255">
                  <c:v>13.07</c:v>
                </c:pt>
                <c:pt idx="256">
                  <c:v>11.99</c:v>
                </c:pt>
                <c:pt idx="257">
                  <c:v>8.6199999999999992</c:v>
                </c:pt>
                <c:pt idx="258">
                  <c:v>10.33</c:v>
                </c:pt>
                <c:pt idx="259">
                  <c:v>8.66</c:v>
                </c:pt>
                <c:pt idx="260">
                  <c:v>8.2100000000000009</c:v>
                </c:pt>
                <c:pt idx="261">
                  <c:v>11.23</c:v>
                </c:pt>
                <c:pt idx="262">
                  <c:v>10.72</c:v>
                </c:pt>
                <c:pt idx="263">
                  <c:v>16.13</c:v>
                </c:pt>
                <c:pt idx="264">
                  <c:v>11.45</c:v>
                </c:pt>
                <c:pt idx="265">
                  <c:v>7.49</c:v>
                </c:pt>
                <c:pt idx="266">
                  <c:v>10.68</c:v>
                </c:pt>
                <c:pt idx="267">
                  <c:v>9.25</c:v>
                </c:pt>
                <c:pt idx="268">
                  <c:v>8.91</c:v>
                </c:pt>
                <c:pt idx="269">
                  <c:v>4.5460000000000003</c:v>
                </c:pt>
                <c:pt idx="270">
                  <c:v>0.878</c:v>
                </c:pt>
                <c:pt idx="271">
                  <c:v>-0.36</c:v>
                </c:pt>
                <c:pt idx="272">
                  <c:v>4.0190000000000001</c:v>
                </c:pt>
                <c:pt idx="273">
                  <c:v>9.43</c:v>
                </c:pt>
                <c:pt idx="274">
                  <c:v>4.694</c:v>
                </c:pt>
                <c:pt idx="275">
                  <c:v>5.8879999999999999</c:v>
                </c:pt>
                <c:pt idx="276">
                  <c:v>7.06</c:v>
                </c:pt>
                <c:pt idx="277">
                  <c:v>7.41</c:v>
                </c:pt>
                <c:pt idx="278">
                  <c:v>9.18</c:v>
                </c:pt>
                <c:pt idx="279">
                  <c:v>7.2</c:v>
                </c:pt>
                <c:pt idx="280">
                  <c:v>1.762</c:v>
                </c:pt>
                <c:pt idx="281">
                  <c:v>-2.9790000000000001</c:v>
                </c:pt>
                <c:pt idx="282">
                  <c:v>4.3769999999999998</c:v>
                </c:pt>
                <c:pt idx="283">
                  <c:v>5.1619999999999999</c:v>
                </c:pt>
                <c:pt idx="284">
                  <c:v>6.0869999999999997</c:v>
                </c:pt>
                <c:pt idx="285">
                  <c:v>1.98</c:v>
                </c:pt>
                <c:pt idx="286">
                  <c:v>6.5419999999999998</c:v>
                </c:pt>
                <c:pt idx="287">
                  <c:v>2.907</c:v>
                </c:pt>
                <c:pt idx="288">
                  <c:v>8.52</c:v>
                </c:pt>
                <c:pt idx="289">
                  <c:v>6.7169999999999996</c:v>
                </c:pt>
                <c:pt idx="290">
                  <c:v>3.5430000000000001</c:v>
                </c:pt>
                <c:pt idx="291">
                  <c:v>2.7360000000000002</c:v>
                </c:pt>
                <c:pt idx="292">
                  <c:v>2.39</c:v>
                </c:pt>
                <c:pt idx="293">
                  <c:v>1.1319999999999999</c:v>
                </c:pt>
                <c:pt idx="294">
                  <c:v>6.7130000000000001</c:v>
                </c:pt>
                <c:pt idx="295">
                  <c:v>4.2859999999999996</c:v>
                </c:pt>
                <c:pt idx="296">
                  <c:v>11.13</c:v>
                </c:pt>
                <c:pt idx="297">
                  <c:v>9.26</c:v>
                </c:pt>
                <c:pt idx="298">
                  <c:v>0.45800000000000002</c:v>
                </c:pt>
                <c:pt idx="299">
                  <c:v>0.46300000000000002</c:v>
                </c:pt>
                <c:pt idx="300">
                  <c:v>-2.052</c:v>
                </c:pt>
                <c:pt idx="301">
                  <c:v>-1.7070000000000001</c:v>
                </c:pt>
                <c:pt idx="302">
                  <c:v>2.4369999999999998</c:v>
                </c:pt>
                <c:pt idx="303">
                  <c:v>2.6930000000000001</c:v>
                </c:pt>
                <c:pt idx="304">
                  <c:v>7.15</c:v>
                </c:pt>
                <c:pt idx="305">
                  <c:v>9.51</c:v>
                </c:pt>
                <c:pt idx="306">
                  <c:v>5.0739999999999998</c:v>
                </c:pt>
                <c:pt idx="307">
                  <c:v>10.54</c:v>
                </c:pt>
                <c:pt idx="308">
                  <c:v>7.32</c:v>
                </c:pt>
                <c:pt idx="309">
                  <c:v>5.2009999999999996</c:v>
                </c:pt>
                <c:pt idx="310">
                  <c:v>4.8120000000000003</c:v>
                </c:pt>
                <c:pt idx="311">
                  <c:v>1.587</c:v>
                </c:pt>
                <c:pt idx="312">
                  <c:v>5.5229999999999997</c:v>
                </c:pt>
                <c:pt idx="313">
                  <c:v>2.4460000000000002</c:v>
                </c:pt>
                <c:pt idx="314">
                  <c:v>0.376</c:v>
                </c:pt>
                <c:pt idx="315">
                  <c:v>1.9790000000000001</c:v>
                </c:pt>
                <c:pt idx="316">
                  <c:v>5.8559999999999999</c:v>
                </c:pt>
                <c:pt idx="317">
                  <c:v>0.36499999999999999</c:v>
                </c:pt>
                <c:pt idx="318">
                  <c:v>2.2490000000000001</c:v>
                </c:pt>
                <c:pt idx="319">
                  <c:v>0.80200000000000005</c:v>
                </c:pt>
                <c:pt idx="320">
                  <c:v>5.6079999999999997</c:v>
                </c:pt>
                <c:pt idx="321">
                  <c:v>3.6179999999999999</c:v>
                </c:pt>
                <c:pt idx="322">
                  <c:v>-0.26100000000000001</c:v>
                </c:pt>
                <c:pt idx="323">
                  <c:v>0.621</c:v>
                </c:pt>
                <c:pt idx="324">
                  <c:v>8.56</c:v>
                </c:pt>
                <c:pt idx="325">
                  <c:v>8.4600000000000009</c:v>
                </c:pt>
                <c:pt idx="326">
                  <c:v>2.2629999999999999</c:v>
                </c:pt>
                <c:pt idx="327">
                  <c:v>1.1830000000000001</c:v>
                </c:pt>
                <c:pt idx="328">
                  <c:v>-3.274</c:v>
                </c:pt>
                <c:pt idx="329">
                  <c:v>-5.19</c:v>
                </c:pt>
                <c:pt idx="330">
                  <c:v>-7.54</c:v>
                </c:pt>
                <c:pt idx="331">
                  <c:v>-7.07</c:v>
                </c:pt>
                <c:pt idx="332">
                  <c:v>-4.33</c:v>
                </c:pt>
                <c:pt idx="333">
                  <c:v>-2.0979999999999999</c:v>
                </c:pt>
                <c:pt idx="334">
                  <c:v>-8.08</c:v>
                </c:pt>
                <c:pt idx="335">
                  <c:v>-0.78600000000000003</c:v>
                </c:pt>
                <c:pt idx="336">
                  <c:v>5.2649999999999997</c:v>
                </c:pt>
                <c:pt idx="337">
                  <c:v>2.6930000000000001</c:v>
                </c:pt>
                <c:pt idx="338">
                  <c:v>1.2010000000000001</c:v>
                </c:pt>
                <c:pt idx="339">
                  <c:v>-1.1000000000000001</c:v>
                </c:pt>
                <c:pt idx="340">
                  <c:v>3.2000000000000001E-2</c:v>
                </c:pt>
                <c:pt idx="341">
                  <c:v>-2.5390000000000001</c:v>
                </c:pt>
                <c:pt idx="342">
                  <c:v>3.694</c:v>
                </c:pt>
                <c:pt idx="343">
                  <c:v>-3.1869999999999998</c:v>
                </c:pt>
                <c:pt idx="344">
                  <c:v>-1.7070000000000001</c:v>
                </c:pt>
                <c:pt idx="345">
                  <c:v>-1.6890000000000001</c:v>
                </c:pt>
                <c:pt idx="346">
                  <c:v>-0.40500000000000003</c:v>
                </c:pt>
                <c:pt idx="347">
                  <c:v>-2.6640000000000001</c:v>
                </c:pt>
                <c:pt idx="348">
                  <c:v>-4.5030000000000001</c:v>
                </c:pt>
                <c:pt idx="349">
                  <c:v>-7.07</c:v>
                </c:pt>
                <c:pt idx="350">
                  <c:v>-6.3810000000000002</c:v>
                </c:pt>
                <c:pt idx="351">
                  <c:v>-6.2050000000000001</c:v>
                </c:pt>
                <c:pt idx="352">
                  <c:v>-3.0649999999999999</c:v>
                </c:pt>
                <c:pt idx="353">
                  <c:v>0.89600000000000002</c:v>
                </c:pt>
                <c:pt idx="354">
                  <c:v>1.228</c:v>
                </c:pt>
                <c:pt idx="355">
                  <c:v>-1.9550000000000001</c:v>
                </c:pt>
                <c:pt idx="356">
                  <c:v>1.83</c:v>
                </c:pt>
                <c:pt idx="357">
                  <c:v>-1.87</c:v>
                </c:pt>
                <c:pt idx="358">
                  <c:v>0.50800000000000001</c:v>
                </c:pt>
                <c:pt idx="359">
                  <c:v>-5.8310000000000004</c:v>
                </c:pt>
                <c:pt idx="360">
                  <c:v>-5.0640000000000001</c:v>
                </c:pt>
                <c:pt idx="361">
                  <c:v>-4.9470000000000001</c:v>
                </c:pt>
                <c:pt idx="362">
                  <c:v>1.6559999999999999</c:v>
                </c:pt>
                <c:pt idx="363">
                  <c:v>-3.109</c:v>
                </c:pt>
                <c:pt idx="364">
                  <c:v>-0.75700000000000001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Data!$S$6:$S$370</c:f>
              <c:numCache>
                <c:formatCode>General</c:formatCode>
                <c:ptCount val="365"/>
                <c:pt idx="0">
                  <c:v>-10.210000000000001</c:v>
                </c:pt>
                <c:pt idx="1">
                  <c:v>-10.130000000000001</c:v>
                </c:pt>
                <c:pt idx="2">
                  <c:v>-7.53</c:v>
                </c:pt>
                <c:pt idx="3">
                  <c:v>-11.45</c:v>
                </c:pt>
                <c:pt idx="4">
                  <c:v>-4.734</c:v>
                </c:pt>
                <c:pt idx="5">
                  <c:v>-16.05</c:v>
                </c:pt>
                <c:pt idx="6">
                  <c:v>-20.55</c:v>
                </c:pt>
                <c:pt idx="7">
                  <c:v>-20.9</c:v>
                </c:pt>
                <c:pt idx="8">
                  <c:v>-6.4160000000000004</c:v>
                </c:pt>
                <c:pt idx="9">
                  <c:v>-3.9350000000000001</c:v>
                </c:pt>
                <c:pt idx="10">
                  <c:v>-3.62</c:v>
                </c:pt>
                <c:pt idx="11">
                  <c:v>-9.7799999999999994</c:v>
                </c:pt>
                <c:pt idx="12">
                  <c:v>-12.01</c:v>
                </c:pt>
                <c:pt idx="13">
                  <c:v>-14.82</c:v>
                </c:pt>
                <c:pt idx="14">
                  <c:v>-13.22</c:v>
                </c:pt>
                <c:pt idx="15">
                  <c:v>-8.0500000000000007</c:v>
                </c:pt>
                <c:pt idx="16">
                  <c:v>-3.859</c:v>
                </c:pt>
                <c:pt idx="17">
                  <c:v>-6.8390000000000004</c:v>
                </c:pt>
                <c:pt idx="18">
                  <c:v>-10.82</c:v>
                </c:pt>
                <c:pt idx="19">
                  <c:v>-14.03</c:v>
                </c:pt>
                <c:pt idx="20">
                  <c:v>-17.75</c:v>
                </c:pt>
                <c:pt idx="21">
                  <c:v>-13.45</c:v>
                </c:pt>
                <c:pt idx="22">
                  <c:v>-12.38</c:v>
                </c:pt>
                <c:pt idx="23">
                  <c:v>-11.85</c:v>
                </c:pt>
                <c:pt idx="24">
                  <c:v>-10.72</c:v>
                </c:pt>
                <c:pt idx="25">
                  <c:v>-8.14</c:v>
                </c:pt>
                <c:pt idx="26">
                  <c:v>-14.8</c:v>
                </c:pt>
                <c:pt idx="27">
                  <c:v>-17.72</c:v>
                </c:pt>
                <c:pt idx="28">
                  <c:v>-19.899999999999999</c:v>
                </c:pt>
                <c:pt idx="29">
                  <c:v>-15.8</c:v>
                </c:pt>
                <c:pt idx="30">
                  <c:v>-6.1440000000000001</c:v>
                </c:pt>
                <c:pt idx="31">
                  <c:v>-4.5430000000000001</c:v>
                </c:pt>
                <c:pt idx="32">
                  <c:v>-13.65</c:v>
                </c:pt>
                <c:pt idx="33">
                  <c:v>-24.15</c:v>
                </c:pt>
                <c:pt idx="34">
                  <c:v>-27.16</c:v>
                </c:pt>
                <c:pt idx="35">
                  <c:v>-30.33</c:v>
                </c:pt>
                <c:pt idx="36">
                  <c:v>-25.99</c:v>
                </c:pt>
                <c:pt idx="37">
                  <c:v>-25.04</c:v>
                </c:pt>
                <c:pt idx="38">
                  <c:v>-16.78</c:v>
                </c:pt>
                <c:pt idx="39">
                  <c:v>-19.89</c:v>
                </c:pt>
                <c:pt idx="40">
                  <c:v>-28.93</c:v>
                </c:pt>
                <c:pt idx="41">
                  <c:v>-29.94</c:v>
                </c:pt>
                <c:pt idx="42">
                  <c:v>-19.97</c:v>
                </c:pt>
                <c:pt idx="43">
                  <c:v>-21.32</c:v>
                </c:pt>
                <c:pt idx="44">
                  <c:v>-12.61</c:v>
                </c:pt>
                <c:pt idx="45">
                  <c:v>-10.53</c:v>
                </c:pt>
                <c:pt idx="46">
                  <c:v>-12.57</c:v>
                </c:pt>
                <c:pt idx="47">
                  <c:v>-19.309999999999999</c:v>
                </c:pt>
                <c:pt idx="48">
                  <c:v>-23.4</c:v>
                </c:pt>
                <c:pt idx="49">
                  <c:v>-14.31</c:v>
                </c:pt>
                <c:pt idx="50">
                  <c:v>-9.81</c:v>
                </c:pt>
                <c:pt idx="51">
                  <c:v>-19.86</c:v>
                </c:pt>
                <c:pt idx="52">
                  <c:v>-15.35</c:v>
                </c:pt>
                <c:pt idx="53">
                  <c:v>-14.34</c:v>
                </c:pt>
                <c:pt idx="54">
                  <c:v>-14.54</c:v>
                </c:pt>
                <c:pt idx="55">
                  <c:v>-17.13</c:v>
                </c:pt>
                <c:pt idx="56">
                  <c:v>-25.06</c:v>
                </c:pt>
                <c:pt idx="57">
                  <c:v>-22.77</c:v>
                </c:pt>
                <c:pt idx="58">
                  <c:v>-10.06</c:v>
                </c:pt>
                <c:pt idx="59">
                  <c:v>-14.7</c:v>
                </c:pt>
                <c:pt idx="60">
                  <c:v>-23.35</c:v>
                </c:pt>
                <c:pt idx="61">
                  <c:v>-26.74</c:v>
                </c:pt>
                <c:pt idx="62">
                  <c:v>-28.09</c:v>
                </c:pt>
                <c:pt idx="63">
                  <c:v>-21.78</c:v>
                </c:pt>
                <c:pt idx="64">
                  <c:v>-6.7320000000000002</c:v>
                </c:pt>
                <c:pt idx="65">
                  <c:v>-17.57</c:v>
                </c:pt>
                <c:pt idx="66">
                  <c:v>-22.18</c:v>
                </c:pt>
                <c:pt idx="67">
                  <c:v>-19.670000000000002</c:v>
                </c:pt>
                <c:pt idx="68">
                  <c:v>-21.06</c:v>
                </c:pt>
                <c:pt idx="69">
                  <c:v>-11.1</c:v>
                </c:pt>
                <c:pt idx="70">
                  <c:v>-14.81</c:v>
                </c:pt>
                <c:pt idx="71">
                  <c:v>-16.440000000000001</c:v>
                </c:pt>
                <c:pt idx="72">
                  <c:v>-16.940000000000001</c:v>
                </c:pt>
                <c:pt idx="73">
                  <c:v>-9.27</c:v>
                </c:pt>
                <c:pt idx="74">
                  <c:v>-9.25</c:v>
                </c:pt>
                <c:pt idx="75">
                  <c:v>-9.76</c:v>
                </c:pt>
                <c:pt idx="76">
                  <c:v>-8.33</c:v>
                </c:pt>
                <c:pt idx="77">
                  <c:v>-7.37</c:v>
                </c:pt>
                <c:pt idx="78">
                  <c:v>-3.35</c:v>
                </c:pt>
                <c:pt idx="79">
                  <c:v>-5.258</c:v>
                </c:pt>
                <c:pt idx="80">
                  <c:v>-4.976</c:v>
                </c:pt>
                <c:pt idx="81">
                  <c:v>-2.6549999999999998</c:v>
                </c:pt>
                <c:pt idx="82">
                  <c:v>-2.6539999999999999</c:v>
                </c:pt>
                <c:pt idx="83">
                  <c:v>-0.38</c:v>
                </c:pt>
                <c:pt idx="84">
                  <c:v>-10.19</c:v>
                </c:pt>
                <c:pt idx="85">
                  <c:v>-11.88</c:v>
                </c:pt>
                <c:pt idx="86">
                  <c:v>-7.94</c:v>
                </c:pt>
                <c:pt idx="87">
                  <c:v>-8.5500000000000007</c:v>
                </c:pt>
                <c:pt idx="88">
                  <c:v>-9.02</c:v>
                </c:pt>
                <c:pt idx="89">
                  <c:v>-5.9969999999999999</c:v>
                </c:pt>
                <c:pt idx="90">
                  <c:v>-8.42</c:v>
                </c:pt>
                <c:pt idx="91">
                  <c:v>-8.61</c:v>
                </c:pt>
                <c:pt idx="92">
                  <c:v>-3.4750000000000001</c:v>
                </c:pt>
                <c:pt idx="93">
                  <c:v>-6.2709999999999999</c:v>
                </c:pt>
                <c:pt idx="94">
                  <c:v>-2.851</c:v>
                </c:pt>
                <c:pt idx="95">
                  <c:v>-8.9600000000000009</c:v>
                </c:pt>
                <c:pt idx="96">
                  <c:v>-6.8390000000000004</c:v>
                </c:pt>
                <c:pt idx="97">
                  <c:v>-8.51</c:v>
                </c:pt>
                <c:pt idx="98">
                  <c:v>-1.5740000000000001</c:v>
                </c:pt>
                <c:pt idx="99">
                  <c:v>-3.8690000000000002</c:v>
                </c:pt>
                <c:pt idx="100">
                  <c:v>-6.2009999999999996</c:v>
                </c:pt>
                <c:pt idx="101">
                  <c:v>-8.31</c:v>
                </c:pt>
                <c:pt idx="102">
                  <c:v>-6.4379999999999997</c:v>
                </c:pt>
                <c:pt idx="103">
                  <c:v>-4.734</c:v>
                </c:pt>
                <c:pt idx="104">
                  <c:v>-10.25</c:v>
                </c:pt>
                <c:pt idx="105">
                  <c:v>-10.119999999999999</c:v>
                </c:pt>
                <c:pt idx="106">
                  <c:v>0.184</c:v>
                </c:pt>
                <c:pt idx="107">
                  <c:v>0.11799999999999999</c:v>
                </c:pt>
                <c:pt idx="108">
                  <c:v>0.752</c:v>
                </c:pt>
                <c:pt idx="109">
                  <c:v>-6.3010000000000002</c:v>
                </c:pt>
                <c:pt idx="110">
                  <c:v>-8.59</c:v>
                </c:pt>
                <c:pt idx="111">
                  <c:v>-4.7539999999999996</c:v>
                </c:pt>
                <c:pt idx="112">
                  <c:v>-3.2090000000000001</c:v>
                </c:pt>
                <c:pt idx="113">
                  <c:v>-6.0449999999999999</c:v>
                </c:pt>
                <c:pt idx="114">
                  <c:v>-8.19</c:v>
                </c:pt>
                <c:pt idx="115">
                  <c:v>-2.9969999999999999</c:v>
                </c:pt>
                <c:pt idx="116">
                  <c:v>-4.8490000000000002</c:v>
                </c:pt>
                <c:pt idx="117">
                  <c:v>-7.11</c:v>
                </c:pt>
                <c:pt idx="118">
                  <c:v>-9.4499999999999993</c:v>
                </c:pt>
                <c:pt idx="119">
                  <c:v>-10.029999999999999</c:v>
                </c:pt>
                <c:pt idx="120">
                  <c:v>-2.9319999999999999</c:v>
                </c:pt>
                <c:pt idx="121">
                  <c:v>-3.5350000000000001</c:v>
                </c:pt>
                <c:pt idx="122">
                  <c:v>-3.6859999999999999</c:v>
                </c:pt>
                <c:pt idx="123">
                  <c:v>-2.9489999999999998</c:v>
                </c:pt>
                <c:pt idx="124">
                  <c:v>-3.964</c:v>
                </c:pt>
                <c:pt idx="125">
                  <c:v>-3.169</c:v>
                </c:pt>
                <c:pt idx="126">
                  <c:v>-2.5960000000000001</c:v>
                </c:pt>
                <c:pt idx="127">
                  <c:v>-1.782</c:v>
                </c:pt>
                <c:pt idx="128">
                  <c:v>-3.6080000000000001</c:v>
                </c:pt>
                <c:pt idx="129">
                  <c:v>-1.615</c:v>
                </c:pt>
                <c:pt idx="130">
                  <c:v>0.13800000000000001</c:v>
                </c:pt>
                <c:pt idx="131">
                  <c:v>0.76300000000000001</c:v>
                </c:pt>
                <c:pt idx="132">
                  <c:v>-2.4220000000000002</c:v>
                </c:pt>
                <c:pt idx="133">
                  <c:v>-2.2130000000000001</c:v>
                </c:pt>
                <c:pt idx="134">
                  <c:v>-2.7480000000000002</c:v>
                </c:pt>
                <c:pt idx="135">
                  <c:v>5.17</c:v>
                </c:pt>
                <c:pt idx="136">
                  <c:v>-7.0000000000000001E-3</c:v>
                </c:pt>
                <c:pt idx="137">
                  <c:v>0.57999999999999996</c:v>
                </c:pt>
                <c:pt idx="138">
                  <c:v>2.79</c:v>
                </c:pt>
                <c:pt idx="139">
                  <c:v>2.448</c:v>
                </c:pt>
                <c:pt idx="140">
                  <c:v>2.15</c:v>
                </c:pt>
                <c:pt idx="141">
                  <c:v>-2.2250000000000001</c:v>
                </c:pt>
                <c:pt idx="142">
                  <c:v>-0.78200000000000003</c:v>
                </c:pt>
                <c:pt idx="143">
                  <c:v>-0.59299999999999997</c:v>
                </c:pt>
                <c:pt idx="144">
                  <c:v>3.2010000000000001</c:v>
                </c:pt>
                <c:pt idx="145">
                  <c:v>0.38100000000000001</c:v>
                </c:pt>
                <c:pt idx="146">
                  <c:v>-1.5669999999999999</c:v>
                </c:pt>
                <c:pt idx="147">
                  <c:v>-0.78500000000000003</c:v>
                </c:pt>
                <c:pt idx="148">
                  <c:v>0.876</c:v>
                </c:pt>
                <c:pt idx="149">
                  <c:v>2.3780000000000001</c:v>
                </c:pt>
                <c:pt idx="150">
                  <c:v>2.1760000000000002</c:v>
                </c:pt>
                <c:pt idx="151">
                  <c:v>2.234</c:v>
                </c:pt>
                <c:pt idx="152">
                  <c:v>1.095</c:v>
                </c:pt>
                <c:pt idx="153">
                  <c:v>-0.42599999999999999</c:v>
                </c:pt>
                <c:pt idx="154">
                  <c:v>-2.0790000000000002</c:v>
                </c:pt>
                <c:pt idx="155">
                  <c:v>1</c:v>
                </c:pt>
                <c:pt idx="156">
                  <c:v>-1.373</c:v>
                </c:pt>
                <c:pt idx="157">
                  <c:v>-3.2839999999999998</c:v>
                </c:pt>
                <c:pt idx="158">
                  <c:v>-1.9079999999999999</c:v>
                </c:pt>
                <c:pt idx="159">
                  <c:v>-2.6909999999999998</c:v>
                </c:pt>
                <c:pt idx="160">
                  <c:v>-0.86099999999999999</c:v>
                </c:pt>
                <c:pt idx="161">
                  <c:v>3.19</c:v>
                </c:pt>
                <c:pt idx="162">
                  <c:v>1.996</c:v>
                </c:pt>
                <c:pt idx="163">
                  <c:v>5.7460000000000004</c:v>
                </c:pt>
                <c:pt idx="164">
                  <c:v>1.6830000000000001</c:v>
                </c:pt>
                <c:pt idx="165">
                  <c:v>3.899</c:v>
                </c:pt>
                <c:pt idx="166">
                  <c:v>2.5099999999999998</c:v>
                </c:pt>
                <c:pt idx="167">
                  <c:v>3.383</c:v>
                </c:pt>
                <c:pt idx="168">
                  <c:v>3.524</c:v>
                </c:pt>
                <c:pt idx="169">
                  <c:v>0.315</c:v>
                </c:pt>
                <c:pt idx="170">
                  <c:v>0.64700000000000002</c:v>
                </c:pt>
                <c:pt idx="171">
                  <c:v>3.0830000000000002</c:v>
                </c:pt>
                <c:pt idx="172">
                  <c:v>1.9570000000000001</c:v>
                </c:pt>
                <c:pt idx="173">
                  <c:v>4.2380000000000004</c:v>
                </c:pt>
                <c:pt idx="174">
                  <c:v>6.7000000000000004E-2</c:v>
                </c:pt>
                <c:pt idx="175">
                  <c:v>-0.40799999999999997</c:v>
                </c:pt>
                <c:pt idx="176">
                  <c:v>-1.137</c:v>
                </c:pt>
                <c:pt idx="177">
                  <c:v>4.03</c:v>
                </c:pt>
                <c:pt idx="178">
                  <c:v>-0.77</c:v>
                </c:pt>
                <c:pt idx="179">
                  <c:v>-2.2610000000000001</c:v>
                </c:pt>
                <c:pt idx="180">
                  <c:v>-0.28000000000000003</c:v>
                </c:pt>
                <c:pt idx="181">
                  <c:v>0.48099999999999998</c:v>
                </c:pt>
                <c:pt idx="182">
                  <c:v>4.6719999999999997</c:v>
                </c:pt>
                <c:pt idx="183">
                  <c:v>0.20499999999999999</c:v>
                </c:pt>
                <c:pt idx="184">
                  <c:v>8.1300000000000008</c:v>
                </c:pt>
                <c:pt idx="185">
                  <c:v>5.8019999999999996</c:v>
                </c:pt>
                <c:pt idx="186">
                  <c:v>2.6389999999999998</c:v>
                </c:pt>
                <c:pt idx="187">
                  <c:v>2.335</c:v>
                </c:pt>
                <c:pt idx="188">
                  <c:v>-2.4E-2</c:v>
                </c:pt>
                <c:pt idx="189">
                  <c:v>1.58</c:v>
                </c:pt>
                <c:pt idx="190">
                  <c:v>6.7389999999999999</c:v>
                </c:pt>
                <c:pt idx="191">
                  <c:v>5.9459999999999997</c:v>
                </c:pt>
                <c:pt idx="192">
                  <c:v>3.1429999999999998</c:v>
                </c:pt>
                <c:pt idx="193">
                  <c:v>3.5830000000000002</c:v>
                </c:pt>
                <c:pt idx="194">
                  <c:v>3.141</c:v>
                </c:pt>
                <c:pt idx="195">
                  <c:v>2.8290000000000002</c:v>
                </c:pt>
                <c:pt idx="196">
                  <c:v>1.607</c:v>
                </c:pt>
                <c:pt idx="197">
                  <c:v>5.9489999999999998</c:v>
                </c:pt>
                <c:pt idx="198">
                  <c:v>1.1719999999999999</c:v>
                </c:pt>
                <c:pt idx="199">
                  <c:v>0.41899999999999998</c:v>
                </c:pt>
                <c:pt idx="200">
                  <c:v>1.7729999999999999</c:v>
                </c:pt>
                <c:pt idx="201">
                  <c:v>1.0509999999999999</c:v>
                </c:pt>
                <c:pt idx="202">
                  <c:v>3.254</c:v>
                </c:pt>
                <c:pt idx="203">
                  <c:v>6.3689999999999998</c:v>
                </c:pt>
                <c:pt idx="204">
                  <c:v>-0.60599999999999998</c:v>
                </c:pt>
                <c:pt idx="205">
                  <c:v>-0.746</c:v>
                </c:pt>
                <c:pt idx="206">
                  <c:v>2.423</c:v>
                </c:pt>
                <c:pt idx="207">
                  <c:v>1.99</c:v>
                </c:pt>
                <c:pt idx="208">
                  <c:v>0.499</c:v>
                </c:pt>
                <c:pt idx="209">
                  <c:v>1.9490000000000001</c:v>
                </c:pt>
                <c:pt idx="210">
                  <c:v>3.4089999999999998</c:v>
                </c:pt>
                <c:pt idx="211">
                  <c:v>1.1990000000000001</c:v>
                </c:pt>
                <c:pt idx="212">
                  <c:v>2.9209999999999998</c:v>
                </c:pt>
                <c:pt idx="213">
                  <c:v>7.24</c:v>
                </c:pt>
                <c:pt idx="214">
                  <c:v>-0.32700000000000001</c:v>
                </c:pt>
                <c:pt idx="215">
                  <c:v>-7.0000000000000001E-3</c:v>
                </c:pt>
                <c:pt idx="216">
                  <c:v>2.0019999999999998</c:v>
                </c:pt>
                <c:pt idx="217">
                  <c:v>3.351</c:v>
                </c:pt>
                <c:pt idx="218">
                  <c:v>2.145</c:v>
                </c:pt>
                <c:pt idx="219">
                  <c:v>5.2679999999999998</c:v>
                </c:pt>
                <c:pt idx="220">
                  <c:v>6.7389999999999999</c:v>
                </c:pt>
                <c:pt idx="221">
                  <c:v>8.19</c:v>
                </c:pt>
                <c:pt idx="222">
                  <c:v>7.88</c:v>
                </c:pt>
                <c:pt idx="223">
                  <c:v>5.1210000000000004</c:v>
                </c:pt>
                <c:pt idx="224">
                  <c:v>2.262</c:v>
                </c:pt>
                <c:pt idx="225">
                  <c:v>3.5510000000000002</c:v>
                </c:pt>
                <c:pt idx="226">
                  <c:v>2.4849999999999999</c:v>
                </c:pt>
                <c:pt idx="227">
                  <c:v>3.0089999999999999</c:v>
                </c:pt>
                <c:pt idx="228">
                  <c:v>1.353</c:v>
                </c:pt>
                <c:pt idx="229">
                  <c:v>0.111</c:v>
                </c:pt>
                <c:pt idx="230">
                  <c:v>3.097</c:v>
                </c:pt>
                <c:pt idx="231">
                  <c:v>2.1389999999999998</c:v>
                </c:pt>
                <c:pt idx="232">
                  <c:v>4.7119999999999997</c:v>
                </c:pt>
                <c:pt idx="233">
                  <c:v>0.19600000000000001</c:v>
                </c:pt>
                <c:pt idx="234">
                  <c:v>1.3480000000000001</c:v>
                </c:pt>
                <c:pt idx="235">
                  <c:v>0.56399999999999995</c:v>
                </c:pt>
                <c:pt idx="236">
                  <c:v>0.105</c:v>
                </c:pt>
                <c:pt idx="237">
                  <c:v>-0.92900000000000005</c:v>
                </c:pt>
                <c:pt idx="238">
                  <c:v>-0.47299999999999998</c:v>
                </c:pt>
                <c:pt idx="239">
                  <c:v>2.2919999999999998</c:v>
                </c:pt>
                <c:pt idx="240">
                  <c:v>1.2310000000000001</c:v>
                </c:pt>
                <c:pt idx="241">
                  <c:v>6.2069999999999999</c:v>
                </c:pt>
                <c:pt idx="242">
                  <c:v>6.3630000000000004</c:v>
                </c:pt>
                <c:pt idx="243">
                  <c:v>4.008</c:v>
                </c:pt>
                <c:pt idx="244">
                  <c:v>2.4910000000000001</c:v>
                </c:pt>
                <c:pt idx="245">
                  <c:v>1.593</c:v>
                </c:pt>
                <c:pt idx="246">
                  <c:v>2.4060000000000001</c:v>
                </c:pt>
                <c:pt idx="247">
                  <c:v>1.117</c:v>
                </c:pt>
                <c:pt idx="248">
                  <c:v>5.0910000000000002</c:v>
                </c:pt>
                <c:pt idx="249">
                  <c:v>3.1469999999999998</c:v>
                </c:pt>
                <c:pt idx="250">
                  <c:v>6.6909999999999998</c:v>
                </c:pt>
                <c:pt idx="251">
                  <c:v>3.45</c:v>
                </c:pt>
                <c:pt idx="252">
                  <c:v>2.706</c:v>
                </c:pt>
                <c:pt idx="253">
                  <c:v>4.8540000000000001</c:v>
                </c:pt>
                <c:pt idx="254">
                  <c:v>2.54</c:v>
                </c:pt>
                <c:pt idx="255">
                  <c:v>4.0659999999999998</c:v>
                </c:pt>
                <c:pt idx="256">
                  <c:v>5.7649999999999997</c:v>
                </c:pt>
                <c:pt idx="257">
                  <c:v>4.6619999999999999</c:v>
                </c:pt>
                <c:pt idx="258">
                  <c:v>0.91500000000000004</c:v>
                </c:pt>
                <c:pt idx="259">
                  <c:v>3.0550000000000002</c:v>
                </c:pt>
                <c:pt idx="260">
                  <c:v>2.4279999999999999</c:v>
                </c:pt>
                <c:pt idx="261">
                  <c:v>-0.51700000000000002</c:v>
                </c:pt>
                <c:pt idx="262">
                  <c:v>-1.452</c:v>
                </c:pt>
                <c:pt idx="263">
                  <c:v>-1.5960000000000001</c:v>
                </c:pt>
                <c:pt idx="264">
                  <c:v>-0.39500000000000002</c:v>
                </c:pt>
                <c:pt idx="265">
                  <c:v>3.6989999999999998</c:v>
                </c:pt>
                <c:pt idx="266">
                  <c:v>-2.3109999999999999</c:v>
                </c:pt>
                <c:pt idx="267">
                  <c:v>-2.29</c:v>
                </c:pt>
                <c:pt idx="268">
                  <c:v>-1.659</c:v>
                </c:pt>
                <c:pt idx="269">
                  <c:v>-1.0589999999999999</c:v>
                </c:pt>
                <c:pt idx="270">
                  <c:v>-3.9740000000000002</c:v>
                </c:pt>
                <c:pt idx="271">
                  <c:v>-7.66</c:v>
                </c:pt>
                <c:pt idx="272">
                  <c:v>-6.5830000000000002</c:v>
                </c:pt>
                <c:pt idx="273">
                  <c:v>-8.8699999999999992</c:v>
                </c:pt>
                <c:pt idx="274">
                  <c:v>-4.7839999999999998</c:v>
                </c:pt>
                <c:pt idx="275">
                  <c:v>-2.1739999999999999</c:v>
                </c:pt>
                <c:pt idx="276">
                  <c:v>-2.9289999999999998</c:v>
                </c:pt>
                <c:pt idx="277">
                  <c:v>-4.5810000000000004</c:v>
                </c:pt>
                <c:pt idx="278">
                  <c:v>-6.34</c:v>
                </c:pt>
                <c:pt idx="279">
                  <c:v>1.2350000000000001</c:v>
                </c:pt>
                <c:pt idx="280">
                  <c:v>-6.9660000000000002</c:v>
                </c:pt>
                <c:pt idx="281">
                  <c:v>-13.74</c:v>
                </c:pt>
                <c:pt idx="282">
                  <c:v>-13.97</c:v>
                </c:pt>
                <c:pt idx="283">
                  <c:v>-10.97</c:v>
                </c:pt>
                <c:pt idx="284">
                  <c:v>-5.9470000000000001</c:v>
                </c:pt>
                <c:pt idx="285">
                  <c:v>-0.93600000000000005</c:v>
                </c:pt>
                <c:pt idx="286">
                  <c:v>-3.399</c:v>
                </c:pt>
                <c:pt idx="287">
                  <c:v>-2.6240000000000001</c:v>
                </c:pt>
                <c:pt idx="288">
                  <c:v>1.173</c:v>
                </c:pt>
                <c:pt idx="289">
                  <c:v>-0.67100000000000004</c:v>
                </c:pt>
                <c:pt idx="290">
                  <c:v>-1.9390000000000001</c:v>
                </c:pt>
                <c:pt idx="291">
                  <c:v>-6.3869999999999996</c:v>
                </c:pt>
                <c:pt idx="292">
                  <c:v>-3.254</c:v>
                </c:pt>
                <c:pt idx="293">
                  <c:v>-2.75</c:v>
                </c:pt>
                <c:pt idx="294">
                  <c:v>-0.432</c:v>
                </c:pt>
                <c:pt idx="295">
                  <c:v>-5.0170000000000003</c:v>
                </c:pt>
                <c:pt idx="296">
                  <c:v>-2.75</c:v>
                </c:pt>
                <c:pt idx="297">
                  <c:v>-2.52</c:v>
                </c:pt>
                <c:pt idx="298">
                  <c:v>-6.8789999999999996</c:v>
                </c:pt>
                <c:pt idx="299">
                  <c:v>-10.66</c:v>
                </c:pt>
                <c:pt idx="300">
                  <c:v>-15.8</c:v>
                </c:pt>
                <c:pt idx="301">
                  <c:v>-21</c:v>
                </c:pt>
                <c:pt idx="302">
                  <c:v>-14.87</c:v>
                </c:pt>
                <c:pt idx="303">
                  <c:v>-11.56</c:v>
                </c:pt>
                <c:pt idx="304">
                  <c:v>-13.18</c:v>
                </c:pt>
                <c:pt idx="305">
                  <c:v>-2.883</c:v>
                </c:pt>
                <c:pt idx="306">
                  <c:v>-0.96699999999999997</c:v>
                </c:pt>
                <c:pt idx="307">
                  <c:v>-4.1390000000000002</c:v>
                </c:pt>
                <c:pt idx="308">
                  <c:v>-5.1210000000000004</c:v>
                </c:pt>
                <c:pt idx="309">
                  <c:v>-7.05</c:v>
                </c:pt>
                <c:pt idx="310">
                  <c:v>-7.73</c:v>
                </c:pt>
                <c:pt idx="311">
                  <c:v>-1.9670000000000001</c:v>
                </c:pt>
                <c:pt idx="312">
                  <c:v>-0.871</c:v>
                </c:pt>
                <c:pt idx="313">
                  <c:v>-9.44</c:v>
                </c:pt>
                <c:pt idx="314">
                  <c:v>-10.24</c:v>
                </c:pt>
                <c:pt idx="315">
                  <c:v>-3.2250000000000001</c:v>
                </c:pt>
                <c:pt idx="316">
                  <c:v>-5.1319999999999997</c:v>
                </c:pt>
                <c:pt idx="317">
                  <c:v>-3.7360000000000002</c:v>
                </c:pt>
                <c:pt idx="318">
                  <c:v>-1.2889999999999999</c:v>
                </c:pt>
                <c:pt idx="319">
                  <c:v>-4.4480000000000004</c:v>
                </c:pt>
                <c:pt idx="320">
                  <c:v>-1.8340000000000001</c:v>
                </c:pt>
                <c:pt idx="321">
                  <c:v>-3.15</c:v>
                </c:pt>
                <c:pt idx="322">
                  <c:v>-4.8929999999999998</c:v>
                </c:pt>
                <c:pt idx="323">
                  <c:v>-13.03</c:v>
                </c:pt>
                <c:pt idx="324">
                  <c:v>-12.68</c:v>
                </c:pt>
                <c:pt idx="325">
                  <c:v>-11.58</c:v>
                </c:pt>
                <c:pt idx="326">
                  <c:v>-5.4720000000000004</c:v>
                </c:pt>
                <c:pt idx="327">
                  <c:v>-4.67</c:v>
                </c:pt>
                <c:pt idx="328">
                  <c:v>-16.84</c:v>
                </c:pt>
                <c:pt idx="329">
                  <c:v>-19.940000000000001</c:v>
                </c:pt>
                <c:pt idx="330">
                  <c:v>-16.23</c:v>
                </c:pt>
                <c:pt idx="331">
                  <c:v>-21.16</c:v>
                </c:pt>
                <c:pt idx="332">
                  <c:v>-21.64</c:v>
                </c:pt>
                <c:pt idx="333">
                  <c:v>-18.18</c:v>
                </c:pt>
                <c:pt idx="334">
                  <c:v>-13.53</c:v>
                </c:pt>
                <c:pt idx="335">
                  <c:v>-8.27</c:v>
                </c:pt>
                <c:pt idx="336">
                  <c:v>-3.169</c:v>
                </c:pt>
                <c:pt idx="337">
                  <c:v>-12.55</c:v>
                </c:pt>
                <c:pt idx="338">
                  <c:v>-14.93</c:v>
                </c:pt>
                <c:pt idx="339">
                  <c:v>-3.407</c:v>
                </c:pt>
                <c:pt idx="340">
                  <c:v>-2.52</c:v>
                </c:pt>
                <c:pt idx="341">
                  <c:v>-12.83</c:v>
                </c:pt>
                <c:pt idx="342">
                  <c:v>-13.98</c:v>
                </c:pt>
                <c:pt idx="343">
                  <c:v>-11.14</c:v>
                </c:pt>
                <c:pt idx="344">
                  <c:v>-9.1199999999999992</c:v>
                </c:pt>
                <c:pt idx="345">
                  <c:v>-11.16</c:v>
                </c:pt>
                <c:pt idx="346">
                  <c:v>-8.8699999999999992</c:v>
                </c:pt>
                <c:pt idx="347">
                  <c:v>-11.28</c:v>
                </c:pt>
                <c:pt idx="348">
                  <c:v>-18.64</c:v>
                </c:pt>
                <c:pt idx="349">
                  <c:v>-20.11</c:v>
                </c:pt>
                <c:pt idx="350">
                  <c:v>-8.5399999999999991</c:v>
                </c:pt>
                <c:pt idx="351">
                  <c:v>-8.11</c:v>
                </c:pt>
                <c:pt idx="352">
                  <c:v>-8.25</c:v>
                </c:pt>
                <c:pt idx="353">
                  <c:v>-4.7169999999999996</c:v>
                </c:pt>
                <c:pt idx="354">
                  <c:v>-6.008</c:v>
                </c:pt>
                <c:pt idx="355">
                  <c:v>-13.64</c:v>
                </c:pt>
                <c:pt idx="356">
                  <c:v>-11.73</c:v>
                </c:pt>
                <c:pt idx="357">
                  <c:v>-15.58</c:v>
                </c:pt>
                <c:pt idx="358">
                  <c:v>-20.43</c:v>
                </c:pt>
                <c:pt idx="359">
                  <c:v>-21.49</c:v>
                </c:pt>
                <c:pt idx="360">
                  <c:v>-13.77</c:v>
                </c:pt>
                <c:pt idx="361">
                  <c:v>-16.27</c:v>
                </c:pt>
                <c:pt idx="362">
                  <c:v>-10.95</c:v>
                </c:pt>
                <c:pt idx="363">
                  <c:v>-12.49</c:v>
                </c:pt>
                <c:pt idx="364">
                  <c:v>-6.6219999999999999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-5.774</c:v>
                </c:pt>
                <c:pt idx="1">
                  <c:v>-8.4499999999999993</c:v>
                </c:pt>
                <c:pt idx="2">
                  <c:v>-3.895</c:v>
                </c:pt>
                <c:pt idx="3">
                  <c:v>-3.5840000000000001</c:v>
                </c:pt>
                <c:pt idx="4">
                  <c:v>-2.3740000000000001</c:v>
                </c:pt>
                <c:pt idx="5">
                  <c:v>-5.7750000000000004</c:v>
                </c:pt>
                <c:pt idx="6">
                  <c:v>-10.25</c:v>
                </c:pt>
                <c:pt idx="7">
                  <c:v>-11.05</c:v>
                </c:pt>
                <c:pt idx="8">
                  <c:v>-2.4689999999999999</c:v>
                </c:pt>
                <c:pt idx="9">
                  <c:v>-1.7689999999999999</c:v>
                </c:pt>
                <c:pt idx="10">
                  <c:v>-2.2869999999999999</c:v>
                </c:pt>
                <c:pt idx="11">
                  <c:v>-3.32</c:v>
                </c:pt>
                <c:pt idx="12">
                  <c:v>-6.4530000000000003</c:v>
                </c:pt>
                <c:pt idx="13">
                  <c:v>-7.95</c:v>
                </c:pt>
                <c:pt idx="14">
                  <c:v>-7.35</c:v>
                </c:pt>
                <c:pt idx="15">
                  <c:v>-3.899</c:v>
                </c:pt>
                <c:pt idx="16">
                  <c:v>-2.3650000000000002</c:v>
                </c:pt>
                <c:pt idx="17">
                  <c:v>-3.863</c:v>
                </c:pt>
                <c:pt idx="18">
                  <c:v>-3.577</c:v>
                </c:pt>
                <c:pt idx="19">
                  <c:v>-8.85</c:v>
                </c:pt>
                <c:pt idx="20">
                  <c:v>-10.38</c:v>
                </c:pt>
                <c:pt idx="21">
                  <c:v>-7.95</c:v>
                </c:pt>
                <c:pt idx="22">
                  <c:v>-6.2389999999999999</c:v>
                </c:pt>
                <c:pt idx="23">
                  <c:v>-4.3079999999999998</c:v>
                </c:pt>
                <c:pt idx="24">
                  <c:v>-2.2799999999999998</c:v>
                </c:pt>
                <c:pt idx="25">
                  <c:v>-0.47799999999999998</c:v>
                </c:pt>
                <c:pt idx="26">
                  <c:v>-1.155</c:v>
                </c:pt>
                <c:pt idx="27">
                  <c:v>-11.36</c:v>
                </c:pt>
                <c:pt idx="28">
                  <c:v>-10.81</c:v>
                </c:pt>
                <c:pt idx="29">
                  <c:v>-4.9329999999999998</c:v>
                </c:pt>
                <c:pt idx="30">
                  <c:v>-3.2930000000000001</c:v>
                </c:pt>
                <c:pt idx="31">
                  <c:v>-2.7690000000000001</c:v>
                </c:pt>
                <c:pt idx="32">
                  <c:v>-4.1920000000000002</c:v>
                </c:pt>
                <c:pt idx="33">
                  <c:v>-15.19</c:v>
                </c:pt>
                <c:pt idx="34">
                  <c:v>-23.25</c:v>
                </c:pt>
                <c:pt idx="35">
                  <c:v>-21.81</c:v>
                </c:pt>
                <c:pt idx="36">
                  <c:v>-20.58</c:v>
                </c:pt>
                <c:pt idx="37">
                  <c:v>-14.78</c:v>
                </c:pt>
                <c:pt idx="38">
                  <c:v>-13.95</c:v>
                </c:pt>
                <c:pt idx="39">
                  <c:v>-17.989999999999998</c:v>
                </c:pt>
                <c:pt idx="40">
                  <c:v>-19.149999999999999</c:v>
                </c:pt>
                <c:pt idx="41">
                  <c:v>-17.440000000000001</c:v>
                </c:pt>
                <c:pt idx="42">
                  <c:v>-12.6</c:v>
                </c:pt>
                <c:pt idx="43">
                  <c:v>-13.36</c:v>
                </c:pt>
                <c:pt idx="44">
                  <c:v>-7.71</c:v>
                </c:pt>
                <c:pt idx="45">
                  <c:v>-5.9809999999999999</c:v>
                </c:pt>
                <c:pt idx="46">
                  <c:v>-6.8689999999999998</c:v>
                </c:pt>
                <c:pt idx="47">
                  <c:v>-10.56</c:v>
                </c:pt>
                <c:pt idx="48">
                  <c:v>-14.08</c:v>
                </c:pt>
                <c:pt idx="49">
                  <c:v>-8.0500000000000007</c:v>
                </c:pt>
                <c:pt idx="50">
                  <c:v>-8.77</c:v>
                </c:pt>
                <c:pt idx="51">
                  <c:v>-11.52</c:v>
                </c:pt>
                <c:pt idx="52">
                  <c:v>-10.27</c:v>
                </c:pt>
                <c:pt idx="53">
                  <c:v>-9.35</c:v>
                </c:pt>
                <c:pt idx="54">
                  <c:v>-10.81</c:v>
                </c:pt>
                <c:pt idx="55">
                  <c:v>-13.62</c:v>
                </c:pt>
                <c:pt idx="56">
                  <c:v>-17.38</c:v>
                </c:pt>
                <c:pt idx="57">
                  <c:v>-10.56</c:v>
                </c:pt>
                <c:pt idx="58">
                  <c:v>-8.1</c:v>
                </c:pt>
                <c:pt idx="59">
                  <c:v>-8.91</c:v>
                </c:pt>
                <c:pt idx="60">
                  <c:v>-15.43</c:v>
                </c:pt>
                <c:pt idx="61">
                  <c:v>-18.45</c:v>
                </c:pt>
                <c:pt idx="62">
                  <c:v>-17.309999999999999</c:v>
                </c:pt>
                <c:pt idx="63">
                  <c:v>-8.4</c:v>
                </c:pt>
                <c:pt idx="64">
                  <c:v>-4.4320000000000004</c:v>
                </c:pt>
                <c:pt idx="65">
                  <c:v>-6.8289999999999997</c:v>
                </c:pt>
                <c:pt idx="66">
                  <c:v>-12.89</c:v>
                </c:pt>
                <c:pt idx="67">
                  <c:v>-11.29</c:v>
                </c:pt>
                <c:pt idx="68">
                  <c:v>-9.73</c:v>
                </c:pt>
                <c:pt idx="69">
                  <c:v>-6.4169999999999998</c:v>
                </c:pt>
                <c:pt idx="70">
                  <c:v>-6.8689999999999998</c:v>
                </c:pt>
                <c:pt idx="71">
                  <c:v>-8.48</c:v>
                </c:pt>
                <c:pt idx="72">
                  <c:v>-5.19</c:v>
                </c:pt>
                <c:pt idx="73">
                  <c:v>-2.5880000000000001</c:v>
                </c:pt>
                <c:pt idx="74">
                  <c:v>-1.44</c:v>
                </c:pt>
                <c:pt idx="75">
                  <c:v>8.7999999999999995E-2</c:v>
                </c:pt>
                <c:pt idx="76">
                  <c:v>1.7749999999999999</c:v>
                </c:pt>
                <c:pt idx="77">
                  <c:v>3.3079999999999998</c:v>
                </c:pt>
                <c:pt idx="78">
                  <c:v>5.7610000000000001</c:v>
                </c:pt>
                <c:pt idx="79">
                  <c:v>4.3390000000000004</c:v>
                </c:pt>
                <c:pt idx="80">
                  <c:v>4.58</c:v>
                </c:pt>
                <c:pt idx="81">
                  <c:v>1.7929999999999999</c:v>
                </c:pt>
                <c:pt idx="82">
                  <c:v>2.9889999999999999</c:v>
                </c:pt>
                <c:pt idx="83">
                  <c:v>1.7629999999999999</c:v>
                </c:pt>
                <c:pt idx="84">
                  <c:v>-1.357</c:v>
                </c:pt>
                <c:pt idx="85">
                  <c:v>-2.4</c:v>
                </c:pt>
                <c:pt idx="86">
                  <c:v>-0.16900000000000001</c:v>
                </c:pt>
                <c:pt idx="87">
                  <c:v>-1.0469999999999999</c:v>
                </c:pt>
                <c:pt idx="88">
                  <c:v>0.876</c:v>
                </c:pt>
                <c:pt idx="89">
                  <c:v>1.7050000000000001</c:v>
                </c:pt>
                <c:pt idx="90">
                  <c:v>-0.43099999999999999</c:v>
                </c:pt>
                <c:pt idx="91">
                  <c:v>0.68600000000000005</c:v>
                </c:pt>
                <c:pt idx="92">
                  <c:v>0.92</c:v>
                </c:pt>
                <c:pt idx="93">
                  <c:v>1.845</c:v>
                </c:pt>
                <c:pt idx="94">
                  <c:v>1.4119999999999999</c:v>
                </c:pt>
                <c:pt idx="95">
                  <c:v>-2.1070000000000002</c:v>
                </c:pt>
                <c:pt idx="96">
                  <c:v>0.36</c:v>
                </c:pt>
                <c:pt idx="97">
                  <c:v>-0.495</c:v>
                </c:pt>
                <c:pt idx="98">
                  <c:v>0.88500000000000001</c:v>
                </c:pt>
                <c:pt idx="99">
                  <c:v>-1.0089999999999999</c:v>
                </c:pt>
                <c:pt idx="100">
                  <c:v>-1.6579999999999999</c:v>
                </c:pt>
                <c:pt idx="101">
                  <c:v>-1.323</c:v>
                </c:pt>
                <c:pt idx="102">
                  <c:v>-1.6259999999999999</c:v>
                </c:pt>
                <c:pt idx="103">
                  <c:v>-1.2589999999999999</c:v>
                </c:pt>
                <c:pt idx="104">
                  <c:v>-2.5859999999999999</c:v>
                </c:pt>
                <c:pt idx="105">
                  <c:v>0.80200000000000005</c:v>
                </c:pt>
                <c:pt idx="106">
                  <c:v>3.879</c:v>
                </c:pt>
                <c:pt idx="107">
                  <c:v>3.3540000000000001</c:v>
                </c:pt>
                <c:pt idx="108">
                  <c:v>4.7460000000000004</c:v>
                </c:pt>
                <c:pt idx="109">
                  <c:v>0.61799999999999999</c:v>
                </c:pt>
                <c:pt idx="110">
                  <c:v>2.8260000000000001</c:v>
                </c:pt>
                <c:pt idx="111">
                  <c:v>3.3460000000000001</c:v>
                </c:pt>
                <c:pt idx="112">
                  <c:v>3.9780000000000002</c:v>
                </c:pt>
                <c:pt idx="113">
                  <c:v>0.26600000000000001</c:v>
                </c:pt>
                <c:pt idx="114">
                  <c:v>2.2320000000000002</c:v>
                </c:pt>
                <c:pt idx="115">
                  <c:v>3.3039999999999998</c:v>
                </c:pt>
                <c:pt idx="116">
                  <c:v>-2.778</c:v>
                </c:pt>
                <c:pt idx="117">
                  <c:v>-1.615</c:v>
                </c:pt>
                <c:pt idx="118">
                  <c:v>-2.4769999999999999</c:v>
                </c:pt>
                <c:pt idx="119">
                  <c:v>-0.88600000000000001</c:v>
                </c:pt>
                <c:pt idx="120">
                  <c:v>2.2170000000000001</c:v>
                </c:pt>
                <c:pt idx="121">
                  <c:v>2.4350000000000001</c:v>
                </c:pt>
                <c:pt idx="122">
                  <c:v>4.13</c:v>
                </c:pt>
                <c:pt idx="123">
                  <c:v>5.5209999999999999</c:v>
                </c:pt>
                <c:pt idx="124">
                  <c:v>3.984</c:v>
                </c:pt>
                <c:pt idx="125">
                  <c:v>6.327</c:v>
                </c:pt>
                <c:pt idx="126">
                  <c:v>5.5330000000000004</c:v>
                </c:pt>
                <c:pt idx="127">
                  <c:v>6.3680000000000003</c:v>
                </c:pt>
                <c:pt idx="128">
                  <c:v>7.07</c:v>
                </c:pt>
                <c:pt idx="129">
                  <c:v>9.25</c:v>
                </c:pt>
                <c:pt idx="130">
                  <c:v>12.53</c:v>
                </c:pt>
                <c:pt idx="131">
                  <c:v>11.89</c:v>
                </c:pt>
                <c:pt idx="132">
                  <c:v>9.4</c:v>
                </c:pt>
                <c:pt idx="133">
                  <c:v>4.8620000000000001</c:v>
                </c:pt>
                <c:pt idx="134">
                  <c:v>6.4489999999999998</c:v>
                </c:pt>
                <c:pt idx="135">
                  <c:v>7.38</c:v>
                </c:pt>
                <c:pt idx="136">
                  <c:v>5.0339999999999998</c:v>
                </c:pt>
                <c:pt idx="137">
                  <c:v>4.3680000000000003</c:v>
                </c:pt>
                <c:pt idx="138">
                  <c:v>6.5</c:v>
                </c:pt>
                <c:pt idx="139">
                  <c:v>6.2430000000000003</c:v>
                </c:pt>
                <c:pt idx="140">
                  <c:v>5.5979999999999999</c:v>
                </c:pt>
                <c:pt idx="141">
                  <c:v>6.6479999999999997</c:v>
                </c:pt>
                <c:pt idx="142">
                  <c:v>7.14</c:v>
                </c:pt>
                <c:pt idx="143">
                  <c:v>6.2530000000000001</c:v>
                </c:pt>
                <c:pt idx="144">
                  <c:v>5.9290000000000003</c:v>
                </c:pt>
                <c:pt idx="145">
                  <c:v>7.46</c:v>
                </c:pt>
                <c:pt idx="146">
                  <c:v>9.09</c:v>
                </c:pt>
                <c:pt idx="147">
                  <c:v>12.18</c:v>
                </c:pt>
                <c:pt idx="148">
                  <c:v>12.59</c:v>
                </c:pt>
                <c:pt idx="149">
                  <c:v>11.1</c:v>
                </c:pt>
                <c:pt idx="150">
                  <c:v>11.86</c:v>
                </c:pt>
                <c:pt idx="151">
                  <c:v>13.77</c:v>
                </c:pt>
                <c:pt idx="152">
                  <c:v>14.07</c:v>
                </c:pt>
                <c:pt idx="153">
                  <c:v>10.35</c:v>
                </c:pt>
                <c:pt idx="154">
                  <c:v>7.71</c:v>
                </c:pt>
                <c:pt idx="155">
                  <c:v>6.2</c:v>
                </c:pt>
                <c:pt idx="156">
                  <c:v>4.1360000000000001</c:v>
                </c:pt>
                <c:pt idx="157">
                  <c:v>1.786</c:v>
                </c:pt>
                <c:pt idx="158">
                  <c:v>3.6389999999999998</c:v>
                </c:pt>
                <c:pt idx="159">
                  <c:v>6.7389999999999999</c:v>
                </c:pt>
                <c:pt idx="160">
                  <c:v>7.1</c:v>
                </c:pt>
                <c:pt idx="161">
                  <c:v>11.67</c:v>
                </c:pt>
                <c:pt idx="162">
                  <c:v>14.22</c:v>
                </c:pt>
                <c:pt idx="163">
                  <c:v>15.34</c:v>
                </c:pt>
                <c:pt idx="164">
                  <c:v>11.82</c:v>
                </c:pt>
                <c:pt idx="165">
                  <c:v>12.74</c:v>
                </c:pt>
                <c:pt idx="166">
                  <c:v>13.01</c:v>
                </c:pt>
                <c:pt idx="167">
                  <c:v>14.77</c:v>
                </c:pt>
                <c:pt idx="168">
                  <c:v>11.91</c:v>
                </c:pt>
                <c:pt idx="169">
                  <c:v>4.0190000000000001</c:v>
                </c:pt>
                <c:pt idx="170">
                  <c:v>2.0950000000000002</c:v>
                </c:pt>
                <c:pt idx="171">
                  <c:v>7.83</c:v>
                </c:pt>
                <c:pt idx="172">
                  <c:v>9.07</c:v>
                </c:pt>
                <c:pt idx="173">
                  <c:v>7.8</c:v>
                </c:pt>
                <c:pt idx="174">
                  <c:v>6.0830000000000002</c:v>
                </c:pt>
                <c:pt idx="175">
                  <c:v>7.02</c:v>
                </c:pt>
                <c:pt idx="176">
                  <c:v>9.7200000000000006</c:v>
                </c:pt>
                <c:pt idx="177">
                  <c:v>8.43</c:v>
                </c:pt>
                <c:pt idx="178">
                  <c:v>6.7290000000000001</c:v>
                </c:pt>
                <c:pt idx="179">
                  <c:v>6.9390000000000001</c:v>
                </c:pt>
                <c:pt idx="180">
                  <c:v>9.42</c:v>
                </c:pt>
                <c:pt idx="181">
                  <c:v>12.44</c:v>
                </c:pt>
                <c:pt idx="182">
                  <c:v>10.35</c:v>
                </c:pt>
                <c:pt idx="183">
                  <c:v>11.87</c:v>
                </c:pt>
                <c:pt idx="184">
                  <c:v>11.24</c:v>
                </c:pt>
                <c:pt idx="185">
                  <c:v>9.32</c:v>
                </c:pt>
                <c:pt idx="186">
                  <c:v>9.65</c:v>
                </c:pt>
                <c:pt idx="187">
                  <c:v>8.64</c:v>
                </c:pt>
                <c:pt idx="188">
                  <c:v>8.8800000000000008</c:v>
                </c:pt>
                <c:pt idx="189">
                  <c:v>13.05</c:v>
                </c:pt>
                <c:pt idx="190">
                  <c:v>12.42</c:v>
                </c:pt>
                <c:pt idx="191">
                  <c:v>12.26</c:v>
                </c:pt>
                <c:pt idx="192">
                  <c:v>12.66</c:v>
                </c:pt>
                <c:pt idx="193">
                  <c:v>12.52</c:v>
                </c:pt>
                <c:pt idx="194">
                  <c:v>11.05</c:v>
                </c:pt>
                <c:pt idx="195">
                  <c:v>10.65</c:v>
                </c:pt>
                <c:pt idx="196">
                  <c:v>10.32</c:v>
                </c:pt>
                <c:pt idx="197">
                  <c:v>10.07</c:v>
                </c:pt>
                <c:pt idx="198">
                  <c:v>7.31</c:v>
                </c:pt>
                <c:pt idx="199">
                  <c:v>6.5650000000000004</c:v>
                </c:pt>
                <c:pt idx="200">
                  <c:v>7.93</c:v>
                </c:pt>
                <c:pt idx="201">
                  <c:v>12.45</c:v>
                </c:pt>
                <c:pt idx="202">
                  <c:v>15.13</c:v>
                </c:pt>
                <c:pt idx="203">
                  <c:v>14.9</c:v>
                </c:pt>
                <c:pt idx="204">
                  <c:v>8.25</c:v>
                </c:pt>
                <c:pt idx="205">
                  <c:v>10.96</c:v>
                </c:pt>
                <c:pt idx="206">
                  <c:v>14.99</c:v>
                </c:pt>
                <c:pt idx="207">
                  <c:v>11.96</c:v>
                </c:pt>
                <c:pt idx="208">
                  <c:v>10.08</c:v>
                </c:pt>
                <c:pt idx="209">
                  <c:v>14.2</c:v>
                </c:pt>
                <c:pt idx="210">
                  <c:v>12.86</c:v>
                </c:pt>
                <c:pt idx="211">
                  <c:v>12.29</c:v>
                </c:pt>
                <c:pt idx="212">
                  <c:v>14.36</c:v>
                </c:pt>
                <c:pt idx="213">
                  <c:v>14.44</c:v>
                </c:pt>
                <c:pt idx="214">
                  <c:v>9.32</c:v>
                </c:pt>
                <c:pt idx="215">
                  <c:v>10.8</c:v>
                </c:pt>
                <c:pt idx="216">
                  <c:v>14.27</c:v>
                </c:pt>
                <c:pt idx="217">
                  <c:v>16.239999999999998</c:v>
                </c:pt>
                <c:pt idx="218">
                  <c:v>16.89</c:v>
                </c:pt>
                <c:pt idx="219">
                  <c:v>17.77</c:v>
                </c:pt>
                <c:pt idx="220">
                  <c:v>16.7</c:v>
                </c:pt>
                <c:pt idx="221">
                  <c:v>13.26</c:v>
                </c:pt>
                <c:pt idx="222">
                  <c:v>9.58</c:v>
                </c:pt>
                <c:pt idx="223">
                  <c:v>11.26</c:v>
                </c:pt>
                <c:pt idx="224">
                  <c:v>10.16</c:v>
                </c:pt>
                <c:pt idx="225">
                  <c:v>11.26</c:v>
                </c:pt>
                <c:pt idx="226">
                  <c:v>11.52</c:v>
                </c:pt>
                <c:pt idx="227">
                  <c:v>10.45</c:v>
                </c:pt>
                <c:pt idx="228">
                  <c:v>10.42</c:v>
                </c:pt>
                <c:pt idx="229">
                  <c:v>12.68</c:v>
                </c:pt>
                <c:pt idx="230">
                  <c:v>12.15</c:v>
                </c:pt>
                <c:pt idx="231">
                  <c:v>14.38</c:v>
                </c:pt>
                <c:pt idx="232">
                  <c:v>12.62</c:v>
                </c:pt>
                <c:pt idx="233">
                  <c:v>8.8800000000000008</c:v>
                </c:pt>
                <c:pt idx="234">
                  <c:v>8.4</c:v>
                </c:pt>
                <c:pt idx="235">
                  <c:v>9.4499999999999993</c:v>
                </c:pt>
                <c:pt idx="236">
                  <c:v>7.26</c:v>
                </c:pt>
                <c:pt idx="237">
                  <c:v>7.02</c:v>
                </c:pt>
                <c:pt idx="238">
                  <c:v>11.68</c:v>
                </c:pt>
                <c:pt idx="239">
                  <c:v>12.58</c:v>
                </c:pt>
                <c:pt idx="240">
                  <c:v>13.73</c:v>
                </c:pt>
                <c:pt idx="241">
                  <c:v>13.35</c:v>
                </c:pt>
                <c:pt idx="242">
                  <c:v>13.53</c:v>
                </c:pt>
                <c:pt idx="243">
                  <c:v>12.34</c:v>
                </c:pt>
                <c:pt idx="244">
                  <c:v>10.36</c:v>
                </c:pt>
                <c:pt idx="245">
                  <c:v>13.15</c:v>
                </c:pt>
                <c:pt idx="246">
                  <c:v>10.59</c:v>
                </c:pt>
                <c:pt idx="247">
                  <c:v>12.27</c:v>
                </c:pt>
                <c:pt idx="248">
                  <c:v>12.86</c:v>
                </c:pt>
                <c:pt idx="249">
                  <c:v>12.22</c:v>
                </c:pt>
                <c:pt idx="250">
                  <c:v>8.99</c:v>
                </c:pt>
                <c:pt idx="251">
                  <c:v>7.39</c:v>
                </c:pt>
                <c:pt idx="252">
                  <c:v>7.12</c:v>
                </c:pt>
                <c:pt idx="253">
                  <c:v>8.92</c:v>
                </c:pt>
                <c:pt idx="254">
                  <c:v>9.6199999999999992</c:v>
                </c:pt>
                <c:pt idx="255">
                  <c:v>8.18</c:v>
                </c:pt>
                <c:pt idx="256">
                  <c:v>8.02</c:v>
                </c:pt>
                <c:pt idx="257">
                  <c:v>6.649</c:v>
                </c:pt>
                <c:pt idx="258">
                  <c:v>5.6340000000000003</c:v>
                </c:pt>
                <c:pt idx="259">
                  <c:v>4.5709999999999997</c:v>
                </c:pt>
                <c:pt idx="260">
                  <c:v>5.0759999999999996</c:v>
                </c:pt>
                <c:pt idx="261">
                  <c:v>6.6840000000000002</c:v>
                </c:pt>
                <c:pt idx="262">
                  <c:v>5.4089999999999998</c:v>
                </c:pt>
                <c:pt idx="263">
                  <c:v>6.47</c:v>
                </c:pt>
                <c:pt idx="264">
                  <c:v>6.524</c:v>
                </c:pt>
                <c:pt idx="265">
                  <c:v>5.9210000000000003</c:v>
                </c:pt>
                <c:pt idx="266">
                  <c:v>5.79</c:v>
                </c:pt>
                <c:pt idx="267">
                  <c:v>4.883</c:v>
                </c:pt>
                <c:pt idx="268">
                  <c:v>3.81</c:v>
                </c:pt>
                <c:pt idx="269">
                  <c:v>0.11</c:v>
                </c:pt>
                <c:pt idx="270">
                  <c:v>-1.48</c:v>
                </c:pt>
                <c:pt idx="271">
                  <c:v>-3.3639999999999999</c:v>
                </c:pt>
                <c:pt idx="272">
                  <c:v>-2.3119999999999998</c:v>
                </c:pt>
                <c:pt idx="273">
                  <c:v>7.1999999999999995E-2</c:v>
                </c:pt>
                <c:pt idx="274">
                  <c:v>3.3000000000000002E-2</c:v>
                </c:pt>
                <c:pt idx="275">
                  <c:v>0.79700000000000004</c:v>
                </c:pt>
                <c:pt idx="276">
                  <c:v>1.117</c:v>
                </c:pt>
                <c:pt idx="277">
                  <c:v>1.3340000000000001</c:v>
                </c:pt>
                <c:pt idx="278">
                  <c:v>1.329</c:v>
                </c:pt>
                <c:pt idx="279">
                  <c:v>3.8759999999999999</c:v>
                </c:pt>
                <c:pt idx="280">
                  <c:v>-3.5190000000000001</c:v>
                </c:pt>
                <c:pt idx="281">
                  <c:v>-7.33</c:v>
                </c:pt>
                <c:pt idx="282">
                  <c:v>-4.9470000000000001</c:v>
                </c:pt>
                <c:pt idx="283">
                  <c:v>-2.5670000000000002</c:v>
                </c:pt>
                <c:pt idx="284">
                  <c:v>0.13700000000000001</c:v>
                </c:pt>
                <c:pt idx="285">
                  <c:v>0.45</c:v>
                </c:pt>
                <c:pt idx="286">
                  <c:v>0.45500000000000002</c:v>
                </c:pt>
                <c:pt idx="287">
                  <c:v>1.044</c:v>
                </c:pt>
                <c:pt idx="288">
                  <c:v>3.9049999999999998</c:v>
                </c:pt>
                <c:pt idx="289">
                  <c:v>2.0569999999999999</c:v>
                </c:pt>
                <c:pt idx="290">
                  <c:v>-2.5999999999999999E-2</c:v>
                </c:pt>
                <c:pt idx="291">
                  <c:v>-1.9319999999999999</c:v>
                </c:pt>
                <c:pt idx="292">
                  <c:v>-1.627</c:v>
                </c:pt>
                <c:pt idx="293">
                  <c:v>-0.67800000000000005</c:v>
                </c:pt>
                <c:pt idx="294">
                  <c:v>1.7909999999999999</c:v>
                </c:pt>
                <c:pt idx="295">
                  <c:v>-0.71299999999999997</c:v>
                </c:pt>
                <c:pt idx="296">
                  <c:v>3.7589999999999999</c:v>
                </c:pt>
                <c:pt idx="297">
                  <c:v>2.1549999999999998</c:v>
                </c:pt>
                <c:pt idx="298">
                  <c:v>-3.1070000000000002</c:v>
                </c:pt>
                <c:pt idx="299">
                  <c:v>-4.556</c:v>
                </c:pt>
                <c:pt idx="300">
                  <c:v>-5.3470000000000004</c:v>
                </c:pt>
                <c:pt idx="301">
                  <c:v>-10.93</c:v>
                </c:pt>
                <c:pt idx="302">
                  <c:v>-6.5330000000000004</c:v>
                </c:pt>
                <c:pt idx="303">
                  <c:v>-4.4219999999999997</c:v>
                </c:pt>
                <c:pt idx="304">
                  <c:v>-3.3450000000000002</c:v>
                </c:pt>
                <c:pt idx="305">
                  <c:v>1.35</c:v>
                </c:pt>
                <c:pt idx="306">
                  <c:v>2.6389999999999998</c:v>
                </c:pt>
                <c:pt idx="307">
                  <c:v>3.234</c:v>
                </c:pt>
                <c:pt idx="308">
                  <c:v>0.46200000000000002</c:v>
                </c:pt>
                <c:pt idx="309">
                  <c:v>-1.4770000000000001</c:v>
                </c:pt>
                <c:pt idx="310">
                  <c:v>-1.7</c:v>
                </c:pt>
                <c:pt idx="311">
                  <c:v>-0.121</c:v>
                </c:pt>
                <c:pt idx="312">
                  <c:v>2.82</c:v>
                </c:pt>
                <c:pt idx="313">
                  <c:v>-0.998</c:v>
                </c:pt>
                <c:pt idx="314">
                  <c:v>-3.726</c:v>
                </c:pt>
                <c:pt idx="315">
                  <c:v>-0.87</c:v>
                </c:pt>
                <c:pt idx="316">
                  <c:v>-0.47799999999999998</c:v>
                </c:pt>
                <c:pt idx="317">
                  <c:v>-1.0369999999999999</c:v>
                </c:pt>
                <c:pt idx="318">
                  <c:v>-7.3999999999999996E-2</c:v>
                </c:pt>
                <c:pt idx="319">
                  <c:v>-1.877</c:v>
                </c:pt>
                <c:pt idx="320">
                  <c:v>1.6890000000000001</c:v>
                </c:pt>
                <c:pt idx="321">
                  <c:v>-0.23499999999999999</c:v>
                </c:pt>
                <c:pt idx="322">
                  <c:v>-2.68</c:v>
                </c:pt>
                <c:pt idx="323">
                  <c:v>-7.02</c:v>
                </c:pt>
                <c:pt idx="324">
                  <c:v>-5.1529999999999996</c:v>
                </c:pt>
                <c:pt idx="325">
                  <c:v>-4.0880000000000001</c:v>
                </c:pt>
                <c:pt idx="326">
                  <c:v>-1.276</c:v>
                </c:pt>
                <c:pt idx="327">
                  <c:v>-1.9330000000000001</c:v>
                </c:pt>
                <c:pt idx="328">
                  <c:v>-7</c:v>
                </c:pt>
                <c:pt idx="329">
                  <c:v>-13.02</c:v>
                </c:pt>
                <c:pt idx="330">
                  <c:v>-10.72</c:v>
                </c:pt>
                <c:pt idx="331">
                  <c:v>-15.94</c:v>
                </c:pt>
                <c:pt idx="332">
                  <c:v>-15.79</c:v>
                </c:pt>
                <c:pt idx="333">
                  <c:v>-10.43</c:v>
                </c:pt>
                <c:pt idx="334">
                  <c:v>-9.24</c:v>
                </c:pt>
                <c:pt idx="335">
                  <c:v>-3.6920000000000002</c:v>
                </c:pt>
                <c:pt idx="336">
                  <c:v>0.373</c:v>
                </c:pt>
                <c:pt idx="337">
                  <c:v>-2.9140000000000001</c:v>
                </c:pt>
                <c:pt idx="338">
                  <c:v>-6.3849999999999998</c:v>
                </c:pt>
                <c:pt idx="339">
                  <c:v>-2.2480000000000002</c:v>
                </c:pt>
                <c:pt idx="340">
                  <c:v>-1.4139999999999999</c:v>
                </c:pt>
                <c:pt idx="341">
                  <c:v>-7.76</c:v>
                </c:pt>
                <c:pt idx="342">
                  <c:v>-8.2100000000000009</c:v>
                </c:pt>
                <c:pt idx="343">
                  <c:v>-6.3639999999999999</c:v>
                </c:pt>
                <c:pt idx="344">
                  <c:v>-5.1970000000000001</c:v>
                </c:pt>
                <c:pt idx="345">
                  <c:v>-5.3070000000000004</c:v>
                </c:pt>
                <c:pt idx="346">
                  <c:v>-4.3419999999999996</c:v>
                </c:pt>
                <c:pt idx="347">
                  <c:v>-7.01</c:v>
                </c:pt>
                <c:pt idx="348">
                  <c:v>-9.19</c:v>
                </c:pt>
                <c:pt idx="349">
                  <c:v>-12.4</c:v>
                </c:pt>
                <c:pt idx="350">
                  <c:v>-7.55</c:v>
                </c:pt>
                <c:pt idx="351">
                  <c:v>-7.3</c:v>
                </c:pt>
                <c:pt idx="352">
                  <c:v>-6.5330000000000004</c:v>
                </c:pt>
                <c:pt idx="353">
                  <c:v>-1.4850000000000001</c:v>
                </c:pt>
                <c:pt idx="354">
                  <c:v>-1.1399999999999999</c:v>
                </c:pt>
                <c:pt idx="355">
                  <c:v>-6.5629999999999997</c:v>
                </c:pt>
                <c:pt idx="356">
                  <c:v>-5.9409999999999998</c:v>
                </c:pt>
                <c:pt idx="357">
                  <c:v>-7.95</c:v>
                </c:pt>
                <c:pt idx="358">
                  <c:v>-12.02</c:v>
                </c:pt>
                <c:pt idx="359">
                  <c:v>-13.66</c:v>
                </c:pt>
                <c:pt idx="360">
                  <c:v>-8.51</c:v>
                </c:pt>
                <c:pt idx="361">
                  <c:v>-9.41</c:v>
                </c:pt>
                <c:pt idx="362">
                  <c:v>-4.8680000000000003</c:v>
                </c:pt>
                <c:pt idx="363">
                  <c:v>-7.33</c:v>
                </c:pt>
                <c:pt idx="364">
                  <c:v>-4.6989999999999998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46592"/>
        <c:axId val="202848128"/>
      </c:lineChart>
      <c:catAx>
        <c:axId val="2028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48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848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4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14526142285837"/>
          <c:y val="0.23823276022623091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3955781100466687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General</c:formatCode>
                <c:ptCount val="365"/>
                <c:pt idx="0">
                  <c:v>96</c:v>
                </c:pt>
                <c:pt idx="1">
                  <c:v>95.6</c:v>
                </c:pt>
                <c:pt idx="2">
                  <c:v>98.5</c:v>
                </c:pt>
                <c:pt idx="3">
                  <c:v>98.5</c:v>
                </c:pt>
                <c:pt idx="4">
                  <c:v>97.5</c:v>
                </c:pt>
                <c:pt idx="5">
                  <c:v>97.5</c:v>
                </c:pt>
                <c:pt idx="6">
                  <c:v>96.6</c:v>
                </c:pt>
                <c:pt idx="7">
                  <c:v>94.3</c:v>
                </c:pt>
                <c:pt idx="8">
                  <c:v>98.1</c:v>
                </c:pt>
                <c:pt idx="9">
                  <c:v>98.2</c:v>
                </c:pt>
                <c:pt idx="10">
                  <c:v>98.1</c:v>
                </c:pt>
                <c:pt idx="11">
                  <c:v>97.9</c:v>
                </c:pt>
                <c:pt idx="12">
                  <c:v>96.7</c:v>
                </c:pt>
                <c:pt idx="13">
                  <c:v>95.6</c:v>
                </c:pt>
                <c:pt idx="14">
                  <c:v>93.6</c:v>
                </c:pt>
                <c:pt idx="15">
                  <c:v>86.9</c:v>
                </c:pt>
                <c:pt idx="16">
                  <c:v>97</c:v>
                </c:pt>
                <c:pt idx="17">
                  <c:v>97.4</c:v>
                </c:pt>
                <c:pt idx="18">
                  <c:v>98</c:v>
                </c:pt>
                <c:pt idx="19">
                  <c:v>96.1</c:v>
                </c:pt>
                <c:pt idx="20">
                  <c:v>96.7</c:v>
                </c:pt>
                <c:pt idx="21">
                  <c:v>95.2</c:v>
                </c:pt>
                <c:pt idx="22">
                  <c:v>96.9</c:v>
                </c:pt>
                <c:pt idx="23">
                  <c:v>97.5</c:v>
                </c:pt>
                <c:pt idx="24">
                  <c:v>97.6</c:v>
                </c:pt>
                <c:pt idx="25">
                  <c:v>98</c:v>
                </c:pt>
                <c:pt idx="26">
                  <c:v>95.2</c:v>
                </c:pt>
                <c:pt idx="27">
                  <c:v>95.8</c:v>
                </c:pt>
                <c:pt idx="28">
                  <c:v>94</c:v>
                </c:pt>
                <c:pt idx="29">
                  <c:v>90.5</c:v>
                </c:pt>
                <c:pt idx="30">
                  <c:v>92.3</c:v>
                </c:pt>
                <c:pt idx="31">
                  <c:v>97.9</c:v>
                </c:pt>
                <c:pt idx="32">
                  <c:v>98</c:v>
                </c:pt>
                <c:pt idx="33">
                  <c:v>94.5</c:v>
                </c:pt>
                <c:pt idx="34">
                  <c:v>86.8</c:v>
                </c:pt>
                <c:pt idx="35">
                  <c:v>86.4</c:v>
                </c:pt>
                <c:pt idx="36">
                  <c:v>89.8</c:v>
                </c:pt>
                <c:pt idx="37">
                  <c:v>92.7</c:v>
                </c:pt>
                <c:pt idx="38">
                  <c:v>92.1</c:v>
                </c:pt>
                <c:pt idx="39">
                  <c:v>85.3</c:v>
                </c:pt>
                <c:pt idx="40">
                  <c:v>94.2</c:v>
                </c:pt>
                <c:pt idx="41">
                  <c:v>87</c:v>
                </c:pt>
                <c:pt idx="42">
                  <c:v>92.3</c:v>
                </c:pt>
                <c:pt idx="43">
                  <c:v>97.5</c:v>
                </c:pt>
                <c:pt idx="44">
                  <c:v>92.6</c:v>
                </c:pt>
                <c:pt idx="45">
                  <c:v>95.5</c:v>
                </c:pt>
                <c:pt idx="46">
                  <c:v>97.3</c:v>
                </c:pt>
                <c:pt idx="47">
                  <c:v>95.4</c:v>
                </c:pt>
                <c:pt idx="48">
                  <c:v>96.8</c:v>
                </c:pt>
                <c:pt idx="49">
                  <c:v>94.5</c:v>
                </c:pt>
                <c:pt idx="50">
                  <c:v>94.5</c:v>
                </c:pt>
                <c:pt idx="51">
                  <c:v>93.5</c:v>
                </c:pt>
                <c:pt idx="52">
                  <c:v>94</c:v>
                </c:pt>
                <c:pt idx="53">
                  <c:v>94.1</c:v>
                </c:pt>
                <c:pt idx="54">
                  <c:v>95.6</c:v>
                </c:pt>
                <c:pt idx="55">
                  <c:v>90.9</c:v>
                </c:pt>
                <c:pt idx="56">
                  <c:v>95.1</c:v>
                </c:pt>
                <c:pt idx="57">
                  <c:v>90.9</c:v>
                </c:pt>
                <c:pt idx="58">
                  <c:v>94.1</c:v>
                </c:pt>
                <c:pt idx="59">
                  <c:v>95.2</c:v>
                </c:pt>
                <c:pt idx="60">
                  <c:v>94.9</c:v>
                </c:pt>
                <c:pt idx="61">
                  <c:v>90.5</c:v>
                </c:pt>
                <c:pt idx="62">
                  <c:v>92.8</c:v>
                </c:pt>
                <c:pt idx="63">
                  <c:v>88</c:v>
                </c:pt>
                <c:pt idx="64">
                  <c:v>95.5</c:v>
                </c:pt>
                <c:pt idx="65">
                  <c:v>95.7</c:v>
                </c:pt>
                <c:pt idx="66">
                  <c:v>93</c:v>
                </c:pt>
                <c:pt idx="67">
                  <c:v>93.7</c:v>
                </c:pt>
                <c:pt idx="68">
                  <c:v>95.6</c:v>
                </c:pt>
                <c:pt idx="69">
                  <c:v>86.4</c:v>
                </c:pt>
                <c:pt idx="70">
                  <c:v>96.4</c:v>
                </c:pt>
                <c:pt idx="71">
                  <c:v>95.3</c:v>
                </c:pt>
                <c:pt idx="72">
                  <c:v>94.5</c:v>
                </c:pt>
                <c:pt idx="73">
                  <c:v>96.8</c:v>
                </c:pt>
                <c:pt idx="74">
                  <c:v>96.4</c:v>
                </c:pt>
                <c:pt idx="75">
                  <c:v>97.2</c:v>
                </c:pt>
                <c:pt idx="76">
                  <c:v>91.7</c:v>
                </c:pt>
                <c:pt idx="77">
                  <c:v>93.1</c:v>
                </c:pt>
                <c:pt idx="78">
                  <c:v>77.7</c:v>
                </c:pt>
                <c:pt idx="79">
                  <c:v>87.8</c:v>
                </c:pt>
                <c:pt idx="80">
                  <c:v>94.9</c:v>
                </c:pt>
                <c:pt idx="81">
                  <c:v>98.2</c:v>
                </c:pt>
                <c:pt idx="82">
                  <c:v>98.4</c:v>
                </c:pt>
                <c:pt idx="83">
                  <c:v>98.5</c:v>
                </c:pt>
                <c:pt idx="84">
                  <c:v>98.2</c:v>
                </c:pt>
                <c:pt idx="85">
                  <c:v>96.9</c:v>
                </c:pt>
                <c:pt idx="86">
                  <c:v>95</c:v>
                </c:pt>
                <c:pt idx="87">
                  <c:v>96.8</c:v>
                </c:pt>
                <c:pt idx="88">
                  <c:v>96.3</c:v>
                </c:pt>
                <c:pt idx="89">
                  <c:v>97.4</c:v>
                </c:pt>
                <c:pt idx="90">
                  <c:v>97.5</c:v>
                </c:pt>
                <c:pt idx="91">
                  <c:v>94.9</c:v>
                </c:pt>
                <c:pt idx="92">
                  <c:v>97.8</c:v>
                </c:pt>
                <c:pt idx="93">
                  <c:v>98.1</c:v>
                </c:pt>
                <c:pt idx="94">
                  <c:v>98</c:v>
                </c:pt>
                <c:pt idx="95">
                  <c:v>97.5</c:v>
                </c:pt>
                <c:pt idx="96">
                  <c:v>95.5</c:v>
                </c:pt>
                <c:pt idx="97">
                  <c:v>98.3</c:v>
                </c:pt>
                <c:pt idx="98">
                  <c:v>98.4</c:v>
                </c:pt>
                <c:pt idx="99">
                  <c:v>96.4</c:v>
                </c:pt>
                <c:pt idx="100">
                  <c:v>96.8</c:v>
                </c:pt>
                <c:pt idx="101">
                  <c:v>97</c:v>
                </c:pt>
                <c:pt idx="102">
                  <c:v>97.4</c:v>
                </c:pt>
                <c:pt idx="103">
                  <c:v>84.1</c:v>
                </c:pt>
                <c:pt idx="104">
                  <c:v>96.4</c:v>
                </c:pt>
                <c:pt idx="105">
                  <c:v>96.7</c:v>
                </c:pt>
                <c:pt idx="106">
                  <c:v>90.2</c:v>
                </c:pt>
                <c:pt idx="107">
                  <c:v>98.8</c:v>
                </c:pt>
                <c:pt idx="108">
                  <c:v>99</c:v>
                </c:pt>
                <c:pt idx="109">
                  <c:v>95.8</c:v>
                </c:pt>
                <c:pt idx="110">
                  <c:v>95.5</c:v>
                </c:pt>
                <c:pt idx="111">
                  <c:v>95.5</c:v>
                </c:pt>
                <c:pt idx="112">
                  <c:v>92.1</c:v>
                </c:pt>
                <c:pt idx="113">
                  <c:v>95.8</c:v>
                </c:pt>
                <c:pt idx="114">
                  <c:v>95.4</c:v>
                </c:pt>
                <c:pt idx="115">
                  <c:v>94.9</c:v>
                </c:pt>
                <c:pt idx="116">
                  <c:v>93.4</c:v>
                </c:pt>
                <c:pt idx="117">
                  <c:v>95.4</c:v>
                </c:pt>
                <c:pt idx="118">
                  <c:v>96.5</c:v>
                </c:pt>
                <c:pt idx="119">
                  <c:v>96.3</c:v>
                </c:pt>
                <c:pt idx="120">
                  <c:v>87.1</c:v>
                </c:pt>
                <c:pt idx="121">
                  <c:v>95.8</c:v>
                </c:pt>
                <c:pt idx="122">
                  <c:v>96.7</c:v>
                </c:pt>
                <c:pt idx="123">
                  <c:v>97.4</c:v>
                </c:pt>
                <c:pt idx="124">
                  <c:v>97.1</c:v>
                </c:pt>
                <c:pt idx="125">
                  <c:v>96.8</c:v>
                </c:pt>
                <c:pt idx="126">
                  <c:v>97.2</c:v>
                </c:pt>
                <c:pt idx="127">
                  <c:v>94.2</c:v>
                </c:pt>
                <c:pt idx="128">
                  <c:v>96.3</c:v>
                </c:pt>
                <c:pt idx="129">
                  <c:v>96.9</c:v>
                </c:pt>
                <c:pt idx="130">
                  <c:v>98.4</c:v>
                </c:pt>
                <c:pt idx="131">
                  <c:v>87.7</c:v>
                </c:pt>
                <c:pt idx="132">
                  <c:v>91.6</c:v>
                </c:pt>
                <c:pt idx="133">
                  <c:v>98.1</c:v>
                </c:pt>
                <c:pt idx="134">
                  <c:v>98.5</c:v>
                </c:pt>
                <c:pt idx="135">
                  <c:v>97.3</c:v>
                </c:pt>
                <c:pt idx="136">
                  <c:v>97.8</c:v>
                </c:pt>
                <c:pt idx="137">
                  <c:v>94.5</c:v>
                </c:pt>
                <c:pt idx="138">
                  <c:v>90.7</c:v>
                </c:pt>
                <c:pt idx="139">
                  <c:v>91.7</c:v>
                </c:pt>
                <c:pt idx="140">
                  <c:v>79.2</c:v>
                </c:pt>
                <c:pt idx="141">
                  <c:v>97.4</c:v>
                </c:pt>
                <c:pt idx="142">
                  <c:v>97.8</c:v>
                </c:pt>
                <c:pt idx="143">
                  <c:v>98.4</c:v>
                </c:pt>
                <c:pt idx="144">
                  <c:v>98.4</c:v>
                </c:pt>
                <c:pt idx="145">
                  <c:v>97.3</c:v>
                </c:pt>
                <c:pt idx="146">
                  <c:v>98.2</c:v>
                </c:pt>
                <c:pt idx="147">
                  <c:v>97.5</c:v>
                </c:pt>
                <c:pt idx="148">
                  <c:v>96.8</c:v>
                </c:pt>
                <c:pt idx="149">
                  <c:v>98</c:v>
                </c:pt>
                <c:pt idx="150">
                  <c:v>98.9</c:v>
                </c:pt>
                <c:pt idx="151">
                  <c:v>93.5</c:v>
                </c:pt>
                <c:pt idx="152">
                  <c:v>95.6</c:v>
                </c:pt>
                <c:pt idx="153">
                  <c:v>78.7</c:v>
                </c:pt>
                <c:pt idx="154">
                  <c:v>89.2</c:v>
                </c:pt>
                <c:pt idx="155">
                  <c:v>98.4</c:v>
                </c:pt>
                <c:pt idx="156">
                  <c:v>97.9</c:v>
                </c:pt>
                <c:pt idx="157">
                  <c:v>98.2</c:v>
                </c:pt>
                <c:pt idx="158">
                  <c:v>98</c:v>
                </c:pt>
                <c:pt idx="159">
                  <c:v>97.8</c:v>
                </c:pt>
                <c:pt idx="160">
                  <c:v>97.8</c:v>
                </c:pt>
                <c:pt idx="161">
                  <c:v>97.9</c:v>
                </c:pt>
                <c:pt idx="162">
                  <c:v>98.7</c:v>
                </c:pt>
                <c:pt idx="163">
                  <c:v>94.1</c:v>
                </c:pt>
                <c:pt idx="164">
                  <c:v>96.3</c:v>
                </c:pt>
                <c:pt idx="165">
                  <c:v>96.6</c:v>
                </c:pt>
                <c:pt idx="166">
                  <c:v>97.7</c:v>
                </c:pt>
                <c:pt idx="167">
                  <c:v>97.2</c:v>
                </c:pt>
                <c:pt idx="168">
                  <c:v>96.4</c:v>
                </c:pt>
                <c:pt idx="169">
                  <c:v>96.2</c:v>
                </c:pt>
                <c:pt idx="170">
                  <c:v>98.1</c:v>
                </c:pt>
                <c:pt idx="171">
                  <c:v>97.8</c:v>
                </c:pt>
                <c:pt idx="172">
                  <c:v>98.7</c:v>
                </c:pt>
                <c:pt idx="173">
                  <c:v>96</c:v>
                </c:pt>
                <c:pt idx="174">
                  <c:v>98.1</c:v>
                </c:pt>
                <c:pt idx="175">
                  <c:v>98.8</c:v>
                </c:pt>
                <c:pt idx="176">
                  <c:v>98.5</c:v>
                </c:pt>
                <c:pt idx="177">
                  <c:v>98</c:v>
                </c:pt>
                <c:pt idx="178">
                  <c:v>98.1</c:v>
                </c:pt>
                <c:pt idx="179">
                  <c:v>98.6</c:v>
                </c:pt>
                <c:pt idx="180">
                  <c:v>98.6</c:v>
                </c:pt>
                <c:pt idx="181">
                  <c:v>98.7</c:v>
                </c:pt>
                <c:pt idx="182">
                  <c:v>96.5</c:v>
                </c:pt>
                <c:pt idx="183">
                  <c:v>98.7</c:v>
                </c:pt>
                <c:pt idx="184">
                  <c:v>91.1</c:v>
                </c:pt>
                <c:pt idx="185">
                  <c:v>98.1</c:v>
                </c:pt>
                <c:pt idx="186">
                  <c:v>98.4</c:v>
                </c:pt>
                <c:pt idx="187">
                  <c:v>98.4</c:v>
                </c:pt>
                <c:pt idx="188">
                  <c:v>98.8</c:v>
                </c:pt>
                <c:pt idx="189">
                  <c:v>99</c:v>
                </c:pt>
                <c:pt idx="190">
                  <c:v>98.4</c:v>
                </c:pt>
                <c:pt idx="191">
                  <c:v>98.8</c:v>
                </c:pt>
                <c:pt idx="192">
                  <c:v>98.2</c:v>
                </c:pt>
                <c:pt idx="193">
                  <c:v>98.1</c:v>
                </c:pt>
                <c:pt idx="194">
                  <c:v>95.3</c:v>
                </c:pt>
                <c:pt idx="195">
                  <c:v>97.3</c:v>
                </c:pt>
                <c:pt idx="196">
                  <c:v>98.8</c:v>
                </c:pt>
                <c:pt idx="197">
                  <c:v>96.5</c:v>
                </c:pt>
                <c:pt idx="198">
                  <c:v>95.2</c:v>
                </c:pt>
                <c:pt idx="199">
                  <c:v>97.6</c:v>
                </c:pt>
                <c:pt idx="200">
                  <c:v>98.4</c:v>
                </c:pt>
                <c:pt idx="201">
                  <c:v>98.9</c:v>
                </c:pt>
                <c:pt idx="202">
                  <c:v>97.1</c:v>
                </c:pt>
                <c:pt idx="203">
                  <c:v>98.1</c:v>
                </c:pt>
                <c:pt idx="204">
                  <c:v>98.3</c:v>
                </c:pt>
                <c:pt idx="205">
                  <c:v>98.5</c:v>
                </c:pt>
                <c:pt idx="206">
                  <c:v>98.7</c:v>
                </c:pt>
                <c:pt idx="207">
                  <c:v>97.9</c:v>
                </c:pt>
                <c:pt idx="208">
                  <c:v>98.9</c:v>
                </c:pt>
                <c:pt idx="209">
                  <c:v>98.4</c:v>
                </c:pt>
                <c:pt idx="210">
                  <c:v>95.5</c:v>
                </c:pt>
                <c:pt idx="211">
                  <c:v>98.5</c:v>
                </c:pt>
                <c:pt idx="212">
                  <c:v>98.6</c:v>
                </c:pt>
                <c:pt idx="213">
                  <c:v>84.8</c:v>
                </c:pt>
                <c:pt idx="214">
                  <c:v>97.6</c:v>
                </c:pt>
                <c:pt idx="215">
                  <c:v>99</c:v>
                </c:pt>
                <c:pt idx="216">
                  <c:v>98.2</c:v>
                </c:pt>
                <c:pt idx="217">
                  <c:v>97.8</c:v>
                </c:pt>
                <c:pt idx="218">
                  <c:v>87.8</c:v>
                </c:pt>
                <c:pt idx="219">
                  <c:v>78.2</c:v>
                </c:pt>
                <c:pt idx="220">
                  <c:v>85.2</c:v>
                </c:pt>
                <c:pt idx="221">
                  <c:v>97.7</c:v>
                </c:pt>
                <c:pt idx="222">
                  <c:v>98.8</c:v>
                </c:pt>
                <c:pt idx="223">
                  <c:v>98.2</c:v>
                </c:pt>
                <c:pt idx="224">
                  <c:v>99.1</c:v>
                </c:pt>
                <c:pt idx="225">
                  <c:v>99.2</c:v>
                </c:pt>
                <c:pt idx="226">
                  <c:v>99.3</c:v>
                </c:pt>
                <c:pt idx="227">
                  <c:v>98.1</c:v>
                </c:pt>
                <c:pt idx="228">
                  <c:v>98.2</c:v>
                </c:pt>
                <c:pt idx="229">
                  <c:v>98.7</c:v>
                </c:pt>
                <c:pt idx="230">
                  <c:v>92.6</c:v>
                </c:pt>
                <c:pt idx="231">
                  <c:v>96.5</c:v>
                </c:pt>
                <c:pt idx="232">
                  <c:v>97.2</c:v>
                </c:pt>
                <c:pt idx="233">
                  <c:v>98.7</c:v>
                </c:pt>
                <c:pt idx="234">
                  <c:v>98.7</c:v>
                </c:pt>
                <c:pt idx="235">
                  <c:v>98.2</c:v>
                </c:pt>
                <c:pt idx="236">
                  <c:v>98.7</c:v>
                </c:pt>
                <c:pt idx="237">
                  <c:v>99.3</c:v>
                </c:pt>
                <c:pt idx="238">
                  <c:v>99.2</c:v>
                </c:pt>
                <c:pt idx="239">
                  <c:v>98.3</c:v>
                </c:pt>
                <c:pt idx="240">
                  <c:v>98.8</c:v>
                </c:pt>
                <c:pt idx="241">
                  <c:v>97.9</c:v>
                </c:pt>
                <c:pt idx="242">
                  <c:v>98.8</c:v>
                </c:pt>
                <c:pt idx="243">
                  <c:v>99</c:v>
                </c:pt>
                <c:pt idx="244">
                  <c:v>98.8</c:v>
                </c:pt>
                <c:pt idx="245">
                  <c:v>98.7</c:v>
                </c:pt>
                <c:pt idx="246">
                  <c:v>99.4</c:v>
                </c:pt>
                <c:pt idx="247">
                  <c:v>99.2</c:v>
                </c:pt>
                <c:pt idx="248">
                  <c:v>98.6</c:v>
                </c:pt>
                <c:pt idx="249">
                  <c:v>99.4</c:v>
                </c:pt>
                <c:pt idx="250">
                  <c:v>98.1</c:v>
                </c:pt>
                <c:pt idx="251">
                  <c:v>98.9</c:v>
                </c:pt>
                <c:pt idx="252">
                  <c:v>99</c:v>
                </c:pt>
                <c:pt idx="253">
                  <c:v>99.1</c:v>
                </c:pt>
                <c:pt idx="254">
                  <c:v>99.3</c:v>
                </c:pt>
                <c:pt idx="255">
                  <c:v>98.4</c:v>
                </c:pt>
                <c:pt idx="256">
                  <c:v>98.7</c:v>
                </c:pt>
                <c:pt idx="257">
                  <c:v>98.4</c:v>
                </c:pt>
                <c:pt idx="258">
                  <c:v>98.9</c:v>
                </c:pt>
                <c:pt idx="259">
                  <c:v>98.9</c:v>
                </c:pt>
                <c:pt idx="260">
                  <c:v>99</c:v>
                </c:pt>
                <c:pt idx="261">
                  <c:v>99</c:v>
                </c:pt>
                <c:pt idx="262">
                  <c:v>99</c:v>
                </c:pt>
                <c:pt idx="263">
                  <c:v>99.3</c:v>
                </c:pt>
                <c:pt idx="264">
                  <c:v>99.5</c:v>
                </c:pt>
                <c:pt idx="265">
                  <c:v>97.7</c:v>
                </c:pt>
                <c:pt idx="266">
                  <c:v>98.2</c:v>
                </c:pt>
                <c:pt idx="267">
                  <c:v>98.8</c:v>
                </c:pt>
                <c:pt idx="268">
                  <c:v>97.7</c:v>
                </c:pt>
                <c:pt idx="269">
                  <c:v>98.5</c:v>
                </c:pt>
                <c:pt idx="270">
                  <c:v>98.7</c:v>
                </c:pt>
                <c:pt idx="271">
                  <c:v>96.9</c:v>
                </c:pt>
                <c:pt idx="272">
                  <c:v>97.5</c:v>
                </c:pt>
                <c:pt idx="273">
                  <c:v>98.6</c:v>
                </c:pt>
                <c:pt idx="274">
                  <c:v>98.3</c:v>
                </c:pt>
                <c:pt idx="275">
                  <c:v>98.3</c:v>
                </c:pt>
                <c:pt idx="276">
                  <c:v>98.8</c:v>
                </c:pt>
                <c:pt idx="277">
                  <c:v>98.2</c:v>
                </c:pt>
                <c:pt idx="278">
                  <c:v>97.9</c:v>
                </c:pt>
                <c:pt idx="279">
                  <c:v>98</c:v>
                </c:pt>
                <c:pt idx="280">
                  <c:v>93.5</c:v>
                </c:pt>
                <c:pt idx="281">
                  <c:v>94.8</c:v>
                </c:pt>
                <c:pt idx="282">
                  <c:v>96.1</c:v>
                </c:pt>
                <c:pt idx="283">
                  <c:v>95.8</c:v>
                </c:pt>
                <c:pt idx="284">
                  <c:v>88.1</c:v>
                </c:pt>
                <c:pt idx="285">
                  <c:v>98</c:v>
                </c:pt>
                <c:pt idx="286">
                  <c:v>98.3</c:v>
                </c:pt>
                <c:pt idx="287">
                  <c:v>96.3</c:v>
                </c:pt>
                <c:pt idx="288">
                  <c:v>97.8</c:v>
                </c:pt>
                <c:pt idx="289">
                  <c:v>99</c:v>
                </c:pt>
                <c:pt idx="290">
                  <c:v>98.9</c:v>
                </c:pt>
                <c:pt idx="291">
                  <c:v>98.4</c:v>
                </c:pt>
                <c:pt idx="292">
                  <c:v>98.4</c:v>
                </c:pt>
                <c:pt idx="293">
                  <c:v>99.6</c:v>
                </c:pt>
                <c:pt idx="294">
                  <c:v>99.7</c:v>
                </c:pt>
                <c:pt idx="295">
                  <c:v>97.3</c:v>
                </c:pt>
                <c:pt idx="296">
                  <c:v>97.3</c:v>
                </c:pt>
                <c:pt idx="297">
                  <c:v>98.6</c:v>
                </c:pt>
                <c:pt idx="298">
                  <c:v>92.8</c:v>
                </c:pt>
                <c:pt idx="299">
                  <c:v>96.5</c:v>
                </c:pt>
                <c:pt idx="300">
                  <c:v>84.2</c:v>
                </c:pt>
                <c:pt idx="301">
                  <c:v>90.6</c:v>
                </c:pt>
                <c:pt idx="302">
                  <c:v>93.3</c:v>
                </c:pt>
                <c:pt idx="303">
                  <c:v>96.6</c:v>
                </c:pt>
                <c:pt idx="304">
                  <c:v>95.6</c:v>
                </c:pt>
                <c:pt idx="305">
                  <c:v>98.4</c:v>
                </c:pt>
                <c:pt idx="306">
                  <c:v>96.5</c:v>
                </c:pt>
                <c:pt idx="307">
                  <c:v>98.1</c:v>
                </c:pt>
                <c:pt idx="308">
                  <c:v>98.3</c:v>
                </c:pt>
                <c:pt idx="309">
                  <c:v>96.4</c:v>
                </c:pt>
                <c:pt idx="310">
                  <c:v>96.9</c:v>
                </c:pt>
                <c:pt idx="311">
                  <c:v>96.1</c:v>
                </c:pt>
                <c:pt idx="312">
                  <c:v>98.1</c:v>
                </c:pt>
                <c:pt idx="313">
                  <c:v>98.2</c:v>
                </c:pt>
                <c:pt idx="314">
                  <c:v>96.1</c:v>
                </c:pt>
                <c:pt idx="315">
                  <c:v>97.8</c:v>
                </c:pt>
                <c:pt idx="316">
                  <c:v>98.8</c:v>
                </c:pt>
                <c:pt idx="317">
                  <c:v>98.8</c:v>
                </c:pt>
                <c:pt idx="318">
                  <c:v>99.4</c:v>
                </c:pt>
                <c:pt idx="319">
                  <c:v>98.6</c:v>
                </c:pt>
                <c:pt idx="320">
                  <c:v>99.5</c:v>
                </c:pt>
                <c:pt idx="321">
                  <c:v>98.1</c:v>
                </c:pt>
                <c:pt idx="322">
                  <c:v>98.4</c:v>
                </c:pt>
                <c:pt idx="323">
                  <c:v>98.1</c:v>
                </c:pt>
                <c:pt idx="324">
                  <c:v>97.8</c:v>
                </c:pt>
                <c:pt idx="325">
                  <c:v>97.3</c:v>
                </c:pt>
                <c:pt idx="326">
                  <c:v>98.1</c:v>
                </c:pt>
                <c:pt idx="327">
                  <c:v>96.9</c:v>
                </c:pt>
                <c:pt idx="328">
                  <c:v>95.9</c:v>
                </c:pt>
                <c:pt idx="329">
                  <c:v>94.8</c:v>
                </c:pt>
                <c:pt idx="330">
                  <c:v>89.7</c:v>
                </c:pt>
                <c:pt idx="331">
                  <c:v>93.5</c:v>
                </c:pt>
                <c:pt idx="332">
                  <c:v>93.4</c:v>
                </c:pt>
                <c:pt idx="333">
                  <c:v>94.7</c:v>
                </c:pt>
                <c:pt idx="334">
                  <c:v>94.9</c:v>
                </c:pt>
                <c:pt idx="335">
                  <c:v>97.8</c:v>
                </c:pt>
                <c:pt idx="336">
                  <c:v>97.3</c:v>
                </c:pt>
                <c:pt idx="337">
                  <c:v>98.3</c:v>
                </c:pt>
                <c:pt idx="338">
                  <c:v>98.2</c:v>
                </c:pt>
                <c:pt idx="339">
                  <c:v>98.8</c:v>
                </c:pt>
                <c:pt idx="340">
                  <c:v>99</c:v>
                </c:pt>
                <c:pt idx="341">
                  <c:v>97.8</c:v>
                </c:pt>
                <c:pt idx="342">
                  <c:v>97.1</c:v>
                </c:pt>
                <c:pt idx="343">
                  <c:v>97.6</c:v>
                </c:pt>
                <c:pt idx="344">
                  <c:v>98.1</c:v>
                </c:pt>
                <c:pt idx="345">
                  <c:v>97.4</c:v>
                </c:pt>
                <c:pt idx="346">
                  <c:v>97</c:v>
                </c:pt>
                <c:pt idx="347">
                  <c:v>97.1</c:v>
                </c:pt>
                <c:pt idx="348">
                  <c:v>95.7</c:v>
                </c:pt>
                <c:pt idx="349">
                  <c:v>96.4</c:v>
                </c:pt>
                <c:pt idx="350">
                  <c:v>96.4</c:v>
                </c:pt>
                <c:pt idx="351">
                  <c:v>95.6</c:v>
                </c:pt>
                <c:pt idx="352">
                  <c:v>97.4</c:v>
                </c:pt>
                <c:pt idx="353">
                  <c:v>99.3</c:v>
                </c:pt>
                <c:pt idx="354">
                  <c:v>99.3</c:v>
                </c:pt>
                <c:pt idx="355">
                  <c:v>97.1</c:v>
                </c:pt>
                <c:pt idx="356">
                  <c:v>97.7</c:v>
                </c:pt>
                <c:pt idx="357">
                  <c:v>97.1</c:v>
                </c:pt>
                <c:pt idx="358">
                  <c:v>96.7</c:v>
                </c:pt>
                <c:pt idx="359">
                  <c:v>95.5</c:v>
                </c:pt>
                <c:pt idx="360">
                  <c:v>95.9</c:v>
                </c:pt>
                <c:pt idx="361">
                  <c:v>95.3</c:v>
                </c:pt>
                <c:pt idx="362">
                  <c:v>98.4</c:v>
                </c:pt>
                <c:pt idx="363">
                  <c:v>96.7</c:v>
                </c:pt>
                <c:pt idx="364">
                  <c:v>98.6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77.7</c:v>
                </c:pt>
                <c:pt idx="1">
                  <c:v>91.5</c:v>
                </c:pt>
                <c:pt idx="2">
                  <c:v>94.2</c:v>
                </c:pt>
                <c:pt idx="3">
                  <c:v>85.2</c:v>
                </c:pt>
                <c:pt idx="4">
                  <c:v>81.400000000000006</c:v>
                </c:pt>
                <c:pt idx="5">
                  <c:v>58.8</c:v>
                </c:pt>
                <c:pt idx="6">
                  <c:v>54.6</c:v>
                </c:pt>
                <c:pt idx="7">
                  <c:v>36.9</c:v>
                </c:pt>
                <c:pt idx="8">
                  <c:v>87</c:v>
                </c:pt>
                <c:pt idx="9">
                  <c:v>93.7</c:v>
                </c:pt>
                <c:pt idx="10">
                  <c:v>88.9</c:v>
                </c:pt>
                <c:pt idx="11">
                  <c:v>75.099999999999994</c:v>
                </c:pt>
                <c:pt idx="12">
                  <c:v>58.6</c:v>
                </c:pt>
                <c:pt idx="13">
                  <c:v>37.299999999999997</c:v>
                </c:pt>
                <c:pt idx="14">
                  <c:v>49.6</c:v>
                </c:pt>
                <c:pt idx="15">
                  <c:v>69.2</c:v>
                </c:pt>
                <c:pt idx="16">
                  <c:v>82.5</c:v>
                </c:pt>
                <c:pt idx="17">
                  <c:v>86.4</c:v>
                </c:pt>
                <c:pt idx="18">
                  <c:v>61.9</c:v>
                </c:pt>
                <c:pt idx="19">
                  <c:v>74.8</c:v>
                </c:pt>
                <c:pt idx="20">
                  <c:v>78.3</c:v>
                </c:pt>
                <c:pt idx="21">
                  <c:v>89.4</c:v>
                </c:pt>
                <c:pt idx="22">
                  <c:v>91.4</c:v>
                </c:pt>
                <c:pt idx="23">
                  <c:v>45.4</c:v>
                </c:pt>
                <c:pt idx="24">
                  <c:v>55.4</c:v>
                </c:pt>
                <c:pt idx="25">
                  <c:v>38</c:v>
                </c:pt>
                <c:pt idx="26">
                  <c:v>46.4</c:v>
                </c:pt>
                <c:pt idx="27">
                  <c:v>41.6</c:v>
                </c:pt>
                <c:pt idx="28">
                  <c:v>12.4</c:v>
                </c:pt>
                <c:pt idx="29">
                  <c:v>31.2</c:v>
                </c:pt>
                <c:pt idx="30">
                  <c:v>55.8</c:v>
                </c:pt>
                <c:pt idx="31">
                  <c:v>78.7</c:v>
                </c:pt>
                <c:pt idx="32">
                  <c:v>51.3</c:v>
                </c:pt>
                <c:pt idx="33">
                  <c:v>50.4</c:v>
                </c:pt>
                <c:pt idx="34">
                  <c:v>67.900000000000006</c:v>
                </c:pt>
                <c:pt idx="35">
                  <c:v>39.6</c:v>
                </c:pt>
                <c:pt idx="36">
                  <c:v>54.1</c:v>
                </c:pt>
                <c:pt idx="37">
                  <c:v>40.200000000000003</c:v>
                </c:pt>
                <c:pt idx="38">
                  <c:v>81.400000000000006</c:v>
                </c:pt>
                <c:pt idx="39">
                  <c:v>76.099999999999994</c:v>
                </c:pt>
                <c:pt idx="40">
                  <c:v>45.1</c:v>
                </c:pt>
                <c:pt idx="41">
                  <c:v>64</c:v>
                </c:pt>
                <c:pt idx="42">
                  <c:v>85</c:v>
                </c:pt>
                <c:pt idx="43">
                  <c:v>62.4</c:v>
                </c:pt>
                <c:pt idx="44">
                  <c:v>53.2</c:v>
                </c:pt>
                <c:pt idx="45">
                  <c:v>81.599999999999994</c:v>
                </c:pt>
                <c:pt idx="46">
                  <c:v>65.599999999999994</c:v>
                </c:pt>
                <c:pt idx="47">
                  <c:v>84.4</c:v>
                </c:pt>
                <c:pt idx="48">
                  <c:v>64.599999999999994</c:v>
                </c:pt>
                <c:pt idx="49">
                  <c:v>77.900000000000006</c:v>
                </c:pt>
                <c:pt idx="50">
                  <c:v>77.7</c:v>
                </c:pt>
                <c:pt idx="51">
                  <c:v>57.8</c:v>
                </c:pt>
                <c:pt idx="52">
                  <c:v>81.599999999999994</c:v>
                </c:pt>
                <c:pt idx="53">
                  <c:v>78.099999999999994</c:v>
                </c:pt>
                <c:pt idx="54">
                  <c:v>71.099999999999994</c:v>
                </c:pt>
                <c:pt idx="55">
                  <c:v>76.8</c:v>
                </c:pt>
                <c:pt idx="56">
                  <c:v>45.8</c:v>
                </c:pt>
                <c:pt idx="57">
                  <c:v>28</c:v>
                </c:pt>
                <c:pt idx="58">
                  <c:v>65.900000000000006</c:v>
                </c:pt>
                <c:pt idx="59">
                  <c:v>52.9</c:v>
                </c:pt>
                <c:pt idx="60">
                  <c:v>58.7</c:v>
                </c:pt>
                <c:pt idx="61">
                  <c:v>36.4</c:v>
                </c:pt>
                <c:pt idx="62">
                  <c:v>26.7</c:v>
                </c:pt>
                <c:pt idx="63">
                  <c:v>40.799999999999997</c:v>
                </c:pt>
                <c:pt idx="64">
                  <c:v>73.2</c:v>
                </c:pt>
                <c:pt idx="65">
                  <c:v>44.9</c:v>
                </c:pt>
                <c:pt idx="66">
                  <c:v>33.700000000000003</c:v>
                </c:pt>
                <c:pt idx="67">
                  <c:v>44.1</c:v>
                </c:pt>
                <c:pt idx="68">
                  <c:v>37.1</c:v>
                </c:pt>
                <c:pt idx="69">
                  <c:v>50.9</c:v>
                </c:pt>
                <c:pt idx="70">
                  <c:v>77.5</c:v>
                </c:pt>
                <c:pt idx="71">
                  <c:v>39.6</c:v>
                </c:pt>
                <c:pt idx="72">
                  <c:v>34</c:v>
                </c:pt>
                <c:pt idx="73">
                  <c:v>38.9</c:v>
                </c:pt>
                <c:pt idx="74">
                  <c:v>34.799999999999997</c:v>
                </c:pt>
                <c:pt idx="75">
                  <c:v>33.299999999999997</c:v>
                </c:pt>
                <c:pt idx="76">
                  <c:v>16.600000000000001</c:v>
                </c:pt>
                <c:pt idx="77">
                  <c:v>18.3</c:v>
                </c:pt>
                <c:pt idx="78">
                  <c:v>17.2</c:v>
                </c:pt>
                <c:pt idx="79">
                  <c:v>17.8</c:v>
                </c:pt>
                <c:pt idx="80">
                  <c:v>20.6</c:v>
                </c:pt>
                <c:pt idx="81">
                  <c:v>47.1</c:v>
                </c:pt>
                <c:pt idx="82">
                  <c:v>48.4</c:v>
                </c:pt>
                <c:pt idx="83">
                  <c:v>57.1</c:v>
                </c:pt>
                <c:pt idx="84">
                  <c:v>48.4</c:v>
                </c:pt>
                <c:pt idx="85">
                  <c:v>39.700000000000003</c:v>
                </c:pt>
                <c:pt idx="86">
                  <c:v>37.6</c:v>
                </c:pt>
                <c:pt idx="87">
                  <c:v>30.1</c:v>
                </c:pt>
                <c:pt idx="88">
                  <c:v>27</c:v>
                </c:pt>
                <c:pt idx="89">
                  <c:v>27</c:v>
                </c:pt>
                <c:pt idx="90">
                  <c:v>26.8</c:v>
                </c:pt>
                <c:pt idx="91">
                  <c:v>20.9</c:v>
                </c:pt>
                <c:pt idx="92">
                  <c:v>59.2</c:v>
                </c:pt>
                <c:pt idx="93">
                  <c:v>44.9</c:v>
                </c:pt>
                <c:pt idx="94">
                  <c:v>69</c:v>
                </c:pt>
                <c:pt idx="95">
                  <c:v>71.8</c:v>
                </c:pt>
                <c:pt idx="96">
                  <c:v>36</c:v>
                </c:pt>
                <c:pt idx="97">
                  <c:v>53.5</c:v>
                </c:pt>
                <c:pt idx="98">
                  <c:v>57.6</c:v>
                </c:pt>
                <c:pt idx="99">
                  <c:v>60.2</c:v>
                </c:pt>
                <c:pt idx="100">
                  <c:v>40.200000000000003</c:v>
                </c:pt>
                <c:pt idx="101">
                  <c:v>45.7</c:v>
                </c:pt>
                <c:pt idx="102">
                  <c:v>75.8</c:v>
                </c:pt>
                <c:pt idx="103">
                  <c:v>34.299999999999997</c:v>
                </c:pt>
                <c:pt idx="104">
                  <c:v>33.799999999999997</c:v>
                </c:pt>
                <c:pt idx="105">
                  <c:v>24.4</c:v>
                </c:pt>
                <c:pt idx="106">
                  <c:v>37.4</c:v>
                </c:pt>
                <c:pt idx="107">
                  <c:v>89</c:v>
                </c:pt>
                <c:pt idx="108">
                  <c:v>61.5</c:v>
                </c:pt>
                <c:pt idx="109">
                  <c:v>37.299999999999997</c:v>
                </c:pt>
                <c:pt idx="110">
                  <c:v>14.4</c:v>
                </c:pt>
                <c:pt idx="111">
                  <c:v>40.6</c:v>
                </c:pt>
                <c:pt idx="112">
                  <c:v>37.5</c:v>
                </c:pt>
                <c:pt idx="113">
                  <c:v>33.4</c:v>
                </c:pt>
                <c:pt idx="114">
                  <c:v>18</c:v>
                </c:pt>
                <c:pt idx="115">
                  <c:v>20.7</c:v>
                </c:pt>
                <c:pt idx="116">
                  <c:v>54.5</c:v>
                </c:pt>
                <c:pt idx="117">
                  <c:v>33.5</c:v>
                </c:pt>
                <c:pt idx="118">
                  <c:v>34.700000000000003</c:v>
                </c:pt>
                <c:pt idx="119">
                  <c:v>29.4</c:v>
                </c:pt>
                <c:pt idx="120">
                  <c:v>34.9</c:v>
                </c:pt>
                <c:pt idx="121">
                  <c:v>41.8</c:v>
                </c:pt>
                <c:pt idx="122">
                  <c:v>32.700000000000003</c:v>
                </c:pt>
                <c:pt idx="123">
                  <c:v>38.6</c:v>
                </c:pt>
                <c:pt idx="124">
                  <c:v>32.799999999999997</c:v>
                </c:pt>
                <c:pt idx="125">
                  <c:v>31.5</c:v>
                </c:pt>
                <c:pt idx="126">
                  <c:v>35.799999999999997</c:v>
                </c:pt>
                <c:pt idx="127">
                  <c:v>36.9</c:v>
                </c:pt>
                <c:pt idx="128">
                  <c:v>24.4</c:v>
                </c:pt>
                <c:pt idx="129">
                  <c:v>32.9</c:v>
                </c:pt>
                <c:pt idx="130">
                  <c:v>27.4</c:v>
                </c:pt>
                <c:pt idx="131">
                  <c:v>19.5</c:v>
                </c:pt>
                <c:pt idx="132">
                  <c:v>26.7</c:v>
                </c:pt>
                <c:pt idx="133">
                  <c:v>39.1</c:v>
                </c:pt>
                <c:pt idx="134">
                  <c:v>39.299999999999997</c:v>
                </c:pt>
                <c:pt idx="135">
                  <c:v>73.099999999999994</c:v>
                </c:pt>
                <c:pt idx="136">
                  <c:v>69.7</c:v>
                </c:pt>
                <c:pt idx="137">
                  <c:v>61.7</c:v>
                </c:pt>
                <c:pt idx="138">
                  <c:v>49.8</c:v>
                </c:pt>
                <c:pt idx="139">
                  <c:v>39.299999999999997</c:v>
                </c:pt>
                <c:pt idx="140">
                  <c:v>48.8</c:v>
                </c:pt>
                <c:pt idx="141">
                  <c:v>35.9</c:v>
                </c:pt>
                <c:pt idx="142">
                  <c:v>40.6</c:v>
                </c:pt>
                <c:pt idx="143">
                  <c:v>42.1</c:v>
                </c:pt>
                <c:pt idx="144">
                  <c:v>81.599999999999994</c:v>
                </c:pt>
                <c:pt idx="145">
                  <c:v>48.3</c:v>
                </c:pt>
                <c:pt idx="146">
                  <c:v>25</c:v>
                </c:pt>
                <c:pt idx="147">
                  <c:v>16.399999999999999</c:v>
                </c:pt>
                <c:pt idx="148">
                  <c:v>21.8</c:v>
                </c:pt>
                <c:pt idx="149">
                  <c:v>35</c:v>
                </c:pt>
                <c:pt idx="150">
                  <c:v>38.5</c:v>
                </c:pt>
                <c:pt idx="151">
                  <c:v>19.399999999999999</c:v>
                </c:pt>
                <c:pt idx="152">
                  <c:v>12</c:v>
                </c:pt>
                <c:pt idx="153">
                  <c:v>17.2</c:v>
                </c:pt>
                <c:pt idx="154">
                  <c:v>22.2</c:v>
                </c:pt>
                <c:pt idx="155">
                  <c:v>34.799999999999997</c:v>
                </c:pt>
                <c:pt idx="156">
                  <c:v>41.3</c:v>
                </c:pt>
                <c:pt idx="157">
                  <c:v>47.3</c:v>
                </c:pt>
                <c:pt idx="158">
                  <c:v>48.3</c:v>
                </c:pt>
                <c:pt idx="159">
                  <c:v>20.399999999999999</c:v>
                </c:pt>
                <c:pt idx="160">
                  <c:v>55.7</c:v>
                </c:pt>
                <c:pt idx="161">
                  <c:v>40.799999999999997</c:v>
                </c:pt>
                <c:pt idx="162">
                  <c:v>28.9</c:v>
                </c:pt>
                <c:pt idx="163">
                  <c:v>30.6</c:v>
                </c:pt>
                <c:pt idx="164">
                  <c:v>28.8</c:v>
                </c:pt>
                <c:pt idx="165">
                  <c:v>23.9</c:v>
                </c:pt>
                <c:pt idx="166">
                  <c:v>30</c:v>
                </c:pt>
                <c:pt idx="167">
                  <c:v>28.4</c:v>
                </c:pt>
                <c:pt idx="168">
                  <c:v>25.7</c:v>
                </c:pt>
                <c:pt idx="169">
                  <c:v>52</c:v>
                </c:pt>
                <c:pt idx="170">
                  <c:v>78</c:v>
                </c:pt>
                <c:pt idx="171">
                  <c:v>47.7</c:v>
                </c:pt>
                <c:pt idx="172">
                  <c:v>43.9</c:v>
                </c:pt>
                <c:pt idx="173">
                  <c:v>31.2</c:v>
                </c:pt>
                <c:pt idx="174">
                  <c:v>49.1</c:v>
                </c:pt>
                <c:pt idx="175">
                  <c:v>39.4</c:v>
                </c:pt>
                <c:pt idx="176">
                  <c:v>32.200000000000003</c:v>
                </c:pt>
                <c:pt idx="177">
                  <c:v>40.799999999999997</c:v>
                </c:pt>
                <c:pt idx="178">
                  <c:v>42.3</c:v>
                </c:pt>
                <c:pt idx="179">
                  <c:v>45.7</c:v>
                </c:pt>
                <c:pt idx="180">
                  <c:v>33.700000000000003</c:v>
                </c:pt>
                <c:pt idx="181">
                  <c:v>25.6</c:v>
                </c:pt>
                <c:pt idx="182">
                  <c:v>44.5</c:v>
                </c:pt>
                <c:pt idx="183">
                  <c:v>30.3</c:v>
                </c:pt>
                <c:pt idx="184">
                  <c:v>53.9</c:v>
                </c:pt>
                <c:pt idx="185">
                  <c:v>51.4</c:v>
                </c:pt>
                <c:pt idx="186">
                  <c:v>56</c:v>
                </c:pt>
                <c:pt idx="187">
                  <c:v>47.7</c:v>
                </c:pt>
                <c:pt idx="188">
                  <c:v>50.3</c:v>
                </c:pt>
                <c:pt idx="189">
                  <c:v>38.299999999999997</c:v>
                </c:pt>
                <c:pt idx="190">
                  <c:v>48.4</c:v>
                </c:pt>
                <c:pt idx="191">
                  <c:v>48.7</c:v>
                </c:pt>
                <c:pt idx="192">
                  <c:v>47.6</c:v>
                </c:pt>
                <c:pt idx="193">
                  <c:v>39.200000000000003</c:v>
                </c:pt>
                <c:pt idx="194">
                  <c:v>40.4</c:v>
                </c:pt>
                <c:pt idx="195">
                  <c:v>36.200000000000003</c:v>
                </c:pt>
                <c:pt idx="196">
                  <c:v>38</c:v>
                </c:pt>
                <c:pt idx="197">
                  <c:v>63.9</c:v>
                </c:pt>
                <c:pt idx="198">
                  <c:v>43.7</c:v>
                </c:pt>
                <c:pt idx="199">
                  <c:v>52.1</c:v>
                </c:pt>
                <c:pt idx="200">
                  <c:v>50.9</c:v>
                </c:pt>
                <c:pt idx="201">
                  <c:v>25.5</c:v>
                </c:pt>
                <c:pt idx="202">
                  <c:v>26.7</c:v>
                </c:pt>
                <c:pt idx="203">
                  <c:v>36</c:v>
                </c:pt>
                <c:pt idx="204">
                  <c:v>46.5</c:v>
                </c:pt>
                <c:pt idx="205">
                  <c:v>35.200000000000003</c:v>
                </c:pt>
                <c:pt idx="206">
                  <c:v>20.2</c:v>
                </c:pt>
                <c:pt idx="207">
                  <c:v>34.799999999999997</c:v>
                </c:pt>
                <c:pt idx="208">
                  <c:v>36.4</c:v>
                </c:pt>
                <c:pt idx="209">
                  <c:v>22.3</c:v>
                </c:pt>
                <c:pt idx="210">
                  <c:v>25.7</c:v>
                </c:pt>
                <c:pt idx="211">
                  <c:v>33.6</c:v>
                </c:pt>
                <c:pt idx="212">
                  <c:v>26.7</c:v>
                </c:pt>
                <c:pt idx="213">
                  <c:v>35.6</c:v>
                </c:pt>
                <c:pt idx="214">
                  <c:v>36.299999999999997</c:v>
                </c:pt>
                <c:pt idx="215">
                  <c:v>22.8</c:v>
                </c:pt>
                <c:pt idx="216">
                  <c:v>28.1</c:v>
                </c:pt>
                <c:pt idx="217">
                  <c:v>8.5</c:v>
                </c:pt>
                <c:pt idx="218">
                  <c:v>12.2</c:v>
                </c:pt>
                <c:pt idx="219">
                  <c:v>15</c:v>
                </c:pt>
                <c:pt idx="220">
                  <c:v>30.6</c:v>
                </c:pt>
                <c:pt idx="221">
                  <c:v>50.3</c:v>
                </c:pt>
                <c:pt idx="222">
                  <c:v>74</c:v>
                </c:pt>
                <c:pt idx="223">
                  <c:v>34.6</c:v>
                </c:pt>
                <c:pt idx="224">
                  <c:v>42.1</c:v>
                </c:pt>
                <c:pt idx="225">
                  <c:v>33.700000000000003</c:v>
                </c:pt>
                <c:pt idx="226">
                  <c:v>35.200000000000003</c:v>
                </c:pt>
                <c:pt idx="227">
                  <c:v>54.9</c:v>
                </c:pt>
                <c:pt idx="228">
                  <c:v>40.6</c:v>
                </c:pt>
                <c:pt idx="229">
                  <c:v>31.4</c:v>
                </c:pt>
                <c:pt idx="230">
                  <c:v>28.2</c:v>
                </c:pt>
                <c:pt idx="231">
                  <c:v>26.9</c:v>
                </c:pt>
                <c:pt idx="232">
                  <c:v>32.299999999999997</c:v>
                </c:pt>
                <c:pt idx="233">
                  <c:v>37.1</c:v>
                </c:pt>
                <c:pt idx="234">
                  <c:v>49.5</c:v>
                </c:pt>
                <c:pt idx="235">
                  <c:v>42.4</c:v>
                </c:pt>
                <c:pt idx="236">
                  <c:v>53.9</c:v>
                </c:pt>
                <c:pt idx="237">
                  <c:v>42.8</c:v>
                </c:pt>
                <c:pt idx="238">
                  <c:v>28.5</c:v>
                </c:pt>
                <c:pt idx="239">
                  <c:v>30.3</c:v>
                </c:pt>
                <c:pt idx="240">
                  <c:v>14.6</c:v>
                </c:pt>
                <c:pt idx="241">
                  <c:v>38.6</c:v>
                </c:pt>
                <c:pt idx="242">
                  <c:v>40.4</c:v>
                </c:pt>
                <c:pt idx="243">
                  <c:v>39.200000000000003</c:v>
                </c:pt>
                <c:pt idx="244">
                  <c:v>35</c:v>
                </c:pt>
                <c:pt idx="245">
                  <c:v>27</c:v>
                </c:pt>
                <c:pt idx="246">
                  <c:v>34.9</c:v>
                </c:pt>
                <c:pt idx="247">
                  <c:v>29.8</c:v>
                </c:pt>
                <c:pt idx="248">
                  <c:v>30.7</c:v>
                </c:pt>
                <c:pt idx="249">
                  <c:v>39.299999999999997</c:v>
                </c:pt>
                <c:pt idx="250">
                  <c:v>77.8</c:v>
                </c:pt>
                <c:pt idx="251">
                  <c:v>55</c:v>
                </c:pt>
                <c:pt idx="252">
                  <c:v>61.7</c:v>
                </c:pt>
                <c:pt idx="253">
                  <c:v>54.7</c:v>
                </c:pt>
                <c:pt idx="254">
                  <c:v>46.2</c:v>
                </c:pt>
                <c:pt idx="255">
                  <c:v>60</c:v>
                </c:pt>
                <c:pt idx="256">
                  <c:v>71</c:v>
                </c:pt>
                <c:pt idx="257">
                  <c:v>87.1</c:v>
                </c:pt>
                <c:pt idx="258">
                  <c:v>60.2</c:v>
                </c:pt>
                <c:pt idx="259">
                  <c:v>69.5</c:v>
                </c:pt>
                <c:pt idx="260">
                  <c:v>80.3</c:v>
                </c:pt>
                <c:pt idx="261">
                  <c:v>56.9</c:v>
                </c:pt>
                <c:pt idx="262">
                  <c:v>57.9</c:v>
                </c:pt>
                <c:pt idx="263">
                  <c:v>47.1</c:v>
                </c:pt>
                <c:pt idx="264">
                  <c:v>75.7</c:v>
                </c:pt>
                <c:pt idx="265">
                  <c:v>77.8</c:v>
                </c:pt>
                <c:pt idx="266">
                  <c:v>55.7</c:v>
                </c:pt>
                <c:pt idx="267">
                  <c:v>48.2</c:v>
                </c:pt>
                <c:pt idx="268">
                  <c:v>65.5</c:v>
                </c:pt>
                <c:pt idx="269">
                  <c:v>68.599999999999994</c:v>
                </c:pt>
                <c:pt idx="270">
                  <c:v>76.5</c:v>
                </c:pt>
                <c:pt idx="271">
                  <c:v>72.8</c:v>
                </c:pt>
                <c:pt idx="272">
                  <c:v>43.4</c:v>
                </c:pt>
                <c:pt idx="273">
                  <c:v>44.8</c:v>
                </c:pt>
                <c:pt idx="274">
                  <c:v>65.900000000000006</c:v>
                </c:pt>
                <c:pt idx="275">
                  <c:v>65.3</c:v>
                </c:pt>
                <c:pt idx="276">
                  <c:v>54.7</c:v>
                </c:pt>
                <c:pt idx="277">
                  <c:v>54.7</c:v>
                </c:pt>
                <c:pt idx="278">
                  <c:v>52.4</c:v>
                </c:pt>
                <c:pt idx="279">
                  <c:v>65.8</c:v>
                </c:pt>
                <c:pt idx="280">
                  <c:v>72.3</c:v>
                </c:pt>
                <c:pt idx="281">
                  <c:v>46.5</c:v>
                </c:pt>
                <c:pt idx="282">
                  <c:v>23.9</c:v>
                </c:pt>
                <c:pt idx="283">
                  <c:v>38.6</c:v>
                </c:pt>
                <c:pt idx="284">
                  <c:v>37.4</c:v>
                </c:pt>
                <c:pt idx="285">
                  <c:v>72.8</c:v>
                </c:pt>
                <c:pt idx="286">
                  <c:v>50.2</c:v>
                </c:pt>
                <c:pt idx="287">
                  <c:v>73.3</c:v>
                </c:pt>
                <c:pt idx="288">
                  <c:v>53.5</c:v>
                </c:pt>
                <c:pt idx="289">
                  <c:v>63.3</c:v>
                </c:pt>
                <c:pt idx="290">
                  <c:v>66.599999999999994</c:v>
                </c:pt>
                <c:pt idx="291">
                  <c:v>68.2</c:v>
                </c:pt>
                <c:pt idx="292">
                  <c:v>62.6</c:v>
                </c:pt>
                <c:pt idx="293">
                  <c:v>92.7</c:v>
                </c:pt>
                <c:pt idx="294">
                  <c:v>59.4</c:v>
                </c:pt>
                <c:pt idx="295">
                  <c:v>53.2</c:v>
                </c:pt>
                <c:pt idx="296">
                  <c:v>56.6</c:v>
                </c:pt>
                <c:pt idx="297">
                  <c:v>61.5</c:v>
                </c:pt>
                <c:pt idx="298">
                  <c:v>63.2</c:v>
                </c:pt>
                <c:pt idx="299">
                  <c:v>44.5</c:v>
                </c:pt>
                <c:pt idx="300">
                  <c:v>30</c:v>
                </c:pt>
                <c:pt idx="301">
                  <c:v>20.100000000000001</c:v>
                </c:pt>
                <c:pt idx="302">
                  <c:v>24.9</c:v>
                </c:pt>
                <c:pt idx="303">
                  <c:v>43.2</c:v>
                </c:pt>
                <c:pt idx="304">
                  <c:v>29</c:v>
                </c:pt>
                <c:pt idx="305">
                  <c:v>52.1</c:v>
                </c:pt>
                <c:pt idx="306">
                  <c:v>58.3</c:v>
                </c:pt>
                <c:pt idx="307">
                  <c:v>53.7</c:v>
                </c:pt>
                <c:pt idx="308">
                  <c:v>51.9</c:v>
                </c:pt>
                <c:pt idx="309">
                  <c:v>53.4</c:v>
                </c:pt>
                <c:pt idx="310">
                  <c:v>57.2</c:v>
                </c:pt>
                <c:pt idx="311">
                  <c:v>75</c:v>
                </c:pt>
                <c:pt idx="312">
                  <c:v>67.400000000000006</c:v>
                </c:pt>
                <c:pt idx="313">
                  <c:v>64.900000000000006</c:v>
                </c:pt>
                <c:pt idx="314">
                  <c:v>70.900000000000006</c:v>
                </c:pt>
                <c:pt idx="315">
                  <c:v>77.2</c:v>
                </c:pt>
                <c:pt idx="316">
                  <c:v>62.4</c:v>
                </c:pt>
                <c:pt idx="317">
                  <c:v>84.5</c:v>
                </c:pt>
                <c:pt idx="318">
                  <c:v>90.3</c:v>
                </c:pt>
                <c:pt idx="319">
                  <c:v>84.5</c:v>
                </c:pt>
                <c:pt idx="320">
                  <c:v>68.900000000000006</c:v>
                </c:pt>
                <c:pt idx="321">
                  <c:v>55.1</c:v>
                </c:pt>
                <c:pt idx="322">
                  <c:v>90.9</c:v>
                </c:pt>
                <c:pt idx="323">
                  <c:v>55.6</c:v>
                </c:pt>
                <c:pt idx="324">
                  <c:v>49.1</c:v>
                </c:pt>
                <c:pt idx="325">
                  <c:v>25.1</c:v>
                </c:pt>
                <c:pt idx="326">
                  <c:v>75.3</c:v>
                </c:pt>
                <c:pt idx="327">
                  <c:v>61</c:v>
                </c:pt>
                <c:pt idx="328">
                  <c:v>67.099999999999994</c:v>
                </c:pt>
                <c:pt idx="329">
                  <c:v>53.5</c:v>
                </c:pt>
                <c:pt idx="330">
                  <c:v>53.1</c:v>
                </c:pt>
                <c:pt idx="331">
                  <c:v>50.7</c:v>
                </c:pt>
                <c:pt idx="332">
                  <c:v>53.6</c:v>
                </c:pt>
                <c:pt idx="333">
                  <c:v>45.5</c:v>
                </c:pt>
                <c:pt idx="334">
                  <c:v>77.599999999999994</c:v>
                </c:pt>
                <c:pt idx="335">
                  <c:v>84.6</c:v>
                </c:pt>
                <c:pt idx="336">
                  <c:v>65.7</c:v>
                </c:pt>
                <c:pt idx="337">
                  <c:v>81.400000000000006</c:v>
                </c:pt>
                <c:pt idx="338">
                  <c:v>69.400000000000006</c:v>
                </c:pt>
                <c:pt idx="339">
                  <c:v>97.4</c:v>
                </c:pt>
                <c:pt idx="340">
                  <c:v>97.3</c:v>
                </c:pt>
                <c:pt idx="341">
                  <c:v>69.099999999999994</c:v>
                </c:pt>
                <c:pt idx="342">
                  <c:v>52</c:v>
                </c:pt>
                <c:pt idx="343">
                  <c:v>79.7</c:v>
                </c:pt>
                <c:pt idx="344">
                  <c:v>89.2</c:v>
                </c:pt>
                <c:pt idx="345">
                  <c:v>92.7</c:v>
                </c:pt>
                <c:pt idx="346">
                  <c:v>79.900000000000006</c:v>
                </c:pt>
                <c:pt idx="347">
                  <c:v>80.2</c:v>
                </c:pt>
                <c:pt idx="348">
                  <c:v>71.099999999999994</c:v>
                </c:pt>
                <c:pt idx="349">
                  <c:v>84.4</c:v>
                </c:pt>
                <c:pt idx="350">
                  <c:v>93.4</c:v>
                </c:pt>
                <c:pt idx="351">
                  <c:v>93.4</c:v>
                </c:pt>
                <c:pt idx="352">
                  <c:v>93.2</c:v>
                </c:pt>
                <c:pt idx="353">
                  <c:v>96.4</c:v>
                </c:pt>
                <c:pt idx="354">
                  <c:v>94</c:v>
                </c:pt>
                <c:pt idx="355">
                  <c:v>86.4</c:v>
                </c:pt>
                <c:pt idx="356">
                  <c:v>65.5</c:v>
                </c:pt>
                <c:pt idx="357">
                  <c:v>72.5</c:v>
                </c:pt>
                <c:pt idx="358">
                  <c:v>63.5</c:v>
                </c:pt>
                <c:pt idx="359">
                  <c:v>72.5</c:v>
                </c:pt>
                <c:pt idx="360">
                  <c:v>88.9</c:v>
                </c:pt>
                <c:pt idx="361">
                  <c:v>88.7</c:v>
                </c:pt>
                <c:pt idx="362">
                  <c:v>80.400000000000006</c:v>
                </c:pt>
                <c:pt idx="363">
                  <c:v>91.7</c:v>
                </c:pt>
                <c:pt idx="364">
                  <c:v>93.7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12160"/>
        <c:axId val="205917184"/>
      </c:lineChart>
      <c:catAx>
        <c:axId val="205612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17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917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1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400224166572111"/>
          <c:y val="0.69158066292710418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0.92600000000000005</c:v>
                </c:pt>
                <c:pt idx="1">
                  <c:v>0.92900000000000005</c:v>
                </c:pt>
                <c:pt idx="2">
                  <c:v>0.92600000000000005</c:v>
                </c:pt>
                <c:pt idx="3">
                  <c:v>0.92800000000000005</c:v>
                </c:pt>
                <c:pt idx="4">
                  <c:v>0.91</c:v>
                </c:pt>
                <c:pt idx="5">
                  <c:v>0.872</c:v>
                </c:pt>
                <c:pt idx="6">
                  <c:v>0.91900000000000004</c:v>
                </c:pt>
                <c:pt idx="7">
                  <c:v>0.83399999999999996</c:v>
                </c:pt>
                <c:pt idx="8">
                  <c:v>0.83899999999999997</c:v>
                </c:pt>
                <c:pt idx="9">
                  <c:v>0.873</c:v>
                </c:pt>
                <c:pt idx="10">
                  <c:v>0.92700000000000005</c:v>
                </c:pt>
                <c:pt idx="11">
                  <c:v>0.86399999999999999</c:v>
                </c:pt>
                <c:pt idx="12">
                  <c:v>0.84299999999999997</c:v>
                </c:pt>
                <c:pt idx="13">
                  <c:v>0.88400000000000001</c:v>
                </c:pt>
                <c:pt idx="14">
                  <c:v>0.85099999999999998</c:v>
                </c:pt>
                <c:pt idx="15">
                  <c:v>0.82099999999999995</c:v>
                </c:pt>
                <c:pt idx="16">
                  <c:v>0.91100000000000003</c:v>
                </c:pt>
                <c:pt idx="17">
                  <c:v>0.93100000000000005</c:v>
                </c:pt>
                <c:pt idx="18">
                  <c:v>0.88200000000000001</c:v>
                </c:pt>
                <c:pt idx="19">
                  <c:v>0.86499999999999999</c:v>
                </c:pt>
                <c:pt idx="20">
                  <c:v>0.87</c:v>
                </c:pt>
                <c:pt idx="21">
                  <c:v>0.93100000000000005</c:v>
                </c:pt>
                <c:pt idx="22">
                  <c:v>0.92500000000000004</c:v>
                </c:pt>
                <c:pt idx="23">
                  <c:v>0.878</c:v>
                </c:pt>
                <c:pt idx="24">
                  <c:v>0.874</c:v>
                </c:pt>
                <c:pt idx="25">
                  <c:v>0.86799999999999999</c:v>
                </c:pt>
                <c:pt idx="26">
                  <c:v>0.86499999999999999</c:v>
                </c:pt>
                <c:pt idx="27">
                  <c:v>0.88200000000000001</c:v>
                </c:pt>
                <c:pt idx="28">
                  <c:v>0.876</c:v>
                </c:pt>
                <c:pt idx="29">
                  <c:v>0.81899999999999995</c:v>
                </c:pt>
                <c:pt idx="30">
                  <c:v>0.81499999999999995</c:v>
                </c:pt>
                <c:pt idx="31">
                  <c:v>0.81899999999999995</c:v>
                </c:pt>
                <c:pt idx="32">
                  <c:v>0.89</c:v>
                </c:pt>
                <c:pt idx="33">
                  <c:v>0.86599999999999999</c:v>
                </c:pt>
                <c:pt idx="34">
                  <c:v>0.89500000000000002</c:v>
                </c:pt>
                <c:pt idx="35">
                  <c:v>0.873</c:v>
                </c:pt>
                <c:pt idx="36">
                  <c:v>0.874</c:v>
                </c:pt>
                <c:pt idx="37">
                  <c:v>0.82399999999999995</c:v>
                </c:pt>
                <c:pt idx="38">
                  <c:v>0.92900000000000005</c:v>
                </c:pt>
                <c:pt idx="39">
                  <c:v>0.84899999999999998</c:v>
                </c:pt>
                <c:pt idx="40">
                  <c:v>0.90500000000000003</c:v>
                </c:pt>
                <c:pt idx="41">
                  <c:v>0.93</c:v>
                </c:pt>
                <c:pt idx="42">
                  <c:v>0.93100000000000005</c:v>
                </c:pt>
                <c:pt idx="43">
                  <c:v>0.93</c:v>
                </c:pt>
                <c:pt idx="44">
                  <c:v>0.91500000000000004</c:v>
                </c:pt>
                <c:pt idx="45">
                  <c:v>0.92900000000000005</c:v>
                </c:pt>
                <c:pt idx="46">
                  <c:v>0.92100000000000004</c:v>
                </c:pt>
                <c:pt idx="47">
                  <c:v>0.92800000000000005</c:v>
                </c:pt>
                <c:pt idx="48">
                  <c:v>0.91200000000000003</c:v>
                </c:pt>
                <c:pt idx="49">
                  <c:v>0.83699999999999997</c:v>
                </c:pt>
                <c:pt idx="50">
                  <c:v>0.88400000000000001</c:v>
                </c:pt>
                <c:pt idx="51">
                  <c:v>0.86699999999999999</c:v>
                </c:pt>
                <c:pt idx="52">
                  <c:v>0.93</c:v>
                </c:pt>
                <c:pt idx="53">
                  <c:v>0.93</c:v>
                </c:pt>
                <c:pt idx="54">
                  <c:v>0.89</c:v>
                </c:pt>
                <c:pt idx="55">
                  <c:v>0.89900000000000002</c:v>
                </c:pt>
                <c:pt idx="56">
                  <c:v>0.83599999999999997</c:v>
                </c:pt>
                <c:pt idx="57">
                  <c:v>0.82199999999999995</c:v>
                </c:pt>
                <c:pt idx="58">
                  <c:v>0.93</c:v>
                </c:pt>
                <c:pt idx="59">
                  <c:v>0.92900000000000005</c:v>
                </c:pt>
                <c:pt idx="60">
                  <c:v>0.89200000000000002</c:v>
                </c:pt>
                <c:pt idx="61">
                  <c:v>0.88900000000000001</c:v>
                </c:pt>
                <c:pt idx="62">
                  <c:v>0.88600000000000001</c:v>
                </c:pt>
                <c:pt idx="63">
                  <c:v>0.81599999999999995</c:v>
                </c:pt>
                <c:pt idx="64">
                  <c:v>0.85099999999999998</c:v>
                </c:pt>
                <c:pt idx="65">
                  <c:v>0.93</c:v>
                </c:pt>
                <c:pt idx="66">
                  <c:v>0.89</c:v>
                </c:pt>
                <c:pt idx="67">
                  <c:v>0.88500000000000001</c:v>
                </c:pt>
                <c:pt idx="68">
                  <c:v>0.89200000000000002</c:v>
                </c:pt>
                <c:pt idx="69">
                  <c:v>0.83099999999999996</c:v>
                </c:pt>
                <c:pt idx="70">
                  <c:v>0.871</c:v>
                </c:pt>
                <c:pt idx="71">
                  <c:v>0.872</c:v>
                </c:pt>
                <c:pt idx="72">
                  <c:v>0.86599999999999999</c:v>
                </c:pt>
                <c:pt idx="73">
                  <c:v>0.82899999999999996</c:v>
                </c:pt>
                <c:pt idx="74">
                  <c:v>0.83399999999999996</c:v>
                </c:pt>
                <c:pt idx="75">
                  <c:v>0.80800000000000005</c:v>
                </c:pt>
                <c:pt idx="76">
                  <c:v>0.78500000000000003</c:v>
                </c:pt>
                <c:pt idx="77">
                  <c:v>0.77</c:v>
                </c:pt>
                <c:pt idx="78">
                  <c:v>0.76</c:v>
                </c:pt>
                <c:pt idx="79">
                  <c:v>0.76400000000000001</c:v>
                </c:pt>
                <c:pt idx="80">
                  <c:v>0.76200000000000001</c:v>
                </c:pt>
                <c:pt idx="81">
                  <c:v>0.71</c:v>
                </c:pt>
                <c:pt idx="82">
                  <c:v>0.70599999999999996</c:v>
                </c:pt>
                <c:pt idx="83">
                  <c:v>0.72599999999999998</c:v>
                </c:pt>
                <c:pt idx="84">
                  <c:v>0.84499999999999997</c:v>
                </c:pt>
                <c:pt idx="85">
                  <c:v>0.81599999999999995</c:v>
                </c:pt>
                <c:pt idx="86">
                  <c:v>0.75800000000000001</c:v>
                </c:pt>
                <c:pt idx="87">
                  <c:v>0.748</c:v>
                </c:pt>
                <c:pt idx="88">
                  <c:v>0.72599999999999998</c:v>
                </c:pt>
                <c:pt idx="89">
                  <c:v>0.747</c:v>
                </c:pt>
                <c:pt idx="90">
                  <c:v>0.71199999999999997</c:v>
                </c:pt>
                <c:pt idx="91">
                  <c:v>0.70499999999999996</c:v>
                </c:pt>
                <c:pt idx="92">
                  <c:v>0.69899999999999995</c:v>
                </c:pt>
                <c:pt idx="93">
                  <c:v>0.67900000000000005</c:v>
                </c:pt>
                <c:pt idx="94">
                  <c:v>0.66900000000000004</c:v>
                </c:pt>
                <c:pt idx="95">
                  <c:v>0.85199999999999998</c:v>
                </c:pt>
                <c:pt idx="96">
                  <c:v>0.76300000000000001</c:v>
                </c:pt>
                <c:pt idx="97">
                  <c:v>0.70099999999999996</c:v>
                </c:pt>
                <c:pt idx="98">
                  <c:v>0.72499999999999998</c:v>
                </c:pt>
                <c:pt idx="99">
                  <c:v>0.82099999999999995</c:v>
                </c:pt>
                <c:pt idx="100">
                  <c:v>0.81699999999999995</c:v>
                </c:pt>
                <c:pt idx="101">
                  <c:v>0.76800000000000002</c:v>
                </c:pt>
                <c:pt idx="102">
                  <c:v>0.91200000000000003</c:v>
                </c:pt>
                <c:pt idx="103">
                  <c:v>0.85199999999999998</c:v>
                </c:pt>
                <c:pt idx="104">
                  <c:v>0.80800000000000005</c:v>
                </c:pt>
                <c:pt idx="105">
                  <c:v>0.77800000000000002</c:v>
                </c:pt>
                <c:pt idx="106">
                  <c:v>0.69399999999999995</c:v>
                </c:pt>
                <c:pt idx="107">
                  <c:v>0.65500000000000003</c:v>
                </c:pt>
                <c:pt idx="108">
                  <c:v>0.624</c:v>
                </c:pt>
                <c:pt idx="109">
                  <c:v>0.63800000000000001</c:v>
                </c:pt>
                <c:pt idx="110">
                  <c:v>0.65</c:v>
                </c:pt>
                <c:pt idx="111">
                  <c:v>0.63</c:v>
                </c:pt>
                <c:pt idx="112">
                  <c:v>0.61799999999999999</c:v>
                </c:pt>
                <c:pt idx="113">
                  <c:v>0.63300000000000001</c:v>
                </c:pt>
                <c:pt idx="114">
                  <c:v>0.64900000000000002</c:v>
                </c:pt>
                <c:pt idx="115">
                  <c:v>0.63300000000000001</c:v>
                </c:pt>
                <c:pt idx="116">
                  <c:v>0.73</c:v>
                </c:pt>
                <c:pt idx="117">
                  <c:v>0.78400000000000003</c:v>
                </c:pt>
                <c:pt idx="118">
                  <c:v>0.73599999999999999</c:v>
                </c:pt>
                <c:pt idx="119">
                  <c:v>0.70599999999999996</c:v>
                </c:pt>
                <c:pt idx="120">
                  <c:v>0.63800000000000001</c:v>
                </c:pt>
                <c:pt idx="121">
                  <c:v>0.64100000000000001</c:v>
                </c:pt>
                <c:pt idx="122">
                  <c:v>0.57299999999999995</c:v>
                </c:pt>
                <c:pt idx="123">
                  <c:v>0.495</c:v>
                </c:pt>
                <c:pt idx="124">
                  <c:v>0.39900000000000002</c:v>
                </c:pt>
                <c:pt idx="125">
                  <c:v>0.26200000000000001</c:v>
                </c:pt>
                <c:pt idx="126">
                  <c:v>0.17100000000000001</c:v>
                </c:pt>
                <c:pt idx="127">
                  <c:v>0.16700000000000001</c:v>
                </c:pt>
                <c:pt idx="128">
                  <c:v>0.16700000000000001</c:v>
                </c:pt>
                <c:pt idx="129">
                  <c:v>0.16900000000000001</c:v>
                </c:pt>
                <c:pt idx="130">
                  <c:v>0.17</c:v>
                </c:pt>
                <c:pt idx="131">
                  <c:v>0.17199999999999999</c:v>
                </c:pt>
                <c:pt idx="132">
                  <c:v>0.17499999999999999</c:v>
                </c:pt>
                <c:pt idx="133">
                  <c:v>0.17</c:v>
                </c:pt>
                <c:pt idx="134">
                  <c:v>0.16600000000000001</c:v>
                </c:pt>
                <c:pt idx="135">
                  <c:v>0.14499999999999999</c:v>
                </c:pt>
                <c:pt idx="136">
                  <c:v>0.13900000000000001</c:v>
                </c:pt>
                <c:pt idx="137">
                  <c:v>0.16200000000000001</c:v>
                </c:pt>
                <c:pt idx="138">
                  <c:v>0.17699999999999999</c:v>
                </c:pt>
                <c:pt idx="139">
                  <c:v>0.18099999999999999</c:v>
                </c:pt>
                <c:pt idx="140">
                  <c:v>0.18099999999999999</c:v>
                </c:pt>
                <c:pt idx="141">
                  <c:v>0.182</c:v>
                </c:pt>
                <c:pt idx="142">
                  <c:v>0.18099999999999999</c:v>
                </c:pt>
                <c:pt idx="143">
                  <c:v>0.17899999999999999</c:v>
                </c:pt>
                <c:pt idx="144">
                  <c:v>0.14499999999999999</c:v>
                </c:pt>
                <c:pt idx="145">
                  <c:v>0.17299999999999999</c:v>
                </c:pt>
                <c:pt idx="146">
                  <c:v>0.186</c:v>
                </c:pt>
                <c:pt idx="147">
                  <c:v>0.191</c:v>
                </c:pt>
                <c:pt idx="148">
                  <c:v>0.19400000000000001</c:v>
                </c:pt>
                <c:pt idx="149">
                  <c:v>0.185</c:v>
                </c:pt>
                <c:pt idx="150">
                  <c:v>0.18</c:v>
                </c:pt>
                <c:pt idx="151">
                  <c:v>0.192</c:v>
                </c:pt>
                <c:pt idx="152">
                  <c:v>0.19800000000000001</c:v>
                </c:pt>
                <c:pt idx="153">
                  <c:v>0.20100000000000001</c:v>
                </c:pt>
                <c:pt idx="154">
                  <c:v>0.20200000000000001</c:v>
                </c:pt>
                <c:pt idx="155">
                  <c:v>0.19700000000000001</c:v>
                </c:pt>
                <c:pt idx="156">
                  <c:v>0.189</c:v>
                </c:pt>
                <c:pt idx="157">
                  <c:v>0.22800000000000001</c:v>
                </c:pt>
                <c:pt idx="158">
                  <c:v>0.17299999999999999</c:v>
                </c:pt>
                <c:pt idx="159">
                  <c:v>0.19900000000000001</c:v>
                </c:pt>
                <c:pt idx="160">
                  <c:v>0.20699999999999999</c:v>
                </c:pt>
                <c:pt idx="161">
                  <c:v>0.20599999999999999</c:v>
                </c:pt>
                <c:pt idx="162">
                  <c:v>0.20899999999999999</c:v>
                </c:pt>
                <c:pt idx="163">
                  <c:v>0.21</c:v>
                </c:pt>
                <c:pt idx="164">
                  <c:v>0.20899999999999999</c:v>
                </c:pt>
                <c:pt idx="165">
                  <c:v>0.21</c:v>
                </c:pt>
                <c:pt idx="166">
                  <c:v>0.215</c:v>
                </c:pt>
                <c:pt idx="167">
                  <c:v>0.21099999999999999</c:v>
                </c:pt>
                <c:pt idx="168">
                  <c:v>0.214</c:v>
                </c:pt>
                <c:pt idx="169">
                  <c:v>0.20799999999999999</c:v>
                </c:pt>
                <c:pt idx="170">
                  <c:v>0.18099999999999999</c:v>
                </c:pt>
                <c:pt idx="171">
                  <c:v>0.20300000000000001</c:v>
                </c:pt>
                <c:pt idx="172">
                  <c:v>0.219</c:v>
                </c:pt>
                <c:pt idx="173">
                  <c:v>0.20599999999999999</c:v>
                </c:pt>
                <c:pt idx="174">
                  <c:v>0.19500000000000001</c:v>
                </c:pt>
                <c:pt idx="175">
                  <c:v>0.21099999999999999</c:v>
                </c:pt>
                <c:pt idx="176">
                  <c:v>0.215</c:v>
                </c:pt>
                <c:pt idx="177">
                  <c:v>0.20499999999999999</c:v>
                </c:pt>
                <c:pt idx="178">
                  <c:v>0.20200000000000001</c:v>
                </c:pt>
                <c:pt idx="179">
                  <c:v>0.215</c:v>
                </c:pt>
                <c:pt idx="180">
                  <c:v>0.22</c:v>
                </c:pt>
                <c:pt idx="181">
                  <c:v>0.214</c:v>
                </c:pt>
                <c:pt idx="182">
                  <c:v>0.222</c:v>
                </c:pt>
                <c:pt idx="183">
                  <c:v>0.219</c:v>
                </c:pt>
                <c:pt idx="184">
                  <c:v>0.221</c:v>
                </c:pt>
                <c:pt idx="185">
                  <c:v>0.20100000000000001</c:v>
                </c:pt>
                <c:pt idx="186">
                  <c:v>0.191</c:v>
                </c:pt>
                <c:pt idx="187">
                  <c:v>0.214</c:v>
                </c:pt>
                <c:pt idx="188">
                  <c:v>0.21099999999999999</c:v>
                </c:pt>
                <c:pt idx="189">
                  <c:v>0.216</c:v>
                </c:pt>
                <c:pt idx="190">
                  <c:v>0.20599999999999999</c:v>
                </c:pt>
                <c:pt idx="191">
                  <c:v>0.20599999999999999</c:v>
                </c:pt>
                <c:pt idx="192">
                  <c:v>0.216</c:v>
                </c:pt>
                <c:pt idx="193">
                  <c:v>0.221</c:v>
                </c:pt>
                <c:pt idx="194">
                  <c:v>0.22</c:v>
                </c:pt>
                <c:pt idx="195">
                  <c:v>0.218</c:v>
                </c:pt>
                <c:pt idx="196">
                  <c:v>0.222</c:v>
                </c:pt>
                <c:pt idx="197">
                  <c:v>0.19800000000000001</c:v>
                </c:pt>
                <c:pt idx="198">
                  <c:v>0.214</c:v>
                </c:pt>
                <c:pt idx="199">
                  <c:v>0.221</c:v>
                </c:pt>
                <c:pt idx="200">
                  <c:v>0.22</c:v>
                </c:pt>
                <c:pt idx="201">
                  <c:v>0.221</c:v>
                </c:pt>
                <c:pt idx="202">
                  <c:v>0.222</c:v>
                </c:pt>
                <c:pt idx="203">
                  <c:v>0.217</c:v>
                </c:pt>
                <c:pt idx="204">
                  <c:v>0.216</c:v>
                </c:pt>
                <c:pt idx="205">
                  <c:v>0.222</c:v>
                </c:pt>
                <c:pt idx="206">
                  <c:v>0.224</c:v>
                </c:pt>
                <c:pt idx="207">
                  <c:v>0.223</c:v>
                </c:pt>
                <c:pt idx="208">
                  <c:v>0.22700000000000001</c:v>
                </c:pt>
                <c:pt idx="209">
                  <c:v>0.22600000000000001</c:v>
                </c:pt>
                <c:pt idx="210">
                  <c:v>0.22600000000000001</c:v>
                </c:pt>
                <c:pt idx="211">
                  <c:v>0.22700000000000001</c:v>
                </c:pt>
                <c:pt idx="212">
                  <c:v>0.23200000000000001</c:v>
                </c:pt>
                <c:pt idx="213">
                  <c:v>0.23499999999999999</c:v>
                </c:pt>
                <c:pt idx="214">
                  <c:v>0.23300000000000001</c:v>
                </c:pt>
                <c:pt idx="215">
                  <c:v>0.23200000000000001</c:v>
                </c:pt>
                <c:pt idx="216">
                  <c:v>0.23300000000000001</c:v>
                </c:pt>
                <c:pt idx="217">
                  <c:v>0.23599999999999999</c:v>
                </c:pt>
                <c:pt idx="218">
                  <c:v>0.23699999999999999</c:v>
                </c:pt>
                <c:pt idx="219">
                  <c:v>0.23699999999999999</c:v>
                </c:pt>
                <c:pt idx="220">
                  <c:v>0.23799999999999999</c:v>
                </c:pt>
                <c:pt idx="221">
                  <c:v>0.218</c:v>
                </c:pt>
                <c:pt idx="222">
                  <c:v>0.188</c:v>
                </c:pt>
                <c:pt idx="223">
                  <c:v>0.218</c:v>
                </c:pt>
                <c:pt idx="224">
                  <c:v>0.22800000000000001</c:v>
                </c:pt>
                <c:pt idx="225">
                  <c:v>0.223</c:v>
                </c:pt>
                <c:pt idx="226">
                  <c:v>0.23200000000000001</c:v>
                </c:pt>
                <c:pt idx="227">
                  <c:v>0.22500000000000001</c:v>
                </c:pt>
                <c:pt idx="228">
                  <c:v>0.23</c:v>
                </c:pt>
                <c:pt idx="229">
                  <c:v>0.23300000000000001</c:v>
                </c:pt>
                <c:pt idx="230">
                  <c:v>0.23599999999999999</c:v>
                </c:pt>
                <c:pt idx="231">
                  <c:v>0.23499999999999999</c:v>
                </c:pt>
                <c:pt idx="232">
                  <c:v>0.23300000000000001</c:v>
                </c:pt>
                <c:pt idx="233">
                  <c:v>0.23300000000000001</c:v>
                </c:pt>
                <c:pt idx="234">
                  <c:v>0.22500000000000001</c:v>
                </c:pt>
                <c:pt idx="235">
                  <c:v>0.23400000000000001</c:v>
                </c:pt>
                <c:pt idx="236">
                  <c:v>0.217</c:v>
                </c:pt>
                <c:pt idx="237">
                  <c:v>0.221</c:v>
                </c:pt>
                <c:pt idx="238">
                  <c:v>0.23400000000000001</c:v>
                </c:pt>
                <c:pt idx="239">
                  <c:v>0.23499999999999999</c:v>
                </c:pt>
                <c:pt idx="240">
                  <c:v>0.23699999999999999</c:v>
                </c:pt>
                <c:pt idx="241">
                  <c:v>0.23400000000000001</c:v>
                </c:pt>
                <c:pt idx="242">
                  <c:v>0.23100000000000001</c:v>
                </c:pt>
                <c:pt idx="243">
                  <c:v>0.23</c:v>
                </c:pt>
                <c:pt idx="244">
                  <c:v>0.23599999999999999</c:v>
                </c:pt>
                <c:pt idx="245">
                  <c:v>0.23499999999999999</c:v>
                </c:pt>
                <c:pt idx="246">
                  <c:v>0.22600000000000001</c:v>
                </c:pt>
                <c:pt idx="247">
                  <c:v>0.23599999999999999</c:v>
                </c:pt>
                <c:pt idx="248">
                  <c:v>0.23400000000000001</c:v>
                </c:pt>
                <c:pt idx="249">
                  <c:v>0.23400000000000001</c:v>
                </c:pt>
                <c:pt idx="250">
                  <c:v>0.183</c:v>
                </c:pt>
                <c:pt idx="251">
                  <c:v>0.186</c:v>
                </c:pt>
                <c:pt idx="252">
                  <c:v>0.17899999999999999</c:v>
                </c:pt>
                <c:pt idx="253">
                  <c:v>0.19600000000000001</c:v>
                </c:pt>
                <c:pt idx="254">
                  <c:v>0.21</c:v>
                </c:pt>
                <c:pt idx="255">
                  <c:v>0.218</c:v>
                </c:pt>
                <c:pt idx="256">
                  <c:v>0.184</c:v>
                </c:pt>
                <c:pt idx="257">
                  <c:v>0.156</c:v>
                </c:pt>
                <c:pt idx="258">
                  <c:v>0.185</c:v>
                </c:pt>
                <c:pt idx="259">
                  <c:v>0.17799999999999999</c:v>
                </c:pt>
                <c:pt idx="260">
                  <c:v>0.16600000000000001</c:v>
                </c:pt>
                <c:pt idx="261">
                  <c:v>0.20100000000000001</c:v>
                </c:pt>
                <c:pt idx="262">
                  <c:v>0.193</c:v>
                </c:pt>
                <c:pt idx="263">
                  <c:v>0.218</c:v>
                </c:pt>
                <c:pt idx="264">
                  <c:v>0.189</c:v>
                </c:pt>
                <c:pt idx="265">
                  <c:v>0.156</c:v>
                </c:pt>
                <c:pt idx="266">
                  <c:v>0.20300000000000001</c:v>
                </c:pt>
                <c:pt idx="267">
                  <c:v>0.20599999999999999</c:v>
                </c:pt>
                <c:pt idx="268">
                  <c:v>0.16700000000000001</c:v>
                </c:pt>
                <c:pt idx="269">
                  <c:v>0.27900000000000003</c:v>
                </c:pt>
                <c:pt idx="270">
                  <c:v>0.86399999999999999</c:v>
                </c:pt>
                <c:pt idx="271">
                  <c:v>0.83899999999999997</c:v>
                </c:pt>
                <c:pt idx="272">
                  <c:v>0.84</c:v>
                </c:pt>
                <c:pt idx="273">
                  <c:v>0.77100000000000002</c:v>
                </c:pt>
                <c:pt idx="274">
                  <c:v>0.69</c:v>
                </c:pt>
                <c:pt idx="275">
                  <c:v>0.66900000000000004</c:v>
                </c:pt>
                <c:pt idx="276">
                  <c:v>0.44</c:v>
                </c:pt>
                <c:pt idx="277">
                  <c:v>0.316</c:v>
                </c:pt>
                <c:pt idx="278">
                  <c:v>0.222</c:v>
                </c:pt>
                <c:pt idx="279">
                  <c:v>0.17299999999999999</c:v>
                </c:pt>
                <c:pt idx="280">
                  <c:v>0.52500000000000002</c:v>
                </c:pt>
                <c:pt idx="281">
                  <c:v>0.60899999999999999</c:v>
                </c:pt>
                <c:pt idx="282">
                  <c:v>0.436</c:v>
                </c:pt>
                <c:pt idx="283">
                  <c:v>0.29399999999999998</c:v>
                </c:pt>
                <c:pt idx="284">
                  <c:v>0.22700000000000001</c:v>
                </c:pt>
                <c:pt idx="285">
                  <c:v>0.47499999999999998</c:v>
                </c:pt>
                <c:pt idx="286">
                  <c:v>0.28499999999999998</c:v>
                </c:pt>
                <c:pt idx="287">
                  <c:v>0.186</c:v>
                </c:pt>
                <c:pt idx="288">
                  <c:v>0.2</c:v>
                </c:pt>
                <c:pt idx="289">
                  <c:v>0.22900000000000001</c:v>
                </c:pt>
                <c:pt idx="290">
                  <c:v>0.55800000000000005</c:v>
                </c:pt>
                <c:pt idx="291">
                  <c:v>0.47099999999999997</c:v>
                </c:pt>
                <c:pt idx="292">
                  <c:v>0.63800000000000001</c:v>
                </c:pt>
                <c:pt idx="293">
                  <c:v>0.93300000000000005</c:v>
                </c:pt>
                <c:pt idx="294">
                  <c:v>0.83099999999999996</c:v>
                </c:pt>
                <c:pt idx="295">
                  <c:v>0.81100000000000005</c:v>
                </c:pt>
                <c:pt idx="296">
                  <c:v>0.745</c:v>
                </c:pt>
                <c:pt idx="297">
                  <c:v>0.65100000000000002</c:v>
                </c:pt>
                <c:pt idx="298">
                  <c:v>0.76600000000000001</c:v>
                </c:pt>
                <c:pt idx="299">
                  <c:v>0.73</c:v>
                </c:pt>
                <c:pt idx="300">
                  <c:v>0.73899999999999999</c:v>
                </c:pt>
                <c:pt idx="301">
                  <c:v>0.74</c:v>
                </c:pt>
                <c:pt idx="302">
                  <c:v>0.71299999999999997</c:v>
                </c:pt>
                <c:pt idx="303">
                  <c:v>0.68</c:v>
                </c:pt>
                <c:pt idx="304">
                  <c:v>0.70399999999999996</c:v>
                </c:pt>
                <c:pt idx="305">
                  <c:v>0.59499999999999997</c:v>
                </c:pt>
                <c:pt idx="306">
                  <c:v>0.501</c:v>
                </c:pt>
                <c:pt idx="307">
                  <c:v>0.33800000000000002</c:v>
                </c:pt>
                <c:pt idx="308">
                  <c:v>0.27800000000000002</c:v>
                </c:pt>
                <c:pt idx="309">
                  <c:v>0.255</c:v>
                </c:pt>
                <c:pt idx="310">
                  <c:v>0.26400000000000001</c:v>
                </c:pt>
                <c:pt idx="311">
                  <c:v>0.216</c:v>
                </c:pt>
                <c:pt idx="312">
                  <c:v>0.20399999999999999</c:v>
                </c:pt>
                <c:pt idx="313">
                  <c:v>0.218</c:v>
                </c:pt>
                <c:pt idx="314">
                  <c:v>0.23599999999999999</c:v>
                </c:pt>
                <c:pt idx="315">
                  <c:v>0.90200000000000002</c:v>
                </c:pt>
                <c:pt idx="316">
                  <c:v>0.69799999999999995</c:v>
                </c:pt>
                <c:pt idx="317">
                  <c:v>0.66100000000000003</c:v>
                </c:pt>
                <c:pt idx="318">
                  <c:v>0.70799999999999996</c:v>
                </c:pt>
                <c:pt idx="319">
                  <c:v>0.74399999999999999</c:v>
                </c:pt>
                <c:pt idx="320">
                  <c:v>0.78800000000000003</c:v>
                </c:pt>
                <c:pt idx="321">
                  <c:v>0.69699999999999995</c:v>
                </c:pt>
                <c:pt idx="322">
                  <c:v>0.92600000000000005</c:v>
                </c:pt>
                <c:pt idx="323">
                  <c:v>0.90400000000000003</c:v>
                </c:pt>
                <c:pt idx="324">
                  <c:v>0.80900000000000005</c:v>
                </c:pt>
                <c:pt idx="325">
                  <c:v>0.80100000000000005</c:v>
                </c:pt>
                <c:pt idx="326">
                  <c:v>0.78</c:v>
                </c:pt>
                <c:pt idx="327">
                  <c:v>0.78600000000000003</c:v>
                </c:pt>
                <c:pt idx="328">
                  <c:v>0.91900000000000004</c:v>
                </c:pt>
                <c:pt idx="329">
                  <c:v>0.91100000000000003</c:v>
                </c:pt>
                <c:pt idx="330">
                  <c:v>0.82299999999999995</c:v>
                </c:pt>
                <c:pt idx="331">
                  <c:v>0.79400000000000004</c:v>
                </c:pt>
                <c:pt idx="332">
                  <c:v>0.80500000000000005</c:v>
                </c:pt>
                <c:pt idx="333">
                  <c:v>0.79500000000000004</c:v>
                </c:pt>
                <c:pt idx="334">
                  <c:v>0.80200000000000005</c:v>
                </c:pt>
                <c:pt idx="335">
                  <c:v>0.93100000000000005</c:v>
                </c:pt>
                <c:pt idx="336">
                  <c:v>0.81799999999999995</c:v>
                </c:pt>
                <c:pt idx="337">
                  <c:v>0.82899999999999996</c:v>
                </c:pt>
                <c:pt idx="338">
                  <c:v>0.78800000000000003</c:v>
                </c:pt>
                <c:pt idx="339">
                  <c:v>0.81200000000000006</c:v>
                </c:pt>
                <c:pt idx="340">
                  <c:v>0.89100000000000001</c:v>
                </c:pt>
                <c:pt idx="341">
                  <c:v>0.93</c:v>
                </c:pt>
                <c:pt idx="342">
                  <c:v>0.89400000000000002</c:v>
                </c:pt>
                <c:pt idx="343">
                  <c:v>0.86799999999999999</c:v>
                </c:pt>
                <c:pt idx="344">
                  <c:v>0.93100000000000005</c:v>
                </c:pt>
                <c:pt idx="345">
                  <c:v>0.92700000000000005</c:v>
                </c:pt>
                <c:pt idx="346">
                  <c:v>0.93300000000000005</c:v>
                </c:pt>
                <c:pt idx="347">
                  <c:v>0.93100000000000005</c:v>
                </c:pt>
                <c:pt idx="348">
                  <c:v>0.93200000000000005</c:v>
                </c:pt>
                <c:pt idx="349">
                  <c:v>0.93</c:v>
                </c:pt>
                <c:pt idx="350">
                  <c:v>0.93</c:v>
                </c:pt>
                <c:pt idx="351">
                  <c:v>0.93</c:v>
                </c:pt>
                <c:pt idx="352">
                  <c:v>0.93</c:v>
                </c:pt>
                <c:pt idx="353">
                  <c:v>0.92600000000000005</c:v>
                </c:pt>
                <c:pt idx="354">
                  <c:v>0.873</c:v>
                </c:pt>
                <c:pt idx="355">
                  <c:v>0.92500000000000004</c:v>
                </c:pt>
                <c:pt idx="356">
                  <c:v>0.88800000000000001</c:v>
                </c:pt>
                <c:pt idx="357">
                  <c:v>0.89400000000000002</c:v>
                </c:pt>
                <c:pt idx="358">
                  <c:v>0.84699999999999998</c:v>
                </c:pt>
                <c:pt idx="359">
                  <c:v>0.871</c:v>
                </c:pt>
                <c:pt idx="360">
                  <c:v>0.61099999999999999</c:v>
                </c:pt>
                <c:pt idx="361">
                  <c:v>0.66100000000000003</c:v>
                </c:pt>
                <c:pt idx="362">
                  <c:v>0.89200000000000002</c:v>
                </c:pt>
                <c:pt idx="363">
                  <c:v>0.88300000000000001</c:v>
                </c:pt>
                <c:pt idx="364">
                  <c:v>0.92700000000000005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55776"/>
        <c:axId val="142157312"/>
      </c:lineChart>
      <c:catAx>
        <c:axId val="1421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573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15731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55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2.9</c:v>
                </c:pt>
                <c:pt idx="1">
                  <c:v>6.7939999999999996</c:v>
                </c:pt>
                <c:pt idx="2">
                  <c:v>6.1539999999999999</c:v>
                </c:pt>
                <c:pt idx="3">
                  <c:v>4.8470000000000004</c:v>
                </c:pt>
                <c:pt idx="4">
                  <c:v>6.3140000000000001</c:v>
                </c:pt>
                <c:pt idx="5">
                  <c:v>5.4870000000000001</c:v>
                </c:pt>
                <c:pt idx="6">
                  <c:v>7.91</c:v>
                </c:pt>
                <c:pt idx="7">
                  <c:v>6.0739999999999998</c:v>
                </c:pt>
                <c:pt idx="8">
                  <c:v>5.2469999999999999</c:v>
                </c:pt>
                <c:pt idx="9">
                  <c:v>4.0469999999999997</c:v>
                </c:pt>
                <c:pt idx="10">
                  <c:v>4.9000000000000004</c:v>
                </c:pt>
                <c:pt idx="11">
                  <c:v>5.0869999999999997</c:v>
                </c:pt>
                <c:pt idx="12">
                  <c:v>3.6739999999999999</c:v>
                </c:pt>
                <c:pt idx="13">
                  <c:v>2.6339999999999999</c:v>
                </c:pt>
                <c:pt idx="14">
                  <c:v>5.194</c:v>
                </c:pt>
                <c:pt idx="15">
                  <c:v>5.38</c:v>
                </c:pt>
                <c:pt idx="16">
                  <c:v>6.18</c:v>
                </c:pt>
                <c:pt idx="17">
                  <c:v>5.86</c:v>
                </c:pt>
                <c:pt idx="18">
                  <c:v>5.194</c:v>
                </c:pt>
                <c:pt idx="19">
                  <c:v>5.5940000000000003</c:v>
                </c:pt>
                <c:pt idx="20">
                  <c:v>5.14</c:v>
                </c:pt>
                <c:pt idx="21">
                  <c:v>4.1539999999999999</c:v>
                </c:pt>
                <c:pt idx="22">
                  <c:v>5.94</c:v>
                </c:pt>
                <c:pt idx="23">
                  <c:v>4.26</c:v>
                </c:pt>
                <c:pt idx="24">
                  <c:v>6.0469999999999997</c:v>
                </c:pt>
                <c:pt idx="25">
                  <c:v>4.9000000000000004</c:v>
                </c:pt>
                <c:pt idx="26">
                  <c:v>7.35</c:v>
                </c:pt>
                <c:pt idx="27">
                  <c:v>3.4870000000000001</c:v>
                </c:pt>
                <c:pt idx="28">
                  <c:v>3.3540000000000001</c:v>
                </c:pt>
                <c:pt idx="29">
                  <c:v>2.42</c:v>
                </c:pt>
                <c:pt idx="30">
                  <c:v>5.22</c:v>
                </c:pt>
                <c:pt idx="31">
                  <c:v>6.42</c:v>
                </c:pt>
                <c:pt idx="32">
                  <c:v>5.6740000000000004</c:v>
                </c:pt>
                <c:pt idx="33">
                  <c:v>4.7670000000000003</c:v>
                </c:pt>
                <c:pt idx="34">
                  <c:v>7.35</c:v>
                </c:pt>
                <c:pt idx="35">
                  <c:v>7.01</c:v>
                </c:pt>
                <c:pt idx="36">
                  <c:v>5.6470000000000002</c:v>
                </c:pt>
                <c:pt idx="37">
                  <c:v>3.0870000000000002</c:v>
                </c:pt>
                <c:pt idx="38">
                  <c:v>6.6870000000000003</c:v>
                </c:pt>
                <c:pt idx="39">
                  <c:v>9.11</c:v>
                </c:pt>
                <c:pt idx="40">
                  <c:v>5.5140000000000002</c:v>
                </c:pt>
                <c:pt idx="41">
                  <c:v>7.65</c:v>
                </c:pt>
                <c:pt idx="42">
                  <c:v>4.9269999999999996</c:v>
                </c:pt>
                <c:pt idx="43">
                  <c:v>4.0469999999999997</c:v>
                </c:pt>
                <c:pt idx="44">
                  <c:v>5.7</c:v>
                </c:pt>
                <c:pt idx="45">
                  <c:v>3.6739999999999999</c:v>
                </c:pt>
                <c:pt idx="46">
                  <c:v>3.86</c:v>
                </c:pt>
                <c:pt idx="47">
                  <c:v>5.407</c:v>
                </c:pt>
                <c:pt idx="48">
                  <c:v>4.367</c:v>
                </c:pt>
                <c:pt idx="49">
                  <c:v>5.86</c:v>
                </c:pt>
                <c:pt idx="50">
                  <c:v>7.03</c:v>
                </c:pt>
                <c:pt idx="51">
                  <c:v>4.74</c:v>
                </c:pt>
                <c:pt idx="52">
                  <c:v>4.9000000000000004</c:v>
                </c:pt>
                <c:pt idx="53">
                  <c:v>4.2069999999999999</c:v>
                </c:pt>
                <c:pt idx="54">
                  <c:v>7.19</c:v>
                </c:pt>
                <c:pt idx="55">
                  <c:v>7.38</c:v>
                </c:pt>
                <c:pt idx="56">
                  <c:v>5.1139999999999999</c:v>
                </c:pt>
                <c:pt idx="57">
                  <c:v>4.18</c:v>
                </c:pt>
                <c:pt idx="58">
                  <c:v>4.2869999999999999</c:v>
                </c:pt>
                <c:pt idx="59">
                  <c:v>4.1539999999999999</c:v>
                </c:pt>
                <c:pt idx="60">
                  <c:v>5.4340000000000002</c:v>
                </c:pt>
                <c:pt idx="61">
                  <c:v>4.74</c:v>
                </c:pt>
                <c:pt idx="62">
                  <c:v>4.7670000000000003</c:v>
                </c:pt>
                <c:pt idx="63">
                  <c:v>6.34</c:v>
                </c:pt>
                <c:pt idx="64">
                  <c:v>5.7539999999999996</c:v>
                </c:pt>
                <c:pt idx="65">
                  <c:v>5.2469999999999999</c:v>
                </c:pt>
                <c:pt idx="66">
                  <c:v>3.5139999999999998</c:v>
                </c:pt>
                <c:pt idx="67">
                  <c:v>3.86</c:v>
                </c:pt>
                <c:pt idx="68">
                  <c:v>3.46</c:v>
                </c:pt>
                <c:pt idx="69">
                  <c:v>5.8070000000000004</c:v>
                </c:pt>
                <c:pt idx="70">
                  <c:v>6.7670000000000003</c:v>
                </c:pt>
                <c:pt idx="71">
                  <c:v>5.5670000000000002</c:v>
                </c:pt>
                <c:pt idx="72">
                  <c:v>4.9800000000000004</c:v>
                </c:pt>
                <c:pt idx="73">
                  <c:v>4.1269999999999998</c:v>
                </c:pt>
                <c:pt idx="74">
                  <c:v>5.0599999999999996</c:v>
                </c:pt>
                <c:pt idx="75">
                  <c:v>4.9000000000000004</c:v>
                </c:pt>
                <c:pt idx="76">
                  <c:v>4.0469999999999997</c:v>
                </c:pt>
                <c:pt idx="77">
                  <c:v>4.8739999999999997</c:v>
                </c:pt>
                <c:pt idx="78">
                  <c:v>4.74</c:v>
                </c:pt>
                <c:pt idx="79">
                  <c:v>4.367</c:v>
                </c:pt>
                <c:pt idx="80">
                  <c:v>4.1269999999999998</c:v>
                </c:pt>
                <c:pt idx="81">
                  <c:v>4.0999999999999996</c:v>
                </c:pt>
                <c:pt idx="82">
                  <c:v>4.42</c:v>
                </c:pt>
                <c:pt idx="83">
                  <c:v>5.5670000000000002</c:v>
                </c:pt>
                <c:pt idx="84">
                  <c:v>4.8739999999999997</c:v>
                </c:pt>
                <c:pt idx="85">
                  <c:v>4.8470000000000004</c:v>
                </c:pt>
                <c:pt idx="86">
                  <c:v>4.9539999999999997</c:v>
                </c:pt>
                <c:pt idx="87">
                  <c:v>5.3540000000000001</c:v>
                </c:pt>
                <c:pt idx="88">
                  <c:v>6.1539999999999999</c:v>
                </c:pt>
                <c:pt idx="89">
                  <c:v>4.9539999999999997</c:v>
                </c:pt>
                <c:pt idx="90">
                  <c:v>5.194</c:v>
                </c:pt>
                <c:pt idx="91">
                  <c:v>5.194</c:v>
                </c:pt>
                <c:pt idx="92">
                  <c:v>5.327</c:v>
                </c:pt>
                <c:pt idx="93">
                  <c:v>4.5540000000000003</c:v>
                </c:pt>
                <c:pt idx="94">
                  <c:v>4.8739999999999997</c:v>
                </c:pt>
                <c:pt idx="95">
                  <c:v>5.86</c:v>
                </c:pt>
                <c:pt idx="96">
                  <c:v>7.41</c:v>
                </c:pt>
                <c:pt idx="97">
                  <c:v>5.14</c:v>
                </c:pt>
                <c:pt idx="98">
                  <c:v>6.7939999999999996</c:v>
                </c:pt>
                <c:pt idx="99">
                  <c:v>6.5270000000000001</c:v>
                </c:pt>
                <c:pt idx="100">
                  <c:v>3.94</c:v>
                </c:pt>
                <c:pt idx="101">
                  <c:v>4.3140000000000001</c:v>
                </c:pt>
                <c:pt idx="102">
                  <c:v>8.1300000000000008</c:v>
                </c:pt>
                <c:pt idx="103">
                  <c:v>7.33</c:v>
                </c:pt>
                <c:pt idx="104">
                  <c:v>3.46</c:v>
                </c:pt>
                <c:pt idx="105">
                  <c:v>4.367</c:v>
                </c:pt>
                <c:pt idx="106">
                  <c:v>8.07</c:v>
                </c:pt>
                <c:pt idx="107">
                  <c:v>4.1539999999999999</c:v>
                </c:pt>
                <c:pt idx="108">
                  <c:v>5.3</c:v>
                </c:pt>
                <c:pt idx="109">
                  <c:v>6.9269999999999996</c:v>
                </c:pt>
                <c:pt idx="110">
                  <c:v>4.9539999999999997</c:v>
                </c:pt>
                <c:pt idx="111">
                  <c:v>3.86</c:v>
                </c:pt>
                <c:pt idx="112">
                  <c:v>6.98</c:v>
                </c:pt>
                <c:pt idx="113">
                  <c:v>5.9669999999999996</c:v>
                </c:pt>
                <c:pt idx="114">
                  <c:v>4.34</c:v>
                </c:pt>
                <c:pt idx="115">
                  <c:v>7.81</c:v>
                </c:pt>
                <c:pt idx="116">
                  <c:v>7.94</c:v>
                </c:pt>
                <c:pt idx="117">
                  <c:v>7.41</c:v>
                </c:pt>
                <c:pt idx="118">
                  <c:v>5.4870000000000001</c:v>
                </c:pt>
                <c:pt idx="119">
                  <c:v>5.7539999999999996</c:v>
                </c:pt>
                <c:pt idx="120">
                  <c:v>6.1539999999999999</c:v>
                </c:pt>
                <c:pt idx="121">
                  <c:v>5.407</c:v>
                </c:pt>
                <c:pt idx="122">
                  <c:v>4.9000000000000004</c:v>
                </c:pt>
                <c:pt idx="123">
                  <c:v>5.5940000000000003</c:v>
                </c:pt>
                <c:pt idx="124">
                  <c:v>5.3540000000000001</c:v>
                </c:pt>
                <c:pt idx="125">
                  <c:v>6.66</c:v>
                </c:pt>
                <c:pt idx="126">
                  <c:v>6.0739999999999998</c:v>
                </c:pt>
                <c:pt idx="127">
                  <c:v>6.1539999999999999</c:v>
                </c:pt>
                <c:pt idx="128">
                  <c:v>5.54</c:v>
                </c:pt>
                <c:pt idx="129">
                  <c:v>4.8739999999999997</c:v>
                </c:pt>
                <c:pt idx="130">
                  <c:v>6.7140000000000004</c:v>
                </c:pt>
                <c:pt idx="131">
                  <c:v>5.9939999999999998</c:v>
                </c:pt>
                <c:pt idx="132">
                  <c:v>5.62</c:v>
                </c:pt>
                <c:pt idx="133">
                  <c:v>6.2069999999999999</c:v>
                </c:pt>
                <c:pt idx="134">
                  <c:v>5.38</c:v>
                </c:pt>
                <c:pt idx="135">
                  <c:v>4.8739999999999997</c:v>
                </c:pt>
                <c:pt idx="136">
                  <c:v>7.38</c:v>
                </c:pt>
                <c:pt idx="137">
                  <c:v>4.18</c:v>
                </c:pt>
                <c:pt idx="138">
                  <c:v>4.66</c:v>
                </c:pt>
                <c:pt idx="139">
                  <c:v>4.74</c:v>
                </c:pt>
                <c:pt idx="140">
                  <c:v>5.46</c:v>
                </c:pt>
                <c:pt idx="141">
                  <c:v>4.367</c:v>
                </c:pt>
                <c:pt idx="142">
                  <c:v>6.0739999999999998</c:v>
                </c:pt>
                <c:pt idx="143">
                  <c:v>6.3940000000000001</c:v>
                </c:pt>
                <c:pt idx="144">
                  <c:v>3.5139999999999998</c:v>
                </c:pt>
                <c:pt idx="145">
                  <c:v>5.274</c:v>
                </c:pt>
                <c:pt idx="146">
                  <c:v>6.367</c:v>
                </c:pt>
                <c:pt idx="147">
                  <c:v>5.8339999999999996</c:v>
                </c:pt>
                <c:pt idx="148">
                  <c:v>5.9669999999999996</c:v>
                </c:pt>
                <c:pt idx="149">
                  <c:v>4.6870000000000003</c:v>
                </c:pt>
                <c:pt idx="150">
                  <c:v>4.5540000000000003</c:v>
                </c:pt>
                <c:pt idx="151">
                  <c:v>5.0339999999999998</c:v>
                </c:pt>
                <c:pt idx="152">
                  <c:v>5.22</c:v>
                </c:pt>
                <c:pt idx="153">
                  <c:v>7.49</c:v>
                </c:pt>
                <c:pt idx="154">
                  <c:v>6.234</c:v>
                </c:pt>
                <c:pt idx="155">
                  <c:v>4.55</c:v>
                </c:pt>
                <c:pt idx="156">
                  <c:v>4.9539999999999997</c:v>
                </c:pt>
                <c:pt idx="157">
                  <c:v>5.8339999999999996</c:v>
                </c:pt>
                <c:pt idx="158">
                  <c:v>6.58</c:v>
                </c:pt>
                <c:pt idx="159">
                  <c:v>4.367</c:v>
                </c:pt>
                <c:pt idx="160">
                  <c:v>4.9000000000000004</c:v>
                </c:pt>
                <c:pt idx="161">
                  <c:v>5.7270000000000003</c:v>
                </c:pt>
                <c:pt idx="162">
                  <c:v>4.367</c:v>
                </c:pt>
                <c:pt idx="163">
                  <c:v>7.49</c:v>
                </c:pt>
                <c:pt idx="164">
                  <c:v>6.74</c:v>
                </c:pt>
                <c:pt idx="165">
                  <c:v>6.1269999999999998</c:v>
                </c:pt>
                <c:pt idx="166">
                  <c:v>5.6470000000000002</c:v>
                </c:pt>
                <c:pt idx="167">
                  <c:v>7.33</c:v>
                </c:pt>
                <c:pt idx="168">
                  <c:v>8.69</c:v>
                </c:pt>
                <c:pt idx="169">
                  <c:v>6.4740000000000002</c:v>
                </c:pt>
                <c:pt idx="170">
                  <c:v>6.5270000000000001</c:v>
                </c:pt>
                <c:pt idx="171">
                  <c:v>9.6199999999999992</c:v>
                </c:pt>
                <c:pt idx="172">
                  <c:v>5.94</c:v>
                </c:pt>
                <c:pt idx="173">
                  <c:v>6.2069999999999999</c:v>
                </c:pt>
                <c:pt idx="174">
                  <c:v>4.26</c:v>
                </c:pt>
                <c:pt idx="175">
                  <c:v>5.0599999999999996</c:v>
                </c:pt>
                <c:pt idx="176">
                  <c:v>5.0599999999999996</c:v>
                </c:pt>
                <c:pt idx="177">
                  <c:v>4.1539999999999999</c:v>
                </c:pt>
                <c:pt idx="178">
                  <c:v>5.1139999999999999</c:v>
                </c:pt>
                <c:pt idx="179">
                  <c:v>4.1539999999999999</c:v>
                </c:pt>
                <c:pt idx="180">
                  <c:v>4.66</c:v>
                </c:pt>
                <c:pt idx="181">
                  <c:v>5.0869999999999997</c:v>
                </c:pt>
                <c:pt idx="182">
                  <c:v>4.9800000000000004</c:v>
                </c:pt>
                <c:pt idx="183">
                  <c:v>7.14</c:v>
                </c:pt>
                <c:pt idx="184">
                  <c:v>4.367</c:v>
                </c:pt>
                <c:pt idx="185">
                  <c:v>5.9669999999999996</c:v>
                </c:pt>
                <c:pt idx="186">
                  <c:v>4.34</c:v>
                </c:pt>
                <c:pt idx="187">
                  <c:v>5.5140000000000002</c:v>
                </c:pt>
                <c:pt idx="188">
                  <c:v>4.7670000000000003</c:v>
                </c:pt>
                <c:pt idx="189">
                  <c:v>4.58</c:v>
                </c:pt>
                <c:pt idx="190">
                  <c:v>4.2069999999999999</c:v>
                </c:pt>
                <c:pt idx="191">
                  <c:v>4.5</c:v>
                </c:pt>
                <c:pt idx="192">
                  <c:v>3.9940000000000002</c:v>
                </c:pt>
                <c:pt idx="193">
                  <c:v>4.5540000000000003</c:v>
                </c:pt>
                <c:pt idx="194">
                  <c:v>5.14</c:v>
                </c:pt>
                <c:pt idx="195">
                  <c:v>4.58</c:v>
                </c:pt>
                <c:pt idx="196">
                  <c:v>4.7140000000000004</c:v>
                </c:pt>
                <c:pt idx="197">
                  <c:v>5.14</c:v>
                </c:pt>
                <c:pt idx="198">
                  <c:v>7.25</c:v>
                </c:pt>
                <c:pt idx="199">
                  <c:v>4.7670000000000003</c:v>
                </c:pt>
                <c:pt idx="200">
                  <c:v>4.0739999999999998</c:v>
                </c:pt>
                <c:pt idx="201">
                  <c:v>4.6340000000000003</c:v>
                </c:pt>
                <c:pt idx="202">
                  <c:v>4.7939999999999996</c:v>
                </c:pt>
                <c:pt idx="203">
                  <c:v>5.0869999999999997</c:v>
                </c:pt>
                <c:pt idx="204">
                  <c:v>7.27</c:v>
                </c:pt>
                <c:pt idx="205">
                  <c:v>6.18</c:v>
                </c:pt>
                <c:pt idx="206">
                  <c:v>5.327</c:v>
                </c:pt>
                <c:pt idx="207">
                  <c:v>7.51</c:v>
                </c:pt>
                <c:pt idx="208">
                  <c:v>4.7140000000000004</c:v>
                </c:pt>
                <c:pt idx="209">
                  <c:v>4.5</c:v>
                </c:pt>
                <c:pt idx="210">
                  <c:v>5.0069999999999997</c:v>
                </c:pt>
                <c:pt idx="211">
                  <c:v>4.6070000000000002</c:v>
                </c:pt>
                <c:pt idx="212">
                  <c:v>4.4470000000000001</c:v>
                </c:pt>
                <c:pt idx="213">
                  <c:v>6.367</c:v>
                </c:pt>
                <c:pt idx="214">
                  <c:v>5.274</c:v>
                </c:pt>
                <c:pt idx="215">
                  <c:v>4.9800000000000004</c:v>
                </c:pt>
                <c:pt idx="216">
                  <c:v>5.407</c:v>
                </c:pt>
                <c:pt idx="217">
                  <c:v>5.22</c:v>
                </c:pt>
                <c:pt idx="218">
                  <c:v>5.62</c:v>
                </c:pt>
                <c:pt idx="219">
                  <c:v>5.6740000000000004</c:v>
                </c:pt>
                <c:pt idx="220">
                  <c:v>4.9800000000000004</c:v>
                </c:pt>
                <c:pt idx="221">
                  <c:v>4.2869999999999999</c:v>
                </c:pt>
                <c:pt idx="222">
                  <c:v>5.8339999999999996</c:v>
                </c:pt>
                <c:pt idx="223">
                  <c:v>4.82</c:v>
                </c:pt>
                <c:pt idx="224">
                  <c:v>4.7140000000000004</c:v>
                </c:pt>
                <c:pt idx="225">
                  <c:v>5.5940000000000003</c:v>
                </c:pt>
                <c:pt idx="226">
                  <c:v>5.1139999999999999</c:v>
                </c:pt>
                <c:pt idx="227">
                  <c:v>4.1539999999999999</c:v>
                </c:pt>
                <c:pt idx="228">
                  <c:v>6.0739999999999998</c:v>
                </c:pt>
                <c:pt idx="229">
                  <c:v>4.9269999999999996</c:v>
                </c:pt>
                <c:pt idx="230">
                  <c:v>4.4740000000000002</c:v>
                </c:pt>
                <c:pt idx="231">
                  <c:v>4.6070000000000002</c:v>
                </c:pt>
                <c:pt idx="232">
                  <c:v>4.1269999999999998</c:v>
                </c:pt>
                <c:pt idx="233">
                  <c:v>6.58</c:v>
                </c:pt>
                <c:pt idx="234">
                  <c:v>3.94</c:v>
                </c:pt>
                <c:pt idx="235">
                  <c:v>7.03</c:v>
                </c:pt>
                <c:pt idx="236">
                  <c:v>4.9539999999999997</c:v>
                </c:pt>
                <c:pt idx="237">
                  <c:v>5.0869999999999997</c:v>
                </c:pt>
                <c:pt idx="238">
                  <c:v>3.54</c:v>
                </c:pt>
                <c:pt idx="239">
                  <c:v>4.26</c:v>
                </c:pt>
                <c:pt idx="240">
                  <c:v>4.74</c:v>
                </c:pt>
                <c:pt idx="241">
                  <c:v>4.6070000000000002</c:v>
                </c:pt>
                <c:pt idx="242">
                  <c:v>4.34</c:v>
                </c:pt>
                <c:pt idx="243">
                  <c:v>5.3540000000000001</c:v>
                </c:pt>
                <c:pt idx="244">
                  <c:v>5.0069999999999997</c:v>
                </c:pt>
                <c:pt idx="245">
                  <c:v>6.26</c:v>
                </c:pt>
                <c:pt idx="246">
                  <c:v>3.3540000000000001</c:v>
                </c:pt>
                <c:pt idx="247">
                  <c:v>3.8069999999999999</c:v>
                </c:pt>
                <c:pt idx="248">
                  <c:v>3.6469999999999998</c:v>
                </c:pt>
                <c:pt idx="249">
                  <c:v>5.0339999999999998</c:v>
                </c:pt>
                <c:pt idx="250">
                  <c:v>3.78</c:v>
                </c:pt>
                <c:pt idx="251">
                  <c:v>3.3</c:v>
                </c:pt>
                <c:pt idx="252">
                  <c:v>2.58</c:v>
                </c:pt>
                <c:pt idx="253">
                  <c:v>3.5670000000000002</c:v>
                </c:pt>
                <c:pt idx="254">
                  <c:v>5.5940000000000003</c:v>
                </c:pt>
                <c:pt idx="255">
                  <c:v>5.0599999999999996</c:v>
                </c:pt>
                <c:pt idx="256">
                  <c:v>3.6739999999999999</c:v>
                </c:pt>
                <c:pt idx="257">
                  <c:v>2.9540000000000002</c:v>
                </c:pt>
                <c:pt idx="258">
                  <c:v>2.9540000000000002</c:v>
                </c:pt>
                <c:pt idx="259">
                  <c:v>4.7939999999999996</c:v>
                </c:pt>
                <c:pt idx="260">
                  <c:v>3.5139999999999998</c:v>
                </c:pt>
                <c:pt idx="261">
                  <c:v>4.0999999999999996</c:v>
                </c:pt>
                <c:pt idx="262">
                  <c:v>5.1669999999999998</c:v>
                </c:pt>
                <c:pt idx="263">
                  <c:v>5.194</c:v>
                </c:pt>
                <c:pt idx="264">
                  <c:v>4.1269999999999998</c:v>
                </c:pt>
                <c:pt idx="265">
                  <c:v>5.14</c:v>
                </c:pt>
                <c:pt idx="266">
                  <c:v>7.19</c:v>
                </c:pt>
                <c:pt idx="267">
                  <c:v>5.0069999999999997</c:v>
                </c:pt>
                <c:pt idx="268">
                  <c:v>6.9539999999999997</c:v>
                </c:pt>
                <c:pt idx="269">
                  <c:v>3.4870000000000001</c:v>
                </c:pt>
                <c:pt idx="270">
                  <c:v>3.7</c:v>
                </c:pt>
                <c:pt idx="271">
                  <c:v>4.9539999999999997</c:v>
                </c:pt>
                <c:pt idx="272">
                  <c:v>3.7</c:v>
                </c:pt>
                <c:pt idx="273">
                  <c:v>3.3540000000000001</c:v>
                </c:pt>
                <c:pt idx="274">
                  <c:v>3.62</c:v>
                </c:pt>
                <c:pt idx="275">
                  <c:v>3.4870000000000001</c:v>
                </c:pt>
                <c:pt idx="276">
                  <c:v>3.5670000000000002</c:v>
                </c:pt>
                <c:pt idx="277">
                  <c:v>4.5540000000000003</c:v>
                </c:pt>
                <c:pt idx="278">
                  <c:v>4.18</c:v>
                </c:pt>
                <c:pt idx="279">
                  <c:v>8.18</c:v>
                </c:pt>
                <c:pt idx="280">
                  <c:v>7.38</c:v>
                </c:pt>
                <c:pt idx="281">
                  <c:v>4.9269999999999996</c:v>
                </c:pt>
                <c:pt idx="282">
                  <c:v>3.9940000000000002</c:v>
                </c:pt>
                <c:pt idx="283">
                  <c:v>4.82</c:v>
                </c:pt>
                <c:pt idx="284">
                  <c:v>3.6739999999999999</c:v>
                </c:pt>
                <c:pt idx="285">
                  <c:v>3.754</c:v>
                </c:pt>
                <c:pt idx="286">
                  <c:v>3.4870000000000001</c:v>
                </c:pt>
                <c:pt idx="287">
                  <c:v>5.4340000000000002</c:v>
                </c:pt>
                <c:pt idx="288">
                  <c:v>7.06</c:v>
                </c:pt>
                <c:pt idx="289">
                  <c:v>5.1669999999999998</c:v>
                </c:pt>
                <c:pt idx="290">
                  <c:v>5.9939999999999998</c:v>
                </c:pt>
                <c:pt idx="291">
                  <c:v>4.234</c:v>
                </c:pt>
                <c:pt idx="292">
                  <c:v>3.86</c:v>
                </c:pt>
                <c:pt idx="293">
                  <c:v>3.887</c:v>
                </c:pt>
                <c:pt idx="294">
                  <c:v>6.7670000000000003</c:v>
                </c:pt>
                <c:pt idx="295">
                  <c:v>5.327</c:v>
                </c:pt>
                <c:pt idx="296">
                  <c:v>4.42</c:v>
                </c:pt>
                <c:pt idx="297">
                  <c:v>8.4499999999999993</c:v>
                </c:pt>
                <c:pt idx="298">
                  <c:v>7.51</c:v>
                </c:pt>
                <c:pt idx="299">
                  <c:v>5.8070000000000004</c:v>
                </c:pt>
                <c:pt idx="300">
                  <c:v>7.09</c:v>
                </c:pt>
                <c:pt idx="301">
                  <c:v>3.8069999999999999</c:v>
                </c:pt>
                <c:pt idx="302">
                  <c:v>3.4870000000000001</c:v>
                </c:pt>
                <c:pt idx="303">
                  <c:v>4.42</c:v>
                </c:pt>
                <c:pt idx="304">
                  <c:v>3.2469999999999999</c:v>
                </c:pt>
                <c:pt idx="305">
                  <c:v>3.0070000000000001</c:v>
                </c:pt>
                <c:pt idx="306">
                  <c:v>5.54</c:v>
                </c:pt>
                <c:pt idx="307">
                  <c:v>5.6740000000000004</c:v>
                </c:pt>
                <c:pt idx="308">
                  <c:v>4.7939999999999996</c:v>
                </c:pt>
                <c:pt idx="309">
                  <c:v>4.5</c:v>
                </c:pt>
                <c:pt idx="310">
                  <c:v>3.9140000000000001</c:v>
                </c:pt>
                <c:pt idx="311">
                  <c:v>3.5139999999999998</c:v>
                </c:pt>
                <c:pt idx="312">
                  <c:v>5.274</c:v>
                </c:pt>
                <c:pt idx="313">
                  <c:v>6.1</c:v>
                </c:pt>
                <c:pt idx="314">
                  <c:v>4.2869999999999999</c:v>
                </c:pt>
                <c:pt idx="315">
                  <c:v>4.2869999999999999</c:v>
                </c:pt>
                <c:pt idx="316">
                  <c:v>2.927</c:v>
                </c:pt>
                <c:pt idx="317">
                  <c:v>5.1139999999999999</c:v>
                </c:pt>
                <c:pt idx="318">
                  <c:v>5.6470000000000002</c:v>
                </c:pt>
                <c:pt idx="319">
                  <c:v>4.42</c:v>
                </c:pt>
                <c:pt idx="320">
                  <c:v>5.38</c:v>
                </c:pt>
                <c:pt idx="321">
                  <c:v>5.5940000000000003</c:v>
                </c:pt>
                <c:pt idx="322">
                  <c:v>5.3</c:v>
                </c:pt>
                <c:pt idx="323">
                  <c:v>5.4340000000000002</c:v>
                </c:pt>
                <c:pt idx="324">
                  <c:v>3.0339999999999998</c:v>
                </c:pt>
                <c:pt idx="325">
                  <c:v>2.42</c:v>
                </c:pt>
                <c:pt idx="326">
                  <c:v>3.407</c:v>
                </c:pt>
                <c:pt idx="327">
                  <c:v>7.33</c:v>
                </c:pt>
                <c:pt idx="328">
                  <c:v>4.58</c:v>
                </c:pt>
                <c:pt idx="329">
                  <c:v>3.62</c:v>
                </c:pt>
                <c:pt idx="330">
                  <c:v>6.9269999999999996</c:v>
                </c:pt>
                <c:pt idx="331">
                  <c:v>3.9140000000000001</c:v>
                </c:pt>
                <c:pt idx="332">
                  <c:v>4.82</c:v>
                </c:pt>
                <c:pt idx="333">
                  <c:v>3.5939999999999999</c:v>
                </c:pt>
                <c:pt idx="334">
                  <c:v>5.327</c:v>
                </c:pt>
                <c:pt idx="335">
                  <c:v>3.0339999999999998</c:v>
                </c:pt>
                <c:pt idx="336">
                  <c:v>4.7140000000000004</c:v>
                </c:pt>
                <c:pt idx="337">
                  <c:v>4.5540000000000003</c:v>
                </c:pt>
                <c:pt idx="338">
                  <c:v>4.2069999999999999</c:v>
                </c:pt>
                <c:pt idx="339">
                  <c:v>4.1539999999999999</c:v>
                </c:pt>
                <c:pt idx="340">
                  <c:v>0</c:v>
                </c:pt>
                <c:pt idx="341">
                  <c:v>4.2869999999999999</c:v>
                </c:pt>
                <c:pt idx="342">
                  <c:v>3.274</c:v>
                </c:pt>
                <c:pt idx="343">
                  <c:v>4.9000000000000004</c:v>
                </c:pt>
                <c:pt idx="344">
                  <c:v>5.327</c:v>
                </c:pt>
                <c:pt idx="345">
                  <c:v>4.18</c:v>
                </c:pt>
                <c:pt idx="346">
                  <c:v>4.4470000000000001</c:v>
                </c:pt>
                <c:pt idx="347">
                  <c:v>3.0870000000000002</c:v>
                </c:pt>
                <c:pt idx="348">
                  <c:v>4.2069999999999999</c:v>
                </c:pt>
                <c:pt idx="349">
                  <c:v>4.7670000000000003</c:v>
                </c:pt>
                <c:pt idx="350">
                  <c:v>4.8739999999999997</c:v>
                </c:pt>
                <c:pt idx="351">
                  <c:v>4.2869999999999999</c:v>
                </c:pt>
                <c:pt idx="352">
                  <c:v>0</c:v>
                </c:pt>
                <c:pt idx="353">
                  <c:v>6.26</c:v>
                </c:pt>
                <c:pt idx="354">
                  <c:v>6.3140000000000001</c:v>
                </c:pt>
                <c:pt idx="355">
                  <c:v>2.2599999999999998</c:v>
                </c:pt>
                <c:pt idx="356">
                  <c:v>2.66</c:v>
                </c:pt>
                <c:pt idx="357">
                  <c:v>2.847</c:v>
                </c:pt>
                <c:pt idx="358">
                  <c:v>2.847</c:v>
                </c:pt>
                <c:pt idx="359">
                  <c:v>4.0469999999999997</c:v>
                </c:pt>
                <c:pt idx="360">
                  <c:v>4.3140000000000001</c:v>
                </c:pt>
                <c:pt idx="361">
                  <c:v>3.14</c:v>
                </c:pt>
                <c:pt idx="362">
                  <c:v>2.794</c:v>
                </c:pt>
                <c:pt idx="363">
                  <c:v>2.5539999999999998</c:v>
                </c:pt>
                <c:pt idx="364">
                  <c:v>4.9000000000000004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0.41799999999999998</c:v>
                </c:pt>
                <c:pt idx="1">
                  <c:v>2.613</c:v>
                </c:pt>
                <c:pt idx="2">
                  <c:v>2.6560000000000001</c:v>
                </c:pt>
                <c:pt idx="3">
                  <c:v>1.1220000000000001</c:v>
                </c:pt>
                <c:pt idx="4">
                  <c:v>2.42</c:v>
                </c:pt>
                <c:pt idx="5">
                  <c:v>1.607</c:v>
                </c:pt>
                <c:pt idx="6">
                  <c:v>1.488</c:v>
                </c:pt>
                <c:pt idx="7">
                  <c:v>2.1880000000000002</c:v>
                </c:pt>
                <c:pt idx="8">
                  <c:v>2.2679999999999998</c:v>
                </c:pt>
                <c:pt idx="9">
                  <c:v>1.9219999999999999</c:v>
                </c:pt>
                <c:pt idx="10">
                  <c:v>2.1549999999999998</c:v>
                </c:pt>
                <c:pt idx="11">
                  <c:v>2.0150000000000001</c:v>
                </c:pt>
                <c:pt idx="12">
                  <c:v>0.77100000000000002</c:v>
                </c:pt>
                <c:pt idx="13">
                  <c:v>0.57099999999999995</c:v>
                </c:pt>
                <c:pt idx="14">
                  <c:v>1.419</c:v>
                </c:pt>
                <c:pt idx="15">
                  <c:v>2.3069999999999999</c:v>
                </c:pt>
                <c:pt idx="16">
                  <c:v>2.069</c:v>
                </c:pt>
                <c:pt idx="17">
                  <c:v>1.3260000000000001</c:v>
                </c:pt>
                <c:pt idx="18">
                  <c:v>1.502</c:v>
                </c:pt>
                <c:pt idx="19">
                  <c:v>1.1539999999999999</c:v>
                </c:pt>
                <c:pt idx="20">
                  <c:v>1.1279999999999999</c:v>
                </c:pt>
                <c:pt idx="21">
                  <c:v>1.3149999999999999</c:v>
                </c:pt>
                <c:pt idx="22">
                  <c:v>1.5249999999999999</c:v>
                </c:pt>
                <c:pt idx="23">
                  <c:v>0.83899999999999997</c:v>
                </c:pt>
                <c:pt idx="24">
                  <c:v>1.266</c:v>
                </c:pt>
                <c:pt idx="25">
                  <c:v>0.67900000000000005</c:v>
                </c:pt>
                <c:pt idx="26">
                  <c:v>2.6509999999999998</c:v>
                </c:pt>
                <c:pt idx="27">
                  <c:v>0.48199999999999998</c:v>
                </c:pt>
                <c:pt idx="28">
                  <c:v>0.42399999999999999</c:v>
                </c:pt>
                <c:pt idx="29">
                  <c:v>0.35799999999999998</c:v>
                </c:pt>
                <c:pt idx="30">
                  <c:v>0.94399999999999995</c:v>
                </c:pt>
                <c:pt idx="31">
                  <c:v>2.137</c:v>
                </c:pt>
                <c:pt idx="32">
                  <c:v>1.653</c:v>
                </c:pt>
                <c:pt idx="33">
                  <c:v>1.4710000000000001</c:v>
                </c:pt>
                <c:pt idx="34">
                  <c:v>3.343</c:v>
                </c:pt>
                <c:pt idx="35">
                  <c:v>1.627</c:v>
                </c:pt>
                <c:pt idx="36">
                  <c:v>1.5229999999999999</c:v>
                </c:pt>
                <c:pt idx="37">
                  <c:v>0.435</c:v>
                </c:pt>
                <c:pt idx="38">
                  <c:v>2.0750000000000002</c:v>
                </c:pt>
                <c:pt idx="39">
                  <c:v>3.8969999999999998</c:v>
                </c:pt>
                <c:pt idx="40">
                  <c:v>0.89900000000000002</c:v>
                </c:pt>
                <c:pt idx="41">
                  <c:v>1.4610000000000001</c:v>
                </c:pt>
                <c:pt idx="42">
                  <c:v>1.4179999999999999</c:v>
                </c:pt>
                <c:pt idx="43">
                  <c:v>0.62</c:v>
                </c:pt>
                <c:pt idx="44">
                  <c:v>1.9470000000000001</c:v>
                </c:pt>
                <c:pt idx="45">
                  <c:v>0.91600000000000004</c:v>
                </c:pt>
                <c:pt idx="46">
                  <c:v>0.83399999999999996</c:v>
                </c:pt>
                <c:pt idx="47">
                  <c:v>1.647</c:v>
                </c:pt>
                <c:pt idx="48">
                  <c:v>0.96199999999999997</c:v>
                </c:pt>
                <c:pt idx="49">
                  <c:v>1.282</c:v>
                </c:pt>
                <c:pt idx="50">
                  <c:v>1.9950000000000001</c:v>
                </c:pt>
                <c:pt idx="51">
                  <c:v>1.286</c:v>
                </c:pt>
                <c:pt idx="52">
                  <c:v>0.96</c:v>
                </c:pt>
                <c:pt idx="53">
                  <c:v>0.72</c:v>
                </c:pt>
                <c:pt idx="54">
                  <c:v>1.4930000000000001</c:v>
                </c:pt>
                <c:pt idx="55">
                  <c:v>3.4289999999999998</c:v>
                </c:pt>
                <c:pt idx="56">
                  <c:v>1.2889999999999999</c:v>
                </c:pt>
                <c:pt idx="57">
                  <c:v>1.321</c:v>
                </c:pt>
                <c:pt idx="58">
                  <c:v>1.1830000000000001</c:v>
                </c:pt>
                <c:pt idx="59">
                  <c:v>1.294</c:v>
                </c:pt>
                <c:pt idx="60">
                  <c:v>1.466</c:v>
                </c:pt>
                <c:pt idx="61">
                  <c:v>0.80100000000000005</c:v>
                </c:pt>
                <c:pt idx="62">
                  <c:v>0.94099999999999995</c:v>
                </c:pt>
                <c:pt idx="63">
                  <c:v>2.3959999999999999</c:v>
                </c:pt>
                <c:pt idx="64">
                  <c:v>2.258</c:v>
                </c:pt>
                <c:pt idx="65">
                  <c:v>1.4690000000000001</c:v>
                </c:pt>
                <c:pt idx="66">
                  <c:v>0.54700000000000004</c:v>
                </c:pt>
                <c:pt idx="67">
                  <c:v>0.83499999999999996</c:v>
                </c:pt>
                <c:pt idx="68">
                  <c:v>0.80100000000000005</c:v>
                </c:pt>
                <c:pt idx="69">
                  <c:v>2.7360000000000002</c:v>
                </c:pt>
                <c:pt idx="70">
                  <c:v>1.548</c:v>
                </c:pt>
                <c:pt idx="71">
                  <c:v>1.3959999999999999</c:v>
                </c:pt>
                <c:pt idx="72">
                  <c:v>0.89800000000000002</c:v>
                </c:pt>
                <c:pt idx="73">
                  <c:v>1.151</c:v>
                </c:pt>
                <c:pt idx="74">
                  <c:v>1.1040000000000001</c:v>
                </c:pt>
                <c:pt idx="75">
                  <c:v>1.3049999999999999</c:v>
                </c:pt>
                <c:pt idx="76">
                  <c:v>1.0149999999999999</c:v>
                </c:pt>
                <c:pt idx="77">
                  <c:v>1.254</c:v>
                </c:pt>
                <c:pt idx="78">
                  <c:v>1.26</c:v>
                </c:pt>
                <c:pt idx="79">
                  <c:v>1.05</c:v>
                </c:pt>
                <c:pt idx="80">
                  <c:v>1.071</c:v>
                </c:pt>
                <c:pt idx="81">
                  <c:v>0.88300000000000001</c:v>
                </c:pt>
                <c:pt idx="82">
                  <c:v>1.042</c:v>
                </c:pt>
                <c:pt idx="83">
                  <c:v>1.4510000000000001</c:v>
                </c:pt>
                <c:pt idx="84">
                  <c:v>1.454</c:v>
                </c:pt>
                <c:pt idx="85">
                  <c:v>1.1120000000000001</c:v>
                </c:pt>
                <c:pt idx="86">
                  <c:v>1.109</c:v>
                </c:pt>
                <c:pt idx="87">
                  <c:v>0.98399999999999999</c:v>
                </c:pt>
                <c:pt idx="88">
                  <c:v>0.76</c:v>
                </c:pt>
                <c:pt idx="89">
                  <c:v>0.94199999999999995</c:v>
                </c:pt>
                <c:pt idx="90">
                  <c:v>1.204</c:v>
                </c:pt>
                <c:pt idx="91">
                  <c:v>1.083</c:v>
                </c:pt>
                <c:pt idx="92">
                  <c:v>1.0660000000000001</c:v>
                </c:pt>
                <c:pt idx="93">
                  <c:v>1.0269999999999999</c:v>
                </c:pt>
                <c:pt idx="94">
                  <c:v>1.5249999999999999</c:v>
                </c:pt>
                <c:pt idx="95">
                  <c:v>1.0920000000000001</c:v>
                </c:pt>
                <c:pt idx="96">
                  <c:v>1.8169999999999999</c:v>
                </c:pt>
                <c:pt idx="97">
                  <c:v>1.147</c:v>
                </c:pt>
                <c:pt idx="98">
                  <c:v>1.907</c:v>
                </c:pt>
                <c:pt idx="99">
                  <c:v>2.0299999999999998</c:v>
                </c:pt>
                <c:pt idx="100">
                  <c:v>0.90600000000000003</c:v>
                </c:pt>
                <c:pt idx="101">
                  <c:v>1.05</c:v>
                </c:pt>
                <c:pt idx="102">
                  <c:v>1.17</c:v>
                </c:pt>
                <c:pt idx="103">
                  <c:v>2.6110000000000002</c:v>
                </c:pt>
                <c:pt idx="104">
                  <c:v>0.83199999999999996</c:v>
                </c:pt>
                <c:pt idx="105">
                  <c:v>1.4019999999999999</c:v>
                </c:pt>
                <c:pt idx="106">
                  <c:v>3.1240000000000001</c:v>
                </c:pt>
                <c:pt idx="107">
                  <c:v>0.82599999999999996</c:v>
                </c:pt>
                <c:pt idx="108">
                  <c:v>1.6779999999999999</c:v>
                </c:pt>
                <c:pt idx="109">
                  <c:v>2.3719999999999999</c:v>
                </c:pt>
                <c:pt idx="110">
                  <c:v>1.3260000000000001</c:v>
                </c:pt>
                <c:pt idx="111">
                  <c:v>0.92300000000000004</c:v>
                </c:pt>
                <c:pt idx="112">
                  <c:v>2.254</c:v>
                </c:pt>
                <c:pt idx="113">
                  <c:v>1.621</c:v>
                </c:pt>
                <c:pt idx="114">
                  <c:v>0.96499999999999997</c:v>
                </c:pt>
                <c:pt idx="115">
                  <c:v>2.4609999999999999</c:v>
                </c:pt>
                <c:pt idx="116">
                  <c:v>2.8359999999999999</c:v>
                </c:pt>
                <c:pt idx="117">
                  <c:v>2.2759999999999998</c:v>
                </c:pt>
                <c:pt idx="118">
                  <c:v>1.0429999999999999</c:v>
                </c:pt>
                <c:pt idx="119">
                  <c:v>1.3009999999999999</c:v>
                </c:pt>
                <c:pt idx="120">
                  <c:v>2.0670000000000002</c:v>
                </c:pt>
                <c:pt idx="121">
                  <c:v>1.9890000000000001</c:v>
                </c:pt>
                <c:pt idx="122">
                  <c:v>1.2709999999999999</c:v>
                </c:pt>
                <c:pt idx="123">
                  <c:v>1.403</c:v>
                </c:pt>
                <c:pt idx="124">
                  <c:v>1.397</c:v>
                </c:pt>
                <c:pt idx="125">
                  <c:v>1.538</c:v>
                </c:pt>
                <c:pt idx="126">
                  <c:v>1.6240000000000001</c:v>
                </c:pt>
                <c:pt idx="127">
                  <c:v>1.5660000000000001</c:v>
                </c:pt>
                <c:pt idx="128">
                  <c:v>1.2989999999999999</c:v>
                </c:pt>
                <c:pt idx="129">
                  <c:v>1.2270000000000001</c:v>
                </c:pt>
                <c:pt idx="130">
                  <c:v>1.6240000000000001</c:v>
                </c:pt>
                <c:pt idx="131">
                  <c:v>1.8380000000000001</c:v>
                </c:pt>
                <c:pt idx="132">
                  <c:v>1.3540000000000001</c:v>
                </c:pt>
                <c:pt idx="133">
                  <c:v>1.375</c:v>
                </c:pt>
                <c:pt idx="134">
                  <c:v>1.399</c:v>
                </c:pt>
                <c:pt idx="135">
                  <c:v>1.599</c:v>
                </c:pt>
                <c:pt idx="136">
                  <c:v>1.8109999999999999</c:v>
                </c:pt>
                <c:pt idx="137">
                  <c:v>1.3919999999999999</c:v>
                </c:pt>
                <c:pt idx="138">
                  <c:v>1.508</c:v>
                </c:pt>
                <c:pt idx="139">
                  <c:v>1.5660000000000001</c:v>
                </c:pt>
                <c:pt idx="140">
                  <c:v>1.456</c:v>
                </c:pt>
                <c:pt idx="141">
                  <c:v>0.84899999999999998</c:v>
                </c:pt>
                <c:pt idx="142">
                  <c:v>1.304</c:v>
                </c:pt>
                <c:pt idx="143">
                  <c:v>1.448</c:v>
                </c:pt>
                <c:pt idx="144">
                  <c:v>0.878</c:v>
                </c:pt>
                <c:pt idx="145">
                  <c:v>1.288</c:v>
                </c:pt>
                <c:pt idx="146">
                  <c:v>1.946</c:v>
                </c:pt>
                <c:pt idx="147">
                  <c:v>1.4850000000000001</c:v>
                </c:pt>
                <c:pt idx="148">
                  <c:v>1.468</c:v>
                </c:pt>
                <c:pt idx="149">
                  <c:v>0.89400000000000002</c:v>
                </c:pt>
                <c:pt idx="150">
                  <c:v>0.79300000000000004</c:v>
                </c:pt>
                <c:pt idx="151">
                  <c:v>1.4790000000000001</c:v>
                </c:pt>
                <c:pt idx="152">
                  <c:v>1.4930000000000001</c:v>
                </c:pt>
                <c:pt idx="153">
                  <c:v>2.3610000000000002</c:v>
                </c:pt>
                <c:pt idx="154">
                  <c:v>1.5649999999999999</c:v>
                </c:pt>
                <c:pt idx="155">
                  <c:v>0.79</c:v>
                </c:pt>
                <c:pt idx="156">
                  <c:v>1.5389999999999999</c:v>
                </c:pt>
                <c:pt idx="157">
                  <c:v>1.752</c:v>
                </c:pt>
                <c:pt idx="158">
                  <c:v>1.7529999999999999</c:v>
                </c:pt>
                <c:pt idx="159">
                  <c:v>1.07</c:v>
                </c:pt>
                <c:pt idx="160">
                  <c:v>1.113</c:v>
                </c:pt>
                <c:pt idx="161">
                  <c:v>1.4970000000000001</c:v>
                </c:pt>
                <c:pt idx="162">
                  <c:v>0.96199999999999997</c:v>
                </c:pt>
                <c:pt idx="163">
                  <c:v>2.331</c:v>
                </c:pt>
                <c:pt idx="164">
                  <c:v>1.708</c:v>
                </c:pt>
                <c:pt idx="165">
                  <c:v>1.4710000000000001</c:v>
                </c:pt>
                <c:pt idx="166">
                  <c:v>1.054</c:v>
                </c:pt>
                <c:pt idx="167">
                  <c:v>2.1120000000000001</c:v>
                </c:pt>
                <c:pt idx="168">
                  <c:v>2.64</c:v>
                </c:pt>
                <c:pt idx="169">
                  <c:v>2.2400000000000002</c:v>
                </c:pt>
                <c:pt idx="170">
                  <c:v>1.7929999999999999</c:v>
                </c:pt>
                <c:pt idx="171">
                  <c:v>3.2909999999999999</c:v>
                </c:pt>
                <c:pt idx="172">
                  <c:v>1.556</c:v>
                </c:pt>
                <c:pt idx="173">
                  <c:v>1.958</c:v>
                </c:pt>
                <c:pt idx="174">
                  <c:v>1.1379999999999999</c:v>
                </c:pt>
                <c:pt idx="175">
                  <c:v>1.071</c:v>
                </c:pt>
                <c:pt idx="176">
                  <c:v>1.4279999999999999</c:v>
                </c:pt>
                <c:pt idx="177">
                  <c:v>1.484</c:v>
                </c:pt>
                <c:pt idx="178">
                  <c:v>1.3720000000000001</c:v>
                </c:pt>
                <c:pt idx="179">
                  <c:v>1.014</c:v>
                </c:pt>
                <c:pt idx="180">
                  <c:v>0.99399999999999999</c:v>
                </c:pt>
                <c:pt idx="181">
                  <c:v>1.331</c:v>
                </c:pt>
                <c:pt idx="182">
                  <c:v>1.502</c:v>
                </c:pt>
                <c:pt idx="183">
                  <c:v>1.2370000000000001</c:v>
                </c:pt>
                <c:pt idx="184">
                  <c:v>1.3959999999999999</c:v>
                </c:pt>
                <c:pt idx="185">
                  <c:v>1.3009999999999999</c:v>
                </c:pt>
                <c:pt idx="186">
                  <c:v>0.95199999999999996</c:v>
                </c:pt>
                <c:pt idx="187">
                  <c:v>1.121</c:v>
                </c:pt>
                <c:pt idx="188">
                  <c:v>0.83299999999999996</c:v>
                </c:pt>
                <c:pt idx="189">
                  <c:v>1.1739999999999999</c:v>
                </c:pt>
                <c:pt idx="190">
                  <c:v>1.105</c:v>
                </c:pt>
                <c:pt idx="191">
                  <c:v>0.9</c:v>
                </c:pt>
                <c:pt idx="192">
                  <c:v>0.84599999999999997</c:v>
                </c:pt>
                <c:pt idx="193">
                  <c:v>1.147</c:v>
                </c:pt>
                <c:pt idx="194">
                  <c:v>1.3939999999999999</c:v>
                </c:pt>
                <c:pt idx="195">
                  <c:v>0.99299999999999999</c:v>
                </c:pt>
                <c:pt idx="196">
                  <c:v>0.87</c:v>
                </c:pt>
                <c:pt idx="197">
                  <c:v>1.1859999999999999</c:v>
                </c:pt>
                <c:pt idx="198">
                  <c:v>2.82</c:v>
                </c:pt>
                <c:pt idx="199">
                  <c:v>1.46</c:v>
                </c:pt>
                <c:pt idx="200">
                  <c:v>1.0880000000000001</c:v>
                </c:pt>
                <c:pt idx="201">
                  <c:v>1.212</c:v>
                </c:pt>
                <c:pt idx="202">
                  <c:v>1.1100000000000001</c:v>
                </c:pt>
                <c:pt idx="203">
                  <c:v>1.147</c:v>
                </c:pt>
                <c:pt idx="204">
                  <c:v>2.125</c:v>
                </c:pt>
                <c:pt idx="205">
                  <c:v>1.3149999999999999</c:v>
                </c:pt>
                <c:pt idx="206">
                  <c:v>1.07</c:v>
                </c:pt>
                <c:pt idx="207">
                  <c:v>1.833</c:v>
                </c:pt>
                <c:pt idx="208">
                  <c:v>1.3109999999999999</c:v>
                </c:pt>
                <c:pt idx="209">
                  <c:v>1.0489999999999999</c:v>
                </c:pt>
                <c:pt idx="210">
                  <c:v>1.5009999999999999</c:v>
                </c:pt>
                <c:pt idx="211">
                  <c:v>1.0149999999999999</c:v>
                </c:pt>
                <c:pt idx="212">
                  <c:v>1.1399999999999999</c:v>
                </c:pt>
                <c:pt idx="213">
                  <c:v>1.8320000000000001</c:v>
                </c:pt>
                <c:pt idx="214">
                  <c:v>1.5329999999999999</c:v>
                </c:pt>
                <c:pt idx="215">
                  <c:v>1.4219999999999999</c:v>
                </c:pt>
                <c:pt idx="216">
                  <c:v>1.044</c:v>
                </c:pt>
                <c:pt idx="217">
                  <c:v>1.2270000000000001</c:v>
                </c:pt>
                <c:pt idx="218">
                  <c:v>1.456</c:v>
                </c:pt>
                <c:pt idx="219">
                  <c:v>1.5029999999999999</c:v>
                </c:pt>
                <c:pt idx="220">
                  <c:v>1.2230000000000001</c:v>
                </c:pt>
                <c:pt idx="221">
                  <c:v>0.86599999999999999</c:v>
                </c:pt>
                <c:pt idx="222">
                  <c:v>1.5289999999999999</c:v>
                </c:pt>
                <c:pt idx="223">
                  <c:v>1.0609999999999999</c:v>
                </c:pt>
                <c:pt idx="224">
                  <c:v>0.65800000000000003</c:v>
                </c:pt>
                <c:pt idx="225">
                  <c:v>0.95199999999999996</c:v>
                </c:pt>
                <c:pt idx="226">
                  <c:v>1.052</c:v>
                </c:pt>
                <c:pt idx="227">
                  <c:v>1.482</c:v>
                </c:pt>
                <c:pt idx="228">
                  <c:v>1.786</c:v>
                </c:pt>
                <c:pt idx="229">
                  <c:v>1.276</c:v>
                </c:pt>
                <c:pt idx="230">
                  <c:v>1.381</c:v>
                </c:pt>
                <c:pt idx="231">
                  <c:v>1.129</c:v>
                </c:pt>
                <c:pt idx="232">
                  <c:v>0.79100000000000004</c:v>
                </c:pt>
                <c:pt idx="233">
                  <c:v>1.528</c:v>
                </c:pt>
                <c:pt idx="234">
                  <c:v>0.64700000000000002</c:v>
                </c:pt>
                <c:pt idx="235">
                  <c:v>2.0870000000000002</c:v>
                </c:pt>
                <c:pt idx="236">
                  <c:v>1.325</c:v>
                </c:pt>
                <c:pt idx="237">
                  <c:v>0.96699999999999997</c:v>
                </c:pt>
                <c:pt idx="238">
                  <c:v>0.68899999999999995</c:v>
                </c:pt>
                <c:pt idx="239">
                  <c:v>0.96699999999999997</c:v>
                </c:pt>
                <c:pt idx="240">
                  <c:v>0.96</c:v>
                </c:pt>
                <c:pt idx="241">
                  <c:v>0.76</c:v>
                </c:pt>
                <c:pt idx="242">
                  <c:v>0.84899999999999998</c:v>
                </c:pt>
                <c:pt idx="243">
                  <c:v>1.115</c:v>
                </c:pt>
                <c:pt idx="244">
                  <c:v>1.4330000000000001</c:v>
                </c:pt>
                <c:pt idx="245">
                  <c:v>1.256</c:v>
                </c:pt>
                <c:pt idx="246">
                  <c:v>0.63200000000000001</c:v>
                </c:pt>
                <c:pt idx="247">
                  <c:v>0.76300000000000001</c:v>
                </c:pt>
                <c:pt idx="248">
                  <c:v>0.55700000000000005</c:v>
                </c:pt>
                <c:pt idx="249">
                  <c:v>0.93400000000000005</c:v>
                </c:pt>
                <c:pt idx="250">
                  <c:v>0.64200000000000002</c:v>
                </c:pt>
                <c:pt idx="251">
                  <c:v>0.42899999999999999</c:v>
                </c:pt>
                <c:pt idx="252">
                  <c:v>0.36</c:v>
                </c:pt>
                <c:pt idx="253">
                  <c:v>0.59299999999999997</c:v>
                </c:pt>
                <c:pt idx="254">
                  <c:v>1.0940000000000001</c:v>
                </c:pt>
                <c:pt idx="255">
                  <c:v>1.4219999999999999</c:v>
                </c:pt>
                <c:pt idx="256">
                  <c:v>0.95499999999999996</c:v>
                </c:pt>
                <c:pt idx="257">
                  <c:v>0.71499999999999997</c:v>
                </c:pt>
                <c:pt idx="258">
                  <c:v>0.46100000000000002</c:v>
                </c:pt>
                <c:pt idx="259">
                  <c:v>1.0409999999999999</c:v>
                </c:pt>
                <c:pt idx="260">
                  <c:v>0.70599999999999996</c:v>
                </c:pt>
                <c:pt idx="261">
                  <c:v>1.091</c:v>
                </c:pt>
                <c:pt idx="262">
                  <c:v>0.98499999999999999</c:v>
                </c:pt>
                <c:pt idx="263">
                  <c:v>0.68899999999999995</c:v>
                </c:pt>
                <c:pt idx="264">
                  <c:v>0.97599999999999998</c:v>
                </c:pt>
                <c:pt idx="265">
                  <c:v>1.3260000000000001</c:v>
                </c:pt>
                <c:pt idx="266">
                  <c:v>2.2490000000000001</c:v>
                </c:pt>
                <c:pt idx="267">
                  <c:v>1.1180000000000001</c:v>
                </c:pt>
                <c:pt idx="268">
                  <c:v>1.9419999999999999</c:v>
                </c:pt>
                <c:pt idx="269">
                  <c:v>0.501</c:v>
                </c:pt>
                <c:pt idx="270">
                  <c:v>0.91100000000000003</c:v>
                </c:pt>
                <c:pt idx="271">
                  <c:v>0.69</c:v>
                </c:pt>
                <c:pt idx="272">
                  <c:v>0.74099999999999999</c:v>
                </c:pt>
                <c:pt idx="273">
                  <c:v>0.48399999999999999</c:v>
                </c:pt>
                <c:pt idx="274">
                  <c:v>1.0880000000000001</c:v>
                </c:pt>
                <c:pt idx="275">
                  <c:v>0.94199999999999995</c:v>
                </c:pt>
                <c:pt idx="276">
                  <c:v>0.62</c:v>
                </c:pt>
                <c:pt idx="277">
                  <c:v>1.3740000000000001</c:v>
                </c:pt>
                <c:pt idx="278">
                  <c:v>0.75</c:v>
                </c:pt>
                <c:pt idx="279">
                  <c:v>1.748</c:v>
                </c:pt>
                <c:pt idx="280">
                  <c:v>2.3919999999999999</c:v>
                </c:pt>
                <c:pt idx="281">
                  <c:v>1.7290000000000001</c:v>
                </c:pt>
                <c:pt idx="282">
                  <c:v>0.70099999999999996</c:v>
                </c:pt>
                <c:pt idx="283">
                  <c:v>1.2509999999999999</c:v>
                </c:pt>
                <c:pt idx="284">
                  <c:v>0.93500000000000005</c:v>
                </c:pt>
                <c:pt idx="285">
                  <c:v>0.65400000000000003</c:v>
                </c:pt>
                <c:pt idx="286">
                  <c:v>0.52600000000000002</c:v>
                </c:pt>
                <c:pt idx="287">
                  <c:v>1.87</c:v>
                </c:pt>
                <c:pt idx="288">
                  <c:v>1.86</c:v>
                </c:pt>
                <c:pt idx="289">
                  <c:v>1.0860000000000001</c:v>
                </c:pt>
                <c:pt idx="290">
                  <c:v>1.4139999999999999</c:v>
                </c:pt>
                <c:pt idx="291">
                  <c:v>0.83099999999999996</c:v>
                </c:pt>
                <c:pt idx="292">
                  <c:v>0.93200000000000005</c:v>
                </c:pt>
                <c:pt idx="293">
                  <c:v>0.96099999999999997</c:v>
                </c:pt>
                <c:pt idx="294">
                  <c:v>2.1160000000000001</c:v>
                </c:pt>
                <c:pt idx="295">
                  <c:v>1.444</c:v>
                </c:pt>
                <c:pt idx="296">
                  <c:v>1.1850000000000001</c:v>
                </c:pt>
                <c:pt idx="297">
                  <c:v>2.1760000000000002</c:v>
                </c:pt>
                <c:pt idx="298">
                  <c:v>2.2639999999999998</c:v>
                </c:pt>
                <c:pt idx="299">
                  <c:v>1.8169999999999999</c:v>
                </c:pt>
                <c:pt idx="300">
                  <c:v>2.3250000000000002</c:v>
                </c:pt>
                <c:pt idx="301">
                  <c:v>0.56299999999999994</c:v>
                </c:pt>
                <c:pt idx="302">
                  <c:v>0.85599999999999998</c:v>
                </c:pt>
                <c:pt idx="303">
                  <c:v>1.0029999999999999</c:v>
                </c:pt>
                <c:pt idx="304">
                  <c:v>0.436</c:v>
                </c:pt>
                <c:pt idx="305">
                  <c:v>0.42099999999999999</c:v>
                </c:pt>
                <c:pt idx="306">
                  <c:v>1.5960000000000001</c:v>
                </c:pt>
                <c:pt idx="307">
                  <c:v>1.4279999999999999</c:v>
                </c:pt>
                <c:pt idx="308">
                  <c:v>1.167</c:v>
                </c:pt>
                <c:pt idx="309">
                  <c:v>0.99399999999999999</c:v>
                </c:pt>
                <c:pt idx="310">
                  <c:v>0.80300000000000005</c:v>
                </c:pt>
                <c:pt idx="311">
                  <c:v>0.64300000000000002</c:v>
                </c:pt>
                <c:pt idx="312">
                  <c:v>1.417</c:v>
                </c:pt>
                <c:pt idx="313">
                  <c:v>1.675</c:v>
                </c:pt>
                <c:pt idx="314">
                  <c:v>1.6559999999999999</c:v>
                </c:pt>
                <c:pt idx="315">
                  <c:v>1.157</c:v>
                </c:pt>
                <c:pt idx="316">
                  <c:v>0.57999999999999996</c:v>
                </c:pt>
                <c:pt idx="317">
                  <c:v>1.944</c:v>
                </c:pt>
                <c:pt idx="318">
                  <c:v>1.5289999999999999</c:v>
                </c:pt>
                <c:pt idx="319">
                  <c:v>0.86799999999999999</c:v>
                </c:pt>
                <c:pt idx="320">
                  <c:v>1.3360000000000001</c:v>
                </c:pt>
                <c:pt idx="321">
                  <c:v>1.0309999999999999</c:v>
                </c:pt>
                <c:pt idx="322">
                  <c:v>1.6870000000000001</c:v>
                </c:pt>
                <c:pt idx="323">
                  <c:v>1.3440000000000001</c:v>
                </c:pt>
                <c:pt idx="324">
                  <c:v>0.4</c:v>
                </c:pt>
                <c:pt idx="325">
                  <c:v>0.42099999999999999</c:v>
                </c:pt>
                <c:pt idx="326">
                  <c:v>1.0289999999999999</c:v>
                </c:pt>
                <c:pt idx="327">
                  <c:v>2.3450000000000002</c:v>
                </c:pt>
                <c:pt idx="328">
                  <c:v>1.081</c:v>
                </c:pt>
                <c:pt idx="329">
                  <c:v>0.59899999999999998</c:v>
                </c:pt>
                <c:pt idx="330">
                  <c:v>2.3639999999999999</c:v>
                </c:pt>
                <c:pt idx="331">
                  <c:v>0.66600000000000004</c:v>
                </c:pt>
                <c:pt idx="332">
                  <c:v>0.70399999999999996</c:v>
                </c:pt>
                <c:pt idx="333">
                  <c:v>0.74099999999999999</c:v>
                </c:pt>
                <c:pt idx="334">
                  <c:v>2.1219999999999999</c:v>
                </c:pt>
                <c:pt idx="335">
                  <c:v>0.62</c:v>
                </c:pt>
                <c:pt idx="336">
                  <c:v>1.1890000000000001</c:v>
                </c:pt>
                <c:pt idx="337">
                  <c:v>0.91100000000000003</c:v>
                </c:pt>
                <c:pt idx="338">
                  <c:v>0.79500000000000004</c:v>
                </c:pt>
                <c:pt idx="339">
                  <c:v>1.6559999999999999</c:v>
                </c:pt>
                <c:pt idx="340">
                  <c:v>0</c:v>
                </c:pt>
                <c:pt idx="341">
                  <c:v>0.90500000000000003</c:v>
                </c:pt>
                <c:pt idx="342">
                  <c:v>0.40400000000000003</c:v>
                </c:pt>
                <c:pt idx="343">
                  <c:v>1.159</c:v>
                </c:pt>
                <c:pt idx="344">
                  <c:v>1.2290000000000001</c:v>
                </c:pt>
                <c:pt idx="345">
                  <c:v>1.119</c:v>
                </c:pt>
                <c:pt idx="346">
                  <c:v>0.94599999999999995</c:v>
                </c:pt>
                <c:pt idx="347">
                  <c:v>0.41499999999999998</c:v>
                </c:pt>
                <c:pt idx="348">
                  <c:v>0.91700000000000004</c:v>
                </c:pt>
                <c:pt idx="349">
                  <c:v>0.68300000000000005</c:v>
                </c:pt>
                <c:pt idx="350">
                  <c:v>2.2309999999999999</c:v>
                </c:pt>
                <c:pt idx="351">
                  <c:v>1.738</c:v>
                </c:pt>
                <c:pt idx="352">
                  <c:v>0</c:v>
                </c:pt>
                <c:pt idx="353">
                  <c:v>1.077</c:v>
                </c:pt>
                <c:pt idx="354">
                  <c:v>1.77</c:v>
                </c:pt>
                <c:pt idx="355">
                  <c:v>0.1</c:v>
                </c:pt>
                <c:pt idx="356">
                  <c:v>0.27900000000000003</c:v>
                </c:pt>
                <c:pt idx="357">
                  <c:v>0.36499999999999999</c:v>
                </c:pt>
                <c:pt idx="358">
                  <c:v>0.188</c:v>
                </c:pt>
                <c:pt idx="359">
                  <c:v>0.95899999999999996</c:v>
                </c:pt>
                <c:pt idx="360">
                  <c:v>0.92300000000000004</c:v>
                </c:pt>
                <c:pt idx="361">
                  <c:v>0.59099999999999997</c:v>
                </c:pt>
                <c:pt idx="362">
                  <c:v>0.34200000000000003</c:v>
                </c:pt>
                <c:pt idx="363">
                  <c:v>0.45500000000000002</c:v>
                </c:pt>
                <c:pt idx="364">
                  <c:v>1.448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78560"/>
        <c:axId val="142184448"/>
      </c:lineChart>
      <c:catAx>
        <c:axId val="14217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844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184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78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0.254</c:v>
                </c:pt>
                <c:pt idx="12">
                  <c:v>0</c:v>
                </c:pt>
                <c:pt idx="13">
                  <c:v>1.778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0.76200000000000001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0.254</c:v>
                </c:pt>
                <c:pt idx="80">
                  <c:v>0.50800000000000001</c:v>
                </c:pt>
                <c:pt idx="81">
                  <c:v>0.254</c:v>
                </c:pt>
                <c:pt idx="82">
                  <c:v>2.794</c:v>
                </c:pt>
                <c:pt idx="83">
                  <c:v>2.286</c:v>
                </c:pt>
                <c:pt idx="84">
                  <c:v>7.11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1.27</c:v>
                </c:pt>
                <c:pt idx="90">
                  <c:v>0</c:v>
                </c:pt>
                <c:pt idx="91">
                  <c:v>0</c:v>
                </c:pt>
                <c:pt idx="92">
                  <c:v>3.302</c:v>
                </c:pt>
                <c:pt idx="93">
                  <c:v>0</c:v>
                </c:pt>
                <c:pt idx="94">
                  <c:v>0.76200000000000001</c:v>
                </c:pt>
                <c:pt idx="95">
                  <c:v>7.37</c:v>
                </c:pt>
                <c:pt idx="96">
                  <c:v>3.81</c:v>
                </c:pt>
                <c:pt idx="97">
                  <c:v>1.524</c:v>
                </c:pt>
                <c:pt idx="98">
                  <c:v>1.27</c:v>
                </c:pt>
                <c:pt idx="99">
                  <c:v>1.524</c:v>
                </c:pt>
                <c:pt idx="100">
                  <c:v>3.556</c:v>
                </c:pt>
                <c:pt idx="101">
                  <c:v>0</c:v>
                </c:pt>
                <c:pt idx="102">
                  <c:v>4.5720000000000001</c:v>
                </c:pt>
                <c:pt idx="103">
                  <c:v>1.778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17.02</c:v>
                </c:pt>
                <c:pt idx="108">
                  <c:v>8.1300000000000008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0.254</c:v>
                </c:pt>
                <c:pt idx="115">
                  <c:v>0</c:v>
                </c:pt>
                <c:pt idx="116">
                  <c:v>0.254</c:v>
                </c:pt>
                <c:pt idx="117">
                  <c:v>1.524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0.76200000000000001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9.65</c:v>
                </c:pt>
                <c:pt idx="134">
                  <c:v>0</c:v>
                </c:pt>
                <c:pt idx="135">
                  <c:v>5.08</c:v>
                </c:pt>
                <c:pt idx="136">
                  <c:v>4.8259999999999996</c:v>
                </c:pt>
                <c:pt idx="137">
                  <c:v>0.50800000000000001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3.556</c:v>
                </c:pt>
                <c:pt idx="144">
                  <c:v>3.81</c:v>
                </c:pt>
                <c:pt idx="145">
                  <c:v>0.254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5.08</c:v>
                </c:pt>
                <c:pt idx="150">
                  <c:v>4.3179999999999996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7.62</c:v>
                </c:pt>
                <c:pt idx="156">
                  <c:v>0</c:v>
                </c:pt>
                <c:pt idx="157">
                  <c:v>2.54</c:v>
                </c:pt>
                <c:pt idx="158">
                  <c:v>5.8419999999999996</c:v>
                </c:pt>
                <c:pt idx="159">
                  <c:v>0.254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6.35</c:v>
                </c:pt>
                <c:pt idx="170">
                  <c:v>19.05</c:v>
                </c:pt>
                <c:pt idx="171">
                  <c:v>0</c:v>
                </c:pt>
                <c:pt idx="172">
                  <c:v>0</c:v>
                </c:pt>
                <c:pt idx="173">
                  <c:v>1.778</c:v>
                </c:pt>
                <c:pt idx="174">
                  <c:v>5.3339999999999996</c:v>
                </c:pt>
                <c:pt idx="175">
                  <c:v>0.50800000000000001</c:v>
                </c:pt>
                <c:pt idx="176">
                  <c:v>4.5720000000000001</c:v>
                </c:pt>
                <c:pt idx="177">
                  <c:v>10.41</c:v>
                </c:pt>
                <c:pt idx="178">
                  <c:v>1.016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27.18</c:v>
                </c:pt>
                <c:pt idx="186">
                  <c:v>2.032</c:v>
                </c:pt>
                <c:pt idx="187">
                  <c:v>0</c:v>
                </c:pt>
                <c:pt idx="188">
                  <c:v>3.048</c:v>
                </c:pt>
                <c:pt idx="189">
                  <c:v>0</c:v>
                </c:pt>
                <c:pt idx="190">
                  <c:v>9.91</c:v>
                </c:pt>
                <c:pt idx="191">
                  <c:v>0.254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2.032</c:v>
                </c:pt>
                <c:pt idx="197">
                  <c:v>5.08</c:v>
                </c:pt>
                <c:pt idx="198">
                  <c:v>0.76200000000000001</c:v>
                </c:pt>
                <c:pt idx="199">
                  <c:v>0.50800000000000001</c:v>
                </c:pt>
                <c:pt idx="200">
                  <c:v>1.016</c:v>
                </c:pt>
                <c:pt idx="201">
                  <c:v>0</c:v>
                </c:pt>
                <c:pt idx="202">
                  <c:v>0.76200000000000001</c:v>
                </c:pt>
                <c:pt idx="203">
                  <c:v>2.286</c:v>
                </c:pt>
                <c:pt idx="204">
                  <c:v>2.286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30.23</c:v>
                </c:pt>
                <c:pt idx="222">
                  <c:v>8.64</c:v>
                </c:pt>
                <c:pt idx="223">
                  <c:v>0</c:v>
                </c:pt>
                <c:pt idx="224">
                  <c:v>5.08</c:v>
                </c:pt>
                <c:pt idx="225">
                  <c:v>0</c:v>
                </c:pt>
                <c:pt idx="226">
                  <c:v>0</c:v>
                </c:pt>
                <c:pt idx="227">
                  <c:v>0.254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0.50800000000000001</c:v>
                </c:pt>
                <c:pt idx="233">
                  <c:v>0</c:v>
                </c:pt>
                <c:pt idx="234">
                  <c:v>0.76200000000000001</c:v>
                </c:pt>
                <c:pt idx="235">
                  <c:v>0</c:v>
                </c:pt>
                <c:pt idx="236">
                  <c:v>6.8579999999999997</c:v>
                </c:pt>
                <c:pt idx="237">
                  <c:v>0.50800000000000001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1.016</c:v>
                </c:pt>
                <c:pt idx="243">
                  <c:v>0.254</c:v>
                </c:pt>
                <c:pt idx="244">
                  <c:v>0</c:v>
                </c:pt>
                <c:pt idx="245">
                  <c:v>5.3339999999999996</c:v>
                </c:pt>
                <c:pt idx="246">
                  <c:v>0.254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8.3800000000000008</c:v>
                </c:pt>
                <c:pt idx="251">
                  <c:v>5.3339999999999996</c:v>
                </c:pt>
                <c:pt idx="252">
                  <c:v>6.0960000000000001</c:v>
                </c:pt>
                <c:pt idx="253">
                  <c:v>3.048</c:v>
                </c:pt>
                <c:pt idx="254">
                  <c:v>0.50800000000000001</c:v>
                </c:pt>
                <c:pt idx="255">
                  <c:v>1.27</c:v>
                </c:pt>
                <c:pt idx="256">
                  <c:v>1.27</c:v>
                </c:pt>
                <c:pt idx="257">
                  <c:v>22.1</c:v>
                </c:pt>
                <c:pt idx="258">
                  <c:v>2.286</c:v>
                </c:pt>
                <c:pt idx="259">
                  <c:v>6.35</c:v>
                </c:pt>
                <c:pt idx="260">
                  <c:v>3.302</c:v>
                </c:pt>
                <c:pt idx="261">
                  <c:v>0.76200000000000001</c:v>
                </c:pt>
                <c:pt idx="262">
                  <c:v>2.794</c:v>
                </c:pt>
                <c:pt idx="263">
                  <c:v>0.254</c:v>
                </c:pt>
                <c:pt idx="264">
                  <c:v>9.4</c:v>
                </c:pt>
                <c:pt idx="265">
                  <c:v>4.5720000000000001</c:v>
                </c:pt>
                <c:pt idx="266">
                  <c:v>0</c:v>
                </c:pt>
                <c:pt idx="267">
                  <c:v>0</c:v>
                </c:pt>
                <c:pt idx="268">
                  <c:v>20.57</c:v>
                </c:pt>
                <c:pt idx="269">
                  <c:v>3.048</c:v>
                </c:pt>
                <c:pt idx="270">
                  <c:v>0.254</c:v>
                </c:pt>
                <c:pt idx="271">
                  <c:v>0.50800000000000001</c:v>
                </c:pt>
                <c:pt idx="272">
                  <c:v>4.3179999999999996</c:v>
                </c:pt>
                <c:pt idx="273">
                  <c:v>5.3339999999999996</c:v>
                </c:pt>
                <c:pt idx="274">
                  <c:v>0</c:v>
                </c:pt>
                <c:pt idx="275">
                  <c:v>0.76200000000000001</c:v>
                </c:pt>
                <c:pt idx="276">
                  <c:v>0.254</c:v>
                </c:pt>
                <c:pt idx="277">
                  <c:v>4.3179999999999996</c:v>
                </c:pt>
                <c:pt idx="278">
                  <c:v>0.254</c:v>
                </c:pt>
                <c:pt idx="279">
                  <c:v>4.8259999999999996</c:v>
                </c:pt>
                <c:pt idx="280">
                  <c:v>0.76200000000000001</c:v>
                </c:pt>
                <c:pt idx="281">
                  <c:v>0</c:v>
                </c:pt>
                <c:pt idx="282">
                  <c:v>0.50800000000000001</c:v>
                </c:pt>
                <c:pt idx="283">
                  <c:v>0</c:v>
                </c:pt>
                <c:pt idx="284">
                  <c:v>0</c:v>
                </c:pt>
                <c:pt idx="285">
                  <c:v>3.048</c:v>
                </c:pt>
                <c:pt idx="286">
                  <c:v>1.778</c:v>
                </c:pt>
                <c:pt idx="287">
                  <c:v>0</c:v>
                </c:pt>
                <c:pt idx="288">
                  <c:v>0.50800000000000001</c:v>
                </c:pt>
                <c:pt idx="289">
                  <c:v>5.3339999999999996</c:v>
                </c:pt>
                <c:pt idx="290">
                  <c:v>4.8259999999999996</c:v>
                </c:pt>
                <c:pt idx="291">
                  <c:v>1.016</c:v>
                </c:pt>
                <c:pt idx="292">
                  <c:v>0.50800000000000001</c:v>
                </c:pt>
                <c:pt idx="293">
                  <c:v>0</c:v>
                </c:pt>
                <c:pt idx="294">
                  <c:v>21.84</c:v>
                </c:pt>
                <c:pt idx="295">
                  <c:v>0.76200000000000001</c:v>
                </c:pt>
                <c:pt idx="296">
                  <c:v>0</c:v>
                </c:pt>
                <c:pt idx="297">
                  <c:v>0</c:v>
                </c:pt>
                <c:pt idx="298">
                  <c:v>1.778</c:v>
                </c:pt>
                <c:pt idx="299">
                  <c:v>0</c:v>
                </c:pt>
                <c:pt idx="300">
                  <c:v>0</c:v>
                </c:pt>
                <c:pt idx="301">
                  <c:v>0.254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0.254</c:v>
                </c:pt>
                <c:pt idx="306">
                  <c:v>0.254</c:v>
                </c:pt>
                <c:pt idx="307">
                  <c:v>0</c:v>
                </c:pt>
                <c:pt idx="308">
                  <c:v>0.254</c:v>
                </c:pt>
                <c:pt idx="309">
                  <c:v>0</c:v>
                </c:pt>
                <c:pt idx="310">
                  <c:v>0.254</c:v>
                </c:pt>
                <c:pt idx="311">
                  <c:v>0</c:v>
                </c:pt>
                <c:pt idx="312">
                  <c:v>0.50800000000000001</c:v>
                </c:pt>
                <c:pt idx="313">
                  <c:v>0</c:v>
                </c:pt>
                <c:pt idx="314">
                  <c:v>0</c:v>
                </c:pt>
                <c:pt idx="315">
                  <c:v>1.27</c:v>
                </c:pt>
                <c:pt idx="316">
                  <c:v>5.08</c:v>
                </c:pt>
                <c:pt idx="317">
                  <c:v>0.254</c:v>
                </c:pt>
                <c:pt idx="318">
                  <c:v>1.524</c:v>
                </c:pt>
                <c:pt idx="319">
                  <c:v>0</c:v>
                </c:pt>
                <c:pt idx="320">
                  <c:v>9.4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6.6040000000000001</c:v>
                </c:pt>
                <c:pt idx="325">
                  <c:v>0.254</c:v>
                </c:pt>
                <c:pt idx="326">
                  <c:v>0</c:v>
                </c:pt>
                <c:pt idx="327">
                  <c:v>0.254</c:v>
                </c:pt>
                <c:pt idx="328">
                  <c:v>0</c:v>
                </c:pt>
                <c:pt idx="329">
                  <c:v>0.254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4.5720000000000001</c:v>
                </c:pt>
                <c:pt idx="337">
                  <c:v>0.254</c:v>
                </c:pt>
                <c:pt idx="338">
                  <c:v>0.254</c:v>
                </c:pt>
                <c:pt idx="339">
                  <c:v>0</c:v>
                </c:pt>
                <c:pt idx="340">
                  <c:v>0.50800000000000001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11.43</c:v>
                </c:pt>
                <c:pt idx="355">
                  <c:v>0</c:v>
                </c:pt>
                <c:pt idx="356">
                  <c:v>0.254</c:v>
                </c:pt>
                <c:pt idx="357">
                  <c:v>0</c:v>
                </c:pt>
                <c:pt idx="358">
                  <c:v>0.254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97120"/>
        <c:axId val="142198656"/>
      </c:barChart>
      <c:catAx>
        <c:axId val="142197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986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198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97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Data!$AP$6:$AP$370</c:f>
              <c:numCache>
                <c:formatCode>General</c:formatCode>
                <c:ptCount val="365"/>
                <c:pt idx="0">
                  <c:v>0.64200000000000013</c:v>
                </c:pt>
                <c:pt idx="1">
                  <c:v>0.62400000000000011</c:v>
                </c:pt>
                <c:pt idx="2">
                  <c:v>0.61700000000000021</c:v>
                </c:pt>
                <c:pt idx="3">
                  <c:v>0.59800000000000009</c:v>
                </c:pt>
                <c:pt idx="4">
                  <c:v>0.59100000000000019</c:v>
                </c:pt>
                <c:pt idx="5">
                  <c:v>0.57800000000000007</c:v>
                </c:pt>
                <c:pt idx="6">
                  <c:v>0.57600000000000007</c:v>
                </c:pt>
                <c:pt idx="7">
                  <c:v>0.61700000000000021</c:v>
                </c:pt>
                <c:pt idx="8">
                  <c:v>0.60600000000000009</c:v>
                </c:pt>
                <c:pt idx="9">
                  <c:v>0.59300000000000019</c:v>
                </c:pt>
                <c:pt idx="10">
                  <c:v>0.59300000000000019</c:v>
                </c:pt>
                <c:pt idx="11">
                  <c:v>0.59000000000000008</c:v>
                </c:pt>
                <c:pt idx="12">
                  <c:v>0.57800000000000007</c:v>
                </c:pt>
                <c:pt idx="13">
                  <c:v>0.57400000000000029</c:v>
                </c:pt>
                <c:pt idx="14">
                  <c:v>0.57700000000000018</c:v>
                </c:pt>
                <c:pt idx="15">
                  <c:v>0.57500000000000018</c:v>
                </c:pt>
                <c:pt idx="16">
                  <c:v>0.59400000000000008</c:v>
                </c:pt>
                <c:pt idx="17">
                  <c:v>0.60900000000000021</c:v>
                </c:pt>
                <c:pt idx="18">
                  <c:v>0.6180000000000001</c:v>
                </c:pt>
                <c:pt idx="19">
                  <c:v>0.5970000000000002</c:v>
                </c:pt>
                <c:pt idx="20">
                  <c:v>0.60600000000000009</c:v>
                </c:pt>
                <c:pt idx="21">
                  <c:v>0.69800000000000018</c:v>
                </c:pt>
                <c:pt idx="22">
                  <c:v>0.75600000000000023</c:v>
                </c:pt>
                <c:pt idx="23">
                  <c:v>0.7350000000000001</c:v>
                </c:pt>
                <c:pt idx="24">
                  <c:v>0.71700000000000008</c:v>
                </c:pt>
                <c:pt idx="25">
                  <c:v>0.70300000000000007</c:v>
                </c:pt>
                <c:pt idx="26">
                  <c:v>0.69200000000000017</c:v>
                </c:pt>
                <c:pt idx="27">
                  <c:v>0.67700000000000027</c:v>
                </c:pt>
                <c:pt idx="28">
                  <c:v>0.68100000000000027</c:v>
                </c:pt>
                <c:pt idx="29">
                  <c:v>0.67900000000000027</c:v>
                </c:pt>
                <c:pt idx="30">
                  <c:v>0.67400000000000015</c:v>
                </c:pt>
                <c:pt idx="31">
                  <c:v>0.66700000000000026</c:v>
                </c:pt>
                <c:pt idx="32">
                  <c:v>0.68800000000000017</c:v>
                </c:pt>
                <c:pt idx="33">
                  <c:v>0.67900000000000027</c:v>
                </c:pt>
                <c:pt idx="34">
                  <c:v>0.67100000000000026</c:v>
                </c:pt>
                <c:pt idx="35">
                  <c:v>0.67300000000000026</c:v>
                </c:pt>
                <c:pt idx="36">
                  <c:v>0.66700000000000026</c:v>
                </c:pt>
                <c:pt idx="37">
                  <c:v>0.69100000000000028</c:v>
                </c:pt>
                <c:pt idx="38">
                  <c:v>0.7330000000000001</c:v>
                </c:pt>
                <c:pt idx="39">
                  <c:v>0.69800000000000018</c:v>
                </c:pt>
                <c:pt idx="40">
                  <c:v>0.70500000000000007</c:v>
                </c:pt>
                <c:pt idx="41">
                  <c:v>0.71700000000000008</c:v>
                </c:pt>
                <c:pt idx="42">
                  <c:v>0.78400000000000025</c:v>
                </c:pt>
                <c:pt idx="43">
                  <c:v>0.78900000000000015</c:v>
                </c:pt>
                <c:pt idx="44">
                  <c:v>0.79900000000000015</c:v>
                </c:pt>
                <c:pt idx="45">
                  <c:v>0.82100000000000017</c:v>
                </c:pt>
                <c:pt idx="46">
                  <c:v>0.80800000000000027</c:v>
                </c:pt>
                <c:pt idx="47">
                  <c:v>0.84600000000000009</c:v>
                </c:pt>
                <c:pt idx="48">
                  <c:v>0.80700000000000016</c:v>
                </c:pt>
                <c:pt idx="49">
                  <c:v>0.89700000000000024</c:v>
                </c:pt>
                <c:pt idx="50">
                  <c:v>0.88800000000000012</c:v>
                </c:pt>
                <c:pt idx="51">
                  <c:v>0.88500000000000023</c:v>
                </c:pt>
                <c:pt idx="52">
                  <c:v>0.98600000000000021</c:v>
                </c:pt>
                <c:pt idx="53">
                  <c:v>0.94800000000000018</c:v>
                </c:pt>
                <c:pt idx="54">
                  <c:v>0.91300000000000026</c:v>
                </c:pt>
                <c:pt idx="55">
                  <c:v>0.88800000000000012</c:v>
                </c:pt>
                <c:pt idx="56">
                  <c:v>0.8660000000000001</c:v>
                </c:pt>
                <c:pt idx="57">
                  <c:v>0.85900000000000021</c:v>
                </c:pt>
                <c:pt idx="58">
                  <c:v>0.93600000000000017</c:v>
                </c:pt>
                <c:pt idx="59">
                  <c:v>0.91900000000000026</c:v>
                </c:pt>
                <c:pt idx="60">
                  <c:v>0.89600000000000013</c:v>
                </c:pt>
                <c:pt idx="61">
                  <c:v>0.88200000000000012</c:v>
                </c:pt>
                <c:pt idx="62">
                  <c:v>0.87700000000000022</c:v>
                </c:pt>
                <c:pt idx="63">
                  <c:v>0.88400000000000012</c:v>
                </c:pt>
                <c:pt idx="64">
                  <c:v>0.93100000000000027</c:v>
                </c:pt>
                <c:pt idx="65">
                  <c:v>0.9780000000000002</c:v>
                </c:pt>
                <c:pt idx="66">
                  <c:v>0.96500000000000008</c:v>
                </c:pt>
                <c:pt idx="67">
                  <c:v>0.94400000000000017</c:v>
                </c:pt>
                <c:pt idx="68">
                  <c:v>0.93800000000000017</c:v>
                </c:pt>
                <c:pt idx="69">
                  <c:v>0.91900000000000026</c:v>
                </c:pt>
                <c:pt idx="70">
                  <c:v>0.93200000000000016</c:v>
                </c:pt>
                <c:pt idx="71">
                  <c:v>0.92100000000000026</c:v>
                </c:pt>
                <c:pt idx="72">
                  <c:v>0.91700000000000026</c:v>
                </c:pt>
                <c:pt idx="73">
                  <c:v>0.88800000000000012</c:v>
                </c:pt>
                <c:pt idx="74">
                  <c:v>0.87300000000000022</c:v>
                </c:pt>
                <c:pt idx="75">
                  <c:v>0.8510000000000002</c:v>
                </c:pt>
                <c:pt idx="76">
                  <c:v>0.82600000000000007</c:v>
                </c:pt>
                <c:pt idx="77">
                  <c:v>0.79600000000000026</c:v>
                </c:pt>
                <c:pt idx="78">
                  <c:v>0.75500000000000012</c:v>
                </c:pt>
                <c:pt idx="79">
                  <c:v>0.72100000000000009</c:v>
                </c:pt>
                <c:pt idx="80">
                  <c:v>0.70200000000000018</c:v>
                </c:pt>
                <c:pt idx="81">
                  <c:v>0.67900000000000027</c:v>
                </c:pt>
                <c:pt idx="82">
                  <c:v>0.65300000000000025</c:v>
                </c:pt>
                <c:pt idx="83">
                  <c:v>0.59300000000000019</c:v>
                </c:pt>
                <c:pt idx="84">
                  <c:v>0.64300000000000024</c:v>
                </c:pt>
                <c:pt idx="85">
                  <c:v>0.6030000000000002</c:v>
                </c:pt>
                <c:pt idx="86">
                  <c:v>0.59200000000000008</c:v>
                </c:pt>
                <c:pt idx="87">
                  <c:v>0.59000000000000008</c:v>
                </c:pt>
                <c:pt idx="88">
                  <c:v>0.57400000000000029</c:v>
                </c:pt>
                <c:pt idx="89">
                  <c:v>0.56200000000000028</c:v>
                </c:pt>
                <c:pt idx="90">
                  <c:v>0.54900000000000015</c:v>
                </c:pt>
                <c:pt idx="91">
                  <c:v>0.54400000000000026</c:v>
                </c:pt>
                <c:pt idx="92">
                  <c:v>0.52900000000000014</c:v>
                </c:pt>
                <c:pt idx="93">
                  <c:v>0.51700000000000013</c:v>
                </c:pt>
                <c:pt idx="94">
                  <c:v>0.58300000000000018</c:v>
                </c:pt>
                <c:pt idx="95">
                  <c:v>0.54700000000000015</c:v>
                </c:pt>
                <c:pt idx="96">
                  <c:v>0.52900000000000014</c:v>
                </c:pt>
                <c:pt idx="97">
                  <c:v>0.52100000000000013</c:v>
                </c:pt>
                <c:pt idx="98">
                  <c:v>0.51600000000000024</c:v>
                </c:pt>
                <c:pt idx="99">
                  <c:v>0.56600000000000028</c:v>
                </c:pt>
                <c:pt idx="100">
                  <c:v>0.53100000000000014</c:v>
                </c:pt>
                <c:pt idx="101">
                  <c:v>0.52900000000000014</c:v>
                </c:pt>
                <c:pt idx="102">
                  <c:v>0.5950000000000002</c:v>
                </c:pt>
                <c:pt idx="103">
                  <c:v>0.56900000000000017</c:v>
                </c:pt>
                <c:pt idx="104">
                  <c:v>0.55200000000000027</c:v>
                </c:pt>
                <c:pt idx="105">
                  <c:v>0.54100000000000015</c:v>
                </c:pt>
                <c:pt idx="106">
                  <c:v>0.50600000000000023</c:v>
                </c:pt>
                <c:pt idx="107">
                  <c:v>0.47100000000000009</c:v>
                </c:pt>
                <c:pt idx="108">
                  <c:v>0.43400000000000016</c:v>
                </c:pt>
                <c:pt idx="109">
                  <c:v>0.42500000000000027</c:v>
                </c:pt>
                <c:pt idx="110">
                  <c:v>0.39300000000000024</c:v>
                </c:pt>
                <c:pt idx="111">
                  <c:v>0.37700000000000022</c:v>
                </c:pt>
                <c:pt idx="112">
                  <c:v>0.33700000000000019</c:v>
                </c:pt>
                <c:pt idx="113">
                  <c:v>0.32600000000000007</c:v>
                </c:pt>
                <c:pt idx="114">
                  <c:v>0.29900000000000038</c:v>
                </c:pt>
                <c:pt idx="115">
                  <c:v>0.27600000000000025</c:v>
                </c:pt>
                <c:pt idx="116">
                  <c:v>0.28800000000000026</c:v>
                </c:pt>
                <c:pt idx="117">
                  <c:v>0.26500000000000012</c:v>
                </c:pt>
                <c:pt idx="118">
                  <c:v>0.26200000000000001</c:v>
                </c:pt>
                <c:pt idx="119">
                  <c:v>0.26200000000000001</c:v>
                </c:pt>
                <c:pt idx="120">
                  <c:v>0.21799999999999997</c:v>
                </c:pt>
                <c:pt idx="121">
                  <c:v>0.20800000000000018</c:v>
                </c:pt>
                <c:pt idx="122">
                  <c:v>0.16700000000000026</c:v>
                </c:pt>
                <c:pt idx="123">
                  <c:v>0.10700000000000021</c:v>
                </c:pt>
                <c:pt idx="124">
                  <c:v>6.0000000000000053E-2</c:v>
                </c:pt>
                <c:pt idx="125">
                  <c:v>0</c:v>
                </c:pt>
                <c:pt idx="289">
                  <c:v>0</c:v>
                </c:pt>
                <c:pt idx="290">
                  <c:v>4.3000000000000149E-2</c:v>
                </c:pt>
                <c:pt idx="291">
                  <c:v>0.10400000000000009</c:v>
                </c:pt>
                <c:pt idx="292">
                  <c:v>0.11400000000000032</c:v>
                </c:pt>
                <c:pt idx="293">
                  <c:v>0.20700000000000029</c:v>
                </c:pt>
                <c:pt idx="294">
                  <c:v>0.15600000000000014</c:v>
                </c:pt>
                <c:pt idx="295">
                  <c:v>0.15300000000000002</c:v>
                </c:pt>
                <c:pt idx="296">
                  <c:v>0.10000000000000009</c:v>
                </c:pt>
                <c:pt idx="297">
                  <c:v>0.10600000000000032</c:v>
                </c:pt>
                <c:pt idx="298">
                  <c:v>7.2000000000000064E-2</c:v>
                </c:pt>
                <c:pt idx="299">
                  <c:v>8.4000000000000075E-2</c:v>
                </c:pt>
                <c:pt idx="300">
                  <c:v>7.8000000000000291E-2</c:v>
                </c:pt>
                <c:pt idx="301">
                  <c:v>7.2000000000000064E-2</c:v>
                </c:pt>
                <c:pt idx="302">
                  <c:v>8.2000000000000295E-2</c:v>
                </c:pt>
                <c:pt idx="303">
                  <c:v>9.6000000000000085E-2</c:v>
                </c:pt>
                <c:pt idx="304">
                  <c:v>6.800000000000006E-2</c:v>
                </c:pt>
                <c:pt idx="305">
                  <c:v>6.5000000000000391E-2</c:v>
                </c:pt>
                <c:pt idx="306">
                  <c:v>8.0999999999999961E-2</c:v>
                </c:pt>
                <c:pt idx="307">
                  <c:v>8.3000000000000185E-2</c:v>
                </c:pt>
                <c:pt idx="308">
                  <c:v>7.0000000000000284E-2</c:v>
                </c:pt>
                <c:pt idx="309">
                  <c:v>5.9000000000000163E-2</c:v>
                </c:pt>
                <c:pt idx="310">
                  <c:v>0.10000000000000009</c:v>
                </c:pt>
                <c:pt idx="311">
                  <c:v>9.2000000000000082E-2</c:v>
                </c:pt>
                <c:pt idx="312">
                  <c:v>8.4000000000000075E-2</c:v>
                </c:pt>
                <c:pt idx="313">
                  <c:v>0.11000000000000032</c:v>
                </c:pt>
                <c:pt idx="314">
                  <c:v>6.4000000000000057E-2</c:v>
                </c:pt>
                <c:pt idx="315">
                  <c:v>0.10700000000000021</c:v>
                </c:pt>
                <c:pt idx="316">
                  <c:v>0.11299999999999999</c:v>
                </c:pt>
                <c:pt idx="317">
                  <c:v>0.10400000000000009</c:v>
                </c:pt>
                <c:pt idx="318">
                  <c:v>8.4999999999999964E-2</c:v>
                </c:pt>
                <c:pt idx="319">
                  <c:v>0.16600000000000037</c:v>
                </c:pt>
                <c:pt idx="320">
                  <c:v>0.10899999999999999</c:v>
                </c:pt>
                <c:pt idx="321">
                  <c:v>0.13400000000000034</c:v>
                </c:pt>
                <c:pt idx="322">
                  <c:v>0.16900000000000004</c:v>
                </c:pt>
                <c:pt idx="323">
                  <c:v>0.15600000000000014</c:v>
                </c:pt>
                <c:pt idx="324">
                  <c:v>0.14300000000000024</c:v>
                </c:pt>
                <c:pt idx="325">
                  <c:v>0.14900000000000002</c:v>
                </c:pt>
                <c:pt idx="326">
                  <c:v>0.13700000000000001</c:v>
                </c:pt>
                <c:pt idx="327">
                  <c:v>0.12700000000000022</c:v>
                </c:pt>
                <c:pt idx="328">
                  <c:v>0.16700000000000026</c:v>
                </c:pt>
                <c:pt idx="329">
                  <c:v>0.16400000000000015</c:v>
                </c:pt>
                <c:pt idx="330">
                  <c:v>0.17400000000000038</c:v>
                </c:pt>
                <c:pt idx="331">
                  <c:v>0.17300000000000004</c:v>
                </c:pt>
                <c:pt idx="332">
                  <c:v>0.17400000000000038</c:v>
                </c:pt>
                <c:pt idx="333">
                  <c:v>0.18000000000000016</c:v>
                </c:pt>
                <c:pt idx="334">
                  <c:v>0.18300000000000027</c:v>
                </c:pt>
                <c:pt idx="335">
                  <c:v>0.19100000000000028</c:v>
                </c:pt>
                <c:pt idx="336">
                  <c:v>0.18400000000000016</c:v>
                </c:pt>
                <c:pt idx="337">
                  <c:v>0.17400000000000038</c:v>
                </c:pt>
                <c:pt idx="338">
                  <c:v>0.18600000000000039</c:v>
                </c:pt>
                <c:pt idx="339">
                  <c:v>0.18400000000000016</c:v>
                </c:pt>
                <c:pt idx="340">
                  <c:v>0.33499999999999996</c:v>
                </c:pt>
                <c:pt idx="341">
                  <c:v>0.30100000000000016</c:v>
                </c:pt>
                <c:pt idx="342">
                  <c:v>0.29200000000000026</c:v>
                </c:pt>
                <c:pt idx="343">
                  <c:v>0.31900000000000039</c:v>
                </c:pt>
                <c:pt idx="344">
                  <c:v>0.33400000000000007</c:v>
                </c:pt>
                <c:pt idx="345">
                  <c:v>0.42700000000000005</c:v>
                </c:pt>
                <c:pt idx="346">
                  <c:v>0.41200000000000037</c:v>
                </c:pt>
                <c:pt idx="347">
                  <c:v>0.41900000000000004</c:v>
                </c:pt>
                <c:pt idx="348">
                  <c:v>0.40400000000000036</c:v>
                </c:pt>
                <c:pt idx="349">
                  <c:v>0.40800000000000036</c:v>
                </c:pt>
                <c:pt idx="350">
                  <c:v>0.39000000000000012</c:v>
                </c:pt>
                <c:pt idx="351">
                  <c:v>0.38400000000000034</c:v>
                </c:pt>
                <c:pt idx="352">
                  <c:v>0.46400000000000019</c:v>
                </c:pt>
                <c:pt idx="353">
                  <c:v>0.52300000000000013</c:v>
                </c:pt>
                <c:pt idx="354">
                  <c:v>0.4910000000000001</c:v>
                </c:pt>
                <c:pt idx="355">
                  <c:v>0.51900000000000013</c:v>
                </c:pt>
                <c:pt idx="356">
                  <c:v>0.50100000000000011</c:v>
                </c:pt>
                <c:pt idx="357">
                  <c:v>0.4800000000000002</c:v>
                </c:pt>
                <c:pt idx="358">
                  <c:v>0.46700000000000008</c:v>
                </c:pt>
                <c:pt idx="359">
                  <c:v>0.48100000000000009</c:v>
                </c:pt>
                <c:pt idx="360">
                  <c:v>0.52700000000000014</c:v>
                </c:pt>
                <c:pt idx="361">
                  <c:v>0.52300000000000013</c:v>
                </c:pt>
                <c:pt idx="362">
                  <c:v>0.50800000000000023</c:v>
                </c:pt>
                <c:pt idx="363">
                  <c:v>0.58500000000000019</c:v>
                </c:pt>
                <c:pt idx="364">
                  <c:v>0.63200000000000012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06848"/>
        <c:axId val="142208384"/>
      </c:lineChart>
      <c:catAx>
        <c:axId val="142206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08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208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06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32960"/>
        <c:axId val="142234752"/>
      </c:lineChart>
      <c:catAx>
        <c:axId val="142232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34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234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3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-3.625</c:v>
                </c:pt>
                <c:pt idx="1">
                  <c:v>-3.31</c:v>
                </c:pt>
                <c:pt idx="2">
                  <c:v>-3.1110000000000002</c:v>
                </c:pt>
                <c:pt idx="3">
                  <c:v>-2.5419999999999998</c:v>
                </c:pt>
                <c:pt idx="4">
                  <c:v>-3.4260000000000002</c:v>
                </c:pt>
                <c:pt idx="5">
                  <c:v>-2.8039999999999998</c:v>
                </c:pt>
                <c:pt idx="6">
                  <c:v>-4.4160000000000004</c:v>
                </c:pt>
                <c:pt idx="7">
                  <c:v>-6.0629999999999997</c:v>
                </c:pt>
                <c:pt idx="8">
                  <c:v>-5.0659999999999998</c:v>
                </c:pt>
                <c:pt idx="9">
                  <c:v>-3.073</c:v>
                </c:pt>
                <c:pt idx="10">
                  <c:v>-2.6669999999999998</c:v>
                </c:pt>
                <c:pt idx="11">
                  <c:v>-2.8860000000000001</c:v>
                </c:pt>
                <c:pt idx="12">
                  <c:v>-4.0919999999999996</c:v>
                </c:pt>
                <c:pt idx="13">
                  <c:v>-6.02</c:v>
                </c:pt>
                <c:pt idx="14">
                  <c:v>-7.3</c:v>
                </c:pt>
                <c:pt idx="15">
                  <c:v>-6.4669999999999996</c:v>
                </c:pt>
                <c:pt idx="16">
                  <c:v>-4.1509999999999998</c:v>
                </c:pt>
                <c:pt idx="17">
                  <c:v>-3.3090000000000002</c:v>
                </c:pt>
                <c:pt idx="18">
                  <c:v>-2.883</c:v>
                </c:pt>
                <c:pt idx="19">
                  <c:v>-3.7919999999999998</c:v>
                </c:pt>
                <c:pt idx="20">
                  <c:v>-5.0350000000000001</c:v>
                </c:pt>
                <c:pt idx="21">
                  <c:v>-5.7569999999999997</c:v>
                </c:pt>
                <c:pt idx="22">
                  <c:v>-4.7089999999999996</c:v>
                </c:pt>
                <c:pt idx="23">
                  <c:v>-3.93</c:v>
                </c:pt>
                <c:pt idx="24">
                  <c:v>-3.6360000000000001</c:v>
                </c:pt>
                <c:pt idx="25">
                  <c:v>-3.1850000000000001</c:v>
                </c:pt>
                <c:pt idx="26">
                  <c:v>-2.8809999999999998</c:v>
                </c:pt>
                <c:pt idx="27">
                  <c:v>-3.2370000000000001</c:v>
                </c:pt>
                <c:pt idx="28">
                  <c:v>-4.5750000000000002</c:v>
                </c:pt>
                <c:pt idx="29">
                  <c:v>-5.39</c:v>
                </c:pt>
                <c:pt idx="30">
                  <c:v>-4.4930000000000003</c:v>
                </c:pt>
                <c:pt idx="31">
                  <c:v>-3.4209999999999998</c:v>
                </c:pt>
                <c:pt idx="32">
                  <c:v>-2.5680000000000001</c:v>
                </c:pt>
                <c:pt idx="33">
                  <c:v>-2.835</c:v>
                </c:pt>
                <c:pt idx="34">
                  <c:v>-3.6970000000000001</c:v>
                </c:pt>
                <c:pt idx="35">
                  <c:v>-5.4429999999999996</c:v>
                </c:pt>
                <c:pt idx="36">
                  <c:v>-6.9489999999999998</c:v>
                </c:pt>
                <c:pt idx="37">
                  <c:v>-7.88</c:v>
                </c:pt>
                <c:pt idx="38">
                  <c:v>-6.9770000000000003</c:v>
                </c:pt>
                <c:pt idx="39">
                  <c:v>-5.8789999999999996</c:v>
                </c:pt>
                <c:pt idx="40">
                  <c:v>-5.968</c:v>
                </c:pt>
                <c:pt idx="41">
                  <c:v>-6.5369999999999999</c:v>
                </c:pt>
                <c:pt idx="42">
                  <c:v>-6.4960000000000004</c:v>
                </c:pt>
                <c:pt idx="43">
                  <c:v>-5.694</c:v>
                </c:pt>
                <c:pt idx="44">
                  <c:v>-5.3410000000000002</c:v>
                </c:pt>
                <c:pt idx="45">
                  <c:v>-4.8570000000000002</c:v>
                </c:pt>
                <c:pt idx="46">
                  <c:v>-4.0279999999999996</c:v>
                </c:pt>
                <c:pt idx="47">
                  <c:v>-3.484</c:v>
                </c:pt>
                <c:pt idx="48">
                  <c:v>-3.0129999999999999</c:v>
                </c:pt>
                <c:pt idx="49">
                  <c:v>-3.0720000000000001</c:v>
                </c:pt>
                <c:pt idx="50">
                  <c:v>-2.9510000000000001</c:v>
                </c:pt>
                <c:pt idx="51">
                  <c:v>-2.6469999999999998</c:v>
                </c:pt>
                <c:pt idx="52">
                  <c:v>-2.5139999999999998</c:v>
                </c:pt>
                <c:pt idx="53">
                  <c:v>-2.5379999999999998</c:v>
                </c:pt>
                <c:pt idx="54">
                  <c:v>-2.3490000000000002</c:v>
                </c:pt>
                <c:pt idx="55">
                  <c:v>-2.194</c:v>
                </c:pt>
                <c:pt idx="56">
                  <c:v>-2.3530000000000002</c:v>
                </c:pt>
                <c:pt idx="57">
                  <c:v>-2.8620000000000001</c:v>
                </c:pt>
                <c:pt idx="58">
                  <c:v>-3.1720000000000002</c:v>
                </c:pt>
                <c:pt idx="59">
                  <c:v>-2.891</c:v>
                </c:pt>
                <c:pt idx="60">
                  <c:v>-2.746</c:v>
                </c:pt>
                <c:pt idx="61">
                  <c:v>-2.8610000000000002</c:v>
                </c:pt>
                <c:pt idx="62">
                  <c:v>-3.2679999999999998</c:v>
                </c:pt>
                <c:pt idx="63">
                  <c:v>-3.63</c:v>
                </c:pt>
                <c:pt idx="64">
                  <c:v>-3.7280000000000002</c:v>
                </c:pt>
                <c:pt idx="65">
                  <c:v>-3.1520000000000001</c:v>
                </c:pt>
                <c:pt idx="66">
                  <c:v>-2.6190000000000002</c:v>
                </c:pt>
                <c:pt idx="67">
                  <c:v>-2.5710000000000002</c:v>
                </c:pt>
                <c:pt idx="68">
                  <c:v>-2.5310000000000001</c:v>
                </c:pt>
                <c:pt idx="69">
                  <c:v>-2.835</c:v>
                </c:pt>
                <c:pt idx="70">
                  <c:v>-2.7730000000000001</c:v>
                </c:pt>
                <c:pt idx="71">
                  <c:v>-2.411</c:v>
                </c:pt>
                <c:pt idx="72">
                  <c:v>-2.371</c:v>
                </c:pt>
                <c:pt idx="73">
                  <c:v>-2.468</c:v>
                </c:pt>
                <c:pt idx="74">
                  <c:v>-2.2170000000000001</c:v>
                </c:pt>
                <c:pt idx="75">
                  <c:v>-2.0259999999999998</c:v>
                </c:pt>
                <c:pt idx="76">
                  <c:v>-1.972</c:v>
                </c:pt>
                <c:pt idx="77">
                  <c:v>-1.8380000000000001</c:v>
                </c:pt>
                <c:pt idx="78">
                  <c:v>-1.121</c:v>
                </c:pt>
                <c:pt idx="79">
                  <c:v>-0.44600000000000001</c:v>
                </c:pt>
                <c:pt idx="80">
                  <c:v>-0.14000000000000001</c:v>
                </c:pt>
                <c:pt idx="81">
                  <c:v>-0.17699999999999999</c:v>
                </c:pt>
                <c:pt idx="82">
                  <c:v>-0.125</c:v>
                </c:pt>
                <c:pt idx="83">
                  <c:v>-0.10199999999999999</c:v>
                </c:pt>
                <c:pt idx="84">
                  <c:v>-0.249</c:v>
                </c:pt>
                <c:pt idx="85">
                  <c:v>-5.6000000000000001E-2</c:v>
                </c:pt>
                <c:pt idx="86">
                  <c:v>-0.01</c:v>
                </c:pt>
                <c:pt idx="87">
                  <c:v>-4.7E-2</c:v>
                </c:pt>
                <c:pt idx="88">
                  <c:v>-0.27600000000000002</c:v>
                </c:pt>
                <c:pt idx="89">
                  <c:v>0.25900000000000001</c:v>
                </c:pt>
                <c:pt idx="90">
                  <c:v>0.73099999999999998</c:v>
                </c:pt>
                <c:pt idx="91">
                  <c:v>0.66600000000000004</c:v>
                </c:pt>
                <c:pt idx="92">
                  <c:v>0.32600000000000001</c:v>
                </c:pt>
                <c:pt idx="93">
                  <c:v>0.79200000000000004</c:v>
                </c:pt>
                <c:pt idx="94">
                  <c:v>0.56000000000000005</c:v>
                </c:pt>
                <c:pt idx="95">
                  <c:v>0.191</c:v>
                </c:pt>
                <c:pt idx="96">
                  <c:v>0.753</c:v>
                </c:pt>
                <c:pt idx="97">
                  <c:v>0.37</c:v>
                </c:pt>
                <c:pt idx="98">
                  <c:v>1.1160000000000001</c:v>
                </c:pt>
                <c:pt idx="99">
                  <c:v>0.375</c:v>
                </c:pt>
                <c:pt idx="100">
                  <c:v>0.52700000000000002</c:v>
                </c:pt>
                <c:pt idx="101">
                  <c:v>0.28999999999999998</c:v>
                </c:pt>
                <c:pt idx="102">
                  <c:v>-1.204</c:v>
                </c:pt>
                <c:pt idx="103">
                  <c:v>0.29799999999999999</c:v>
                </c:pt>
                <c:pt idx="104">
                  <c:v>-0.25700000000000001</c:v>
                </c:pt>
                <c:pt idx="105">
                  <c:v>-0.66200000000000003</c:v>
                </c:pt>
                <c:pt idx="106">
                  <c:v>1.919</c:v>
                </c:pt>
                <c:pt idx="107">
                  <c:v>1.129</c:v>
                </c:pt>
                <c:pt idx="108">
                  <c:v>1.736</c:v>
                </c:pt>
                <c:pt idx="109">
                  <c:v>1.0960000000000001</c:v>
                </c:pt>
                <c:pt idx="110">
                  <c:v>0.81699999999999995</c:v>
                </c:pt>
                <c:pt idx="111">
                  <c:v>0.96299999999999997</c:v>
                </c:pt>
                <c:pt idx="112">
                  <c:v>2.6669999999999998</c:v>
                </c:pt>
                <c:pt idx="113">
                  <c:v>-0.22900000000000001</c:v>
                </c:pt>
                <c:pt idx="114">
                  <c:v>0.55000000000000004</c:v>
                </c:pt>
                <c:pt idx="115">
                  <c:v>2.9990000000000001</c:v>
                </c:pt>
                <c:pt idx="116">
                  <c:v>-2.294</c:v>
                </c:pt>
                <c:pt idx="117">
                  <c:v>-1.4450000000000001</c:v>
                </c:pt>
                <c:pt idx="118">
                  <c:v>-3.21</c:v>
                </c:pt>
                <c:pt idx="119">
                  <c:v>-1.302</c:v>
                </c:pt>
                <c:pt idx="120">
                  <c:v>2.2000000000000002</c:v>
                </c:pt>
                <c:pt idx="121">
                  <c:v>2.5139999999999998</c:v>
                </c:pt>
                <c:pt idx="122">
                  <c:v>4.0839999999999996</c:v>
                </c:pt>
                <c:pt idx="123">
                  <c:v>5.1059999999999999</c:v>
                </c:pt>
                <c:pt idx="124">
                  <c:v>4.0339999999999998</c:v>
                </c:pt>
                <c:pt idx="125">
                  <c:v>6.6879999999999997</c:v>
                </c:pt>
                <c:pt idx="126">
                  <c:v>6.2910000000000004</c:v>
                </c:pt>
                <c:pt idx="127">
                  <c:v>6.6890000000000001</c:v>
                </c:pt>
                <c:pt idx="128">
                  <c:v>7.81</c:v>
                </c:pt>
                <c:pt idx="129">
                  <c:v>9.9499999999999993</c:v>
                </c:pt>
                <c:pt idx="130">
                  <c:v>12.69</c:v>
                </c:pt>
                <c:pt idx="131">
                  <c:v>12.63</c:v>
                </c:pt>
                <c:pt idx="132">
                  <c:v>9.8699999999999992</c:v>
                </c:pt>
                <c:pt idx="133">
                  <c:v>4.5810000000000004</c:v>
                </c:pt>
                <c:pt idx="134">
                  <c:v>7.66</c:v>
                </c:pt>
                <c:pt idx="135">
                  <c:v>7.75</c:v>
                </c:pt>
                <c:pt idx="136">
                  <c:v>5.1929999999999996</c:v>
                </c:pt>
                <c:pt idx="137">
                  <c:v>5.218</c:v>
                </c:pt>
                <c:pt idx="138">
                  <c:v>7.16</c:v>
                </c:pt>
                <c:pt idx="139">
                  <c:v>7.18</c:v>
                </c:pt>
                <c:pt idx="140">
                  <c:v>6.0380000000000003</c:v>
                </c:pt>
                <c:pt idx="141">
                  <c:v>7.02</c:v>
                </c:pt>
                <c:pt idx="142">
                  <c:v>7.79</c:v>
                </c:pt>
                <c:pt idx="143">
                  <c:v>7.06</c:v>
                </c:pt>
                <c:pt idx="144">
                  <c:v>6.2729999999999997</c:v>
                </c:pt>
                <c:pt idx="145">
                  <c:v>7.69</c:v>
                </c:pt>
                <c:pt idx="146">
                  <c:v>9.67</c:v>
                </c:pt>
                <c:pt idx="147">
                  <c:v>12.87</c:v>
                </c:pt>
                <c:pt idx="148">
                  <c:v>13.17</c:v>
                </c:pt>
                <c:pt idx="149">
                  <c:v>11.1</c:v>
                </c:pt>
                <c:pt idx="150">
                  <c:v>11.98</c:v>
                </c:pt>
                <c:pt idx="151">
                  <c:v>14.05</c:v>
                </c:pt>
                <c:pt idx="152">
                  <c:v>14.58</c:v>
                </c:pt>
                <c:pt idx="153">
                  <c:v>11.14</c:v>
                </c:pt>
                <c:pt idx="154">
                  <c:v>8.35</c:v>
                </c:pt>
                <c:pt idx="155">
                  <c:v>6.59</c:v>
                </c:pt>
                <c:pt idx="156">
                  <c:v>4.6150000000000002</c:v>
                </c:pt>
                <c:pt idx="157">
                  <c:v>2.323</c:v>
                </c:pt>
                <c:pt idx="158">
                  <c:v>4.085</c:v>
                </c:pt>
                <c:pt idx="159">
                  <c:v>7.27</c:v>
                </c:pt>
                <c:pt idx="160">
                  <c:v>7.46</c:v>
                </c:pt>
                <c:pt idx="161">
                  <c:v>13.12</c:v>
                </c:pt>
                <c:pt idx="162">
                  <c:v>14.92</c:v>
                </c:pt>
                <c:pt idx="163">
                  <c:v>15.64</c:v>
                </c:pt>
                <c:pt idx="164">
                  <c:v>12.5</c:v>
                </c:pt>
                <c:pt idx="165">
                  <c:v>13.59</c:v>
                </c:pt>
                <c:pt idx="166">
                  <c:v>13.02</c:v>
                </c:pt>
                <c:pt idx="167">
                  <c:v>15.93</c:v>
                </c:pt>
                <c:pt idx="168">
                  <c:v>13.07</c:v>
                </c:pt>
                <c:pt idx="169">
                  <c:v>4.6349999999999998</c:v>
                </c:pt>
                <c:pt idx="170">
                  <c:v>1.851</c:v>
                </c:pt>
                <c:pt idx="171">
                  <c:v>8.89</c:v>
                </c:pt>
                <c:pt idx="172">
                  <c:v>9.84</c:v>
                </c:pt>
                <c:pt idx="173">
                  <c:v>8.68</c:v>
                </c:pt>
                <c:pt idx="174">
                  <c:v>6.6660000000000004</c:v>
                </c:pt>
                <c:pt idx="175">
                  <c:v>7.4</c:v>
                </c:pt>
                <c:pt idx="176">
                  <c:v>10.88</c:v>
                </c:pt>
                <c:pt idx="177">
                  <c:v>9.1199999999999992</c:v>
                </c:pt>
                <c:pt idx="178">
                  <c:v>7.78</c:v>
                </c:pt>
                <c:pt idx="179">
                  <c:v>7.53</c:v>
                </c:pt>
                <c:pt idx="180">
                  <c:v>9.9499999999999993</c:v>
                </c:pt>
                <c:pt idx="181">
                  <c:v>13.03</c:v>
                </c:pt>
                <c:pt idx="182">
                  <c:v>11.02</c:v>
                </c:pt>
                <c:pt idx="183">
                  <c:v>12.71</c:v>
                </c:pt>
                <c:pt idx="184">
                  <c:v>11.72</c:v>
                </c:pt>
                <c:pt idx="185">
                  <c:v>9.5299999999999994</c:v>
                </c:pt>
                <c:pt idx="186">
                  <c:v>10.24</c:v>
                </c:pt>
                <c:pt idx="187">
                  <c:v>9.68</c:v>
                </c:pt>
                <c:pt idx="188">
                  <c:v>9.16</c:v>
                </c:pt>
                <c:pt idx="189">
                  <c:v>13.3</c:v>
                </c:pt>
                <c:pt idx="190">
                  <c:v>12.56</c:v>
                </c:pt>
                <c:pt idx="191">
                  <c:v>13.01</c:v>
                </c:pt>
                <c:pt idx="192">
                  <c:v>13.31</c:v>
                </c:pt>
                <c:pt idx="193">
                  <c:v>13.45</c:v>
                </c:pt>
                <c:pt idx="194">
                  <c:v>11.95</c:v>
                </c:pt>
                <c:pt idx="195">
                  <c:v>11.68</c:v>
                </c:pt>
                <c:pt idx="196">
                  <c:v>11.07</c:v>
                </c:pt>
                <c:pt idx="197">
                  <c:v>10.1</c:v>
                </c:pt>
                <c:pt idx="198">
                  <c:v>8.02</c:v>
                </c:pt>
                <c:pt idx="199">
                  <c:v>7.51</c:v>
                </c:pt>
                <c:pt idx="200">
                  <c:v>8.8699999999999992</c:v>
                </c:pt>
                <c:pt idx="201">
                  <c:v>13.58</c:v>
                </c:pt>
                <c:pt idx="202">
                  <c:v>15.52</c:v>
                </c:pt>
                <c:pt idx="203">
                  <c:v>15.03</c:v>
                </c:pt>
                <c:pt idx="204">
                  <c:v>8.6300000000000008</c:v>
                </c:pt>
                <c:pt idx="205">
                  <c:v>11.8</c:v>
                </c:pt>
                <c:pt idx="206">
                  <c:v>15.57</c:v>
                </c:pt>
                <c:pt idx="207">
                  <c:v>12.97</c:v>
                </c:pt>
                <c:pt idx="208">
                  <c:v>10.99</c:v>
                </c:pt>
                <c:pt idx="209">
                  <c:v>14.82</c:v>
                </c:pt>
                <c:pt idx="210">
                  <c:v>13.61</c:v>
                </c:pt>
                <c:pt idx="211">
                  <c:v>12.81</c:v>
                </c:pt>
                <c:pt idx="212">
                  <c:v>14.78</c:v>
                </c:pt>
                <c:pt idx="213">
                  <c:v>14.62</c:v>
                </c:pt>
                <c:pt idx="214">
                  <c:v>9.99</c:v>
                </c:pt>
                <c:pt idx="215">
                  <c:v>11.49</c:v>
                </c:pt>
                <c:pt idx="216">
                  <c:v>14.85</c:v>
                </c:pt>
                <c:pt idx="217">
                  <c:v>16.22</c:v>
                </c:pt>
                <c:pt idx="218">
                  <c:v>16.82</c:v>
                </c:pt>
                <c:pt idx="219">
                  <c:v>17.489999999999998</c:v>
                </c:pt>
                <c:pt idx="220">
                  <c:v>16.82</c:v>
                </c:pt>
                <c:pt idx="221">
                  <c:v>13.65</c:v>
                </c:pt>
                <c:pt idx="222">
                  <c:v>9.5500000000000007</c:v>
                </c:pt>
                <c:pt idx="223">
                  <c:v>12.31</c:v>
                </c:pt>
                <c:pt idx="224">
                  <c:v>9.7799999999999994</c:v>
                </c:pt>
                <c:pt idx="225">
                  <c:v>11.79</c:v>
                </c:pt>
                <c:pt idx="226">
                  <c:v>11.54</c:v>
                </c:pt>
                <c:pt idx="227">
                  <c:v>10.34</c:v>
                </c:pt>
                <c:pt idx="228">
                  <c:v>10.91</c:v>
                </c:pt>
                <c:pt idx="229">
                  <c:v>12.86</c:v>
                </c:pt>
                <c:pt idx="230">
                  <c:v>12.43</c:v>
                </c:pt>
                <c:pt idx="231">
                  <c:v>14.29</c:v>
                </c:pt>
                <c:pt idx="232">
                  <c:v>11.7</c:v>
                </c:pt>
                <c:pt idx="233">
                  <c:v>9.4700000000000006</c:v>
                </c:pt>
                <c:pt idx="234">
                  <c:v>7.71</c:v>
                </c:pt>
                <c:pt idx="235">
                  <c:v>9.89</c:v>
                </c:pt>
                <c:pt idx="236">
                  <c:v>7.67</c:v>
                </c:pt>
                <c:pt idx="237">
                  <c:v>7.46</c:v>
                </c:pt>
                <c:pt idx="238">
                  <c:v>11.59</c:v>
                </c:pt>
                <c:pt idx="239">
                  <c:v>12.58</c:v>
                </c:pt>
                <c:pt idx="240">
                  <c:v>13.51</c:v>
                </c:pt>
                <c:pt idx="241">
                  <c:v>13.76</c:v>
                </c:pt>
                <c:pt idx="242">
                  <c:v>13.26</c:v>
                </c:pt>
                <c:pt idx="243">
                  <c:v>12.55</c:v>
                </c:pt>
                <c:pt idx="244">
                  <c:v>10.53</c:v>
                </c:pt>
                <c:pt idx="245">
                  <c:v>13.41</c:v>
                </c:pt>
                <c:pt idx="246">
                  <c:v>10.62</c:v>
                </c:pt>
                <c:pt idx="247">
                  <c:v>12.18</c:v>
                </c:pt>
                <c:pt idx="248">
                  <c:v>12.9</c:v>
                </c:pt>
                <c:pt idx="249">
                  <c:v>11.74</c:v>
                </c:pt>
                <c:pt idx="250">
                  <c:v>8.56</c:v>
                </c:pt>
                <c:pt idx="251">
                  <c:v>7.58</c:v>
                </c:pt>
                <c:pt idx="252">
                  <c:v>7.01</c:v>
                </c:pt>
                <c:pt idx="253">
                  <c:v>9.4700000000000006</c:v>
                </c:pt>
                <c:pt idx="254">
                  <c:v>9.65</c:v>
                </c:pt>
                <c:pt idx="255">
                  <c:v>8.1300000000000008</c:v>
                </c:pt>
                <c:pt idx="256">
                  <c:v>8.0399999999999991</c:v>
                </c:pt>
                <c:pt idx="257">
                  <c:v>6.4050000000000002</c:v>
                </c:pt>
                <c:pt idx="258">
                  <c:v>5.907</c:v>
                </c:pt>
                <c:pt idx="259">
                  <c:v>4.4660000000000002</c:v>
                </c:pt>
                <c:pt idx="260">
                  <c:v>5.0220000000000002</c:v>
                </c:pt>
                <c:pt idx="261">
                  <c:v>6.8849999999999998</c:v>
                </c:pt>
                <c:pt idx="262">
                  <c:v>5.5270000000000001</c:v>
                </c:pt>
                <c:pt idx="263">
                  <c:v>6.194</c:v>
                </c:pt>
                <c:pt idx="264">
                  <c:v>5.681</c:v>
                </c:pt>
                <c:pt idx="265">
                  <c:v>5.2270000000000003</c:v>
                </c:pt>
                <c:pt idx="266">
                  <c:v>5.633</c:v>
                </c:pt>
                <c:pt idx="267">
                  <c:v>4.8520000000000003</c:v>
                </c:pt>
                <c:pt idx="268">
                  <c:v>3.6589999999999998</c:v>
                </c:pt>
                <c:pt idx="269">
                  <c:v>8.3000000000000004E-2</c:v>
                </c:pt>
                <c:pt idx="270">
                  <c:v>-1.355</c:v>
                </c:pt>
                <c:pt idx="271">
                  <c:v>-3.4990000000000001</c:v>
                </c:pt>
                <c:pt idx="272">
                  <c:v>-2.2469999999999999</c:v>
                </c:pt>
                <c:pt idx="273">
                  <c:v>-0.69099999999999995</c:v>
                </c:pt>
                <c:pt idx="274">
                  <c:v>-0.255</c:v>
                </c:pt>
                <c:pt idx="275">
                  <c:v>0.90700000000000003</c:v>
                </c:pt>
                <c:pt idx="276">
                  <c:v>1.0129999999999999</c:v>
                </c:pt>
                <c:pt idx="277">
                  <c:v>1.1379999999999999</c:v>
                </c:pt>
                <c:pt idx="278">
                  <c:v>0.89800000000000002</c:v>
                </c:pt>
                <c:pt idx="279">
                  <c:v>3.536</c:v>
                </c:pt>
                <c:pt idx="280">
                  <c:v>-3.4180000000000001</c:v>
                </c:pt>
                <c:pt idx="281">
                  <c:v>-6.9029999999999996</c:v>
                </c:pt>
                <c:pt idx="282">
                  <c:v>-5.4160000000000004</c:v>
                </c:pt>
                <c:pt idx="283">
                  <c:v>-2.9750000000000001</c:v>
                </c:pt>
                <c:pt idx="284">
                  <c:v>-0.23200000000000001</c:v>
                </c:pt>
                <c:pt idx="285">
                  <c:v>0.14099999999999999</c:v>
                </c:pt>
                <c:pt idx="286">
                  <c:v>0.42199999999999999</c:v>
                </c:pt>
                <c:pt idx="287">
                  <c:v>0.45300000000000001</c:v>
                </c:pt>
                <c:pt idx="288">
                  <c:v>3.5939999999999999</c:v>
                </c:pt>
                <c:pt idx="289">
                  <c:v>1.819</c:v>
                </c:pt>
                <c:pt idx="290">
                  <c:v>-0.49399999999999999</c:v>
                </c:pt>
                <c:pt idx="291">
                  <c:v>-2.5779999999999998</c:v>
                </c:pt>
                <c:pt idx="292">
                  <c:v>-1.9510000000000001</c:v>
                </c:pt>
                <c:pt idx="293">
                  <c:v>-1.179</c:v>
                </c:pt>
                <c:pt idx="294">
                  <c:v>1.2729999999999999</c:v>
                </c:pt>
                <c:pt idx="295">
                  <c:v>-1.4370000000000001</c:v>
                </c:pt>
                <c:pt idx="296">
                  <c:v>3.24</c:v>
                </c:pt>
                <c:pt idx="297">
                  <c:v>1.2430000000000001</c:v>
                </c:pt>
                <c:pt idx="298">
                  <c:v>-3.383</c:v>
                </c:pt>
                <c:pt idx="299">
                  <c:v>-5.1829999999999998</c:v>
                </c:pt>
                <c:pt idx="300">
                  <c:v>-6.0970000000000004</c:v>
                </c:pt>
                <c:pt idx="301">
                  <c:v>-12.15</c:v>
                </c:pt>
                <c:pt idx="302">
                  <c:v>-7.45</c:v>
                </c:pt>
                <c:pt idx="303">
                  <c:v>-5.46</c:v>
                </c:pt>
                <c:pt idx="304">
                  <c:v>-4.7110000000000003</c:v>
                </c:pt>
                <c:pt idx="305">
                  <c:v>0.81399999999999995</c:v>
                </c:pt>
                <c:pt idx="306">
                  <c:v>2.085</c:v>
                </c:pt>
                <c:pt idx="307">
                  <c:v>2.4689999999999999</c:v>
                </c:pt>
                <c:pt idx="308">
                  <c:v>-0.371</c:v>
                </c:pt>
                <c:pt idx="309">
                  <c:v>-1.8380000000000001</c:v>
                </c:pt>
                <c:pt idx="310">
                  <c:v>-2.452</c:v>
                </c:pt>
                <c:pt idx="311">
                  <c:v>-0.64800000000000002</c:v>
                </c:pt>
                <c:pt idx="312">
                  <c:v>2.0329999999999999</c:v>
                </c:pt>
                <c:pt idx="313">
                  <c:v>-1.454</c:v>
                </c:pt>
                <c:pt idx="314">
                  <c:v>-4</c:v>
                </c:pt>
                <c:pt idx="315">
                  <c:v>-1.05</c:v>
                </c:pt>
                <c:pt idx="316">
                  <c:v>-1.536</c:v>
                </c:pt>
                <c:pt idx="317">
                  <c:v>-1.649</c:v>
                </c:pt>
                <c:pt idx="318">
                  <c:v>-0.252</c:v>
                </c:pt>
                <c:pt idx="319">
                  <c:v>-2.4470000000000001</c:v>
                </c:pt>
                <c:pt idx="320">
                  <c:v>1.123</c:v>
                </c:pt>
                <c:pt idx="321">
                  <c:v>-0.94399999999999995</c:v>
                </c:pt>
                <c:pt idx="322">
                  <c:v>-2.9660000000000002</c:v>
                </c:pt>
                <c:pt idx="323">
                  <c:v>-8.9499999999999993</c:v>
                </c:pt>
                <c:pt idx="324">
                  <c:v>-8.33</c:v>
                </c:pt>
                <c:pt idx="325">
                  <c:v>-6.8259999999999996</c:v>
                </c:pt>
                <c:pt idx="326">
                  <c:v>-1.9730000000000001</c:v>
                </c:pt>
                <c:pt idx="327">
                  <c:v>-2.3919999999999999</c:v>
                </c:pt>
                <c:pt idx="328">
                  <c:v>-8.49</c:v>
                </c:pt>
                <c:pt idx="329">
                  <c:v>-15.96</c:v>
                </c:pt>
                <c:pt idx="330">
                  <c:v>-11.99</c:v>
                </c:pt>
                <c:pt idx="331">
                  <c:v>-18.690000000000001</c:v>
                </c:pt>
                <c:pt idx="332">
                  <c:v>-18.72</c:v>
                </c:pt>
                <c:pt idx="333">
                  <c:v>-11.97</c:v>
                </c:pt>
                <c:pt idx="334">
                  <c:v>-9.94</c:v>
                </c:pt>
                <c:pt idx="335">
                  <c:v>-3.8050000000000002</c:v>
                </c:pt>
                <c:pt idx="336">
                  <c:v>-0.126</c:v>
                </c:pt>
                <c:pt idx="337">
                  <c:v>-3.798</c:v>
                </c:pt>
                <c:pt idx="338">
                  <c:v>-7.77</c:v>
                </c:pt>
                <c:pt idx="339">
                  <c:v>-2.403</c:v>
                </c:pt>
                <c:pt idx="340">
                  <c:v>-1.649</c:v>
                </c:pt>
                <c:pt idx="341">
                  <c:v>-10.4</c:v>
                </c:pt>
                <c:pt idx="342">
                  <c:v>-13.66</c:v>
                </c:pt>
                <c:pt idx="343">
                  <c:v>-8.3000000000000007</c:v>
                </c:pt>
                <c:pt idx="344">
                  <c:v>-6.9130000000000003</c:v>
                </c:pt>
                <c:pt idx="345">
                  <c:v>-5.88</c:v>
                </c:pt>
                <c:pt idx="346">
                  <c:v>-4.5999999999999996</c:v>
                </c:pt>
                <c:pt idx="347">
                  <c:v>-6.3410000000000002</c:v>
                </c:pt>
                <c:pt idx="348">
                  <c:v>-7</c:v>
                </c:pt>
                <c:pt idx="349">
                  <c:v>-11.38</c:v>
                </c:pt>
                <c:pt idx="350">
                  <c:v>-5.89</c:v>
                </c:pt>
                <c:pt idx="351">
                  <c:v>-5.3019999999999996</c:v>
                </c:pt>
                <c:pt idx="352">
                  <c:v>-5.05</c:v>
                </c:pt>
                <c:pt idx="353">
                  <c:v>-2.867</c:v>
                </c:pt>
                <c:pt idx="354">
                  <c:v>-0.97499999999999998</c:v>
                </c:pt>
                <c:pt idx="355">
                  <c:v>-3.34</c:v>
                </c:pt>
                <c:pt idx="356">
                  <c:v>-3.8140000000000001</c:v>
                </c:pt>
                <c:pt idx="357">
                  <c:v>-4.6660000000000004</c:v>
                </c:pt>
                <c:pt idx="358">
                  <c:v>-7.49</c:v>
                </c:pt>
                <c:pt idx="359">
                  <c:v>-11.75</c:v>
                </c:pt>
                <c:pt idx="360">
                  <c:v>-7.99</c:v>
                </c:pt>
                <c:pt idx="361">
                  <c:v>-7.48</c:v>
                </c:pt>
                <c:pt idx="362">
                  <c:v>-5.4169999999999998</c:v>
                </c:pt>
                <c:pt idx="363">
                  <c:v>-5.1449999999999996</c:v>
                </c:pt>
                <c:pt idx="364">
                  <c:v>-4.09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-0.42899999999999999</c:v>
                </c:pt>
                <c:pt idx="1">
                  <c:v>-0.44500000000000001</c:v>
                </c:pt>
                <c:pt idx="2">
                  <c:v>-0.41499999999999998</c:v>
                </c:pt>
                <c:pt idx="3">
                  <c:v>-0.36499999999999999</c:v>
                </c:pt>
                <c:pt idx="4">
                  <c:v>-0.39500000000000002</c:v>
                </c:pt>
                <c:pt idx="5">
                  <c:v>-0.438</c:v>
                </c:pt>
                <c:pt idx="6">
                  <c:v>-0.39500000000000002</c:v>
                </c:pt>
                <c:pt idx="7">
                  <c:v>-0.48399999999999999</c:v>
                </c:pt>
                <c:pt idx="8">
                  <c:v>-0.47399999999999998</c:v>
                </c:pt>
                <c:pt idx="9">
                  <c:v>-0.44900000000000001</c:v>
                </c:pt>
                <c:pt idx="10">
                  <c:v>-0.42399999999999999</c:v>
                </c:pt>
                <c:pt idx="11">
                  <c:v>-0.40100000000000002</c:v>
                </c:pt>
                <c:pt idx="12">
                  <c:v>-0.377</c:v>
                </c:pt>
                <c:pt idx="13">
                  <c:v>-0.39200000000000002</c:v>
                </c:pt>
                <c:pt idx="14">
                  <c:v>-0.46700000000000003</c:v>
                </c:pt>
                <c:pt idx="15">
                  <c:v>-0.53700000000000003</c:v>
                </c:pt>
                <c:pt idx="16">
                  <c:v>-0.52800000000000002</c:v>
                </c:pt>
                <c:pt idx="17">
                  <c:v>-0.46500000000000002</c:v>
                </c:pt>
                <c:pt idx="18">
                  <c:v>-0.374</c:v>
                </c:pt>
                <c:pt idx="19">
                  <c:v>-0.45</c:v>
                </c:pt>
                <c:pt idx="20">
                  <c:v>-0.52500000000000002</c:v>
                </c:pt>
                <c:pt idx="21">
                  <c:v>-0.47499999999999998</c:v>
                </c:pt>
                <c:pt idx="22">
                  <c:v>-0.503</c:v>
                </c:pt>
                <c:pt idx="23">
                  <c:v>-0.36399999999999999</c:v>
                </c:pt>
                <c:pt idx="24">
                  <c:v>-0.32600000000000001</c:v>
                </c:pt>
                <c:pt idx="25">
                  <c:v>-0.312</c:v>
                </c:pt>
                <c:pt idx="26">
                  <c:v>-0.32700000000000001</c:v>
                </c:pt>
                <c:pt idx="27">
                  <c:v>-0.43</c:v>
                </c:pt>
                <c:pt idx="28">
                  <c:v>-0.38600000000000001</c:v>
                </c:pt>
                <c:pt idx="29">
                  <c:v>-0.41899999999999998</c:v>
                </c:pt>
                <c:pt idx="30">
                  <c:v>-0.499</c:v>
                </c:pt>
                <c:pt idx="31">
                  <c:v>-0.47</c:v>
                </c:pt>
                <c:pt idx="32">
                  <c:v>-0.35199999999999998</c:v>
                </c:pt>
                <c:pt idx="33">
                  <c:v>-0.41199999999999998</c:v>
                </c:pt>
                <c:pt idx="34">
                  <c:v>-0.55600000000000005</c:v>
                </c:pt>
                <c:pt idx="35">
                  <c:v>-0.52400000000000002</c:v>
                </c:pt>
                <c:pt idx="36">
                  <c:v>-0.61899999999999999</c:v>
                </c:pt>
                <c:pt idx="37">
                  <c:v>-0.64400000000000002</c:v>
                </c:pt>
                <c:pt idx="38">
                  <c:v>-0.61199999999999999</c:v>
                </c:pt>
                <c:pt idx="39">
                  <c:v>-0.61699999999999999</c:v>
                </c:pt>
                <c:pt idx="40">
                  <c:v>-0.55300000000000005</c:v>
                </c:pt>
                <c:pt idx="41">
                  <c:v>-0.60899999999999999</c:v>
                </c:pt>
                <c:pt idx="42">
                  <c:v>-0.65300000000000002</c:v>
                </c:pt>
                <c:pt idx="43">
                  <c:v>-0.55200000000000005</c:v>
                </c:pt>
                <c:pt idx="44">
                  <c:v>-0.47499999999999998</c:v>
                </c:pt>
                <c:pt idx="45">
                  <c:v>-0.52700000000000002</c:v>
                </c:pt>
                <c:pt idx="46">
                  <c:v>-0.52200000000000002</c:v>
                </c:pt>
                <c:pt idx="47">
                  <c:v>-0.52</c:v>
                </c:pt>
                <c:pt idx="48">
                  <c:v>-0.41</c:v>
                </c:pt>
                <c:pt idx="49">
                  <c:v>-0.435</c:v>
                </c:pt>
                <c:pt idx="50">
                  <c:v>-0.46700000000000003</c:v>
                </c:pt>
                <c:pt idx="51">
                  <c:v>-0.45900000000000002</c:v>
                </c:pt>
                <c:pt idx="52">
                  <c:v>-0.439</c:v>
                </c:pt>
                <c:pt idx="53">
                  <c:v>-0.45800000000000002</c:v>
                </c:pt>
                <c:pt idx="54">
                  <c:v>-0.35299999999999998</c:v>
                </c:pt>
                <c:pt idx="55">
                  <c:v>-0.33100000000000002</c:v>
                </c:pt>
                <c:pt idx="56">
                  <c:v>-0.44600000000000001</c:v>
                </c:pt>
                <c:pt idx="57">
                  <c:v>-0.441</c:v>
                </c:pt>
                <c:pt idx="58">
                  <c:v>-0.41699999999999998</c:v>
                </c:pt>
                <c:pt idx="59">
                  <c:v>-0.312</c:v>
                </c:pt>
                <c:pt idx="60">
                  <c:v>-0.434</c:v>
                </c:pt>
                <c:pt idx="61">
                  <c:v>-0.50800000000000001</c:v>
                </c:pt>
                <c:pt idx="62">
                  <c:v>-0.51500000000000001</c:v>
                </c:pt>
                <c:pt idx="63">
                  <c:v>-0.36099999999999999</c:v>
                </c:pt>
                <c:pt idx="64">
                  <c:v>-0.45700000000000002</c:v>
                </c:pt>
                <c:pt idx="65">
                  <c:v>-0.41799999999999998</c:v>
                </c:pt>
                <c:pt idx="66">
                  <c:v>-0.38900000000000001</c:v>
                </c:pt>
                <c:pt idx="67">
                  <c:v>-0.41399999999999998</c:v>
                </c:pt>
                <c:pt idx="68">
                  <c:v>-0.27100000000000002</c:v>
                </c:pt>
                <c:pt idx="69">
                  <c:v>-0.41199999999999998</c:v>
                </c:pt>
                <c:pt idx="70">
                  <c:v>-0.43</c:v>
                </c:pt>
                <c:pt idx="71">
                  <c:v>-0.30199999999999999</c:v>
                </c:pt>
                <c:pt idx="72">
                  <c:v>-0.26700000000000002</c:v>
                </c:pt>
                <c:pt idx="73">
                  <c:v>-0.36499999999999999</c:v>
                </c:pt>
                <c:pt idx="74">
                  <c:v>-0.26200000000000001</c:v>
                </c:pt>
                <c:pt idx="75">
                  <c:v>-0.184</c:v>
                </c:pt>
                <c:pt idx="76">
                  <c:v>-0.25</c:v>
                </c:pt>
                <c:pt idx="77">
                  <c:v>-0.22600000000000001</c:v>
                </c:pt>
                <c:pt idx="78">
                  <c:v>-0.17299999999999999</c:v>
                </c:pt>
                <c:pt idx="79">
                  <c:v>-0.12</c:v>
                </c:pt>
                <c:pt idx="80">
                  <c:v>-7.8E-2</c:v>
                </c:pt>
                <c:pt idx="81">
                  <c:v>-0.192</c:v>
                </c:pt>
                <c:pt idx="82">
                  <c:v>-0.152</c:v>
                </c:pt>
                <c:pt idx="83">
                  <c:v>-0.151</c:v>
                </c:pt>
                <c:pt idx="84">
                  <c:v>-0.26100000000000001</c:v>
                </c:pt>
                <c:pt idx="85">
                  <c:v>-7.9000000000000001E-2</c:v>
                </c:pt>
                <c:pt idx="86">
                  <c:v>-0.10100000000000001</c:v>
                </c:pt>
                <c:pt idx="87">
                  <c:v>-0.11799999999999999</c:v>
                </c:pt>
                <c:pt idx="88">
                  <c:v>-6.4000000000000001E-2</c:v>
                </c:pt>
                <c:pt idx="89">
                  <c:v>-0.11799999999999999</c:v>
                </c:pt>
                <c:pt idx="90">
                  <c:v>-7.3999999999999996E-2</c:v>
                </c:pt>
                <c:pt idx="91">
                  <c:v>-5.7000000000000002E-2</c:v>
                </c:pt>
                <c:pt idx="92">
                  <c:v>-0.223</c:v>
                </c:pt>
                <c:pt idx="93">
                  <c:v>-9.1999999999999998E-2</c:v>
                </c:pt>
                <c:pt idx="94">
                  <c:v>-0.19500000000000001</c:v>
                </c:pt>
                <c:pt idx="95">
                  <c:v>-0.24399999999999999</c:v>
                </c:pt>
                <c:pt idx="96">
                  <c:v>-0.17899999999999999</c:v>
                </c:pt>
                <c:pt idx="97">
                  <c:v>-0.157</c:v>
                </c:pt>
                <c:pt idx="98">
                  <c:v>-0.19400000000000001</c:v>
                </c:pt>
                <c:pt idx="99">
                  <c:v>-0.20599999999999999</c:v>
                </c:pt>
                <c:pt idx="100">
                  <c:v>-0.154</c:v>
                </c:pt>
                <c:pt idx="101">
                  <c:v>-0.14699999999999999</c:v>
                </c:pt>
                <c:pt idx="102">
                  <c:v>-0.255</c:v>
                </c:pt>
                <c:pt idx="103">
                  <c:v>-0.105</c:v>
                </c:pt>
                <c:pt idx="104">
                  <c:v>-0.13200000000000001</c:v>
                </c:pt>
                <c:pt idx="105">
                  <c:v>-8.0000000000000002E-3</c:v>
                </c:pt>
                <c:pt idx="106">
                  <c:v>-4.3999999999999997E-2</c:v>
                </c:pt>
                <c:pt idx="107">
                  <c:v>-0.158</c:v>
                </c:pt>
                <c:pt idx="108">
                  <c:v>-0.112</c:v>
                </c:pt>
                <c:pt idx="109">
                  <c:v>-0.16500000000000001</c:v>
                </c:pt>
                <c:pt idx="110">
                  <c:v>-2.9000000000000001E-2</c:v>
                </c:pt>
                <c:pt idx="111">
                  <c:v>-0.14799999999999999</c:v>
                </c:pt>
                <c:pt idx="112">
                  <c:v>-0.13900000000000001</c:v>
                </c:pt>
                <c:pt idx="113">
                  <c:v>-0.16500000000000001</c:v>
                </c:pt>
                <c:pt idx="114">
                  <c:v>-6.0000000000000001E-3</c:v>
                </c:pt>
                <c:pt idx="115">
                  <c:v>-6.0999999999999999E-2</c:v>
                </c:pt>
                <c:pt idx="116">
                  <c:v>-0.19800000000000001</c:v>
                </c:pt>
                <c:pt idx="117">
                  <c:v>-2.9000000000000001E-2</c:v>
                </c:pt>
                <c:pt idx="118">
                  <c:v>-0.157</c:v>
                </c:pt>
                <c:pt idx="119">
                  <c:v>-4.7E-2</c:v>
                </c:pt>
                <c:pt idx="120">
                  <c:v>-0.122</c:v>
                </c:pt>
                <c:pt idx="121">
                  <c:v>-0.155</c:v>
                </c:pt>
                <c:pt idx="122">
                  <c:v>-6.3E-2</c:v>
                </c:pt>
                <c:pt idx="123">
                  <c:v>-5.2999999999999999E-2</c:v>
                </c:pt>
                <c:pt idx="124">
                  <c:v>-1.0999999999999999E-2</c:v>
                </c:pt>
                <c:pt idx="125">
                  <c:v>6.032</c:v>
                </c:pt>
                <c:pt idx="126">
                  <c:v>8.76</c:v>
                </c:pt>
                <c:pt idx="127">
                  <c:v>9.15</c:v>
                </c:pt>
                <c:pt idx="128">
                  <c:v>9.9499999999999993</c:v>
                </c:pt>
                <c:pt idx="129">
                  <c:v>11.05</c:v>
                </c:pt>
                <c:pt idx="130">
                  <c:v>12.14</c:v>
                </c:pt>
                <c:pt idx="131">
                  <c:v>13.29</c:v>
                </c:pt>
                <c:pt idx="132">
                  <c:v>12.33</c:v>
                </c:pt>
                <c:pt idx="133">
                  <c:v>6.5119999999999996</c:v>
                </c:pt>
                <c:pt idx="134">
                  <c:v>10.88</c:v>
                </c:pt>
                <c:pt idx="135">
                  <c:v>10.6</c:v>
                </c:pt>
                <c:pt idx="136">
                  <c:v>8.68</c:v>
                </c:pt>
                <c:pt idx="137">
                  <c:v>8.19</c:v>
                </c:pt>
                <c:pt idx="138">
                  <c:v>9.77</c:v>
                </c:pt>
                <c:pt idx="139">
                  <c:v>9.7100000000000009</c:v>
                </c:pt>
                <c:pt idx="140">
                  <c:v>7.51</c:v>
                </c:pt>
                <c:pt idx="141">
                  <c:v>9.44</c:v>
                </c:pt>
                <c:pt idx="142">
                  <c:v>11.01</c:v>
                </c:pt>
                <c:pt idx="143">
                  <c:v>11.12</c:v>
                </c:pt>
                <c:pt idx="144">
                  <c:v>9.85</c:v>
                </c:pt>
                <c:pt idx="145">
                  <c:v>10.16</c:v>
                </c:pt>
                <c:pt idx="146">
                  <c:v>12.41</c:v>
                </c:pt>
                <c:pt idx="147">
                  <c:v>13.88</c:v>
                </c:pt>
                <c:pt idx="148">
                  <c:v>15.4</c:v>
                </c:pt>
                <c:pt idx="149">
                  <c:v>13.25</c:v>
                </c:pt>
                <c:pt idx="150">
                  <c:v>13.86</c:v>
                </c:pt>
                <c:pt idx="151">
                  <c:v>15.59</c:v>
                </c:pt>
                <c:pt idx="152">
                  <c:v>17.190000000000001</c:v>
                </c:pt>
                <c:pt idx="153">
                  <c:v>16.32</c:v>
                </c:pt>
                <c:pt idx="154">
                  <c:v>15.11</c:v>
                </c:pt>
                <c:pt idx="155">
                  <c:v>8.67</c:v>
                </c:pt>
                <c:pt idx="156">
                  <c:v>5.4340000000000002</c:v>
                </c:pt>
                <c:pt idx="157">
                  <c:v>3.1120000000000001</c:v>
                </c:pt>
                <c:pt idx="158">
                  <c:v>4.5380000000000003</c:v>
                </c:pt>
                <c:pt idx="159">
                  <c:v>8.39</c:v>
                </c:pt>
                <c:pt idx="160">
                  <c:v>7.83</c:v>
                </c:pt>
                <c:pt idx="161">
                  <c:v>14.32</c:v>
                </c:pt>
                <c:pt idx="162">
                  <c:v>15.85</c:v>
                </c:pt>
                <c:pt idx="163">
                  <c:v>16.27</c:v>
                </c:pt>
                <c:pt idx="164">
                  <c:v>13.94</c:v>
                </c:pt>
                <c:pt idx="165">
                  <c:v>14.62</c:v>
                </c:pt>
                <c:pt idx="166">
                  <c:v>13.52</c:v>
                </c:pt>
                <c:pt idx="167">
                  <c:v>17.14</c:v>
                </c:pt>
                <c:pt idx="168">
                  <c:v>14.31</c:v>
                </c:pt>
                <c:pt idx="169">
                  <c:v>5.8140000000000001</c:v>
                </c:pt>
                <c:pt idx="170">
                  <c:v>2.1859999999999999</c:v>
                </c:pt>
                <c:pt idx="171">
                  <c:v>10.1</c:v>
                </c:pt>
                <c:pt idx="172">
                  <c:v>10.19</c:v>
                </c:pt>
                <c:pt idx="173">
                  <c:v>9.18</c:v>
                </c:pt>
                <c:pt idx="174">
                  <c:v>7.63</c:v>
                </c:pt>
                <c:pt idx="175">
                  <c:v>8.09</c:v>
                </c:pt>
                <c:pt idx="176">
                  <c:v>11.97</c:v>
                </c:pt>
                <c:pt idx="177">
                  <c:v>10.029999999999999</c:v>
                </c:pt>
                <c:pt idx="178">
                  <c:v>9.42</c:v>
                </c:pt>
                <c:pt idx="179">
                  <c:v>8.52</c:v>
                </c:pt>
                <c:pt idx="180">
                  <c:v>10.65</c:v>
                </c:pt>
                <c:pt idx="181">
                  <c:v>14</c:v>
                </c:pt>
                <c:pt idx="182">
                  <c:v>11.64</c:v>
                </c:pt>
                <c:pt idx="183">
                  <c:v>14.12</c:v>
                </c:pt>
                <c:pt idx="184">
                  <c:v>12.31</c:v>
                </c:pt>
                <c:pt idx="185">
                  <c:v>10.53</c:v>
                </c:pt>
                <c:pt idx="186">
                  <c:v>11.55</c:v>
                </c:pt>
                <c:pt idx="187">
                  <c:v>10.66</c:v>
                </c:pt>
                <c:pt idx="188">
                  <c:v>10.01</c:v>
                </c:pt>
                <c:pt idx="189">
                  <c:v>13.82</c:v>
                </c:pt>
                <c:pt idx="190">
                  <c:v>13.22</c:v>
                </c:pt>
                <c:pt idx="191">
                  <c:v>14.39</c:v>
                </c:pt>
                <c:pt idx="192">
                  <c:v>14.65</c:v>
                </c:pt>
                <c:pt idx="193">
                  <c:v>14.23</c:v>
                </c:pt>
                <c:pt idx="194">
                  <c:v>12.75</c:v>
                </c:pt>
                <c:pt idx="195">
                  <c:v>13.09</c:v>
                </c:pt>
                <c:pt idx="196">
                  <c:v>11.93</c:v>
                </c:pt>
                <c:pt idx="197">
                  <c:v>10.41</c:v>
                </c:pt>
                <c:pt idx="198">
                  <c:v>9.0500000000000007</c:v>
                </c:pt>
                <c:pt idx="199">
                  <c:v>8.39</c:v>
                </c:pt>
                <c:pt idx="200">
                  <c:v>9.4</c:v>
                </c:pt>
                <c:pt idx="201">
                  <c:v>14.61</c:v>
                </c:pt>
                <c:pt idx="202">
                  <c:v>16.46</c:v>
                </c:pt>
                <c:pt idx="203">
                  <c:v>14.99</c:v>
                </c:pt>
                <c:pt idx="204">
                  <c:v>8.92</c:v>
                </c:pt>
                <c:pt idx="205">
                  <c:v>13.17</c:v>
                </c:pt>
                <c:pt idx="206">
                  <c:v>16.84</c:v>
                </c:pt>
                <c:pt idx="207">
                  <c:v>14.11</c:v>
                </c:pt>
                <c:pt idx="208">
                  <c:v>12.55</c:v>
                </c:pt>
                <c:pt idx="209">
                  <c:v>16.329999999999998</c:v>
                </c:pt>
                <c:pt idx="210">
                  <c:v>15.03</c:v>
                </c:pt>
                <c:pt idx="211">
                  <c:v>14.51</c:v>
                </c:pt>
                <c:pt idx="212">
                  <c:v>15.74</c:v>
                </c:pt>
                <c:pt idx="213">
                  <c:v>15.04</c:v>
                </c:pt>
                <c:pt idx="214">
                  <c:v>11.13</c:v>
                </c:pt>
                <c:pt idx="215">
                  <c:v>12.92</c:v>
                </c:pt>
                <c:pt idx="216">
                  <c:v>16.02</c:v>
                </c:pt>
                <c:pt idx="217">
                  <c:v>17.05</c:v>
                </c:pt>
                <c:pt idx="218">
                  <c:v>17.579999999999998</c:v>
                </c:pt>
                <c:pt idx="219">
                  <c:v>18.329999999999998</c:v>
                </c:pt>
                <c:pt idx="220">
                  <c:v>18.07</c:v>
                </c:pt>
                <c:pt idx="221">
                  <c:v>14.21</c:v>
                </c:pt>
                <c:pt idx="222">
                  <c:v>10.39</c:v>
                </c:pt>
                <c:pt idx="223">
                  <c:v>13.91</c:v>
                </c:pt>
                <c:pt idx="224">
                  <c:v>10.82</c:v>
                </c:pt>
                <c:pt idx="225">
                  <c:v>13.35</c:v>
                </c:pt>
                <c:pt idx="226">
                  <c:v>12.83</c:v>
                </c:pt>
                <c:pt idx="227">
                  <c:v>10.54</c:v>
                </c:pt>
                <c:pt idx="228">
                  <c:v>11.93</c:v>
                </c:pt>
                <c:pt idx="229">
                  <c:v>13.83</c:v>
                </c:pt>
                <c:pt idx="230">
                  <c:v>13.53</c:v>
                </c:pt>
                <c:pt idx="231">
                  <c:v>14.96</c:v>
                </c:pt>
                <c:pt idx="232">
                  <c:v>11.85</c:v>
                </c:pt>
                <c:pt idx="233">
                  <c:v>10.73</c:v>
                </c:pt>
                <c:pt idx="234">
                  <c:v>7.99</c:v>
                </c:pt>
                <c:pt idx="235">
                  <c:v>10.87</c:v>
                </c:pt>
                <c:pt idx="236">
                  <c:v>8.7899999999999991</c:v>
                </c:pt>
                <c:pt idx="237">
                  <c:v>8.73</c:v>
                </c:pt>
                <c:pt idx="238">
                  <c:v>12.61</c:v>
                </c:pt>
                <c:pt idx="239">
                  <c:v>13.8</c:v>
                </c:pt>
                <c:pt idx="240">
                  <c:v>14.46</c:v>
                </c:pt>
                <c:pt idx="241">
                  <c:v>14.57</c:v>
                </c:pt>
                <c:pt idx="242">
                  <c:v>13.99</c:v>
                </c:pt>
                <c:pt idx="243">
                  <c:v>13.35</c:v>
                </c:pt>
                <c:pt idx="244">
                  <c:v>11.71</c:v>
                </c:pt>
                <c:pt idx="245">
                  <c:v>14.63</c:v>
                </c:pt>
                <c:pt idx="246">
                  <c:v>11.42</c:v>
                </c:pt>
                <c:pt idx="247">
                  <c:v>13.01</c:v>
                </c:pt>
                <c:pt idx="248">
                  <c:v>12.85</c:v>
                </c:pt>
                <c:pt idx="249">
                  <c:v>11.94</c:v>
                </c:pt>
                <c:pt idx="250">
                  <c:v>9.08</c:v>
                </c:pt>
                <c:pt idx="251">
                  <c:v>8.66</c:v>
                </c:pt>
                <c:pt idx="252">
                  <c:v>8.02</c:v>
                </c:pt>
                <c:pt idx="253">
                  <c:v>10.56</c:v>
                </c:pt>
                <c:pt idx="254">
                  <c:v>10.14</c:v>
                </c:pt>
                <c:pt idx="255">
                  <c:v>8.75</c:v>
                </c:pt>
                <c:pt idx="256">
                  <c:v>8.6300000000000008</c:v>
                </c:pt>
                <c:pt idx="257">
                  <c:v>7.13</c:v>
                </c:pt>
                <c:pt idx="258">
                  <c:v>6.984</c:v>
                </c:pt>
                <c:pt idx="259">
                  <c:v>5.0570000000000004</c:v>
                </c:pt>
                <c:pt idx="260">
                  <c:v>5.6849999999999996</c:v>
                </c:pt>
                <c:pt idx="261">
                  <c:v>8.35</c:v>
                </c:pt>
                <c:pt idx="262">
                  <c:v>6.077</c:v>
                </c:pt>
                <c:pt idx="263">
                  <c:v>6.8220000000000001</c:v>
                </c:pt>
                <c:pt idx="264">
                  <c:v>6.0359999999999996</c:v>
                </c:pt>
                <c:pt idx="265">
                  <c:v>5.5129999999999999</c:v>
                </c:pt>
                <c:pt idx="266">
                  <c:v>5.742</c:v>
                </c:pt>
                <c:pt idx="267">
                  <c:v>5.2960000000000003</c:v>
                </c:pt>
                <c:pt idx="268">
                  <c:v>4.3540000000000001</c:v>
                </c:pt>
                <c:pt idx="269">
                  <c:v>0.81200000000000006</c:v>
                </c:pt>
                <c:pt idx="270">
                  <c:v>-0.23799999999999999</c:v>
                </c:pt>
                <c:pt idx="271">
                  <c:v>-0.26300000000000001</c:v>
                </c:pt>
                <c:pt idx="272">
                  <c:v>-0.16800000000000001</c:v>
                </c:pt>
                <c:pt idx="273">
                  <c:v>-1.0840000000000001</c:v>
                </c:pt>
                <c:pt idx="274">
                  <c:v>-1.69</c:v>
                </c:pt>
                <c:pt idx="275">
                  <c:v>0.65900000000000003</c:v>
                </c:pt>
                <c:pt idx="276">
                  <c:v>1.042</c:v>
                </c:pt>
                <c:pt idx="277">
                  <c:v>0.85399999999999998</c:v>
                </c:pt>
                <c:pt idx="278">
                  <c:v>0.95599999999999996</c:v>
                </c:pt>
                <c:pt idx="279">
                  <c:v>3.2690000000000001</c:v>
                </c:pt>
                <c:pt idx="280">
                  <c:v>-3.1840000000000002</c:v>
                </c:pt>
                <c:pt idx="281">
                  <c:v>-6.4649999999999999</c:v>
                </c:pt>
                <c:pt idx="282">
                  <c:v>-5.0309999999999997</c:v>
                </c:pt>
                <c:pt idx="283">
                  <c:v>-3.4790000000000001</c:v>
                </c:pt>
                <c:pt idx="284">
                  <c:v>-0.64100000000000001</c:v>
                </c:pt>
                <c:pt idx="285">
                  <c:v>0.112</c:v>
                </c:pt>
                <c:pt idx="286">
                  <c:v>-0.19600000000000001</c:v>
                </c:pt>
                <c:pt idx="287">
                  <c:v>-9.4E-2</c:v>
                </c:pt>
                <c:pt idx="288">
                  <c:v>3.3439999999999999</c:v>
                </c:pt>
                <c:pt idx="289">
                  <c:v>1.4550000000000001</c:v>
                </c:pt>
                <c:pt idx="290">
                  <c:v>-1.0089999999999999</c:v>
                </c:pt>
                <c:pt idx="291">
                  <c:v>-3.0880000000000001</c:v>
                </c:pt>
                <c:pt idx="292">
                  <c:v>-1.66</c:v>
                </c:pt>
                <c:pt idx="293">
                  <c:v>-0.77600000000000002</c:v>
                </c:pt>
                <c:pt idx="294">
                  <c:v>-0.17100000000000001</c:v>
                </c:pt>
                <c:pt idx="295">
                  <c:v>-1.123</c:v>
                </c:pt>
                <c:pt idx="296">
                  <c:v>-0.55800000000000005</c:v>
                </c:pt>
                <c:pt idx="297">
                  <c:v>-0.69799999999999995</c:v>
                </c:pt>
                <c:pt idx="298">
                  <c:v>-4.9960000000000004</c:v>
                </c:pt>
                <c:pt idx="299">
                  <c:v>-8.16</c:v>
                </c:pt>
                <c:pt idx="300">
                  <c:v>-8.2799999999999994</c:v>
                </c:pt>
                <c:pt idx="301">
                  <c:v>-15.25</c:v>
                </c:pt>
                <c:pt idx="302">
                  <c:v>-9.5500000000000007</c:v>
                </c:pt>
                <c:pt idx="303">
                  <c:v>-7.44</c:v>
                </c:pt>
                <c:pt idx="304">
                  <c:v>-6.6349999999999998</c:v>
                </c:pt>
                <c:pt idx="305">
                  <c:v>0.182</c:v>
                </c:pt>
                <c:pt idx="306">
                  <c:v>1.1930000000000001</c:v>
                </c:pt>
                <c:pt idx="307">
                  <c:v>1.413</c:v>
                </c:pt>
                <c:pt idx="308">
                  <c:v>-1.57</c:v>
                </c:pt>
                <c:pt idx="309">
                  <c:v>-2.694</c:v>
                </c:pt>
                <c:pt idx="310">
                  <c:v>-3.13</c:v>
                </c:pt>
                <c:pt idx="311">
                  <c:v>-1.1100000000000001</c:v>
                </c:pt>
                <c:pt idx="312">
                  <c:v>1.474</c:v>
                </c:pt>
                <c:pt idx="313">
                  <c:v>-2.2890000000000001</c:v>
                </c:pt>
                <c:pt idx="314">
                  <c:v>-4.1180000000000003</c:v>
                </c:pt>
                <c:pt idx="315">
                  <c:v>-1.196</c:v>
                </c:pt>
                <c:pt idx="316">
                  <c:v>-4.484</c:v>
                </c:pt>
                <c:pt idx="317">
                  <c:v>-2.7629999999999999</c:v>
                </c:pt>
                <c:pt idx="318">
                  <c:v>-0.64500000000000002</c:v>
                </c:pt>
                <c:pt idx="319">
                  <c:v>-2.4180000000000001</c:v>
                </c:pt>
                <c:pt idx="320">
                  <c:v>-0.44600000000000001</c:v>
                </c:pt>
                <c:pt idx="321">
                  <c:v>-1.8720000000000001</c:v>
                </c:pt>
                <c:pt idx="322">
                  <c:v>-0.81200000000000006</c:v>
                </c:pt>
                <c:pt idx="323">
                  <c:v>-2.4319999999999999</c:v>
                </c:pt>
                <c:pt idx="324">
                  <c:v>-3.242</c:v>
                </c:pt>
                <c:pt idx="325">
                  <c:v>-3.4969999999999999</c:v>
                </c:pt>
                <c:pt idx="326">
                  <c:v>-1.1739999999999999</c:v>
                </c:pt>
                <c:pt idx="327">
                  <c:v>-1.71</c:v>
                </c:pt>
                <c:pt idx="328">
                  <c:v>-2.161</c:v>
                </c:pt>
                <c:pt idx="329">
                  <c:v>-4.2939999999999996</c:v>
                </c:pt>
                <c:pt idx="330">
                  <c:v>-4.0110000000000001</c:v>
                </c:pt>
                <c:pt idx="331">
                  <c:v>-5.4109999999999996</c:v>
                </c:pt>
                <c:pt idx="332">
                  <c:v>-6.2939999999999996</c:v>
                </c:pt>
                <c:pt idx="333">
                  <c:v>-4.4279999999999999</c:v>
                </c:pt>
                <c:pt idx="334">
                  <c:v>-3.9460000000000002</c:v>
                </c:pt>
                <c:pt idx="335">
                  <c:v>-1.44</c:v>
                </c:pt>
                <c:pt idx="336">
                  <c:v>-0.66500000000000004</c:v>
                </c:pt>
                <c:pt idx="337">
                  <c:v>-1.1379999999999999</c:v>
                </c:pt>
                <c:pt idx="338">
                  <c:v>-2.9790000000000001</c:v>
                </c:pt>
                <c:pt idx="339">
                  <c:v>-1.004</c:v>
                </c:pt>
                <c:pt idx="340">
                  <c:v>-0.65700000000000003</c:v>
                </c:pt>
                <c:pt idx="341">
                  <c:v>-1.151</c:v>
                </c:pt>
                <c:pt idx="342">
                  <c:v>-2.0230000000000001</c:v>
                </c:pt>
                <c:pt idx="343">
                  <c:v>-2.0339999999999998</c:v>
                </c:pt>
                <c:pt idx="344">
                  <c:v>-1.395</c:v>
                </c:pt>
                <c:pt idx="345">
                  <c:v>-1.1719999999999999</c:v>
                </c:pt>
                <c:pt idx="346">
                  <c:v>-0.95699999999999996</c:v>
                </c:pt>
                <c:pt idx="347">
                  <c:v>-1.026</c:v>
                </c:pt>
                <c:pt idx="348">
                  <c:v>-1.0740000000000001</c:v>
                </c:pt>
                <c:pt idx="349">
                  <c:v>-1.6020000000000001</c:v>
                </c:pt>
                <c:pt idx="350">
                  <c:v>-1.42</c:v>
                </c:pt>
                <c:pt idx="351">
                  <c:v>-1.2110000000000001</c:v>
                </c:pt>
                <c:pt idx="352">
                  <c:v>-1.143</c:v>
                </c:pt>
                <c:pt idx="353">
                  <c:v>-0.92500000000000004</c:v>
                </c:pt>
                <c:pt idx="354">
                  <c:v>-0.629</c:v>
                </c:pt>
                <c:pt idx="355">
                  <c:v>-0.55700000000000005</c:v>
                </c:pt>
                <c:pt idx="356">
                  <c:v>-0.751</c:v>
                </c:pt>
                <c:pt idx="357">
                  <c:v>-0.92800000000000005</c:v>
                </c:pt>
                <c:pt idx="358">
                  <c:v>-1.1200000000000001</c:v>
                </c:pt>
                <c:pt idx="359">
                  <c:v>-1.6870000000000001</c:v>
                </c:pt>
                <c:pt idx="360">
                  <c:v>-1.8420000000000001</c:v>
                </c:pt>
                <c:pt idx="361">
                  <c:v>-1.546</c:v>
                </c:pt>
                <c:pt idx="362">
                  <c:v>-1.359</c:v>
                </c:pt>
                <c:pt idx="363">
                  <c:v>-1.1639999999999999</c:v>
                </c:pt>
                <c:pt idx="364">
                  <c:v>-1.0960000000000001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-0.40699999999999997</c:v>
                </c:pt>
                <c:pt idx="1">
                  <c:v>-0.41899999999999998</c:v>
                </c:pt>
                <c:pt idx="2">
                  <c:v>-0.39200000000000002</c:v>
                </c:pt>
                <c:pt idx="3">
                  <c:v>-0.34699999999999998</c:v>
                </c:pt>
                <c:pt idx="4">
                  <c:v>-0.372</c:v>
                </c:pt>
                <c:pt idx="5">
                  <c:v>-0.41399999999999998</c:v>
                </c:pt>
                <c:pt idx="6">
                  <c:v>-0.36199999999999999</c:v>
                </c:pt>
                <c:pt idx="7">
                  <c:v>-0.433</c:v>
                </c:pt>
                <c:pt idx="8">
                  <c:v>-0.42699999999999999</c:v>
                </c:pt>
                <c:pt idx="9">
                  <c:v>-0.42499999999999999</c:v>
                </c:pt>
                <c:pt idx="10">
                  <c:v>-0.40400000000000003</c:v>
                </c:pt>
                <c:pt idx="11">
                  <c:v>-0.376</c:v>
                </c:pt>
                <c:pt idx="12">
                  <c:v>-0.34100000000000003</c:v>
                </c:pt>
                <c:pt idx="13">
                  <c:v>-0.33800000000000002</c:v>
                </c:pt>
                <c:pt idx="14">
                  <c:v>-0.39800000000000002</c:v>
                </c:pt>
                <c:pt idx="15">
                  <c:v>-0.47799999999999998</c:v>
                </c:pt>
                <c:pt idx="16">
                  <c:v>-0.49399999999999999</c:v>
                </c:pt>
                <c:pt idx="17">
                  <c:v>-0.441</c:v>
                </c:pt>
                <c:pt idx="18">
                  <c:v>-0.34899999999999998</c:v>
                </c:pt>
                <c:pt idx="19">
                  <c:v>-0.41499999999999998</c:v>
                </c:pt>
                <c:pt idx="20">
                  <c:v>-0.47299999999999998</c:v>
                </c:pt>
                <c:pt idx="21">
                  <c:v>-0.41499999999999998</c:v>
                </c:pt>
                <c:pt idx="22">
                  <c:v>-0.45200000000000001</c:v>
                </c:pt>
                <c:pt idx="23">
                  <c:v>-0.32700000000000001</c:v>
                </c:pt>
                <c:pt idx="24">
                  <c:v>-0.29299999999999998</c:v>
                </c:pt>
                <c:pt idx="25">
                  <c:v>-0.28299999999999997</c:v>
                </c:pt>
                <c:pt idx="26">
                  <c:v>-0.29599999999999999</c:v>
                </c:pt>
                <c:pt idx="27">
                  <c:v>-0.39200000000000002</c:v>
                </c:pt>
                <c:pt idx="28">
                  <c:v>-0.33600000000000002</c:v>
                </c:pt>
                <c:pt idx="29">
                  <c:v>-0.36199999999999999</c:v>
                </c:pt>
                <c:pt idx="30">
                  <c:v>-0.44900000000000001</c:v>
                </c:pt>
                <c:pt idx="31">
                  <c:v>-0.435</c:v>
                </c:pt>
                <c:pt idx="32">
                  <c:v>-0.32400000000000001</c:v>
                </c:pt>
                <c:pt idx="33">
                  <c:v>-0.377</c:v>
                </c:pt>
                <c:pt idx="34">
                  <c:v>-0.505</c:v>
                </c:pt>
                <c:pt idx="35">
                  <c:v>-0.46100000000000002</c:v>
                </c:pt>
                <c:pt idx="36">
                  <c:v>-0.53700000000000003</c:v>
                </c:pt>
                <c:pt idx="37">
                  <c:v>-0.56299999999999994</c:v>
                </c:pt>
                <c:pt idx="38">
                  <c:v>-0.54300000000000004</c:v>
                </c:pt>
                <c:pt idx="39">
                  <c:v>-0.56599999999999995</c:v>
                </c:pt>
                <c:pt idx="40">
                  <c:v>-0.51100000000000001</c:v>
                </c:pt>
                <c:pt idx="41">
                  <c:v>-0.56399999999999995</c:v>
                </c:pt>
                <c:pt idx="42">
                  <c:v>-0.61</c:v>
                </c:pt>
                <c:pt idx="43">
                  <c:v>-0.51900000000000002</c:v>
                </c:pt>
                <c:pt idx="44">
                  <c:v>-0.44600000000000001</c:v>
                </c:pt>
                <c:pt idx="45">
                  <c:v>-0.503</c:v>
                </c:pt>
                <c:pt idx="46">
                  <c:v>-0.501</c:v>
                </c:pt>
                <c:pt idx="47">
                  <c:v>-0.498</c:v>
                </c:pt>
                <c:pt idx="48">
                  <c:v>-0.38500000000000001</c:v>
                </c:pt>
                <c:pt idx="49">
                  <c:v>-0.41099999999999998</c:v>
                </c:pt>
                <c:pt idx="50">
                  <c:v>-0.438</c:v>
                </c:pt>
                <c:pt idx="51">
                  <c:v>-0.43099999999999999</c:v>
                </c:pt>
                <c:pt idx="52">
                  <c:v>-0.41</c:v>
                </c:pt>
                <c:pt idx="53">
                  <c:v>-0.43</c:v>
                </c:pt>
                <c:pt idx="54">
                  <c:v>-0.32200000000000001</c:v>
                </c:pt>
                <c:pt idx="55">
                  <c:v>-0.29899999999999999</c:v>
                </c:pt>
                <c:pt idx="56">
                  <c:v>-0.41299999999999998</c:v>
                </c:pt>
                <c:pt idx="57">
                  <c:v>-0.40600000000000003</c:v>
                </c:pt>
                <c:pt idx="58">
                  <c:v>-0.379</c:v>
                </c:pt>
                <c:pt idx="59">
                  <c:v>-0.27500000000000002</c:v>
                </c:pt>
                <c:pt idx="60">
                  <c:v>-0.39500000000000002</c:v>
                </c:pt>
                <c:pt idx="61">
                  <c:v>-0.46600000000000003</c:v>
                </c:pt>
                <c:pt idx="62">
                  <c:v>-0.46899999999999997</c:v>
                </c:pt>
                <c:pt idx="63">
                  <c:v>-0.316</c:v>
                </c:pt>
                <c:pt idx="64">
                  <c:v>-0.41199999999999998</c:v>
                </c:pt>
                <c:pt idx="65">
                  <c:v>-0.378</c:v>
                </c:pt>
                <c:pt idx="66">
                  <c:v>-0.35299999999999998</c:v>
                </c:pt>
                <c:pt idx="67">
                  <c:v>-0.378</c:v>
                </c:pt>
                <c:pt idx="68">
                  <c:v>-0.23599999999999999</c:v>
                </c:pt>
                <c:pt idx="69">
                  <c:v>-0.373</c:v>
                </c:pt>
                <c:pt idx="70">
                  <c:v>-0.39100000000000001</c:v>
                </c:pt>
                <c:pt idx="71">
                  <c:v>-0.26400000000000001</c:v>
                </c:pt>
                <c:pt idx="72">
                  <c:v>-0.23400000000000001</c:v>
                </c:pt>
                <c:pt idx="73">
                  <c:v>-0.33400000000000002</c:v>
                </c:pt>
                <c:pt idx="74">
                  <c:v>-0.23400000000000001</c:v>
                </c:pt>
                <c:pt idx="75">
                  <c:v>-0.16</c:v>
                </c:pt>
                <c:pt idx="76">
                  <c:v>-0.23</c:v>
                </c:pt>
                <c:pt idx="77">
                  <c:v>-0.216</c:v>
                </c:pt>
                <c:pt idx="78">
                  <c:v>-0.22</c:v>
                </c:pt>
                <c:pt idx="79">
                  <c:v>-0.16500000000000001</c:v>
                </c:pt>
                <c:pt idx="80">
                  <c:v>-0.109</c:v>
                </c:pt>
                <c:pt idx="81">
                  <c:v>-0.21199999999999999</c:v>
                </c:pt>
                <c:pt idx="82">
                  <c:v>-0.16800000000000001</c:v>
                </c:pt>
                <c:pt idx="83">
                  <c:v>-0.16500000000000001</c:v>
                </c:pt>
                <c:pt idx="84">
                  <c:v>-0.26700000000000002</c:v>
                </c:pt>
                <c:pt idx="85">
                  <c:v>-0.09</c:v>
                </c:pt>
                <c:pt idx="86">
                  <c:v>-0.111</c:v>
                </c:pt>
                <c:pt idx="87">
                  <c:v>-0.127</c:v>
                </c:pt>
                <c:pt idx="88">
                  <c:v>-7.8E-2</c:v>
                </c:pt>
                <c:pt idx="89">
                  <c:v>-0.13</c:v>
                </c:pt>
                <c:pt idx="90">
                  <c:v>-8.5000000000000006E-2</c:v>
                </c:pt>
                <c:pt idx="91">
                  <c:v>-6.8000000000000005E-2</c:v>
                </c:pt>
                <c:pt idx="92">
                  <c:v>-0.22800000000000001</c:v>
                </c:pt>
                <c:pt idx="93">
                  <c:v>-0.1</c:v>
                </c:pt>
                <c:pt idx="94">
                  <c:v>-0.19800000000000001</c:v>
                </c:pt>
                <c:pt idx="95">
                  <c:v>-0.24</c:v>
                </c:pt>
                <c:pt idx="96">
                  <c:v>-0.17599999999999999</c:v>
                </c:pt>
                <c:pt idx="97">
                  <c:v>-0.152</c:v>
                </c:pt>
                <c:pt idx="98">
                  <c:v>-0.185</c:v>
                </c:pt>
                <c:pt idx="99">
                  <c:v>-0.192</c:v>
                </c:pt>
                <c:pt idx="100">
                  <c:v>-0.13900000000000001</c:v>
                </c:pt>
                <c:pt idx="101">
                  <c:v>-0.128</c:v>
                </c:pt>
                <c:pt idx="102">
                  <c:v>-0.22900000000000001</c:v>
                </c:pt>
                <c:pt idx="103">
                  <c:v>-7.9000000000000001E-2</c:v>
                </c:pt>
                <c:pt idx="104">
                  <c:v>-0.104</c:v>
                </c:pt>
                <c:pt idx="105">
                  <c:v>1.9E-2</c:v>
                </c:pt>
                <c:pt idx="106">
                  <c:v>-1.6E-2</c:v>
                </c:pt>
                <c:pt idx="107">
                  <c:v>-0.129</c:v>
                </c:pt>
                <c:pt idx="108">
                  <c:v>-8.8999999999999996E-2</c:v>
                </c:pt>
                <c:pt idx="109">
                  <c:v>-0.13600000000000001</c:v>
                </c:pt>
                <c:pt idx="110">
                  <c:v>-4.0000000000000001E-3</c:v>
                </c:pt>
                <c:pt idx="111">
                  <c:v>-0.115</c:v>
                </c:pt>
                <c:pt idx="112">
                  <c:v>-0.105</c:v>
                </c:pt>
                <c:pt idx="113">
                  <c:v>-0.127</c:v>
                </c:pt>
                <c:pt idx="114">
                  <c:v>3.2000000000000001E-2</c:v>
                </c:pt>
                <c:pt idx="115">
                  <c:v>-0.02</c:v>
                </c:pt>
                <c:pt idx="116">
                  <c:v>-0.14299999999999999</c:v>
                </c:pt>
                <c:pt idx="117">
                  <c:v>2.8000000000000001E-2</c:v>
                </c:pt>
                <c:pt idx="118">
                  <c:v>-9.2999999999999999E-2</c:v>
                </c:pt>
                <c:pt idx="119">
                  <c:v>2.1999999999999999E-2</c:v>
                </c:pt>
                <c:pt idx="120">
                  <c:v>-4.5999999999999999E-2</c:v>
                </c:pt>
                <c:pt idx="121">
                  <c:v>-6.8000000000000005E-2</c:v>
                </c:pt>
                <c:pt idx="122">
                  <c:v>7.2999999999999995E-2</c:v>
                </c:pt>
                <c:pt idx="123">
                  <c:v>0.215</c:v>
                </c:pt>
                <c:pt idx="124">
                  <c:v>1.02</c:v>
                </c:pt>
                <c:pt idx="125">
                  <c:v>5.2370000000000001</c:v>
                </c:pt>
                <c:pt idx="126">
                  <c:v>6.9989999999999997</c:v>
                </c:pt>
                <c:pt idx="127">
                  <c:v>7.74</c:v>
                </c:pt>
                <c:pt idx="128">
                  <c:v>8.42</c:v>
                </c:pt>
                <c:pt idx="129">
                  <c:v>9.58</c:v>
                </c:pt>
                <c:pt idx="130">
                  <c:v>10.57</c:v>
                </c:pt>
                <c:pt idx="131">
                  <c:v>11.69</c:v>
                </c:pt>
                <c:pt idx="132">
                  <c:v>11.22</c:v>
                </c:pt>
                <c:pt idx="133">
                  <c:v>7.16</c:v>
                </c:pt>
                <c:pt idx="134">
                  <c:v>9.3699999999999992</c:v>
                </c:pt>
                <c:pt idx="135">
                  <c:v>9.9</c:v>
                </c:pt>
                <c:pt idx="136">
                  <c:v>8.51</c:v>
                </c:pt>
                <c:pt idx="137">
                  <c:v>7.68</c:v>
                </c:pt>
                <c:pt idx="138">
                  <c:v>8.91</c:v>
                </c:pt>
                <c:pt idx="139">
                  <c:v>9.1199999999999992</c:v>
                </c:pt>
                <c:pt idx="140">
                  <c:v>7.54</c:v>
                </c:pt>
                <c:pt idx="141">
                  <c:v>8.94</c:v>
                </c:pt>
                <c:pt idx="142">
                  <c:v>9.9</c:v>
                </c:pt>
                <c:pt idx="143">
                  <c:v>9.92</c:v>
                </c:pt>
                <c:pt idx="144">
                  <c:v>9.58</c:v>
                </c:pt>
                <c:pt idx="145">
                  <c:v>9.5299999999999994</c:v>
                </c:pt>
                <c:pt idx="146">
                  <c:v>10.7</c:v>
                </c:pt>
                <c:pt idx="147">
                  <c:v>12.22</c:v>
                </c:pt>
                <c:pt idx="148">
                  <c:v>13.72</c:v>
                </c:pt>
                <c:pt idx="149">
                  <c:v>12.59</c:v>
                </c:pt>
                <c:pt idx="150">
                  <c:v>12.87</c:v>
                </c:pt>
                <c:pt idx="151">
                  <c:v>13.84</c:v>
                </c:pt>
                <c:pt idx="152">
                  <c:v>15.02</c:v>
                </c:pt>
                <c:pt idx="153">
                  <c:v>14.65</c:v>
                </c:pt>
                <c:pt idx="154">
                  <c:v>12.94</c:v>
                </c:pt>
                <c:pt idx="155">
                  <c:v>11.03</c:v>
                </c:pt>
                <c:pt idx="156">
                  <c:v>9.0299999999999994</c:v>
                </c:pt>
                <c:pt idx="157">
                  <c:v>6.4560000000000004</c:v>
                </c:pt>
                <c:pt idx="158">
                  <c:v>7.37</c:v>
                </c:pt>
                <c:pt idx="159">
                  <c:v>8.9700000000000006</c:v>
                </c:pt>
                <c:pt idx="160">
                  <c:v>9.3000000000000007</c:v>
                </c:pt>
                <c:pt idx="161">
                  <c:v>13.1</c:v>
                </c:pt>
                <c:pt idx="162">
                  <c:v>14.79</c:v>
                </c:pt>
                <c:pt idx="163">
                  <c:v>15.36</c:v>
                </c:pt>
                <c:pt idx="164">
                  <c:v>15.03</c:v>
                </c:pt>
                <c:pt idx="165">
                  <c:v>15.42</c:v>
                </c:pt>
                <c:pt idx="166">
                  <c:v>14.17</c:v>
                </c:pt>
                <c:pt idx="167">
                  <c:v>16.100000000000001</c:v>
                </c:pt>
                <c:pt idx="168">
                  <c:v>15.74</c:v>
                </c:pt>
                <c:pt idx="169">
                  <c:v>10.87</c:v>
                </c:pt>
                <c:pt idx="170">
                  <c:v>6.1189999999999998</c:v>
                </c:pt>
                <c:pt idx="171">
                  <c:v>9.31</c:v>
                </c:pt>
                <c:pt idx="172">
                  <c:v>10.83</c:v>
                </c:pt>
                <c:pt idx="173">
                  <c:v>10.26</c:v>
                </c:pt>
                <c:pt idx="174">
                  <c:v>9.7899999999999991</c:v>
                </c:pt>
                <c:pt idx="175">
                  <c:v>9.73</c:v>
                </c:pt>
                <c:pt idx="176">
                  <c:v>11.46</c:v>
                </c:pt>
                <c:pt idx="177">
                  <c:v>11.39</c:v>
                </c:pt>
                <c:pt idx="178">
                  <c:v>11.21</c:v>
                </c:pt>
                <c:pt idx="179">
                  <c:v>9.85</c:v>
                </c:pt>
                <c:pt idx="180">
                  <c:v>11.22</c:v>
                </c:pt>
                <c:pt idx="181">
                  <c:v>12.86</c:v>
                </c:pt>
                <c:pt idx="182">
                  <c:v>12.46</c:v>
                </c:pt>
                <c:pt idx="183">
                  <c:v>13.53</c:v>
                </c:pt>
                <c:pt idx="184">
                  <c:v>13.29</c:v>
                </c:pt>
                <c:pt idx="185">
                  <c:v>12.01</c:v>
                </c:pt>
                <c:pt idx="186">
                  <c:v>12.52</c:v>
                </c:pt>
                <c:pt idx="187">
                  <c:v>11.73</c:v>
                </c:pt>
                <c:pt idx="188">
                  <c:v>11.59</c:v>
                </c:pt>
                <c:pt idx="189">
                  <c:v>12.51</c:v>
                </c:pt>
                <c:pt idx="190">
                  <c:v>13.6</c:v>
                </c:pt>
                <c:pt idx="191">
                  <c:v>14.31</c:v>
                </c:pt>
                <c:pt idx="192">
                  <c:v>14.86</c:v>
                </c:pt>
                <c:pt idx="193">
                  <c:v>14.16</c:v>
                </c:pt>
                <c:pt idx="194">
                  <c:v>13.99</c:v>
                </c:pt>
                <c:pt idx="195">
                  <c:v>13.54</c:v>
                </c:pt>
                <c:pt idx="196">
                  <c:v>13.35</c:v>
                </c:pt>
                <c:pt idx="197">
                  <c:v>12.67</c:v>
                </c:pt>
                <c:pt idx="198">
                  <c:v>10.93</c:v>
                </c:pt>
                <c:pt idx="199">
                  <c:v>10.46</c:v>
                </c:pt>
                <c:pt idx="200">
                  <c:v>11.26</c:v>
                </c:pt>
                <c:pt idx="201">
                  <c:v>13.86</c:v>
                </c:pt>
                <c:pt idx="202">
                  <c:v>15.49</c:v>
                </c:pt>
                <c:pt idx="203">
                  <c:v>14.8</c:v>
                </c:pt>
                <c:pt idx="204">
                  <c:v>12.19</c:v>
                </c:pt>
                <c:pt idx="205">
                  <c:v>12.89</c:v>
                </c:pt>
                <c:pt idx="206">
                  <c:v>15.45</c:v>
                </c:pt>
                <c:pt idx="207">
                  <c:v>15.63</c:v>
                </c:pt>
                <c:pt idx="208">
                  <c:v>14.53</c:v>
                </c:pt>
                <c:pt idx="209">
                  <c:v>15.97</c:v>
                </c:pt>
                <c:pt idx="210">
                  <c:v>16.239999999999998</c:v>
                </c:pt>
                <c:pt idx="211">
                  <c:v>15.95</c:v>
                </c:pt>
                <c:pt idx="212">
                  <c:v>16.510000000000002</c:v>
                </c:pt>
                <c:pt idx="213">
                  <c:v>16.149999999999999</c:v>
                </c:pt>
                <c:pt idx="214">
                  <c:v>14.51</c:v>
                </c:pt>
                <c:pt idx="215">
                  <c:v>14.67</c:v>
                </c:pt>
                <c:pt idx="216">
                  <c:v>16.149999999999999</c:v>
                </c:pt>
                <c:pt idx="217">
                  <c:v>17.07</c:v>
                </c:pt>
                <c:pt idx="218">
                  <c:v>17.079999999999998</c:v>
                </c:pt>
                <c:pt idx="219">
                  <c:v>17.760000000000002</c:v>
                </c:pt>
                <c:pt idx="220">
                  <c:v>17.940000000000001</c:v>
                </c:pt>
                <c:pt idx="221">
                  <c:v>15.92</c:v>
                </c:pt>
                <c:pt idx="222">
                  <c:v>12.91</c:v>
                </c:pt>
                <c:pt idx="223">
                  <c:v>14.26</c:v>
                </c:pt>
                <c:pt idx="224">
                  <c:v>12.8</c:v>
                </c:pt>
                <c:pt idx="225">
                  <c:v>13.5</c:v>
                </c:pt>
                <c:pt idx="226">
                  <c:v>13.56</c:v>
                </c:pt>
                <c:pt idx="227">
                  <c:v>11.83</c:v>
                </c:pt>
                <c:pt idx="228">
                  <c:v>12.72</c:v>
                </c:pt>
                <c:pt idx="229">
                  <c:v>14.1</c:v>
                </c:pt>
                <c:pt idx="230">
                  <c:v>14.67</c:v>
                </c:pt>
                <c:pt idx="231">
                  <c:v>15.29</c:v>
                </c:pt>
                <c:pt idx="232">
                  <c:v>13.82</c:v>
                </c:pt>
                <c:pt idx="233">
                  <c:v>13.28</c:v>
                </c:pt>
                <c:pt idx="234">
                  <c:v>11.14</c:v>
                </c:pt>
                <c:pt idx="235">
                  <c:v>12.06</c:v>
                </c:pt>
                <c:pt idx="236">
                  <c:v>11.35</c:v>
                </c:pt>
                <c:pt idx="237">
                  <c:v>10.75</c:v>
                </c:pt>
                <c:pt idx="238">
                  <c:v>12.53</c:v>
                </c:pt>
                <c:pt idx="239">
                  <c:v>14.07</c:v>
                </c:pt>
                <c:pt idx="240">
                  <c:v>14.26</c:v>
                </c:pt>
                <c:pt idx="241">
                  <c:v>14.99</c:v>
                </c:pt>
                <c:pt idx="242">
                  <c:v>15.06</c:v>
                </c:pt>
                <c:pt idx="243">
                  <c:v>14.17</c:v>
                </c:pt>
                <c:pt idx="244">
                  <c:v>13.72</c:v>
                </c:pt>
                <c:pt idx="245">
                  <c:v>14.39</c:v>
                </c:pt>
                <c:pt idx="246">
                  <c:v>13.65</c:v>
                </c:pt>
                <c:pt idx="247">
                  <c:v>13.57</c:v>
                </c:pt>
                <c:pt idx="248">
                  <c:v>13.9</c:v>
                </c:pt>
                <c:pt idx="249">
                  <c:v>13.33</c:v>
                </c:pt>
                <c:pt idx="250">
                  <c:v>11.65</c:v>
                </c:pt>
                <c:pt idx="251">
                  <c:v>10.89</c:v>
                </c:pt>
                <c:pt idx="252">
                  <c:v>10.23</c:v>
                </c:pt>
                <c:pt idx="253">
                  <c:v>11.32</c:v>
                </c:pt>
                <c:pt idx="254">
                  <c:v>11.21</c:v>
                </c:pt>
                <c:pt idx="255">
                  <c:v>10.54</c:v>
                </c:pt>
                <c:pt idx="256">
                  <c:v>10.130000000000001</c:v>
                </c:pt>
                <c:pt idx="257">
                  <c:v>8.99</c:v>
                </c:pt>
                <c:pt idx="258">
                  <c:v>9.15</c:v>
                </c:pt>
                <c:pt idx="259">
                  <c:v>7.64</c:v>
                </c:pt>
                <c:pt idx="260">
                  <c:v>8.02</c:v>
                </c:pt>
                <c:pt idx="261">
                  <c:v>9.2100000000000009</c:v>
                </c:pt>
                <c:pt idx="262">
                  <c:v>8.7799999999999994</c:v>
                </c:pt>
                <c:pt idx="263">
                  <c:v>8.49</c:v>
                </c:pt>
                <c:pt idx="264">
                  <c:v>7.73</c:v>
                </c:pt>
                <c:pt idx="265">
                  <c:v>7.43</c:v>
                </c:pt>
                <c:pt idx="266">
                  <c:v>7.63</c:v>
                </c:pt>
                <c:pt idx="267">
                  <c:v>6.2939999999999996</c:v>
                </c:pt>
                <c:pt idx="268">
                  <c:v>6.8719999999999999</c:v>
                </c:pt>
                <c:pt idx="269">
                  <c:v>4.1970000000000001</c:v>
                </c:pt>
                <c:pt idx="270">
                  <c:v>3.0910000000000002</c:v>
                </c:pt>
                <c:pt idx="271">
                  <c:v>2.645</c:v>
                </c:pt>
                <c:pt idx="272">
                  <c:v>2.52</c:v>
                </c:pt>
                <c:pt idx="273">
                  <c:v>2.427</c:v>
                </c:pt>
                <c:pt idx="274">
                  <c:v>1.413</c:v>
                </c:pt>
                <c:pt idx="275">
                  <c:v>1.9690000000000001</c:v>
                </c:pt>
                <c:pt idx="276">
                  <c:v>2.4780000000000002</c:v>
                </c:pt>
                <c:pt idx="277">
                  <c:v>3.165</c:v>
                </c:pt>
                <c:pt idx="278">
                  <c:v>3.081</c:v>
                </c:pt>
                <c:pt idx="279">
                  <c:v>4.0659999999999998</c:v>
                </c:pt>
                <c:pt idx="280">
                  <c:v>1.375</c:v>
                </c:pt>
                <c:pt idx="281">
                  <c:v>1.034</c:v>
                </c:pt>
                <c:pt idx="282">
                  <c:v>0.29099999999999998</c:v>
                </c:pt>
                <c:pt idx="283">
                  <c:v>0.11700000000000001</c:v>
                </c:pt>
                <c:pt idx="284">
                  <c:v>0.36299999999999999</c:v>
                </c:pt>
                <c:pt idx="285">
                  <c:v>0.629</c:v>
                </c:pt>
                <c:pt idx="286">
                  <c:v>2.1429999999999998</c:v>
                </c:pt>
                <c:pt idx="287">
                  <c:v>1.323</c:v>
                </c:pt>
                <c:pt idx="288">
                  <c:v>2.8010000000000002</c:v>
                </c:pt>
                <c:pt idx="289">
                  <c:v>3.1669999999999998</c:v>
                </c:pt>
                <c:pt idx="290">
                  <c:v>1.8</c:v>
                </c:pt>
                <c:pt idx="291">
                  <c:v>1.42</c:v>
                </c:pt>
                <c:pt idx="292">
                  <c:v>0.436</c:v>
                </c:pt>
                <c:pt idx="293">
                  <c:v>0.40400000000000003</c:v>
                </c:pt>
                <c:pt idx="294">
                  <c:v>0.64600000000000002</c:v>
                </c:pt>
                <c:pt idx="295">
                  <c:v>0.77800000000000002</c:v>
                </c:pt>
                <c:pt idx="296">
                  <c:v>0.97599999999999998</c:v>
                </c:pt>
                <c:pt idx="297">
                  <c:v>0.99</c:v>
                </c:pt>
                <c:pt idx="298">
                  <c:v>0.40899999999999997</c:v>
                </c:pt>
                <c:pt idx="299">
                  <c:v>0.17899999999999999</c:v>
                </c:pt>
                <c:pt idx="300">
                  <c:v>-0.14099999999999999</c:v>
                </c:pt>
                <c:pt idx="301">
                  <c:v>-1.1060000000000001</c:v>
                </c:pt>
                <c:pt idx="302">
                  <c:v>-1.5489999999999999</c:v>
                </c:pt>
                <c:pt idx="303">
                  <c:v>-1.5580000000000001</c:v>
                </c:pt>
                <c:pt idx="304">
                  <c:v>-1.9630000000000001</c:v>
                </c:pt>
                <c:pt idx="305">
                  <c:v>-0.371</c:v>
                </c:pt>
                <c:pt idx="306">
                  <c:v>-0.26</c:v>
                </c:pt>
                <c:pt idx="307">
                  <c:v>-0.23200000000000001</c:v>
                </c:pt>
                <c:pt idx="308">
                  <c:v>-0.17</c:v>
                </c:pt>
                <c:pt idx="309">
                  <c:v>-0.216</c:v>
                </c:pt>
                <c:pt idx="310">
                  <c:v>-0.22900000000000001</c:v>
                </c:pt>
                <c:pt idx="311">
                  <c:v>-0.30599999999999999</c:v>
                </c:pt>
                <c:pt idx="312">
                  <c:v>-0.224</c:v>
                </c:pt>
                <c:pt idx="313">
                  <c:v>-0.20899999999999999</c:v>
                </c:pt>
                <c:pt idx="314">
                  <c:v>-0.30199999999999999</c:v>
                </c:pt>
                <c:pt idx="315">
                  <c:v>-0.30099999999999999</c:v>
                </c:pt>
                <c:pt idx="316">
                  <c:v>-0.249</c:v>
                </c:pt>
                <c:pt idx="317">
                  <c:v>-0.30299999999999999</c:v>
                </c:pt>
                <c:pt idx="318">
                  <c:v>-0.27300000000000002</c:v>
                </c:pt>
                <c:pt idx="319">
                  <c:v>-0.32500000000000001</c:v>
                </c:pt>
                <c:pt idx="320">
                  <c:v>-0.24399999999999999</c:v>
                </c:pt>
                <c:pt idx="321">
                  <c:v>-0.27500000000000002</c:v>
                </c:pt>
                <c:pt idx="322">
                  <c:v>-0.29299999999999998</c:v>
                </c:pt>
                <c:pt idx="323">
                  <c:v>-0.252</c:v>
                </c:pt>
                <c:pt idx="324">
                  <c:v>-0.25600000000000001</c:v>
                </c:pt>
                <c:pt idx="325">
                  <c:v>-0.35899999999999999</c:v>
                </c:pt>
                <c:pt idx="326">
                  <c:v>-0.41699999999999998</c:v>
                </c:pt>
                <c:pt idx="327">
                  <c:v>-0.32600000000000001</c:v>
                </c:pt>
                <c:pt idx="328">
                  <c:v>-0.41</c:v>
                </c:pt>
                <c:pt idx="329">
                  <c:v>-0.59699999999999998</c:v>
                </c:pt>
                <c:pt idx="330">
                  <c:v>-0.65100000000000002</c:v>
                </c:pt>
                <c:pt idx="331">
                  <c:v>-0.89900000000000002</c:v>
                </c:pt>
                <c:pt idx="332">
                  <c:v>-1.2549999999999999</c:v>
                </c:pt>
                <c:pt idx="333">
                  <c:v>-1.131</c:v>
                </c:pt>
                <c:pt idx="334">
                  <c:v>-1.135</c:v>
                </c:pt>
                <c:pt idx="335">
                  <c:v>-0.7</c:v>
                </c:pt>
                <c:pt idx="336">
                  <c:v>-0.46100000000000002</c:v>
                </c:pt>
                <c:pt idx="337">
                  <c:v>-0.49099999999999999</c:v>
                </c:pt>
                <c:pt idx="338">
                  <c:v>-0.66500000000000004</c:v>
                </c:pt>
                <c:pt idx="339">
                  <c:v>-0.56399999999999995</c:v>
                </c:pt>
                <c:pt idx="340">
                  <c:v>-0.44400000000000001</c:v>
                </c:pt>
                <c:pt idx="341">
                  <c:v>-0.41299999999999998</c:v>
                </c:pt>
                <c:pt idx="342">
                  <c:v>-0.504</c:v>
                </c:pt>
                <c:pt idx="343">
                  <c:v>-0.59899999999999998</c:v>
                </c:pt>
                <c:pt idx="344">
                  <c:v>-0.57099999999999995</c:v>
                </c:pt>
                <c:pt idx="345">
                  <c:v>-0.498</c:v>
                </c:pt>
                <c:pt idx="346">
                  <c:v>-0.47899999999999998</c:v>
                </c:pt>
                <c:pt idx="347">
                  <c:v>-0.45200000000000001</c:v>
                </c:pt>
                <c:pt idx="348">
                  <c:v>-0.46500000000000002</c:v>
                </c:pt>
                <c:pt idx="349">
                  <c:v>-0.52900000000000003</c:v>
                </c:pt>
                <c:pt idx="350">
                  <c:v>-0.54400000000000004</c:v>
                </c:pt>
                <c:pt idx="351">
                  <c:v>-0.51500000000000001</c:v>
                </c:pt>
                <c:pt idx="352">
                  <c:v>-0.48499999999999999</c:v>
                </c:pt>
                <c:pt idx="353">
                  <c:v>-0.42899999999999999</c:v>
                </c:pt>
                <c:pt idx="354">
                  <c:v>-0.41299999999999998</c:v>
                </c:pt>
                <c:pt idx="355">
                  <c:v>-0.40200000000000002</c:v>
                </c:pt>
                <c:pt idx="356">
                  <c:v>-0.35499999999999998</c:v>
                </c:pt>
                <c:pt idx="357">
                  <c:v>-0.40600000000000003</c:v>
                </c:pt>
                <c:pt idx="358">
                  <c:v>-0.41899999999999998</c:v>
                </c:pt>
                <c:pt idx="359">
                  <c:v>-0.49299999999999999</c:v>
                </c:pt>
                <c:pt idx="360">
                  <c:v>-0.56000000000000005</c:v>
                </c:pt>
                <c:pt idx="361">
                  <c:v>-0.54200000000000004</c:v>
                </c:pt>
                <c:pt idx="362">
                  <c:v>-0.502</c:v>
                </c:pt>
                <c:pt idx="363">
                  <c:v>-0.48099999999999998</c:v>
                </c:pt>
                <c:pt idx="364">
                  <c:v>-0.46700000000000003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1.145</c:v>
                </c:pt>
                <c:pt idx="1">
                  <c:v>1.131</c:v>
                </c:pt>
                <c:pt idx="2">
                  <c:v>1.113</c:v>
                </c:pt>
                <c:pt idx="3">
                  <c:v>1.1339999999999999</c:v>
                </c:pt>
                <c:pt idx="4">
                  <c:v>1.099</c:v>
                </c:pt>
                <c:pt idx="5">
                  <c:v>1.1040000000000001</c:v>
                </c:pt>
                <c:pt idx="6">
                  <c:v>1.111</c:v>
                </c:pt>
                <c:pt idx="7">
                  <c:v>1.0669999999999999</c:v>
                </c:pt>
                <c:pt idx="8">
                  <c:v>1.0780000000000001</c:v>
                </c:pt>
                <c:pt idx="9">
                  <c:v>1.079</c:v>
                </c:pt>
                <c:pt idx="10">
                  <c:v>1.06</c:v>
                </c:pt>
                <c:pt idx="11">
                  <c:v>1.0569999999999999</c:v>
                </c:pt>
                <c:pt idx="12">
                  <c:v>1.0720000000000001</c:v>
                </c:pt>
                <c:pt idx="13">
                  <c:v>1.0549999999999999</c:v>
                </c:pt>
                <c:pt idx="14">
                  <c:v>1.0680000000000001</c:v>
                </c:pt>
                <c:pt idx="15">
                  <c:v>1.0369999999999999</c:v>
                </c:pt>
                <c:pt idx="16">
                  <c:v>1.0209999999999999</c:v>
                </c:pt>
                <c:pt idx="17">
                  <c:v>1.0149999999999999</c:v>
                </c:pt>
                <c:pt idx="18">
                  <c:v>1.0620000000000001</c:v>
                </c:pt>
                <c:pt idx="19">
                  <c:v>1.014</c:v>
                </c:pt>
                <c:pt idx="20">
                  <c:v>0.97899999999999998</c:v>
                </c:pt>
                <c:pt idx="21">
                  <c:v>0.999</c:v>
                </c:pt>
                <c:pt idx="22">
                  <c:v>0.98899999999999999</c:v>
                </c:pt>
                <c:pt idx="23">
                  <c:v>1.0229999999999999</c:v>
                </c:pt>
                <c:pt idx="24">
                  <c:v>1.0629999999999999</c:v>
                </c:pt>
                <c:pt idx="25">
                  <c:v>1.054</c:v>
                </c:pt>
                <c:pt idx="26">
                  <c:v>1.0529999999999999</c:v>
                </c:pt>
                <c:pt idx="27">
                  <c:v>0.98799999999999999</c:v>
                </c:pt>
                <c:pt idx="28">
                  <c:v>0.96599999999999997</c:v>
                </c:pt>
                <c:pt idx="29">
                  <c:v>0.98799999999999999</c:v>
                </c:pt>
                <c:pt idx="30">
                  <c:v>0.96099999999999997</c:v>
                </c:pt>
                <c:pt idx="31">
                  <c:v>0.94099999999999995</c:v>
                </c:pt>
                <c:pt idx="32">
                  <c:v>1.0169999999999999</c:v>
                </c:pt>
                <c:pt idx="33">
                  <c:v>0.97599999999999998</c:v>
                </c:pt>
                <c:pt idx="34">
                  <c:v>0.82899999999999996</c:v>
                </c:pt>
                <c:pt idx="35">
                  <c:v>0.85699999999999998</c:v>
                </c:pt>
                <c:pt idx="36">
                  <c:v>0.83099999999999996</c:v>
                </c:pt>
                <c:pt idx="37">
                  <c:v>0.86099999999999999</c:v>
                </c:pt>
                <c:pt idx="38">
                  <c:v>0.92800000000000005</c:v>
                </c:pt>
                <c:pt idx="39">
                  <c:v>0.88300000000000001</c:v>
                </c:pt>
                <c:pt idx="40">
                  <c:v>0.85</c:v>
                </c:pt>
                <c:pt idx="41">
                  <c:v>0.84899999999999998</c:v>
                </c:pt>
                <c:pt idx="42">
                  <c:v>0.86599999999999999</c:v>
                </c:pt>
                <c:pt idx="43">
                  <c:v>0.85499999999999998</c:v>
                </c:pt>
                <c:pt idx="44">
                  <c:v>0.88100000000000001</c:v>
                </c:pt>
                <c:pt idx="45">
                  <c:v>0.874</c:v>
                </c:pt>
                <c:pt idx="46">
                  <c:v>0.85799999999999998</c:v>
                </c:pt>
                <c:pt idx="47">
                  <c:v>0.84499999999999997</c:v>
                </c:pt>
                <c:pt idx="48">
                  <c:v>0.80700000000000005</c:v>
                </c:pt>
                <c:pt idx="49">
                  <c:v>0.84299999999999997</c:v>
                </c:pt>
                <c:pt idx="50">
                  <c:v>0.80200000000000005</c:v>
                </c:pt>
                <c:pt idx="51">
                  <c:v>0.80700000000000005</c:v>
                </c:pt>
                <c:pt idx="52">
                  <c:v>0.81399999999999995</c:v>
                </c:pt>
                <c:pt idx="53">
                  <c:v>0.79800000000000004</c:v>
                </c:pt>
                <c:pt idx="54">
                  <c:v>0.83799999999999997</c:v>
                </c:pt>
                <c:pt idx="55">
                  <c:v>0.83799999999999997</c:v>
                </c:pt>
                <c:pt idx="56">
                  <c:v>0.71699999999999997</c:v>
                </c:pt>
                <c:pt idx="57">
                  <c:v>0.76500000000000001</c:v>
                </c:pt>
                <c:pt idx="58">
                  <c:v>0.82299999999999995</c:v>
                </c:pt>
                <c:pt idx="59">
                  <c:v>0.86199999999999999</c:v>
                </c:pt>
                <c:pt idx="60">
                  <c:v>0.77200000000000002</c:v>
                </c:pt>
                <c:pt idx="61">
                  <c:v>0.64400000000000002</c:v>
                </c:pt>
                <c:pt idx="62">
                  <c:v>0.63400000000000001</c:v>
                </c:pt>
                <c:pt idx="63">
                  <c:v>0.79800000000000004</c:v>
                </c:pt>
                <c:pt idx="64">
                  <c:v>0.78700000000000003</c:v>
                </c:pt>
                <c:pt idx="65">
                  <c:v>0.81899999999999995</c:v>
                </c:pt>
                <c:pt idx="66">
                  <c:v>0.78300000000000003</c:v>
                </c:pt>
                <c:pt idx="67">
                  <c:v>0.79600000000000004</c:v>
                </c:pt>
                <c:pt idx="68">
                  <c:v>0.82</c:v>
                </c:pt>
                <c:pt idx="69">
                  <c:v>0.76900000000000002</c:v>
                </c:pt>
                <c:pt idx="70">
                  <c:v>0.77200000000000002</c:v>
                </c:pt>
                <c:pt idx="71">
                  <c:v>0.84399999999999997</c:v>
                </c:pt>
                <c:pt idx="72">
                  <c:v>0.86599999999999999</c:v>
                </c:pt>
                <c:pt idx="73">
                  <c:v>0.83799999999999997</c:v>
                </c:pt>
                <c:pt idx="74">
                  <c:v>0.86699999999999999</c:v>
                </c:pt>
                <c:pt idx="75">
                  <c:v>0.89500000000000002</c:v>
                </c:pt>
                <c:pt idx="76">
                  <c:v>0.84399999999999997</c:v>
                </c:pt>
                <c:pt idx="77">
                  <c:v>0.84</c:v>
                </c:pt>
                <c:pt idx="78">
                  <c:v>0.83099999999999996</c:v>
                </c:pt>
                <c:pt idx="79">
                  <c:v>0.84699999999999998</c:v>
                </c:pt>
                <c:pt idx="80">
                  <c:v>0.86699999999999999</c:v>
                </c:pt>
                <c:pt idx="81">
                  <c:v>0.82099999999999995</c:v>
                </c:pt>
                <c:pt idx="82">
                  <c:v>0.81699999999999995</c:v>
                </c:pt>
                <c:pt idx="83">
                  <c:v>0.81699999999999995</c:v>
                </c:pt>
                <c:pt idx="84">
                  <c:v>0.77500000000000002</c:v>
                </c:pt>
                <c:pt idx="85">
                  <c:v>0.86199999999999999</c:v>
                </c:pt>
                <c:pt idx="86">
                  <c:v>0.84799999999999998</c:v>
                </c:pt>
                <c:pt idx="87">
                  <c:v>0.83799999999999997</c:v>
                </c:pt>
                <c:pt idx="88">
                  <c:v>0.83799999999999997</c:v>
                </c:pt>
                <c:pt idx="89">
                  <c:v>0.81899999999999995</c:v>
                </c:pt>
                <c:pt idx="90">
                  <c:v>0.85299999999999998</c:v>
                </c:pt>
                <c:pt idx="91">
                  <c:v>0.85599999999999998</c:v>
                </c:pt>
                <c:pt idx="92">
                  <c:v>0.76400000000000001</c:v>
                </c:pt>
                <c:pt idx="93">
                  <c:v>0.82699999999999996</c:v>
                </c:pt>
                <c:pt idx="94">
                  <c:v>0.76500000000000001</c:v>
                </c:pt>
                <c:pt idx="95">
                  <c:v>0.745</c:v>
                </c:pt>
                <c:pt idx="96">
                  <c:v>0.78900000000000003</c:v>
                </c:pt>
                <c:pt idx="97">
                  <c:v>0.79500000000000004</c:v>
                </c:pt>
                <c:pt idx="98">
                  <c:v>0.75800000000000001</c:v>
                </c:pt>
                <c:pt idx="99">
                  <c:v>0.755</c:v>
                </c:pt>
                <c:pt idx="100">
                  <c:v>0.80100000000000005</c:v>
                </c:pt>
                <c:pt idx="101">
                  <c:v>0.80100000000000005</c:v>
                </c:pt>
                <c:pt idx="102">
                  <c:v>0.73199999999999998</c:v>
                </c:pt>
                <c:pt idx="103">
                  <c:v>0.83599999999999997</c:v>
                </c:pt>
                <c:pt idx="104">
                  <c:v>0.84799999999999998</c:v>
                </c:pt>
                <c:pt idx="105">
                  <c:v>0.88500000000000001</c:v>
                </c:pt>
                <c:pt idx="106">
                  <c:v>0.86399999999999999</c:v>
                </c:pt>
                <c:pt idx="107">
                  <c:v>0.80400000000000005</c:v>
                </c:pt>
                <c:pt idx="108">
                  <c:v>0.76500000000000001</c:v>
                </c:pt>
                <c:pt idx="109">
                  <c:v>0.69199999999999995</c:v>
                </c:pt>
                <c:pt idx="110">
                  <c:v>0.745</c:v>
                </c:pt>
                <c:pt idx="111">
                  <c:v>0.68500000000000005</c:v>
                </c:pt>
                <c:pt idx="112">
                  <c:v>0.71699999999999997</c:v>
                </c:pt>
                <c:pt idx="113">
                  <c:v>0.69899999999999995</c:v>
                </c:pt>
                <c:pt idx="114">
                  <c:v>0.751</c:v>
                </c:pt>
                <c:pt idx="115">
                  <c:v>0.72799999999999998</c:v>
                </c:pt>
                <c:pt idx="116">
                  <c:v>0.63100000000000001</c:v>
                </c:pt>
                <c:pt idx="117">
                  <c:v>0.748</c:v>
                </c:pt>
                <c:pt idx="118">
                  <c:v>0.70699999999999996</c:v>
                </c:pt>
                <c:pt idx="119">
                  <c:v>0.75700000000000001</c:v>
                </c:pt>
                <c:pt idx="120">
                  <c:v>0.71899999999999997</c:v>
                </c:pt>
                <c:pt idx="121">
                  <c:v>0.71499999999999997</c:v>
                </c:pt>
                <c:pt idx="122">
                  <c:v>0.70799999999999996</c:v>
                </c:pt>
                <c:pt idx="123">
                  <c:v>0.70699999999999996</c:v>
                </c:pt>
                <c:pt idx="124">
                  <c:v>0.70599999999999996</c:v>
                </c:pt>
                <c:pt idx="125">
                  <c:v>0.82</c:v>
                </c:pt>
                <c:pt idx="126">
                  <c:v>1.4419999999999999</c:v>
                </c:pt>
                <c:pt idx="127">
                  <c:v>2.2410000000000001</c:v>
                </c:pt>
                <c:pt idx="128">
                  <c:v>2.8879999999999999</c:v>
                </c:pt>
                <c:pt idx="129">
                  <c:v>3.4729999999999999</c:v>
                </c:pt>
                <c:pt idx="130">
                  <c:v>4.101</c:v>
                </c:pt>
                <c:pt idx="131">
                  <c:v>4.702</c:v>
                </c:pt>
                <c:pt idx="132">
                  <c:v>5.3090000000000002</c:v>
                </c:pt>
                <c:pt idx="133">
                  <c:v>5.6369999999999996</c:v>
                </c:pt>
                <c:pt idx="134">
                  <c:v>5.4240000000000004</c:v>
                </c:pt>
                <c:pt idx="135">
                  <c:v>5.6529999999999996</c:v>
                </c:pt>
                <c:pt idx="136">
                  <c:v>5.9089999999999998</c:v>
                </c:pt>
                <c:pt idx="137">
                  <c:v>5.87</c:v>
                </c:pt>
                <c:pt idx="138">
                  <c:v>5.84</c:v>
                </c:pt>
                <c:pt idx="139">
                  <c:v>5.9619999999999997</c:v>
                </c:pt>
                <c:pt idx="140">
                  <c:v>6.0510000000000002</c:v>
                </c:pt>
                <c:pt idx="141">
                  <c:v>5.9669999999999996</c:v>
                </c:pt>
                <c:pt idx="142">
                  <c:v>6.1059999999999999</c:v>
                </c:pt>
                <c:pt idx="143">
                  <c:v>6.3760000000000003</c:v>
                </c:pt>
                <c:pt idx="144">
                  <c:v>6.6589999999999998</c:v>
                </c:pt>
                <c:pt idx="145">
                  <c:v>6.7380000000000004</c:v>
                </c:pt>
                <c:pt idx="146">
                  <c:v>6.7629999999999999</c:v>
                </c:pt>
                <c:pt idx="147">
                  <c:v>7.04</c:v>
                </c:pt>
                <c:pt idx="148">
                  <c:v>7.5</c:v>
                </c:pt>
                <c:pt idx="149">
                  <c:v>8.02</c:v>
                </c:pt>
                <c:pt idx="150">
                  <c:v>8.15</c:v>
                </c:pt>
                <c:pt idx="151">
                  <c:v>8.3699999999999992</c:v>
                </c:pt>
                <c:pt idx="152">
                  <c:v>8.75</c:v>
                </c:pt>
                <c:pt idx="153">
                  <c:v>9.2100000000000009</c:v>
                </c:pt>
                <c:pt idx="154">
                  <c:v>9.5</c:v>
                </c:pt>
                <c:pt idx="155">
                  <c:v>9.51</c:v>
                </c:pt>
                <c:pt idx="156">
                  <c:v>9.2100000000000009</c:v>
                </c:pt>
                <c:pt idx="157">
                  <c:v>8.74</c:v>
                </c:pt>
                <c:pt idx="158">
                  <c:v>8.19</c:v>
                </c:pt>
                <c:pt idx="159">
                  <c:v>7.93</c:v>
                </c:pt>
                <c:pt idx="160">
                  <c:v>8.02</c:v>
                </c:pt>
                <c:pt idx="161">
                  <c:v>8.06</c:v>
                </c:pt>
                <c:pt idx="162">
                  <c:v>8.61</c:v>
                </c:pt>
                <c:pt idx="163">
                  <c:v>9.33</c:v>
                </c:pt>
                <c:pt idx="164">
                  <c:v>9.84</c:v>
                </c:pt>
                <c:pt idx="165">
                  <c:v>10.16</c:v>
                </c:pt>
                <c:pt idx="166">
                  <c:v>10.48</c:v>
                </c:pt>
                <c:pt idx="167">
                  <c:v>10.46</c:v>
                </c:pt>
                <c:pt idx="168">
                  <c:v>10.84</c:v>
                </c:pt>
                <c:pt idx="169">
                  <c:v>11.03</c:v>
                </c:pt>
                <c:pt idx="170">
                  <c:v>10.47</c:v>
                </c:pt>
                <c:pt idx="171">
                  <c:v>9.43</c:v>
                </c:pt>
                <c:pt idx="172">
                  <c:v>9.26</c:v>
                </c:pt>
                <c:pt idx="173">
                  <c:v>9.4</c:v>
                </c:pt>
                <c:pt idx="174">
                  <c:v>9.43</c:v>
                </c:pt>
                <c:pt idx="175">
                  <c:v>9.33</c:v>
                </c:pt>
                <c:pt idx="176">
                  <c:v>9.17</c:v>
                </c:pt>
                <c:pt idx="177">
                  <c:v>9.4600000000000009</c:v>
                </c:pt>
                <c:pt idx="178">
                  <c:v>9.59</c:v>
                </c:pt>
                <c:pt idx="179">
                  <c:v>9.65</c:v>
                </c:pt>
                <c:pt idx="180">
                  <c:v>9.51</c:v>
                </c:pt>
                <c:pt idx="181">
                  <c:v>9.5399999999999991</c:v>
                </c:pt>
                <c:pt idx="182">
                  <c:v>9.9499999999999993</c:v>
                </c:pt>
                <c:pt idx="183">
                  <c:v>10.07</c:v>
                </c:pt>
                <c:pt idx="184">
                  <c:v>10.39</c:v>
                </c:pt>
                <c:pt idx="185">
                  <c:v>10.51</c:v>
                </c:pt>
                <c:pt idx="186">
                  <c:v>10.47</c:v>
                </c:pt>
                <c:pt idx="187">
                  <c:v>10.43</c:v>
                </c:pt>
                <c:pt idx="188">
                  <c:v>10.37</c:v>
                </c:pt>
                <c:pt idx="189">
                  <c:v>10.29</c:v>
                </c:pt>
                <c:pt idx="190">
                  <c:v>10.49</c:v>
                </c:pt>
                <c:pt idx="191">
                  <c:v>10.69</c:v>
                </c:pt>
                <c:pt idx="192">
                  <c:v>10.97</c:v>
                </c:pt>
                <c:pt idx="193">
                  <c:v>11.17</c:v>
                </c:pt>
                <c:pt idx="194">
                  <c:v>11.34</c:v>
                </c:pt>
                <c:pt idx="195">
                  <c:v>11.37</c:v>
                </c:pt>
                <c:pt idx="196">
                  <c:v>11.38</c:v>
                </c:pt>
                <c:pt idx="197">
                  <c:v>11.41</c:v>
                </c:pt>
                <c:pt idx="198">
                  <c:v>11.28</c:v>
                </c:pt>
                <c:pt idx="199">
                  <c:v>10.96</c:v>
                </c:pt>
                <c:pt idx="200">
                  <c:v>10.71</c:v>
                </c:pt>
                <c:pt idx="201">
                  <c:v>10.57</c:v>
                </c:pt>
                <c:pt idx="202">
                  <c:v>10.96</c:v>
                </c:pt>
                <c:pt idx="203">
                  <c:v>11.43</c:v>
                </c:pt>
                <c:pt idx="204">
                  <c:v>11.62</c:v>
                </c:pt>
                <c:pt idx="205">
                  <c:v>11.3</c:v>
                </c:pt>
                <c:pt idx="206">
                  <c:v>11.32</c:v>
                </c:pt>
                <c:pt idx="207">
                  <c:v>11.73</c:v>
                </c:pt>
                <c:pt idx="208">
                  <c:v>11.99</c:v>
                </c:pt>
                <c:pt idx="209">
                  <c:v>12.03</c:v>
                </c:pt>
                <c:pt idx="210">
                  <c:v>12.27</c:v>
                </c:pt>
                <c:pt idx="211">
                  <c:v>12.47</c:v>
                </c:pt>
                <c:pt idx="212">
                  <c:v>12.55</c:v>
                </c:pt>
                <c:pt idx="213">
                  <c:v>12.72</c:v>
                </c:pt>
                <c:pt idx="214">
                  <c:v>12.74</c:v>
                </c:pt>
                <c:pt idx="215">
                  <c:v>12.52</c:v>
                </c:pt>
                <c:pt idx="216">
                  <c:v>12.49</c:v>
                </c:pt>
                <c:pt idx="217">
                  <c:v>12.67</c:v>
                </c:pt>
                <c:pt idx="218">
                  <c:v>12.88</c:v>
                </c:pt>
                <c:pt idx="219">
                  <c:v>13.07</c:v>
                </c:pt>
                <c:pt idx="220">
                  <c:v>13.31</c:v>
                </c:pt>
                <c:pt idx="221">
                  <c:v>13.43</c:v>
                </c:pt>
                <c:pt idx="222">
                  <c:v>13.23</c:v>
                </c:pt>
                <c:pt idx="223">
                  <c:v>12.69</c:v>
                </c:pt>
                <c:pt idx="224">
                  <c:v>12.58</c:v>
                </c:pt>
                <c:pt idx="225">
                  <c:v>12.3</c:v>
                </c:pt>
                <c:pt idx="226">
                  <c:v>12.28</c:v>
                </c:pt>
                <c:pt idx="227">
                  <c:v>12.28</c:v>
                </c:pt>
                <c:pt idx="228">
                  <c:v>12.06</c:v>
                </c:pt>
                <c:pt idx="229">
                  <c:v>11.86</c:v>
                </c:pt>
                <c:pt idx="230">
                  <c:v>12.01</c:v>
                </c:pt>
                <c:pt idx="231">
                  <c:v>12.15</c:v>
                </c:pt>
                <c:pt idx="232">
                  <c:v>12.37</c:v>
                </c:pt>
                <c:pt idx="233">
                  <c:v>12.22</c:v>
                </c:pt>
                <c:pt idx="234">
                  <c:v>12.12</c:v>
                </c:pt>
                <c:pt idx="235">
                  <c:v>11.77</c:v>
                </c:pt>
                <c:pt idx="236">
                  <c:v>11.66</c:v>
                </c:pt>
                <c:pt idx="237">
                  <c:v>11.45</c:v>
                </c:pt>
                <c:pt idx="238">
                  <c:v>11.26</c:v>
                </c:pt>
                <c:pt idx="239">
                  <c:v>11.39</c:v>
                </c:pt>
                <c:pt idx="240">
                  <c:v>11.59</c:v>
                </c:pt>
                <c:pt idx="241">
                  <c:v>11.78</c:v>
                </c:pt>
                <c:pt idx="242">
                  <c:v>12.06</c:v>
                </c:pt>
                <c:pt idx="243">
                  <c:v>12.12</c:v>
                </c:pt>
                <c:pt idx="244">
                  <c:v>12.11</c:v>
                </c:pt>
                <c:pt idx="245">
                  <c:v>12.07</c:v>
                </c:pt>
                <c:pt idx="246">
                  <c:v>12.09</c:v>
                </c:pt>
                <c:pt idx="247">
                  <c:v>12.03</c:v>
                </c:pt>
                <c:pt idx="248">
                  <c:v>11.99</c:v>
                </c:pt>
                <c:pt idx="249">
                  <c:v>12.03</c:v>
                </c:pt>
                <c:pt idx="250">
                  <c:v>11.98</c:v>
                </c:pt>
                <c:pt idx="251">
                  <c:v>11.71</c:v>
                </c:pt>
                <c:pt idx="252">
                  <c:v>11.43</c:v>
                </c:pt>
                <c:pt idx="253">
                  <c:v>11.16</c:v>
                </c:pt>
                <c:pt idx="254">
                  <c:v>11.12</c:v>
                </c:pt>
                <c:pt idx="255">
                  <c:v>11.1</c:v>
                </c:pt>
                <c:pt idx="256">
                  <c:v>10.93</c:v>
                </c:pt>
                <c:pt idx="257">
                  <c:v>10.72</c:v>
                </c:pt>
                <c:pt idx="258">
                  <c:v>10.44</c:v>
                </c:pt>
                <c:pt idx="259">
                  <c:v>10.199999999999999</c:v>
                </c:pt>
                <c:pt idx="260">
                  <c:v>9.89</c:v>
                </c:pt>
                <c:pt idx="261">
                  <c:v>9.75</c:v>
                </c:pt>
                <c:pt idx="262">
                  <c:v>9.67</c:v>
                </c:pt>
                <c:pt idx="263">
                  <c:v>9.5399999999999991</c:v>
                </c:pt>
                <c:pt idx="264">
                  <c:v>9.4700000000000006</c:v>
                </c:pt>
                <c:pt idx="265">
                  <c:v>9.2799999999999994</c:v>
                </c:pt>
                <c:pt idx="266">
                  <c:v>9.1300000000000008</c:v>
                </c:pt>
                <c:pt idx="267">
                  <c:v>8.93</c:v>
                </c:pt>
                <c:pt idx="268">
                  <c:v>8.66</c:v>
                </c:pt>
                <c:pt idx="269">
                  <c:v>8.42</c:v>
                </c:pt>
                <c:pt idx="270">
                  <c:v>7.94</c:v>
                </c:pt>
                <c:pt idx="271">
                  <c:v>7.38</c:v>
                </c:pt>
                <c:pt idx="272">
                  <c:v>6.9710000000000001</c:v>
                </c:pt>
                <c:pt idx="273">
                  <c:v>6.65</c:v>
                </c:pt>
                <c:pt idx="274">
                  <c:v>6.1790000000000003</c:v>
                </c:pt>
                <c:pt idx="275">
                  <c:v>5.8559999999999999</c:v>
                </c:pt>
                <c:pt idx="276">
                  <c:v>5.5979999999999999</c:v>
                </c:pt>
                <c:pt idx="277">
                  <c:v>5.444</c:v>
                </c:pt>
                <c:pt idx="278">
                  <c:v>5.4269999999999996</c:v>
                </c:pt>
                <c:pt idx="279">
                  <c:v>5.3689999999999998</c:v>
                </c:pt>
                <c:pt idx="280">
                  <c:v>5.367</c:v>
                </c:pt>
                <c:pt idx="281">
                  <c:v>5.1150000000000002</c:v>
                </c:pt>
                <c:pt idx="282">
                  <c:v>4.8499999999999996</c:v>
                </c:pt>
                <c:pt idx="283">
                  <c:v>4.5250000000000004</c:v>
                </c:pt>
                <c:pt idx="284">
                  <c:v>4.306</c:v>
                </c:pt>
                <c:pt idx="285">
                  <c:v>4.093</c:v>
                </c:pt>
                <c:pt idx="286">
                  <c:v>3.9990000000000001</c:v>
                </c:pt>
                <c:pt idx="287">
                  <c:v>4.0389999999999997</c:v>
                </c:pt>
                <c:pt idx="288">
                  <c:v>4.0540000000000003</c:v>
                </c:pt>
                <c:pt idx="289">
                  <c:v>4.141</c:v>
                </c:pt>
                <c:pt idx="290">
                  <c:v>4.2089999999999996</c:v>
                </c:pt>
                <c:pt idx="291">
                  <c:v>4.1040000000000001</c:v>
                </c:pt>
                <c:pt idx="292">
                  <c:v>3.9209999999999998</c:v>
                </c:pt>
                <c:pt idx="293">
                  <c:v>3.7130000000000001</c:v>
                </c:pt>
                <c:pt idx="294">
                  <c:v>3.6230000000000002</c:v>
                </c:pt>
                <c:pt idx="295">
                  <c:v>3.5019999999999998</c:v>
                </c:pt>
                <c:pt idx="296">
                  <c:v>3.4510000000000001</c:v>
                </c:pt>
                <c:pt idx="297">
                  <c:v>3.331</c:v>
                </c:pt>
                <c:pt idx="298">
                  <c:v>3.222</c:v>
                </c:pt>
                <c:pt idx="299">
                  <c:v>3.141</c:v>
                </c:pt>
                <c:pt idx="300">
                  <c:v>2.9780000000000002</c:v>
                </c:pt>
                <c:pt idx="301">
                  <c:v>2.8969999999999998</c:v>
                </c:pt>
                <c:pt idx="302">
                  <c:v>2.8370000000000002</c:v>
                </c:pt>
                <c:pt idx="303">
                  <c:v>2.6920000000000002</c:v>
                </c:pt>
                <c:pt idx="304">
                  <c:v>2.6110000000000002</c:v>
                </c:pt>
                <c:pt idx="305">
                  <c:v>2.4929999999999999</c:v>
                </c:pt>
                <c:pt idx="306">
                  <c:v>2.3919999999999999</c:v>
                </c:pt>
                <c:pt idx="307">
                  <c:v>2.3359999999999999</c:v>
                </c:pt>
                <c:pt idx="308">
                  <c:v>2.2480000000000002</c:v>
                </c:pt>
                <c:pt idx="309">
                  <c:v>2.1819999999999999</c:v>
                </c:pt>
                <c:pt idx="310">
                  <c:v>2.14</c:v>
                </c:pt>
                <c:pt idx="311">
                  <c:v>2.0710000000000002</c:v>
                </c:pt>
                <c:pt idx="312">
                  <c:v>2.09</c:v>
                </c:pt>
                <c:pt idx="313">
                  <c:v>2.0459999999999998</c:v>
                </c:pt>
                <c:pt idx="314">
                  <c:v>1.988</c:v>
                </c:pt>
                <c:pt idx="315">
                  <c:v>1.9550000000000001</c:v>
                </c:pt>
                <c:pt idx="316">
                  <c:v>1.9450000000000001</c:v>
                </c:pt>
                <c:pt idx="317">
                  <c:v>1.895</c:v>
                </c:pt>
                <c:pt idx="318">
                  <c:v>1.885</c:v>
                </c:pt>
                <c:pt idx="319">
                  <c:v>1.8220000000000001</c:v>
                </c:pt>
                <c:pt idx="320">
                  <c:v>1.8440000000000001</c:v>
                </c:pt>
                <c:pt idx="321">
                  <c:v>1.8009999999999999</c:v>
                </c:pt>
                <c:pt idx="322">
                  <c:v>1.746</c:v>
                </c:pt>
                <c:pt idx="323">
                  <c:v>1.712</c:v>
                </c:pt>
                <c:pt idx="324">
                  <c:v>1.73</c:v>
                </c:pt>
                <c:pt idx="325">
                  <c:v>1.722</c:v>
                </c:pt>
                <c:pt idx="326">
                  <c:v>1.677</c:v>
                </c:pt>
                <c:pt idx="327">
                  <c:v>1.6819999999999999</c:v>
                </c:pt>
                <c:pt idx="328">
                  <c:v>1.635</c:v>
                </c:pt>
                <c:pt idx="329">
                  <c:v>1.5660000000000001</c:v>
                </c:pt>
                <c:pt idx="330">
                  <c:v>1.5940000000000001</c:v>
                </c:pt>
                <c:pt idx="331">
                  <c:v>1.5</c:v>
                </c:pt>
                <c:pt idx="332">
                  <c:v>1.425</c:v>
                </c:pt>
                <c:pt idx="333">
                  <c:v>1.484</c:v>
                </c:pt>
                <c:pt idx="334">
                  <c:v>1.4390000000000001</c:v>
                </c:pt>
                <c:pt idx="335">
                  <c:v>1.397</c:v>
                </c:pt>
                <c:pt idx="336">
                  <c:v>1.4039999999999999</c:v>
                </c:pt>
                <c:pt idx="337">
                  <c:v>1.3480000000000001</c:v>
                </c:pt>
                <c:pt idx="338">
                  <c:v>1.34</c:v>
                </c:pt>
                <c:pt idx="339">
                  <c:v>1.288</c:v>
                </c:pt>
                <c:pt idx="340">
                  <c:v>1.2749999999999999</c:v>
                </c:pt>
                <c:pt idx="341">
                  <c:v>1.216</c:v>
                </c:pt>
                <c:pt idx="342">
                  <c:v>1.236</c:v>
                </c:pt>
                <c:pt idx="343">
                  <c:v>1.2230000000000001</c:v>
                </c:pt>
                <c:pt idx="344">
                  <c:v>1.194</c:v>
                </c:pt>
                <c:pt idx="345">
                  <c:v>1.1830000000000001</c:v>
                </c:pt>
                <c:pt idx="346">
                  <c:v>1.179</c:v>
                </c:pt>
                <c:pt idx="347">
                  <c:v>1.169</c:v>
                </c:pt>
                <c:pt idx="348">
                  <c:v>1.141</c:v>
                </c:pt>
                <c:pt idx="349">
                  <c:v>1.109</c:v>
                </c:pt>
                <c:pt idx="350">
                  <c:v>1.127</c:v>
                </c:pt>
                <c:pt idx="351">
                  <c:v>1.117</c:v>
                </c:pt>
                <c:pt idx="352">
                  <c:v>1.1040000000000001</c:v>
                </c:pt>
                <c:pt idx="353">
                  <c:v>1.1060000000000001</c:v>
                </c:pt>
                <c:pt idx="354">
                  <c:v>1.0920000000000001</c:v>
                </c:pt>
                <c:pt idx="355">
                  <c:v>1.08</c:v>
                </c:pt>
                <c:pt idx="356">
                  <c:v>1.0760000000000001</c:v>
                </c:pt>
                <c:pt idx="357">
                  <c:v>1.0640000000000001</c:v>
                </c:pt>
                <c:pt idx="358">
                  <c:v>1.016</c:v>
                </c:pt>
                <c:pt idx="359">
                  <c:v>0.93899999999999995</c:v>
                </c:pt>
                <c:pt idx="360">
                  <c:v>1.0389999999999999</c:v>
                </c:pt>
                <c:pt idx="361">
                  <c:v>1.028</c:v>
                </c:pt>
                <c:pt idx="362">
                  <c:v>1.034</c:v>
                </c:pt>
                <c:pt idx="363">
                  <c:v>1.016</c:v>
                </c:pt>
                <c:pt idx="364">
                  <c:v>0.999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-6.7539999999999996</c:v>
                </c:pt>
                <c:pt idx="1">
                  <c:v>-8.3800000000000008</c:v>
                </c:pt>
                <c:pt idx="2">
                  <c:v>-3.9159999999999999</c:v>
                </c:pt>
                <c:pt idx="3">
                  <c:v>-10.68</c:v>
                </c:pt>
                <c:pt idx="4">
                  <c:v>-4.7350000000000003</c:v>
                </c:pt>
                <c:pt idx="5">
                  <c:v>-10.9</c:v>
                </c:pt>
                <c:pt idx="6">
                  <c:v>-16.149999999999999</c:v>
                </c:pt>
                <c:pt idx="7">
                  <c:v>-14.78</c:v>
                </c:pt>
                <c:pt idx="8">
                  <c:v>-3.1059999999999999</c:v>
                </c:pt>
                <c:pt idx="9">
                  <c:v>-3.9620000000000002</c:v>
                </c:pt>
                <c:pt idx="10">
                  <c:v>-5.7240000000000002</c:v>
                </c:pt>
                <c:pt idx="11">
                  <c:v>-9.9</c:v>
                </c:pt>
                <c:pt idx="12">
                  <c:v>-16.190000000000001</c:v>
                </c:pt>
                <c:pt idx="13">
                  <c:v>-20.96</c:v>
                </c:pt>
                <c:pt idx="14">
                  <c:v>-17.350000000000001</c:v>
                </c:pt>
                <c:pt idx="15">
                  <c:v>-5.9790000000000001</c:v>
                </c:pt>
                <c:pt idx="16">
                  <c:v>-4.407</c:v>
                </c:pt>
                <c:pt idx="17">
                  <c:v>-7.05</c:v>
                </c:pt>
                <c:pt idx="18">
                  <c:v>-8.91</c:v>
                </c:pt>
                <c:pt idx="19">
                  <c:v>-15.58</c:v>
                </c:pt>
                <c:pt idx="20">
                  <c:v>-18.64</c:v>
                </c:pt>
                <c:pt idx="21">
                  <c:v>-8.4700000000000006</c:v>
                </c:pt>
                <c:pt idx="22">
                  <c:v>-10.68</c:v>
                </c:pt>
                <c:pt idx="23">
                  <c:v>-11.03</c:v>
                </c:pt>
                <c:pt idx="24">
                  <c:v>-7.93</c:v>
                </c:pt>
                <c:pt idx="25">
                  <c:v>-9.82</c:v>
                </c:pt>
                <c:pt idx="26">
                  <c:v>-8.6</c:v>
                </c:pt>
                <c:pt idx="27">
                  <c:v>-21.58</c:v>
                </c:pt>
                <c:pt idx="28">
                  <c:v>-23.51</c:v>
                </c:pt>
                <c:pt idx="29">
                  <c:v>-8.69</c:v>
                </c:pt>
                <c:pt idx="30">
                  <c:v>-5.74</c:v>
                </c:pt>
                <c:pt idx="31">
                  <c:v>-4.2839999999999998</c:v>
                </c:pt>
                <c:pt idx="32">
                  <c:v>-10.37</c:v>
                </c:pt>
                <c:pt idx="33">
                  <c:v>-14.46</c:v>
                </c:pt>
                <c:pt idx="34">
                  <c:v>-24.95</c:v>
                </c:pt>
                <c:pt idx="35">
                  <c:v>-28.39</c:v>
                </c:pt>
                <c:pt idx="36">
                  <c:v>-28.9</c:v>
                </c:pt>
                <c:pt idx="37">
                  <c:v>-17.489999999999998</c:v>
                </c:pt>
                <c:pt idx="38">
                  <c:v>-15.07</c:v>
                </c:pt>
                <c:pt idx="39">
                  <c:v>-20.079999999999998</c:v>
                </c:pt>
                <c:pt idx="40">
                  <c:v>-24.4</c:v>
                </c:pt>
                <c:pt idx="41">
                  <c:v>-21.94</c:v>
                </c:pt>
                <c:pt idx="42">
                  <c:v>-15.11</c:v>
                </c:pt>
                <c:pt idx="43">
                  <c:v>-20.81</c:v>
                </c:pt>
                <c:pt idx="44">
                  <c:v>-12.33</c:v>
                </c:pt>
                <c:pt idx="45">
                  <c:v>-8.43</c:v>
                </c:pt>
                <c:pt idx="46">
                  <c:v>-9.2899999999999991</c:v>
                </c:pt>
                <c:pt idx="47">
                  <c:v>-11.84</c:v>
                </c:pt>
                <c:pt idx="48">
                  <c:v>-21.29</c:v>
                </c:pt>
                <c:pt idx="49">
                  <c:v>-9.3000000000000007</c:v>
                </c:pt>
                <c:pt idx="50">
                  <c:v>-10.95</c:v>
                </c:pt>
                <c:pt idx="51">
                  <c:v>-15.39</c:v>
                </c:pt>
                <c:pt idx="52">
                  <c:v>-11.29</c:v>
                </c:pt>
                <c:pt idx="53">
                  <c:v>-12.16</c:v>
                </c:pt>
                <c:pt idx="54">
                  <c:v>-13.65</c:v>
                </c:pt>
                <c:pt idx="55">
                  <c:v>-16.59</c:v>
                </c:pt>
                <c:pt idx="56">
                  <c:v>-26.22</c:v>
                </c:pt>
                <c:pt idx="57">
                  <c:v>-14.04</c:v>
                </c:pt>
                <c:pt idx="58">
                  <c:v>-9.66</c:v>
                </c:pt>
                <c:pt idx="59">
                  <c:v>-12.82</c:v>
                </c:pt>
                <c:pt idx="60">
                  <c:v>-23.41</c:v>
                </c:pt>
                <c:pt idx="61">
                  <c:v>-29.63</c:v>
                </c:pt>
                <c:pt idx="62">
                  <c:v>-29.1</c:v>
                </c:pt>
                <c:pt idx="63">
                  <c:v>-12.84</c:v>
                </c:pt>
                <c:pt idx="64">
                  <c:v>-5.3109999999999999</c:v>
                </c:pt>
                <c:pt idx="65">
                  <c:v>-9.83</c:v>
                </c:pt>
                <c:pt idx="66">
                  <c:v>-22.45</c:v>
                </c:pt>
                <c:pt idx="67">
                  <c:v>-16.079999999999998</c:v>
                </c:pt>
                <c:pt idx="68">
                  <c:v>-19.989999999999998</c:v>
                </c:pt>
                <c:pt idx="69">
                  <c:v>-8.09</c:v>
                </c:pt>
                <c:pt idx="70">
                  <c:v>-10.24</c:v>
                </c:pt>
                <c:pt idx="71">
                  <c:v>-17.68</c:v>
                </c:pt>
                <c:pt idx="72">
                  <c:v>-10.14</c:v>
                </c:pt>
                <c:pt idx="73">
                  <c:v>-9.1199999999999992</c:v>
                </c:pt>
                <c:pt idx="74">
                  <c:v>-7.96</c:v>
                </c:pt>
                <c:pt idx="75">
                  <c:v>-8.7200000000000006</c:v>
                </c:pt>
                <c:pt idx="76">
                  <c:v>-8.2799999999999994</c:v>
                </c:pt>
                <c:pt idx="77">
                  <c:v>-7.19</c:v>
                </c:pt>
                <c:pt idx="78">
                  <c:v>-6.1879999999999997</c:v>
                </c:pt>
                <c:pt idx="79">
                  <c:v>-6.3289999999999997</c:v>
                </c:pt>
                <c:pt idx="80">
                  <c:v>-3.67</c:v>
                </c:pt>
                <c:pt idx="81">
                  <c:v>-1.099</c:v>
                </c:pt>
                <c:pt idx="82">
                  <c:v>-0.69599999999999995</c:v>
                </c:pt>
                <c:pt idx="83">
                  <c:v>-0.23599999999999999</c:v>
                </c:pt>
                <c:pt idx="84">
                  <c:v>-5.093</c:v>
                </c:pt>
                <c:pt idx="85">
                  <c:v>-9.15</c:v>
                </c:pt>
                <c:pt idx="86">
                  <c:v>-6.1150000000000002</c:v>
                </c:pt>
                <c:pt idx="87">
                  <c:v>-7.34</c:v>
                </c:pt>
                <c:pt idx="88">
                  <c:v>-5.3810000000000002</c:v>
                </c:pt>
                <c:pt idx="89">
                  <c:v>-2.9049999999999998</c:v>
                </c:pt>
                <c:pt idx="90">
                  <c:v>-6.4450000000000003</c:v>
                </c:pt>
                <c:pt idx="91">
                  <c:v>-5.8579999999999997</c:v>
                </c:pt>
                <c:pt idx="92">
                  <c:v>-1.4710000000000001</c:v>
                </c:pt>
                <c:pt idx="93">
                  <c:v>-2.8959999999999999</c:v>
                </c:pt>
                <c:pt idx="94">
                  <c:v>-0.79900000000000004</c:v>
                </c:pt>
                <c:pt idx="95">
                  <c:v>-6.7359999999999998</c:v>
                </c:pt>
                <c:pt idx="96">
                  <c:v>-2.8479999999999999</c:v>
                </c:pt>
                <c:pt idx="97">
                  <c:v>-3.556</c:v>
                </c:pt>
                <c:pt idx="98">
                  <c:v>-1.02</c:v>
                </c:pt>
                <c:pt idx="99">
                  <c:v>-2.9609999999999999</c:v>
                </c:pt>
                <c:pt idx="100">
                  <c:v>-4.915</c:v>
                </c:pt>
                <c:pt idx="101">
                  <c:v>-5.0060000000000002</c:v>
                </c:pt>
                <c:pt idx="102">
                  <c:v>-3.5710000000000002</c:v>
                </c:pt>
                <c:pt idx="103">
                  <c:v>-4.8010000000000002</c:v>
                </c:pt>
                <c:pt idx="104">
                  <c:v>-7.87</c:v>
                </c:pt>
                <c:pt idx="105">
                  <c:v>-5.3380000000000001</c:v>
                </c:pt>
                <c:pt idx="106">
                  <c:v>-0.375</c:v>
                </c:pt>
                <c:pt idx="107">
                  <c:v>0.41399999999999998</c:v>
                </c:pt>
                <c:pt idx="108">
                  <c:v>0.58799999999999997</c:v>
                </c:pt>
                <c:pt idx="109">
                  <c:v>-2.7639999999999998</c:v>
                </c:pt>
                <c:pt idx="110">
                  <c:v>-4.4029999999999996</c:v>
                </c:pt>
                <c:pt idx="111">
                  <c:v>-1.5649999999999999</c:v>
                </c:pt>
                <c:pt idx="112">
                  <c:v>-0.86799999999999999</c:v>
                </c:pt>
                <c:pt idx="113">
                  <c:v>-3.6320000000000001</c:v>
                </c:pt>
                <c:pt idx="114">
                  <c:v>-3.4860000000000002</c:v>
                </c:pt>
                <c:pt idx="115">
                  <c:v>-1.415</c:v>
                </c:pt>
                <c:pt idx="116">
                  <c:v>-3.6059999999999999</c:v>
                </c:pt>
                <c:pt idx="117">
                  <c:v>-5.1230000000000002</c:v>
                </c:pt>
                <c:pt idx="118">
                  <c:v>-7.51</c:v>
                </c:pt>
                <c:pt idx="119">
                  <c:v>-5.9660000000000002</c:v>
                </c:pt>
                <c:pt idx="120">
                  <c:v>-1.633</c:v>
                </c:pt>
                <c:pt idx="121">
                  <c:v>-1.363</c:v>
                </c:pt>
                <c:pt idx="122">
                  <c:v>-1.8120000000000001</c:v>
                </c:pt>
                <c:pt idx="123">
                  <c:v>0.30299999999999999</c:v>
                </c:pt>
                <c:pt idx="124">
                  <c:v>0.64100000000000001</c:v>
                </c:pt>
                <c:pt idx="125">
                  <c:v>5.7530000000000001</c:v>
                </c:pt>
                <c:pt idx="126">
                  <c:v>8.31</c:v>
                </c:pt>
                <c:pt idx="127">
                  <c:v>8.9600000000000009</c:v>
                </c:pt>
                <c:pt idx="128">
                  <c:v>10.15</c:v>
                </c:pt>
                <c:pt idx="129">
                  <c:v>11.88</c:v>
                </c:pt>
                <c:pt idx="130">
                  <c:v>13.97</c:v>
                </c:pt>
                <c:pt idx="131">
                  <c:v>15.53</c:v>
                </c:pt>
                <c:pt idx="132">
                  <c:v>13.29</c:v>
                </c:pt>
                <c:pt idx="133">
                  <c:v>5.8419999999999996</c:v>
                </c:pt>
                <c:pt idx="134">
                  <c:v>10.28</c:v>
                </c:pt>
                <c:pt idx="135">
                  <c:v>9.85</c:v>
                </c:pt>
                <c:pt idx="136">
                  <c:v>7.55</c:v>
                </c:pt>
                <c:pt idx="137">
                  <c:v>7.42</c:v>
                </c:pt>
                <c:pt idx="138">
                  <c:v>9.31</c:v>
                </c:pt>
                <c:pt idx="139">
                  <c:v>9.6999999999999993</c:v>
                </c:pt>
                <c:pt idx="140">
                  <c:v>7.57</c:v>
                </c:pt>
                <c:pt idx="141">
                  <c:v>9.6300000000000008</c:v>
                </c:pt>
                <c:pt idx="142">
                  <c:v>10.85</c:v>
                </c:pt>
                <c:pt idx="143">
                  <c:v>10.94</c:v>
                </c:pt>
                <c:pt idx="144">
                  <c:v>8.6</c:v>
                </c:pt>
                <c:pt idx="145">
                  <c:v>9.2100000000000009</c:v>
                </c:pt>
                <c:pt idx="146">
                  <c:v>12.04</c:v>
                </c:pt>
                <c:pt idx="147">
                  <c:v>15.1</c:v>
                </c:pt>
                <c:pt idx="148">
                  <c:v>16.27</c:v>
                </c:pt>
                <c:pt idx="149">
                  <c:v>12.32</c:v>
                </c:pt>
                <c:pt idx="150">
                  <c:v>12.61</c:v>
                </c:pt>
                <c:pt idx="151">
                  <c:v>15.51</c:v>
                </c:pt>
                <c:pt idx="152">
                  <c:v>17.47</c:v>
                </c:pt>
                <c:pt idx="153">
                  <c:v>15.08</c:v>
                </c:pt>
                <c:pt idx="154">
                  <c:v>13.2</c:v>
                </c:pt>
                <c:pt idx="155">
                  <c:v>12.96</c:v>
                </c:pt>
                <c:pt idx="156">
                  <c:v>7.35</c:v>
                </c:pt>
                <c:pt idx="157">
                  <c:v>4.4400000000000004</c:v>
                </c:pt>
                <c:pt idx="158">
                  <c:v>6.43</c:v>
                </c:pt>
                <c:pt idx="159">
                  <c:v>9.92</c:v>
                </c:pt>
                <c:pt idx="160">
                  <c:v>9.43</c:v>
                </c:pt>
                <c:pt idx="161">
                  <c:v>16.7</c:v>
                </c:pt>
                <c:pt idx="162">
                  <c:v>18.25</c:v>
                </c:pt>
                <c:pt idx="163">
                  <c:v>18</c:v>
                </c:pt>
                <c:pt idx="164">
                  <c:v>16.64</c:v>
                </c:pt>
                <c:pt idx="165">
                  <c:v>17.16</c:v>
                </c:pt>
                <c:pt idx="166">
                  <c:v>14.93</c:v>
                </c:pt>
                <c:pt idx="167">
                  <c:v>20.010000000000002</c:v>
                </c:pt>
                <c:pt idx="168">
                  <c:v>17.3</c:v>
                </c:pt>
                <c:pt idx="169">
                  <c:v>7.42</c:v>
                </c:pt>
                <c:pt idx="170">
                  <c:v>3.0979999999999999</c:v>
                </c:pt>
                <c:pt idx="171">
                  <c:v>10.57</c:v>
                </c:pt>
                <c:pt idx="172">
                  <c:v>12.04</c:v>
                </c:pt>
                <c:pt idx="173">
                  <c:v>10.4</c:v>
                </c:pt>
                <c:pt idx="174">
                  <c:v>8.69</c:v>
                </c:pt>
                <c:pt idx="175">
                  <c:v>8.99</c:v>
                </c:pt>
                <c:pt idx="176">
                  <c:v>13.42</c:v>
                </c:pt>
                <c:pt idx="177">
                  <c:v>11.16</c:v>
                </c:pt>
                <c:pt idx="178">
                  <c:v>11.17</c:v>
                </c:pt>
                <c:pt idx="179">
                  <c:v>9.36</c:v>
                </c:pt>
                <c:pt idx="180">
                  <c:v>11.44</c:v>
                </c:pt>
                <c:pt idx="181">
                  <c:v>15.68</c:v>
                </c:pt>
                <c:pt idx="182">
                  <c:v>13.06</c:v>
                </c:pt>
                <c:pt idx="183">
                  <c:v>15.79</c:v>
                </c:pt>
                <c:pt idx="184">
                  <c:v>13.71</c:v>
                </c:pt>
                <c:pt idx="185">
                  <c:v>11.33</c:v>
                </c:pt>
                <c:pt idx="186">
                  <c:v>11.99</c:v>
                </c:pt>
                <c:pt idx="187">
                  <c:v>11.38</c:v>
                </c:pt>
                <c:pt idx="188">
                  <c:v>10.4</c:v>
                </c:pt>
                <c:pt idx="189">
                  <c:v>13.91</c:v>
                </c:pt>
                <c:pt idx="190">
                  <c:v>13.9</c:v>
                </c:pt>
                <c:pt idx="191">
                  <c:v>14.82</c:v>
                </c:pt>
                <c:pt idx="192">
                  <c:v>15.33</c:v>
                </c:pt>
                <c:pt idx="193">
                  <c:v>15.28</c:v>
                </c:pt>
                <c:pt idx="194">
                  <c:v>14.08</c:v>
                </c:pt>
                <c:pt idx="195">
                  <c:v>14.53</c:v>
                </c:pt>
                <c:pt idx="196">
                  <c:v>12.52</c:v>
                </c:pt>
                <c:pt idx="197">
                  <c:v>11.31</c:v>
                </c:pt>
                <c:pt idx="198">
                  <c:v>9.16</c:v>
                </c:pt>
                <c:pt idx="199">
                  <c:v>9.19</c:v>
                </c:pt>
                <c:pt idx="200">
                  <c:v>10.39</c:v>
                </c:pt>
                <c:pt idx="201">
                  <c:v>15.87</c:v>
                </c:pt>
                <c:pt idx="202">
                  <c:v>17.309999999999999</c:v>
                </c:pt>
                <c:pt idx="203">
                  <c:v>15.02</c:v>
                </c:pt>
                <c:pt idx="204">
                  <c:v>9.52</c:v>
                </c:pt>
                <c:pt idx="205">
                  <c:v>13.54</c:v>
                </c:pt>
                <c:pt idx="206">
                  <c:v>17.510000000000002</c:v>
                </c:pt>
                <c:pt idx="207">
                  <c:v>15.69</c:v>
                </c:pt>
                <c:pt idx="208">
                  <c:v>13.73</c:v>
                </c:pt>
                <c:pt idx="209">
                  <c:v>17.239999999999998</c:v>
                </c:pt>
                <c:pt idx="210">
                  <c:v>16.350000000000001</c:v>
                </c:pt>
                <c:pt idx="211">
                  <c:v>15.74</c:v>
                </c:pt>
                <c:pt idx="212">
                  <c:v>16.93</c:v>
                </c:pt>
                <c:pt idx="213">
                  <c:v>15.99</c:v>
                </c:pt>
                <c:pt idx="214">
                  <c:v>12.32</c:v>
                </c:pt>
                <c:pt idx="215">
                  <c:v>14.24</c:v>
                </c:pt>
                <c:pt idx="216">
                  <c:v>17.29</c:v>
                </c:pt>
                <c:pt idx="217">
                  <c:v>18.07</c:v>
                </c:pt>
                <c:pt idx="218">
                  <c:v>18.350000000000001</c:v>
                </c:pt>
                <c:pt idx="219">
                  <c:v>19.13</c:v>
                </c:pt>
                <c:pt idx="220">
                  <c:v>19.09</c:v>
                </c:pt>
                <c:pt idx="221">
                  <c:v>14.59</c:v>
                </c:pt>
                <c:pt idx="222">
                  <c:v>10.92</c:v>
                </c:pt>
                <c:pt idx="223">
                  <c:v>13.62</c:v>
                </c:pt>
                <c:pt idx="224">
                  <c:v>10.99</c:v>
                </c:pt>
                <c:pt idx="225">
                  <c:v>12.63</c:v>
                </c:pt>
                <c:pt idx="226">
                  <c:v>12.67</c:v>
                </c:pt>
                <c:pt idx="227">
                  <c:v>11.09</c:v>
                </c:pt>
                <c:pt idx="228">
                  <c:v>11.99</c:v>
                </c:pt>
                <c:pt idx="229">
                  <c:v>14.07</c:v>
                </c:pt>
                <c:pt idx="230">
                  <c:v>13.9</c:v>
                </c:pt>
                <c:pt idx="231">
                  <c:v>15.75</c:v>
                </c:pt>
                <c:pt idx="232">
                  <c:v>12.22</c:v>
                </c:pt>
                <c:pt idx="233">
                  <c:v>11.32</c:v>
                </c:pt>
                <c:pt idx="234">
                  <c:v>8.5</c:v>
                </c:pt>
                <c:pt idx="235">
                  <c:v>11.35</c:v>
                </c:pt>
                <c:pt idx="236">
                  <c:v>9.1</c:v>
                </c:pt>
                <c:pt idx="237">
                  <c:v>8.43</c:v>
                </c:pt>
                <c:pt idx="238">
                  <c:v>12.3</c:v>
                </c:pt>
                <c:pt idx="239">
                  <c:v>13.58</c:v>
                </c:pt>
                <c:pt idx="240">
                  <c:v>14.51</c:v>
                </c:pt>
                <c:pt idx="241">
                  <c:v>15.6</c:v>
                </c:pt>
                <c:pt idx="242">
                  <c:v>14.76</c:v>
                </c:pt>
                <c:pt idx="243">
                  <c:v>13.51</c:v>
                </c:pt>
                <c:pt idx="244">
                  <c:v>11.84</c:v>
                </c:pt>
                <c:pt idx="245">
                  <c:v>14.99</c:v>
                </c:pt>
                <c:pt idx="246">
                  <c:v>11.05</c:v>
                </c:pt>
                <c:pt idx="247">
                  <c:v>12.95</c:v>
                </c:pt>
                <c:pt idx="248">
                  <c:v>13.4</c:v>
                </c:pt>
                <c:pt idx="249">
                  <c:v>12.75</c:v>
                </c:pt>
                <c:pt idx="250">
                  <c:v>9.65</c:v>
                </c:pt>
                <c:pt idx="251">
                  <c:v>9.1199999999999992</c:v>
                </c:pt>
                <c:pt idx="252">
                  <c:v>8.44</c:v>
                </c:pt>
                <c:pt idx="253">
                  <c:v>10.71</c:v>
                </c:pt>
                <c:pt idx="254">
                  <c:v>10.28</c:v>
                </c:pt>
                <c:pt idx="255">
                  <c:v>8.9</c:v>
                </c:pt>
                <c:pt idx="256">
                  <c:v>9.08</c:v>
                </c:pt>
                <c:pt idx="257">
                  <c:v>7.66</c:v>
                </c:pt>
                <c:pt idx="258">
                  <c:v>7.51</c:v>
                </c:pt>
                <c:pt idx="259">
                  <c:v>6.0019999999999998</c:v>
                </c:pt>
                <c:pt idx="260">
                  <c:v>6.8390000000000004</c:v>
                </c:pt>
                <c:pt idx="261">
                  <c:v>8.0399999999999991</c:v>
                </c:pt>
                <c:pt idx="262">
                  <c:v>6.52</c:v>
                </c:pt>
                <c:pt idx="263">
                  <c:v>6.3410000000000002</c:v>
                </c:pt>
                <c:pt idx="264">
                  <c:v>6.617</c:v>
                </c:pt>
                <c:pt idx="265">
                  <c:v>6.1120000000000001</c:v>
                </c:pt>
                <c:pt idx="266">
                  <c:v>5.6449999999999996</c:v>
                </c:pt>
                <c:pt idx="267">
                  <c:v>5.2640000000000002</c:v>
                </c:pt>
                <c:pt idx="268">
                  <c:v>5.0519999999999996</c:v>
                </c:pt>
                <c:pt idx="269">
                  <c:v>0.78100000000000003</c:v>
                </c:pt>
                <c:pt idx="270">
                  <c:v>-2.552</c:v>
                </c:pt>
                <c:pt idx="271">
                  <c:v>-5.3179999999999996</c:v>
                </c:pt>
                <c:pt idx="272">
                  <c:v>-4.6550000000000002</c:v>
                </c:pt>
                <c:pt idx="273">
                  <c:v>-5.4850000000000003</c:v>
                </c:pt>
                <c:pt idx="274">
                  <c:v>-2.1930000000000001</c:v>
                </c:pt>
                <c:pt idx="275">
                  <c:v>-0.69399999999999995</c:v>
                </c:pt>
                <c:pt idx="276">
                  <c:v>-0.10299999999999999</c:v>
                </c:pt>
                <c:pt idx="277">
                  <c:v>0.63500000000000001</c:v>
                </c:pt>
                <c:pt idx="278">
                  <c:v>0.436</c:v>
                </c:pt>
                <c:pt idx="279">
                  <c:v>3.39</c:v>
                </c:pt>
                <c:pt idx="280">
                  <c:v>-2.9430000000000001</c:v>
                </c:pt>
                <c:pt idx="281">
                  <c:v>-8.5</c:v>
                </c:pt>
                <c:pt idx="282">
                  <c:v>-7.17</c:v>
                </c:pt>
                <c:pt idx="283">
                  <c:v>-4.3710000000000004</c:v>
                </c:pt>
                <c:pt idx="284">
                  <c:v>-1.1000000000000001</c:v>
                </c:pt>
                <c:pt idx="285">
                  <c:v>8.2000000000000003E-2</c:v>
                </c:pt>
                <c:pt idx="286">
                  <c:v>0.16500000000000001</c:v>
                </c:pt>
                <c:pt idx="287">
                  <c:v>-6.3E-2</c:v>
                </c:pt>
                <c:pt idx="288">
                  <c:v>2.681</c:v>
                </c:pt>
                <c:pt idx="289">
                  <c:v>1.8240000000000001</c:v>
                </c:pt>
                <c:pt idx="290">
                  <c:v>-1.2749999999999999</c:v>
                </c:pt>
                <c:pt idx="291">
                  <c:v>-3.556</c:v>
                </c:pt>
                <c:pt idx="292">
                  <c:v>-2.3959999999999999</c:v>
                </c:pt>
                <c:pt idx="293">
                  <c:v>-1.849</c:v>
                </c:pt>
                <c:pt idx="294">
                  <c:v>-0.88600000000000001</c:v>
                </c:pt>
                <c:pt idx="295">
                  <c:v>-5.9980000000000002</c:v>
                </c:pt>
                <c:pt idx="296">
                  <c:v>-1.0109999999999999</c:v>
                </c:pt>
                <c:pt idx="297">
                  <c:v>-1.8069999999999999</c:v>
                </c:pt>
                <c:pt idx="298">
                  <c:v>-6.4939999999999998</c:v>
                </c:pt>
                <c:pt idx="299">
                  <c:v>-10.26</c:v>
                </c:pt>
                <c:pt idx="300">
                  <c:v>-9.58</c:v>
                </c:pt>
                <c:pt idx="301">
                  <c:v>-16.95</c:v>
                </c:pt>
                <c:pt idx="302">
                  <c:v>-11.65</c:v>
                </c:pt>
                <c:pt idx="303">
                  <c:v>-9</c:v>
                </c:pt>
                <c:pt idx="304">
                  <c:v>-8.6</c:v>
                </c:pt>
                <c:pt idx="305">
                  <c:v>-1.1479999999999999</c:v>
                </c:pt>
                <c:pt idx="306">
                  <c:v>-0.30299999999999999</c:v>
                </c:pt>
                <c:pt idx="307">
                  <c:v>-0.16</c:v>
                </c:pt>
                <c:pt idx="308">
                  <c:v>-2.2149999999999999</c:v>
                </c:pt>
                <c:pt idx="309">
                  <c:v>-2.9820000000000002</c:v>
                </c:pt>
                <c:pt idx="310">
                  <c:v>-3.3109999999999999</c:v>
                </c:pt>
                <c:pt idx="311">
                  <c:v>-0.93600000000000005</c:v>
                </c:pt>
                <c:pt idx="312">
                  <c:v>0.58699999999999997</c:v>
                </c:pt>
                <c:pt idx="313">
                  <c:v>-1.867</c:v>
                </c:pt>
                <c:pt idx="314">
                  <c:v>-3.6680000000000001</c:v>
                </c:pt>
                <c:pt idx="315">
                  <c:v>-1.323</c:v>
                </c:pt>
                <c:pt idx="316">
                  <c:v>-5.0039999999999996</c:v>
                </c:pt>
                <c:pt idx="317">
                  <c:v>-2.9769999999999999</c:v>
                </c:pt>
                <c:pt idx="318">
                  <c:v>-0.93300000000000005</c:v>
                </c:pt>
                <c:pt idx="319">
                  <c:v>-3.2189999999999999</c:v>
                </c:pt>
                <c:pt idx="320">
                  <c:v>-0.69299999999999995</c:v>
                </c:pt>
                <c:pt idx="321">
                  <c:v>-2.6960000000000002</c:v>
                </c:pt>
                <c:pt idx="322">
                  <c:v>-3.2930000000000001</c:v>
                </c:pt>
                <c:pt idx="323">
                  <c:v>-14.11</c:v>
                </c:pt>
                <c:pt idx="324">
                  <c:v>-14.5</c:v>
                </c:pt>
                <c:pt idx="325">
                  <c:v>-12.4</c:v>
                </c:pt>
                <c:pt idx="326">
                  <c:v>-3.4580000000000002</c:v>
                </c:pt>
                <c:pt idx="327">
                  <c:v>-5.4459999999999997</c:v>
                </c:pt>
                <c:pt idx="328">
                  <c:v>-12.11</c:v>
                </c:pt>
                <c:pt idx="329">
                  <c:v>-21.63</c:v>
                </c:pt>
                <c:pt idx="330">
                  <c:v>-15.84</c:v>
                </c:pt>
                <c:pt idx="331">
                  <c:v>-24.3</c:v>
                </c:pt>
                <c:pt idx="332">
                  <c:v>-24.53</c:v>
                </c:pt>
                <c:pt idx="333">
                  <c:v>-16.3</c:v>
                </c:pt>
                <c:pt idx="334">
                  <c:v>-11.29</c:v>
                </c:pt>
                <c:pt idx="335">
                  <c:v>-3.915</c:v>
                </c:pt>
                <c:pt idx="336">
                  <c:v>-2.032</c:v>
                </c:pt>
                <c:pt idx="337">
                  <c:v>-5.2539999999999996</c:v>
                </c:pt>
                <c:pt idx="338">
                  <c:v>-10.29</c:v>
                </c:pt>
                <c:pt idx="339">
                  <c:v>-2.5169999999999999</c:v>
                </c:pt>
                <c:pt idx="340">
                  <c:v>-1.6870000000000001</c:v>
                </c:pt>
                <c:pt idx="341">
                  <c:v>-14.11</c:v>
                </c:pt>
                <c:pt idx="342">
                  <c:v>-17.39</c:v>
                </c:pt>
                <c:pt idx="343">
                  <c:v>-9.9700000000000006</c:v>
                </c:pt>
                <c:pt idx="344">
                  <c:v>-8.35</c:v>
                </c:pt>
                <c:pt idx="345">
                  <c:v>-8.18</c:v>
                </c:pt>
                <c:pt idx="346">
                  <c:v>-7.55</c:v>
                </c:pt>
                <c:pt idx="347">
                  <c:v>-9.09</c:v>
                </c:pt>
                <c:pt idx="348">
                  <c:v>-15.15</c:v>
                </c:pt>
                <c:pt idx="349">
                  <c:v>-15.64</c:v>
                </c:pt>
                <c:pt idx="350">
                  <c:v>-8.1199999999999992</c:v>
                </c:pt>
                <c:pt idx="351">
                  <c:v>-7.68</c:v>
                </c:pt>
                <c:pt idx="352">
                  <c:v>-6.8449999999999998</c:v>
                </c:pt>
                <c:pt idx="353">
                  <c:v>-1.7290000000000001</c:v>
                </c:pt>
                <c:pt idx="354">
                  <c:v>-2.56</c:v>
                </c:pt>
                <c:pt idx="355">
                  <c:v>-10.36</c:v>
                </c:pt>
                <c:pt idx="356">
                  <c:v>-10.61</c:v>
                </c:pt>
                <c:pt idx="357">
                  <c:v>-11.01</c:v>
                </c:pt>
                <c:pt idx="358">
                  <c:v>-20.97</c:v>
                </c:pt>
                <c:pt idx="359">
                  <c:v>-20.82</c:v>
                </c:pt>
                <c:pt idx="360">
                  <c:v>-12.43</c:v>
                </c:pt>
                <c:pt idx="361">
                  <c:v>-12.78</c:v>
                </c:pt>
                <c:pt idx="362">
                  <c:v>-7.53</c:v>
                </c:pt>
                <c:pt idx="363">
                  <c:v>-9.84</c:v>
                </c:pt>
                <c:pt idx="364">
                  <c:v>-4.6399999999999997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54464"/>
        <c:axId val="142256000"/>
      </c:lineChart>
      <c:catAx>
        <c:axId val="142254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56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256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54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-2.032</c:v>
                </c:pt>
                <c:pt idx="1">
                  <c:v>-6.8390000000000004</c:v>
                </c:pt>
                <c:pt idx="2">
                  <c:v>-0.41199999999999998</c:v>
                </c:pt>
                <c:pt idx="3">
                  <c:v>-1.5920000000000001</c:v>
                </c:pt>
                <c:pt idx="4">
                  <c:v>-1.659</c:v>
                </c:pt>
                <c:pt idx="5">
                  <c:v>-2.6760000000000002</c:v>
                </c:pt>
                <c:pt idx="6">
                  <c:v>-8.02</c:v>
                </c:pt>
                <c:pt idx="7">
                  <c:v>-6.4269999999999996</c:v>
                </c:pt>
                <c:pt idx="8">
                  <c:v>-0.74199999999999999</c:v>
                </c:pt>
                <c:pt idx="9">
                  <c:v>-0.995</c:v>
                </c:pt>
                <c:pt idx="10">
                  <c:v>-1.4930000000000001</c:v>
                </c:pt>
                <c:pt idx="11">
                  <c:v>-3.7240000000000002</c:v>
                </c:pt>
                <c:pt idx="12">
                  <c:v>-4.2729999999999997</c:v>
                </c:pt>
                <c:pt idx="13">
                  <c:v>-6.3070000000000004</c:v>
                </c:pt>
                <c:pt idx="14">
                  <c:v>-6.1390000000000002</c:v>
                </c:pt>
                <c:pt idx="15">
                  <c:v>-2.8359999999999999</c:v>
                </c:pt>
                <c:pt idx="16">
                  <c:v>-2.2610000000000001</c:v>
                </c:pt>
                <c:pt idx="17">
                  <c:v>-3.98</c:v>
                </c:pt>
                <c:pt idx="18">
                  <c:v>-1.837</c:v>
                </c:pt>
                <c:pt idx="19">
                  <c:v>-7.28</c:v>
                </c:pt>
                <c:pt idx="20">
                  <c:v>-7.23</c:v>
                </c:pt>
                <c:pt idx="21">
                  <c:v>-6.6</c:v>
                </c:pt>
                <c:pt idx="22">
                  <c:v>-3.298</c:v>
                </c:pt>
                <c:pt idx="23">
                  <c:v>-4.9859999999999998</c:v>
                </c:pt>
                <c:pt idx="24">
                  <c:v>-0.96699999999999997</c:v>
                </c:pt>
                <c:pt idx="25">
                  <c:v>0.57799999999999996</c:v>
                </c:pt>
                <c:pt idx="26">
                  <c:v>-0.437</c:v>
                </c:pt>
                <c:pt idx="27">
                  <c:v>-7.68</c:v>
                </c:pt>
                <c:pt idx="28">
                  <c:v>-7.75</c:v>
                </c:pt>
                <c:pt idx="29">
                  <c:v>-1.381</c:v>
                </c:pt>
                <c:pt idx="30">
                  <c:v>-1.216</c:v>
                </c:pt>
                <c:pt idx="31">
                  <c:v>-1.8939999999999999</c:v>
                </c:pt>
                <c:pt idx="32">
                  <c:v>-2.4900000000000002</c:v>
                </c:pt>
                <c:pt idx="33">
                  <c:v>-9.1999999999999993</c:v>
                </c:pt>
                <c:pt idx="34">
                  <c:v>-19.690000000000001</c:v>
                </c:pt>
                <c:pt idx="35">
                  <c:v>-17.05</c:v>
                </c:pt>
                <c:pt idx="36">
                  <c:v>-17.53</c:v>
                </c:pt>
                <c:pt idx="37">
                  <c:v>-9.67</c:v>
                </c:pt>
                <c:pt idx="38">
                  <c:v>-12.03</c:v>
                </c:pt>
                <c:pt idx="39">
                  <c:v>-15.63</c:v>
                </c:pt>
                <c:pt idx="40">
                  <c:v>-14.1</c:v>
                </c:pt>
                <c:pt idx="41">
                  <c:v>-12.53</c:v>
                </c:pt>
                <c:pt idx="42">
                  <c:v>-9.51</c:v>
                </c:pt>
                <c:pt idx="43">
                  <c:v>-8.2100000000000009</c:v>
                </c:pt>
                <c:pt idx="44">
                  <c:v>-5.1840000000000002</c:v>
                </c:pt>
                <c:pt idx="45">
                  <c:v>-3.0569999999999999</c:v>
                </c:pt>
                <c:pt idx="46">
                  <c:v>-4.3150000000000004</c:v>
                </c:pt>
                <c:pt idx="47">
                  <c:v>-7.26</c:v>
                </c:pt>
                <c:pt idx="48">
                  <c:v>-9.83</c:v>
                </c:pt>
                <c:pt idx="49">
                  <c:v>-5.8630000000000004</c:v>
                </c:pt>
                <c:pt idx="50">
                  <c:v>-7.1</c:v>
                </c:pt>
                <c:pt idx="51">
                  <c:v>-5.6029999999999998</c:v>
                </c:pt>
                <c:pt idx="52">
                  <c:v>-8.35</c:v>
                </c:pt>
                <c:pt idx="53">
                  <c:v>-6.4649999999999999</c:v>
                </c:pt>
                <c:pt idx="54">
                  <c:v>-6.1120000000000001</c:v>
                </c:pt>
                <c:pt idx="55">
                  <c:v>-12.16</c:v>
                </c:pt>
                <c:pt idx="56">
                  <c:v>-5.9420000000000002</c:v>
                </c:pt>
                <c:pt idx="57">
                  <c:v>-6.8040000000000003</c:v>
                </c:pt>
                <c:pt idx="58">
                  <c:v>-5.7069999999999999</c:v>
                </c:pt>
                <c:pt idx="59">
                  <c:v>-5.984</c:v>
                </c:pt>
                <c:pt idx="60">
                  <c:v>-7</c:v>
                </c:pt>
                <c:pt idx="61">
                  <c:v>-11.54</c:v>
                </c:pt>
                <c:pt idx="62">
                  <c:v>-10.48</c:v>
                </c:pt>
                <c:pt idx="63">
                  <c:v>-2.492</c:v>
                </c:pt>
                <c:pt idx="64">
                  <c:v>-0.89800000000000002</c:v>
                </c:pt>
                <c:pt idx="65">
                  <c:v>-2.5150000000000001</c:v>
                </c:pt>
                <c:pt idx="66">
                  <c:v>-1.514</c:v>
                </c:pt>
                <c:pt idx="67">
                  <c:v>-1.6279999999999999</c:v>
                </c:pt>
                <c:pt idx="68">
                  <c:v>-3.9740000000000002</c:v>
                </c:pt>
                <c:pt idx="69">
                  <c:v>-4.452</c:v>
                </c:pt>
                <c:pt idx="70">
                  <c:v>-4.5679999999999996</c:v>
                </c:pt>
                <c:pt idx="71">
                  <c:v>-1.087</c:v>
                </c:pt>
                <c:pt idx="72">
                  <c:v>-8.0000000000000002E-3</c:v>
                </c:pt>
                <c:pt idx="73">
                  <c:v>1.1759999999999999</c:v>
                </c:pt>
                <c:pt idx="74">
                  <c:v>0.58899999999999997</c:v>
                </c:pt>
                <c:pt idx="75">
                  <c:v>0.50900000000000001</c:v>
                </c:pt>
                <c:pt idx="76">
                  <c:v>0.65300000000000002</c:v>
                </c:pt>
                <c:pt idx="77">
                  <c:v>0.93400000000000005</c:v>
                </c:pt>
                <c:pt idx="78">
                  <c:v>0.89</c:v>
                </c:pt>
                <c:pt idx="79">
                  <c:v>1.016</c:v>
                </c:pt>
                <c:pt idx="80">
                  <c:v>0.88800000000000001</c:v>
                </c:pt>
                <c:pt idx="81">
                  <c:v>1.147</c:v>
                </c:pt>
                <c:pt idx="82">
                  <c:v>0.93799999999999994</c:v>
                </c:pt>
                <c:pt idx="83">
                  <c:v>1.0369999999999999</c:v>
                </c:pt>
                <c:pt idx="84">
                  <c:v>1.3029999999999999</c:v>
                </c:pt>
                <c:pt idx="85">
                  <c:v>0.97299999999999998</c:v>
                </c:pt>
                <c:pt idx="86">
                  <c:v>1.149</c:v>
                </c:pt>
                <c:pt idx="87">
                  <c:v>0.82399999999999995</c:v>
                </c:pt>
                <c:pt idx="88">
                  <c:v>1.1539999999999999</c:v>
                </c:pt>
                <c:pt idx="89">
                  <c:v>1.131</c:v>
                </c:pt>
                <c:pt idx="90">
                  <c:v>0.59299999999999997</c:v>
                </c:pt>
                <c:pt idx="91">
                  <c:v>0.78100000000000003</c:v>
                </c:pt>
                <c:pt idx="92">
                  <c:v>1.07</c:v>
                </c:pt>
                <c:pt idx="93">
                  <c:v>1.474</c:v>
                </c:pt>
                <c:pt idx="94">
                  <c:v>0.66600000000000004</c:v>
                </c:pt>
                <c:pt idx="95">
                  <c:v>0.90300000000000002</c:v>
                </c:pt>
                <c:pt idx="96">
                  <c:v>1.3080000000000001</c:v>
                </c:pt>
                <c:pt idx="97">
                  <c:v>1.2070000000000001</c:v>
                </c:pt>
                <c:pt idx="98">
                  <c:v>1.123</c:v>
                </c:pt>
                <c:pt idx="99">
                  <c:v>-1.4999999999999999E-2</c:v>
                </c:pt>
                <c:pt idx="100">
                  <c:v>0.76800000000000002</c:v>
                </c:pt>
                <c:pt idx="101">
                  <c:v>1.363</c:v>
                </c:pt>
                <c:pt idx="102">
                  <c:v>0.34100000000000003</c:v>
                </c:pt>
                <c:pt idx="103">
                  <c:v>1.131</c:v>
                </c:pt>
                <c:pt idx="104">
                  <c:v>1.284</c:v>
                </c:pt>
                <c:pt idx="105">
                  <c:v>0.99</c:v>
                </c:pt>
                <c:pt idx="106">
                  <c:v>0.94899999999999995</c:v>
                </c:pt>
                <c:pt idx="107">
                  <c:v>1.3660000000000001</c:v>
                </c:pt>
                <c:pt idx="108">
                  <c:v>2.1280000000000001</c:v>
                </c:pt>
                <c:pt idx="109">
                  <c:v>0.54</c:v>
                </c:pt>
                <c:pt idx="110">
                  <c:v>1.2390000000000001</c:v>
                </c:pt>
                <c:pt idx="111">
                  <c:v>1.1499999999999999</c:v>
                </c:pt>
                <c:pt idx="112">
                  <c:v>1.274</c:v>
                </c:pt>
                <c:pt idx="113">
                  <c:v>1.0900000000000001</c:v>
                </c:pt>
                <c:pt idx="114">
                  <c:v>1.423</c:v>
                </c:pt>
                <c:pt idx="115">
                  <c:v>1.573</c:v>
                </c:pt>
                <c:pt idx="116">
                  <c:v>-0.189</c:v>
                </c:pt>
                <c:pt idx="117">
                  <c:v>0.78900000000000003</c:v>
                </c:pt>
                <c:pt idx="118">
                  <c:v>1.2809999999999999</c:v>
                </c:pt>
                <c:pt idx="119">
                  <c:v>1.0429999999999999</c:v>
                </c:pt>
                <c:pt idx="120">
                  <c:v>1.4390000000000001</c:v>
                </c:pt>
                <c:pt idx="121">
                  <c:v>1.8129999999999999</c:v>
                </c:pt>
                <c:pt idx="122">
                  <c:v>3.4009999999999998</c:v>
                </c:pt>
                <c:pt idx="123">
                  <c:v>4.8150000000000004</c:v>
                </c:pt>
                <c:pt idx="124">
                  <c:v>10.37</c:v>
                </c:pt>
                <c:pt idx="125">
                  <c:v>21.9</c:v>
                </c:pt>
                <c:pt idx="126">
                  <c:v>27.5</c:v>
                </c:pt>
                <c:pt idx="127">
                  <c:v>32.299999999999997</c:v>
                </c:pt>
                <c:pt idx="128">
                  <c:v>31.54</c:v>
                </c:pt>
                <c:pt idx="129">
                  <c:v>36.01</c:v>
                </c:pt>
                <c:pt idx="130">
                  <c:v>37.96</c:v>
                </c:pt>
                <c:pt idx="131">
                  <c:v>40.22</c:v>
                </c:pt>
                <c:pt idx="132">
                  <c:v>39.909999999999997</c:v>
                </c:pt>
                <c:pt idx="133">
                  <c:v>21.37</c:v>
                </c:pt>
                <c:pt idx="134">
                  <c:v>30.01</c:v>
                </c:pt>
                <c:pt idx="135">
                  <c:v>22.34</c:v>
                </c:pt>
                <c:pt idx="136">
                  <c:v>15.3</c:v>
                </c:pt>
                <c:pt idx="137">
                  <c:v>24.32</c:v>
                </c:pt>
                <c:pt idx="138">
                  <c:v>29.18</c:v>
                </c:pt>
                <c:pt idx="139">
                  <c:v>29.38</c:v>
                </c:pt>
                <c:pt idx="140">
                  <c:v>19.84</c:v>
                </c:pt>
                <c:pt idx="141">
                  <c:v>37.869999999999997</c:v>
                </c:pt>
                <c:pt idx="142">
                  <c:v>33.47</c:v>
                </c:pt>
                <c:pt idx="143">
                  <c:v>33.869999999999997</c:v>
                </c:pt>
                <c:pt idx="144">
                  <c:v>21.58</c:v>
                </c:pt>
                <c:pt idx="145">
                  <c:v>30.37</c:v>
                </c:pt>
                <c:pt idx="146">
                  <c:v>33.979999999999997</c:v>
                </c:pt>
                <c:pt idx="147">
                  <c:v>42.85</c:v>
                </c:pt>
                <c:pt idx="148">
                  <c:v>42.87</c:v>
                </c:pt>
                <c:pt idx="149">
                  <c:v>36.130000000000003</c:v>
                </c:pt>
                <c:pt idx="150">
                  <c:v>33.520000000000003</c:v>
                </c:pt>
                <c:pt idx="151">
                  <c:v>35.54</c:v>
                </c:pt>
                <c:pt idx="152">
                  <c:v>40.869999999999997</c:v>
                </c:pt>
                <c:pt idx="153">
                  <c:v>36.880000000000003</c:v>
                </c:pt>
                <c:pt idx="154">
                  <c:v>36.700000000000003</c:v>
                </c:pt>
                <c:pt idx="155">
                  <c:v>36.69</c:v>
                </c:pt>
                <c:pt idx="156">
                  <c:v>23.35</c:v>
                </c:pt>
                <c:pt idx="157">
                  <c:v>21.44</c:v>
                </c:pt>
                <c:pt idx="158">
                  <c:v>24.04</c:v>
                </c:pt>
                <c:pt idx="159">
                  <c:v>30.84</c:v>
                </c:pt>
                <c:pt idx="160">
                  <c:v>26.13</c:v>
                </c:pt>
                <c:pt idx="161">
                  <c:v>38.82</c:v>
                </c:pt>
                <c:pt idx="162">
                  <c:v>42.26</c:v>
                </c:pt>
                <c:pt idx="163">
                  <c:v>43.53</c:v>
                </c:pt>
                <c:pt idx="164">
                  <c:v>42.04</c:v>
                </c:pt>
                <c:pt idx="165">
                  <c:v>42.78</c:v>
                </c:pt>
                <c:pt idx="166">
                  <c:v>40.76</c:v>
                </c:pt>
                <c:pt idx="167">
                  <c:v>44.37</c:v>
                </c:pt>
                <c:pt idx="168">
                  <c:v>44.14</c:v>
                </c:pt>
                <c:pt idx="169">
                  <c:v>24.31</c:v>
                </c:pt>
                <c:pt idx="170">
                  <c:v>10.66</c:v>
                </c:pt>
                <c:pt idx="171">
                  <c:v>26.67</c:v>
                </c:pt>
                <c:pt idx="172">
                  <c:v>32.020000000000003</c:v>
                </c:pt>
                <c:pt idx="173">
                  <c:v>25.65</c:v>
                </c:pt>
                <c:pt idx="174">
                  <c:v>27.02</c:v>
                </c:pt>
                <c:pt idx="175">
                  <c:v>27.61</c:v>
                </c:pt>
                <c:pt idx="176">
                  <c:v>35.07</c:v>
                </c:pt>
                <c:pt idx="177">
                  <c:v>27.47</c:v>
                </c:pt>
                <c:pt idx="178">
                  <c:v>28.41</c:v>
                </c:pt>
                <c:pt idx="179">
                  <c:v>29.11</c:v>
                </c:pt>
                <c:pt idx="180">
                  <c:v>35.71</c:v>
                </c:pt>
                <c:pt idx="181">
                  <c:v>40.950000000000003</c:v>
                </c:pt>
                <c:pt idx="182">
                  <c:v>31.31</c:v>
                </c:pt>
                <c:pt idx="183">
                  <c:v>41.16</c:v>
                </c:pt>
                <c:pt idx="184">
                  <c:v>30.84</c:v>
                </c:pt>
                <c:pt idx="185">
                  <c:v>31.15</c:v>
                </c:pt>
                <c:pt idx="186">
                  <c:v>29.26</c:v>
                </c:pt>
                <c:pt idx="187">
                  <c:v>30.67</c:v>
                </c:pt>
                <c:pt idx="188">
                  <c:v>32.25</c:v>
                </c:pt>
                <c:pt idx="189">
                  <c:v>33.869999999999997</c:v>
                </c:pt>
                <c:pt idx="190">
                  <c:v>32.51</c:v>
                </c:pt>
                <c:pt idx="191">
                  <c:v>32.119999999999997</c:v>
                </c:pt>
                <c:pt idx="192">
                  <c:v>34.090000000000003</c:v>
                </c:pt>
                <c:pt idx="193">
                  <c:v>36.65</c:v>
                </c:pt>
                <c:pt idx="194">
                  <c:v>33.479999999999997</c:v>
                </c:pt>
                <c:pt idx="195">
                  <c:v>40.24</c:v>
                </c:pt>
                <c:pt idx="196">
                  <c:v>32.96</c:v>
                </c:pt>
                <c:pt idx="197">
                  <c:v>23.85</c:v>
                </c:pt>
                <c:pt idx="198">
                  <c:v>25.03</c:v>
                </c:pt>
                <c:pt idx="199">
                  <c:v>27.45</c:v>
                </c:pt>
                <c:pt idx="200">
                  <c:v>28</c:v>
                </c:pt>
                <c:pt idx="201">
                  <c:v>38.1</c:v>
                </c:pt>
                <c:pt idx="202">
                  <c:v>41.52</c:v>
                </c:pt>
                <c:pt idx="203">
                  <c:v>33.72</c:v>
                </c:pt>
                <c:pt idx="204">
                  <c:v>23.2</c:v>
                </c:pt>
                <c:pt idx="205">
                  <c:v>35.51</c:v>
                </c:pt>
                <c:pt idx="206">
                  <c:v>39.75</c:v>
                </c:pt>
                <c:pt idx="207">
                  <c:v>35.979999999999997</c:v>
                </c:pt>
                <c:pt idx="208">
                  <c:v>37.880000000000003</c:v>
                </c:pt>
                <c:pt idx="209">
                  <c:v>39.79</c:v>
                </c:pt>
                <c:pt idx="210">
                  <c:v>37.619999999999997</c:v>
                </c:pt>
                <c:pt idx="211">
                  <c:v>42.53</c:v>
                </c:pt>
                <c:pt idx="212">
                  <c:v>41.14</c:v>
                </c:pt>
                <c:pt idx="213">
                  <c:v>38.130000000000003</c:v>
                </c:pt>
                <c:pt idx="214">
                  <c:v>36.200000000000003</c:v>
                </c:pt>
                <c:pt idx="215">
                  <c:v>37.57</c:v>
                </c:pt>
                <c:pt idx="216">
                  <c:v>41.69</c:v>
                </c:pt>
                <c:pt idx="217">
                  <c:v>43.38</c:v>
                </c:pt>
                <c:pt idx="218">
                  <c:v>43.73</c:v>
                </c:pt>
                <c:pt idx="219">
                  <c:v>42.9</c:v>
                </c:pt>
                <c:pt idx="220">
                  <c:v>40.630000000000003</c:v>
                </c:pt>
                <c:pt idx="221">
                  <c:v>27.52</c:v>
                </c:pt>
                <c:pt idx="222">
                  <c:v>17.260000000000002</c:v>
                </c:pt>
                <c:pt idx="223">
                  <c:v>28.63</c:v>
                </c:pt>
                <c:pt idx="224">
                  <c:v>29.46</c:v>
                </c:pt>
                <c:pt idx="225">
                  <c:v>30.62</c:v>
                </c:pt>
                <c:pt idx="226">
                  <c:v>35.299999999999997</c:v>
                </c:pt>
                <c:pt idx="227">
                  <c:v>28.36</c:v>
                </c:pt>
                <c:pt idx="228">
                  <c:v>33.4</c:v>
                </c:pt>
                <c:pt idx="229">
                  <c:v>35.020000000000003</c:v>
                </c:pt>
                <c:pt idx="230">
                  <c:v>35.58</c:v>
                </c:pt>
                <c:pt idx="231">
                  <c:v>39.35</c:v>
                </c:pt>
                <c:pt idx="232">
                  <c:v>31.74</c:v>
                </c:pt>
                <c:pt idx="233">
                  <c:v>31.83</c:v>
                </c:pt>
                <c:pt idx="234">
                  <c:v>22.74</c:v>
                </c:pt>
                <c:pt idx="235">
                  <c:v>32.07</c:v>
                </c:pt>
                <c:pt idx="236">
                  <c:v>25.66</c:v>
                </c:pt>
                <c:pt idx="237">
                  <c:v>26.8</c:v>
                </c:pt>
                <c:pt idx="238">
                  <c:v>33.51</c:v>
                </c:pt>
                <c:pt idx="239">
                  <c:v>35.520000000000003</c:v>
                </c:pt>
                <c:pt idx="240">
                  <c:v>40.21</c:v>
                </c:pt>
                <c:pt idx="241">
                  <c:v>36.04</c:v>
                </c:pt>
                <c:pt idx="242">
                  <c:v>37.11</c:v>
                </c:pt>
                <c:pt idx="243">
                  <c:v>32.299999999999997</c:v>
                </c:pt>
                <c:pt idx="244">
                  <c:v>32.28</c:v>
                </c:pt>
                <c:pt idx="245">
                  <c:v>38.42</c:v>
                </c:pt>
                <c:pt idx="246">
                  <c:v>30.77</c:v>
                </c:pt>
                <c:pt idx="247">
                  <c:v>34.04</c:v>
                </c:pt>
                <c:pt idx="248">
                  <c:v>33.31</c:v>
                </c:pt>
                <c:pt idx="249">
                  <c:v>32.85</c:v>
                </c:pt>
                <c:pt idx="250">
                  <c:v>16.46</c:v>
                </c:pt>
                <c:pt idx="251">
                  <c:v>24.44</c:v>
                </c:pt>
                <c:pt idx="252">
                  <c:v>21.58</c:v>
                </c:pt>
                <c:pt idx="253">
                  <c:v>24.29</c:v>
                </c:pt>
                <c:pt idx="254">
                  <c:v>24.71</c:v>
                </c:pt>
                <c:pt idx="255">
                  <c:v>23.57</c:v>
                </c:pt>
                <c:pt idx="256">
                  <c:v>16.62</c:v>
                </c:pt>
                <c:pt idx="257">
                  <c:v>11.71</c:v>
                </c:pt>
                <c:pt idx="258">
                  <c:v>17.760000000000002</c:v>
                </c:pt>
                <c:pt idx="259">
                  <c:v>15.35</c:v>
                </c:pt>
                <c:pt idx="260">
                  <c:v>14.4</c:v>
                </c:pt>
                <c:pt idx="261">
                  <c:v>20.76</c:v>
                </c:pt>
                <c:pt idx="262">
                  <c:v>17.2</c:v>
                </c:pt>
                <c:pt idx="263">
                  <c:v>21.92</c:v>
                </c:pt>
                <c:pt idx="264">
                  <c:v>17.190000000000001</c:v>
                </c:pt>
                <c:pt idx="265">
                  <c:v>10.62</c:v>
                </c:pt>
                <c:pt idx="266">
                  <c:v>17.88</c:v>
                </c:pt>
                <c:pt idx="267">
                  <c:v>17.71</c:v>
                </c:pt>
                <c:pt idx="268">
                  <c:v>13.04</c:v>
                </c:pt>
                <c:pt idx="269">
                  <c:v>6.0990000000000002</c:v>
                </c:pt>
                <c:pt idx="270">
                  <c:v>-0.59099999999999997</c:v>
                </c:pt>
                <c:pt idx="271">
                  <c:v>-1.843</c:v>
                </c:pt>
                <c:pt idx="272">
                  <c:v>0.36099999999999999</c:v>
                </c:pt>
                <c:pt idx="273">
                  <c:v>1.165</c:v>
                </c:pt>
                <c:pt idx="274">
                  <c:v>0.72099999999999997</c:v>
                </c:pt>
                <c:pt idx="275">
                  <c:v>1.55</c:v>
                </c:pt>
                <c:pt idx="276">
                  <c:v>3.4039999999999999</c:v>
                </c:pt>
                <c:pt idx="277">
                  <c:v>9.43</c:v>
                </c:pt>
                <c:pt idx="278">
                  <c:v>11.31</c:v>
                </c:pt>
                <c:pt idx="279">
                  <c:v>12.08</c:v>
                </c:pt>
                <c:pt idx="280">
                  <c:v>1.0980000000000001</c:v>
                </c:pt>
                <c:pt idx="281">
                  <c:v>-2.9620000000000002</c:v>
                </c:pt>
                <c:pt idx="282">
                  <c:v>3.2090000000000001</c:v>
                </c:pt>
                <c:pt idx="283">
                  <c:v>5.6379999999999999</c:v>
                </c:pt>
                <c:pt idx="284">
                  <c:v>7.16</c:v>
                </c:pt>
                <c:pt idx="285">
                  <c:v>2.1019999999999999</c:v>
                </c:pt>
                <c:pt idx="286">
                  <c:v>10.01</c:v>
                </c:pt>
                <c:pt idx="287">
                  <c:v>3.879</c:v>
                </c:pt>
                <c:pt idx="288">
                  <c:v>9.3800000000000008</c:v>
                </c:pt>
                <c:pt idx="289">
                  <c:v>9.8699999999999992</c:v>
                </c:pt>
                <c:pt idx="290">
                  <c:v>1.6910000000000001</c:v>
                </c:pt>
                <c:pt idx="291">
                  <c:v>4.6630000000000003</c:v>
                </c:pt>
                <c:pt idx="292">
                  <c:v>1.0720000000000001</c:v>
                </c:pt>
                <c:pt idx="293">
                  <c:v>3.3000000000000002E-2</c:v>
                </c:pt>
                <c:pt idx="294">
                  <c:v>0.88100000000000001</c:v>
                </c:pt>
                <c:pt idx="295">
                  <c:v>-1.2789999999999999</c:v>
                </c:pt>
                <c:pt idx="296">
                  <c:v>0.93899999999999995</c:v>
                </c:pt>
                <c:pt idx="297">
                  <c:v>1.339</c:v>
                </c:pt>
                <c:pt idx="298">
                  <c:v>-0.28399999999999997</c:v>
                </c:pt>
                <c:pt idx="299">
                  <c:v>-3.2410000000000001</c:v>
                </c:pt>
                <c:pt idx="300">
                  <c:v>-2.7069999999999999</c:v>
                </c:pt>
                <c:pt idx="301">
                  <c:v>-7.43</c:v>
                </c:pt>
                <c:pt idx="302">
                  <c:v>-2.5310000000000001</c:v>
                </c:pt>
                <c:pt idx="303">
                  <c:v>-6.3E-2</c:v>
                </c:pt>
                <c:pt idx="304">
                  <c:v>-0.19800000000000001</c:v>
                </c:pt>
                <c:pt idx="305">
                  <c:v>1.9</c:v>
                </c:pt>
                <c:pt idx="306">
                  <c:v>1.8340000000000001</c:v>
                </c:pt>
                <c:pt idx="307">
                  <c:v>4.476</c:v>
                </c:pt>
                <c:pt idx="308">
                  <c:v>3.95</c:v>
                </c:pt>
                <c:pt idx="309">
                  <c:v>2.5339999999999998</c:v>
                </c:pt>
                <c:pt idx="310">
                  <c:v>4.3070000000000004</c:v>
                </c:pt>
                <c:pt idx="311">
                  <c:v>0.41799999999999998</c:v>
                </c:pt>
                <c:pt idx="312">
                  <c:v>3.3</c:v>
                </c:pt>
                <c:pt idx="313">
                  <c:v>3.548</c:v>
                </c:pt>
                <c:pt idx="314">
                  <c:v>2.0059999999999998</c:v>
                </c:pt>
                <c:pt idx="315">
                  <c:v>0.28199999999999997</c:v>
                </c:pt>
                <c:pt idx="316">
                  <c:v>0.52700000000000002</c:v>
                </c:pt>
                <c:pt idx="317">
                  <c:v>-0.106</c:v>
                </c:pt>
                <c:pt idx="318">
                  <c:v>0.49299999999999999</c:v>
                </c:pt>
                <c:pt idx="319">
                  <c:v>-0.69499999999999995</c:v>
                </c:pt>
                <c:pt idx="320">
                  <c:v>0.79200000000000004</c:v>
                </c:pt>
                <c:pt idx="321">
                  <c:v>-0.47799999999999998</c:v>
                </c:pt>
                <c:pt idx="322">
                  <c:v>-0.56100000000000005</c:v>
                </c:pt>
                <c:pt idx="323">
                  <c:v>-6.3</c:v>
                </c:pt>
                <c:pt idx="324">
                  <c:v>-2.141</c:v>
                </c:pt>
                <c:pt idx="325">
                  <c:v>-2.7</c:v>
                </c:pt>
                <c:pt idx="326">
                  <c:v>-0.224</c:v>
                </c:pt>
                <c:pt idx="327">
                  <c:v>-0.98</c:v>
                </c:pt>
                <c:pt idx="328">
                  <c:v>-5.29</c:v>
                </c:pt>
                <c:pt idx="329">
                  <c:v>-10.74</c:v>
                </c:pt>
                <c:pt idx="330">
                  <c:v>-9.18</c:v>
                </c:pt>
                <c:pt idx="331">
                  <c:v>-13.51</c:v>
                </c:pt>
                <c:pt idx="332">
                  <c:v>-12.53</c:v>
                </c:pt>
                <c:pt idx="333">
                  <c:v>-9.06</c:v>
                </c:pt>
                <c:pt idx="334">
                  <c:v>-7.32</c:v>
                </c:pt>
                <c:pt idx="335">
                  <c:v>-1.546</c:v>
                </c:pt>
                <c:pt idx="336">
                  <c:v>0.45700000000000002</c:v>
                </c:pt>
                <c:pt idx="337">
                  <c:v>0.32100000000000001</c:v>
                </c:pt>
                <c:pt idx="338">
                  <c:v>-3.0419999999999998</c:v>
                </c:pt>
                <c:pt idx="339">
                  <c:v>-0.90500000000000003</c:v>
                </c:pt>
                <c:pt idx="340">
                  <c:v>-0.76600000000000001</c:v>
                </c:pt>
                <c:pt idx="341">
                  <c:v>-3.0369999999999999</c:v>
                </c:pt>
                <c:pt idx="342">
                  <c:v>-4.5049999999999999</c:v>
                </c:pt>
                <c:pt idx="343">
                  <c:v>-4.7640000000000002</c:v>
                </c:pt>
                <c:pt idx="344">
                  <c:v>-4.1779999999999999</c:v>
                </c:pt>
                <c:pt idx="345">
                  <c:v>-4.048</c:v>
                </c:pt>
                <c:pt idx="346">
                  <c:v>-3.129</c:v>
                </c:pt>
                <c:pt idx="347">
                  <c:v>-5.1680000000000001</c:v>
                </c:pt>
                <c:pt idx="348">
                  <c:v>-7.48</c:v>
                </c:pt>
                <c:pt idx="349">
                  <c:v>-6.5919999999999996</c:v>
                </c:pt>
                <c:pt idx="350">
                  <c:v>-6.7</c:v>
                </c:pt>
                <c:pt idx="351">
                  <c:v>-6.3049999999999997</c:v>
                </c:pt>
                <c:pt idx="352">
                  <c:v>-3.548</c:v>
                </c:pt>
                <c:pt idx="353">
                  <c:v>0.112</c:v>
                </c:pt>
                <c:pt idx="354">
                  <c:v>0.183</c:v>
                </c:pt>
                <c:pt idx="355">
                  <c:v>-4.1120000000000001</c:v>
                </c:pt>
                <c:pt idx="356">
                  <c:v>-1.9990000000000001</c:v>
                </c:pt>
                <c:pt idx="357">
                  <c:v>-5.0650000000000004</c:v>
                </c:pt>
                <c:pt idx="358">
                  <c:v>-10.77</c:v>
                </c:pt>
                <c:pt idx="359">
                  <c:v>-9.6300000000000008</c:v>
                </c:pt>
                <c:pt idx="360">
                  <c:v>-6.48</c:v>
                </c:pt>
                <c:pt idx="361">
                  <c:v>-4.8710000000000004</c:v>
                </c:pt>
                <c:pt idx="362">
                  <c:v>-0.217</c:v>
                </c:pt>
                <c:pt idx="363">
                  <c:v>-5.0730000000000004</c:v>
                </c:pt>
                <c:pt idx="364">
                  <c:v>-1.3109999999999999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-17.25</c:v>
                </c:pt>
                <c:pt idx="1">
                  <c:v>-16.59</c:v>
                </c:pt>
                <c:pt idx="2">
                  <c:v>-7</c:v>
                </c:pt>
                <c:pt idx="3">
                  <c:v>-21.82</c:v>
                </c:pt>
                <c:pt idx="4">
                  <c:v>-8.5399999999999991</c:v>
                </c:pt>
                <c:pt idx="5">
                  <c:v>-25.97</c:v>
                </c:pt>
                <c:pt idx="6">
                  <c:v>-31.46</c:v>
                </c:pt>
                <c:pt idx="7">
                  <c:v>-32.369999999999997</c:v>
                </c:pt>
                <c:pt idx="8">
                  <c:v>-6.5</c:v>
                </c:pt>
                <c:pt idx="9">
                  <c:v>-12.28</c:v>
                </c:pt>
                <c:pt idx="10">
                  <c:v>-12.39</c:v>
                </c:pt>
                <c:pt idx="11">
                  <c:v>-18.7</c:v>
                </c:pt>
                <c:pt idx="12">
                  <c:v>-23.91</c:v>
                </c:pt>
                <c:pt idx="13">
                  <c:v>-28.07</c:v>
                </c:pt>
                <c:pt idx="14">
                  <c:v>-25.25</c:v>
                </c:pt>
                <c:pt idx="15">
                  <c:v>-17.04</c:v>
                </c:pt>
                <c:pt idx="16">
                  <c:v>-10.24</c:v>
                </c:pt>
                <c:pt idx="17">
                  <c:v>-14.27</c:v>
                </c:pt>
                <c:pt idx="18">
                  <c:v>-20.99</c:v>
                </c:pt>
                <c:pt idx="19">
                  <c:v>-24.02</c:v>
                </c:pt>
                <c:pt idx="20">
                  <c:v>-28.34</c:v>
                </c:pt>
                <c:pt idx="21">
                  <c:v>-17.100000000000001</c:v>
                </c:pt>
                <c:pt idx="22">
                  <c:v>-23.34</c:v>
                </c:pt>
                <c:pt idx="23">
                  <c:v>-22.66</c:v>
                </c:pt>
                <c:pt idx="24">
                  <c:v>-20.86</c:v>
                </c:pt>
                <c:pt idx="25">
                  <c:v>-16.690000000000001</c:v>
                </c:pt>
                <c:pt idx="26">
                  <c:v>-26.8</c:v>
                </c:pt>
                <c:pt idx="27">
                  <c:v>-29.95</c:v>
                </c:pt>
                <c:pt idx="28">
                  <c:v>-31.24</c:v>
                </c:pt>
                <c:pt idx="29">
                  <c:v>-25.78</c:v>
                </c:pt>
                <c:pt idx="30">
                  <c:v>-11.59</c:v>
                </c:pt>
                <c:pt idx="31">
                  <c:v>-6.4610000000000003</c:v>
                </c:pt>
                <c:pt idx="32">
                  <c:v>-22.86</c:v>
                </c:pt>
                <c:pt idx="33">
                  <c:v>-22.39</c:v>
                </c:pt>
                <c:pt idx="34">
                  <c:v>-35.06</c:v>
                </c:pt>
                <c:pt idx="35">
                  <c:v>-43.05</c:v>
                </c:pt>
                <c:pt idx="36">
                  <c:v>-35.99</c:v>
                </c:pt>
                <c:pt idx="37">
                  <c:v>-35.33</c:v>
                </c:pt>
                <c:pt idx="38">
                  <c:v>-19.02</c:v>
                </c:pt>
                <c:pt idx="39">
                  <c:v>-27.63</c:v>
                </c:pt>
                <c:pt idx="40">
                  <c:v>-37.340000000000003</c:v>
                </c:pt>
                <c:pt idx="41">
                  <c:v>-39.549999999999997</c:v>
                </c:pt>
                <c:pt idx="42">
                  <c:v>-30.98</c:v>
                </c:pt>
                <c:pt idx="43">
                  <c:v>-33.9</c:v>
                </c:pt>
                <c:pt idx="44">
                  <c:v>-25.61</c:v>
                </c:pt>
                <c:pt idx="45">
                  <c:v>-19.25</c:v>
                </c:pt>
                <c:pt idx="46">
                  <c:v>-22.27</c:v>
                </c:pt>
                <c:pt idx="47">
                  <c:v>-32.020000000000003</c:v>
                </c:pt>
                <c:pt idx="48">
                  <c:v>-35.04</c:v>
                </c:pt>
                <c:pt idx="49">
                  <c:v>-22.31</c:v>
                </c:pt>
                <c:pt idx="50">
                  <c:v>-17.03</c:v>
                </c:pt>
                <c:pt idx="51">
                  <c:v>-32.33</c:v>
                </c:pt>
                <c:pt idx="52">
                  <c:v>-17.350000000000001</c:v>
                </c:pt>
                <c:pt idx="53">
                  <c:v>-26.39</c:v>
                </c:pt>
                <c:pt idx="54">
                  <c:v>-25.27</c:v>
                </c:pt>
                <c:pt idx="55">
                  <c:v>-30.07</c:v>
                </c:pt>
                <c:pt idx="56">
                  <c:v>-37.380000000000003</c:v>
                </c:pt>
                <c:pt idx="57">
                  <c:v>-34.33</c:v>
                </c:pt>
                <c:pt idx="58">
                  <c:v>-19.5</c:v>
                </c:pt>
                <c:pt idx="59">
                  <c:v>-26.14</c:v>
                </c:pt>
                <c:pt idx="60">
                  <c:v>-35.86</c:v>
                </c:pt>
                <c:pt idx="61">
                  <c:v>-40.65</c:v>
                </c:pt>
                <c:pt idx="62">
                  <c:v>-42.87</c:v>
                </c:pt>
                <c:pt idx="63">
                  <c:v>-35.18</c:v>
                </c:pt>
                <c:pt idx="64">
                  <c:v>-8.1999999999999993</c:v>
                </c:pt>
                <c:pt idx="65">
                  <c:v>-30.07</c:v>
                </c:pt>
                <c:pt idx="66">
                  <c:v>-34.56</c:v>
                </c:pt>
                <c:pt idx="67">
                  <c:v>-30.83</c:v>
                </c:pt>
                <c:pt idx="68">
                  <c:v>-32.07</c:v>
                </c:pt>
                <c:pt idx="69">
                  <c:v>-16.45</c:v>
                </c:pt>
                <c:pt idx="70">
                  <c:v>-26.48</c:v>
                </c:pt>
                <c:pt idx="71">
                  <c:v>-27.93</c:v>
                </c:pt>
                <c:pt idx="72">
                  <c:v>-28.13</c:v>
                </c:pt>
                <c:pt idx="73">
                  <c:v>-18.64</c:v>
                </c:pt>
                <c:pt idx="74">
                  <c:v>-17.54</c:v>
                </c:pt>
                <c:pt idx="75">
                  <c:v>-20.059999999999999</c:v>
                </c:pt>
                <c:pt idx="76">
                  <c:v>-19.03</c:v>
                </c:pt>
                <c:pt idx="77">
                  <c:v>-17.170000000000002</c:v>
                </c:pt>
                <c:pt idx="78">
                  <c:v>-14.62</c:v>
                </c:pt>
                <c:pt idx="79">
                  <c:v>-14.21</c:v>
                </c:pt>
                <c:pt idx="80">
                  <c:v>-12.36</c:v>
                </c:pt>
                <c:pt idx="81">
                  <c:v>-5.577</c:v>
                </c:pt>
                <c:pt idx="82">
                  <c:v>-5.4619999999999997</c:v>
                </c:pt>
                <c:pt idx="83">
                  <c:v>-1.58</c:v>
                </c:pt>
                <c:pt idx="84">
                  <c:v>-19.03</c:v>
                </c:pt>
                <c:pt idx="85">
                  <c:v>-21.01</c:v>
                </c:pt>
                <c:pt idx="86">
                  <c:v>-14.89</c:v>
                </c:pt>
                <c:pt idx="87">
                  <c:v>-15.25</c:v>
                </c:pt>
                <c:pt idx="88">
                  <c:v>-15.29</c:v>
                </c:pt>
                <c:pt idx="89">
                  <c:v>-10.44</c:v>
                </c:pt>
                <c:pt idx="90">
                  <c:v>-14.11</c:v>
                </c:pt>
                <c:pt idx="91">
                  <c:v>-14.9</c:v>
                </c:pt>
                <c:pt idx="92">
                  <c:v>-5.88</c:v>
                </c:pt>
                <c:pt idx="93">
                  <c:v>-10.119999999999999</c:v>
                </c:pt>
                <c:pt idx="94">
                  <c:v>-10.65</c:v>
                </c:pt>
                <c:pt idx="95">
                  <c:v>-19.399999999999999</c:v>
                </c:pt>
                <c:pt idx="96">
                  <c:v>-11.22</c:v>
                </c:pt>
                <c:pt idx="97">
                  <c:v>-12.82</c:v>
                </c:pt>
                <c:pt idx="98">
                  <c:v>-5.0490000000000004</c:v>
                </c:pt>
                <c:pt idx="99">
                  <c:v>-14.32</c:v>
                </c:pt>
                <c:pt idx="100">
                  <c:v>-16.38</c:v>
                </c:pt>
                <c:pt idx="101">
                  <c:v>-13.48</c:v>
                </c:pt>
                <c:pt idx="102">
                  <c:v>-11.74</c:v>
                </c:pt>
                <c:pt idx="103">
                  <c:v>-10.14</c:v>
                </c:pt>
                <c:pt idx="104">
                  <c:v>-18.670000000000002</c:v>
                </c:pt>
                <c:pt idx="105">
                  <c:v>-17.77</c:v>
                </c:pt>
                <c:pt idx="106">
                  <c:v>-3.1739999999999999</c:v>
                </c:pt>
                <c:pt idx="107">
                  <c:v>-0.08</c:v>
                </c:pt>
                <c:pt idx="108">
                  <c:v>-0.34699999999999998</c:v>
                </c:pt>
                <c:pt idx="109">
                  <c:v>-10.9</c:v>
                </c:pt>
                <c:pt idx="110">
                  <c:v>-13.85</c:v>
                </c:pt>
                <c:pt idx="111">
                  <c:v>-8.1</c:v>
                </c:pt>
                <c:pt idx="112">
                  <c:v>-7.21</c:v>
                </c:pt>
                <c:pt idx="113">
                  <c:v>-10.35</c:v>
                </c:pt>
                <c:pt idx="114">
                  <c:v>-13.45</c:v>
                </c:pt>
                <c:pt idx="115">
                  <c:v>-6.556</c:v>
                </c:pt>
                <c:pt idx="116">
                  <c:v>-9.74</c:v>
                </c:pt>
                <c:pt idx="117">
                  <c:v>-12.44</c:v>
                </c:pt>
                <c:pt idx="118">
                  <c:v>-15.6</c:v>
                </c:pt>
                <c:pt idx="119">
                  <c:v>-17.27</c:v>
                </c:pt>
                <c:pt idx="120">
                  <c:v>-6.4610000000000003</c:v>
                </c:pt>
                <c:pt idx="121">
                  <c:v>-6.8380000000000001</c:v>
                </c:pt>
                <c:pt idx="122">
                  <c:v>-8.4499999999999993</c:v>
                </c:pt>
                <c:pt idx="123">
                  <c:v>-6.0279999999999996</c:v>
                </c:pt>
                <c:pt idx="124">
                  <c:v>-6.9749999999999996</c:v>
                </c:pt>
                <c:pt idx="125">
                  <c:v>-5.3639999999999999</c:v>
                </c:pt>
                <c:pt idx="126">
                  <c:v>-2.9990000000000001</c:v>
                </c:pt>
                <c:pt idx="127">
                  <c:v>-3.48</c:v>
                </c:pt>
                <c:pt idx="128">
                  <c:v>-5.1879999999999997</c:v>
                </c:pt>
                <c:pt idx="129">
                  <c:v>-3.61</c:v>
                </c:pt>
                <c:pt idx="130">
                  <c:v>-2.7120000000000002</c:v>
                </c:pt>
                <c:pt idx="131">
                  <c:v>-2.9969999999999999</c:v>
                </c:pt>
                <c:pt idx="132">
                  <c:v>-5.109</c:v>
                </c:pt>
                <c:pt idx="133">
                  <c:v>-4.9340000000000002</c:v>
                </c:pt>
                <c:pt idx="134">
                  <c:v>-3.27</c:v>
                </c:pt>
                <c:pt idx="135">
                  <c:v>5.0999999999999996</c:v>
                </c:pt>
                <c:pt idx="136">
                  <c:v>-0.50800000000000001</c:v>
                </c:pt>
                <c:pt idx="137">
                  <c:v>0.24399999999999999</c:v>
                </c:pt>
                <c:pt idx="138">
                  <c:v>1.7889999999999999</c:v>
                </c:pt>
                <c:pt idx="139">
                  <c:v>1.8340000000000001</c:v>
                </c:pt>
                <c:pt idx="140">
                  <c:v>1.069</c:v>
                </c:pt>
                <c:pt idx="141">
                  <c:v>-3.8690000000000002</c:v>
                </c:pt>
                <c:pt idx="142">
                  <c:v>-2.4950000000000001</c:v>
                </c:pt>
                <c:pt idx="143">
                  <c:v>-2.4950000000000001</c:v>
                </c:pt>
                <c:pt idx="144">
                  <c:v>1.851</c:v>
                </c:pt>
                <c:pt idx="145">
                  <c:v>-1.2589999999999999</c:v>
                </c:pt>
                <c:pt idx="146">
                  <c:v>-3.0179999999999998</c:v>
                </c:pt>
                <c:pt idx="147">
                  <c:v>-3.5019999999999998</c:v>
                </c:pt>
                <c:pt idx="148">
                  <c:v>-2.339</c:v>
                </c:pt>
                <c:pt idx="149">
                  <c:v>-0.30399999999999999</c:v>
                </c:pt>
                <c:pt idx="150">
                  <c:v>0.114</c:v>
                </c:pt>
                <c:pt idx="151">
                  <c:v>-0.315</c:v>
                </c:pt>
                <c:pt idx="152">
                  <c:v>-1.86</c:v>
                </c:pt>
                <c:pt idx="153">
                  <c:v>-4.4610000000000003</c:v>
                </c:pt>
                <c:pt idx="154">
                  <c:v>-6.0359999999999996</c:v>
                </c:pt>
                <c:pt idx="155">
                  <c:v>1.853</c:v>
                </c:pt>
                <c:pt idx="156">
                  <c:v>-2.867</c:v>
                </c:pt>
                <c:pt idx="157">
                  <c:v>-4.0279999999999996</c:v>
                </c:pt>
                <c:pt idx="158">
                  <c:v>-2.597</c:v>
                </c:pt>
                <c:pt idx="159">
                  <c:v>-3.331</c:v>
                </c:pt>
                <c:pt idx="160">
                  <c:v>-2.1019999999999999</c:v>
                </c:pt>
                <c:pt idx="161">
                  <c:v>0.51</c:v>
                </c:pt>
                <c:pt idx="162">
                  <c:v>-1.294</c:v>
                </c:pt>
                <c:pt idx="163">
                  <c:v>1.117</c:v>
                </c:pt>
                <c:pt idx="164">
                  <c:v>-1.292</c:v>
                </c:pt>
                <c:pt idx="165">
                  <c:v>0.72899999999999998</c:v>
                </c:pt>
                <c:pt idx="166">
                  <c:v>-0.86499999999999999</c:v>
                </c:pt>
                <c:pt idx="167">
                  <c:v>0.24199999999999999</c:v>
                </c:pt>
                <c:pt idx="168">
                  <c:v>-2E-3</c:v>
                </c:pt>
                <c:pt idx="169">
                  <c:v>-2.8029999999999999</c:v>
                </c:pt>
                <c:pt idx="170">
                  <c:v>0.21</c:v>
                </c:pt>
                <c:pt idx="171">
                  <c:v>1.625</c:v>
                </c:pt>
                <c:pt idx="172">
                  <c:v>-0.47299999999999998</c:v>
                </c:pt>
                <c:pt idx="173">
                  <c:v>3.5230000000000001</c:v>
                </c:pt>
                <c:pt idx="174">
                  <c:v>-0.92100000000000004</c:v>
                </c:pt>
                <c:pt idx="175">
                  <c:v>-1.611</c:v>
                </c:pt>
                <c:pt idx="176">
                  <c:v>-2.6520000000000001</c:v>
                </c:pt>
                <c:pt idx="177">
                  <c:v>4.9320000000000004</c:v>
                </c:pt>
                <c:pt idx="178">
                  <c:v>-1.0049999999999999</c:v>
                </c:pt>
                <c:pt idx="179">
                  <c:v>-3.198</c:v>
                </c:pt>
                <c:pt idx="180">
                  <c:v>-2.4220000000000002</c:v>
                </c:pt>
                <c:pt idx="181">
                  <c:v>-2.0859999999999999</c:v>
                </c:pt>
                <c:pt idx="182">
                  <c:v>2.7829999999999999</c:v>
                </c:pt>
                <c:pt idx="183">
                  <c:v>-2.6469999999999998</c:v>
                </c:pt>
                <c:pt idx="184">
                  <c:v>6.0519999999999996</c:v>
                </c:pt>
                <c:pt idx="185">
                  <c:v>4.633</c:v>
                </c:pt>
                <c:pt idx="186">
                  <c:v>1.278</c:v>
                </c:pt>
                <c:pt idx="187">
                  <c:v>0.126</c:v>
                </c:pt>
                <c:pt idx="188">
                  <c:v>-1.5329999999999999</c:v>
                </c:pt>
                <c:pt idx="189">
                  <c:v>-0.53900000000000003</c:v>
                </c:pt>
                <c:pt idx="190">
                  <c:v>5.81</c:v>
                </c:pt>
                <c:pt idx="191">
                  <c:v>5.2930000000000001</c:v>
                </c:pt>
                <c:pt idx="192">
                  <c:v>1.6040000000000001</c:v>
                </c:pt>
                <c:pt idx="193">
                  <c:v>1.526</c:v>
                </c:pt>
                <c:pt idx="194">
                  <c:v>1.0660000000000001</c:v>
                </c:pt>
                <c:pt idx="195">
                  <c:v>0.98899999999999999</c:v>
                </c:pt>
                <c:pt idx="196">
                  <c:v>-0.254</c:v>
                </c:pt>
                <c:pt idx="197">
                  <c:v>4.1029999999999998</c:v>
                </c:pt>
                <c:pt idx="198">
                  <c:v>-1.226</c:v>
                </c:pt>
                <c:pt idx="199">
                  <c:v>-1.4690000000000001</c:v>
                </c:pt>
                <c:pt idx="200">
                  <c:v>-0.25900000000000001</c:v>
                </c:pt>
                <c:pt idx="201">
                  <c:v>-1.494</c:v>
                </c:pt>
                <c:pt idx="202">
                  <c:v>-0.107</c:v>
                </c:pt>
                <c:pt idx="203">
                  <c:v>3.8370000000000002</c:v>
                </c:pt>
                <c:pt idx="204">
                  <c:v>-2.0990000000000002</c:v>
                </c:pt>
                <c:pt idx="205">
                  <c:v>-2.653</c:v>
                </c:pt>
                <c:pt idx="206">
                  <c:v>-0.69</c:v>
                </c:pt>
                <c:pt idx="207">
                  <c:v>-0.42599999999999999</c:v>
                </c:pt>
                <c:pt idx="208">
                  <c:v>-2.0950000000000002</c:v>
                </c:pt>
                <c:pt idx="209">
                  <c:v>-0.94</c:v>
                </c:pt>
                <c:pt idx="210">
                  <c:v>-4.9000000000000002E-2</c:v>
                </c:pt>
                <c:pt idx="211">
                  <c:v>-1.5980000000000001</c:v>
                </c:pt>
                <c:pt idx="212">
                  <c:v>-6.3E-2</c:v>
                </c:pt>
                <c:pt idx="213">
                  <c:v>0.41699999999999998</c:v>
                </c:pt>
                <c:pt idx="214">
                  <c:v>-3.746</c:v>
                </c:pt>
                <c:pt idx="215">
                  <c:v>-3.7469999999999999</c:v>
                </c:pt>
                <c:pt idx="216">
                  <c:v>-2.0649999999999999</c:v>
                </c:pt>
                <c:pt idx="217">
                  <c:v>-1.2969999999999999</c:v>
                </c:pt>
                <c:pt idx="218">
                  <c:v>-2.343</c:v>
                </c:pt>
                <c:pt idx="219">
                  <c:v>-1.3</c:v>
                </c:pt>
                <c:pt idx="220">
                  <c:v>1.7669999999999999</c:v>
                </c:pt>
                <c:pt idx="221">
                  <c:v>5.87</c:v>
                </c:pt>
                <c:pt idx="222">
                  <c:v>7.62</c:v>
                </c:pt>
                <c:pt idx="223">
                  <c:v>3.1709999999999998</c:v>
                </c:pt>
                <c:pt idx="224">
                  <c:v>-0.27800000000000002</c:v>
                </c:pt>
                <c:pt idx="225">
                  <c:v>1.4950000000000001</c:v>
                </c:pt>
                <c:pt idx="226">
                  <c:v>-0.499</c:v>
                </c:pt>
                <c:pt idx="227">
                  <c:v>0.44700000000000001</c:v>
                </c:pt>
                <c:pt idx="228">
                  <c:v>-1.1040000000000001</c:v>
                </c:pt>
                <c:pt idx="229">
                  <c:v>-2.7719999999999998</c:v>
                </c:pt>
                <c:pt idx="230">
                  <c:v>-0.92600000000000005</c:v>
                </c:pt>
                <c:pt idx="231">
                  <c:v>-1.341</c:v>
                </c:pt>
                <c:pt idx="232">
                  <c:v>8.6999999999999994E-2</c:v>
                </c:pt>
                <c:pt idx="233">
                  <c:v>-2.7250000000000001</c:v>
                </c:pt>
                <c:pt idx="234">
                  <c:v>-1.4159999999999999</c:v>
                </c:pt>
                <c:pt idx="235">
                  <c:v>-1.496</c:v>
                </c:pt>
                <c:pt idx="236">
                  <c:v>-1.3220000000000001</c:v>
                </c:pt>
                <c:pt idx="237">
                  <c:v>-2.2770000000000001</c:v>
                </c:pt>
                <c:pt idx="238">
                  <c:v>-3.0350000000000001</c:v>
                </c:pt>
                <c:pt idx="239">
                  <c:v>-1.546</c:v>
                </c:pt>
                <c:pt idx="240">
                  <c:v>-2.625</c:v>
                </c:pt>
                <c:pt idx="241">
                  <c:v>2.78</c:v>
                </c:pt>
                <c:pt idx="242">
                  <c:v>3.7450000000000001</c:v>
                </c:pt>
                <c:pt idx="243">
                  <c:v>0.45500000000000002</c:v>
                </c:pt>
                <c:pt idx="244">
                  <c:v>-1.121</c:v>
                </c:pt>
                <c:pt idx="245">
                  <c:v>-2.363</c:v>
                </c:pt>
                <c:pt idx="246">
                  <c:v>0.22800000000000001</c:v>
                </c:pt>
                <c:pt idx="247">
                  <c:v>-1.748</c:v>
                </c:pt>
                <c:pt idx="248">
                  <c:v>0.75</c:v>
                </c:pt>
                <c:pt idx="249">
                  <c:v>-1.169</c:v>
                </c:pt>
                <c:pt idx="250">
                  <c:v>3.931</c:v>
                </c:pt>
                <c:pt idx="251">
                  <c:v>2.6970000000000001</c:v>
                </c:pt>
                <c:pt idx="252">
                  <c:v>1.7010000000000001</c:v>
                </c:pt>
                <c:pt idx="253">
                  <c:v>4.2779999999999996</c:v>
                </c:pt>
                <c:pt idx="254">
                  <c:v>0.27700000000000002</c:v>
                </c:pt>
                <c:pt idx="255">
                  <c:v>2.0710000000000002</c:v>
                </c:pt>
                <c:pt idx="256">
                  <c:v>5.7220000000000004</c:v>
                </c:pt>
                <c:pt idx="257">
                  <c:v>4.9610000000000003</c:v>
                </c:pt>
                <c:pt idx="258">
                  <c:v>0.109</c:v>
                </c:pt>
                <c:pt idx="259">
                  <c:v>1.9370000000000001</c:v>
                </c:pt>
                <c:pt idx="260">
                  <c:v>2.2559999999999998</c:v>
                </c:pt>
                <c:pt idx="261">
                  <c:v>-1.2110000000000001</c:v>
                </c:pt>
                <c:pt idx="262">
                  <c:v>-2.1509999999999998</c:v>
                </c:pt>
                <c:pt idx="263">
                  <c:v>-2.5750000000000002</c:v>
                </c:pt>
                <c:pt idx="264">
                  <c:v>-2.089</c:v>
                </c:pt>
                <c:pt idx="265">
                  <c:v>1.988</c:v>
                </c:pt>
                <c:pt idx="266">
                  <c:v>-3.1920000000000002</c:v>
                </c:pt>
                <c:pt idx="267">
                  <c:v>-3.456</c:v>
                </c:pt>
                <c:pt idx="268">
                  <c:v>-1.33</c:v>
                </c:pt>
                <c:pt idx="269">
                  <c:v>-2.4140000000000001</c:v>
                </c:pt>
                <c:pt idx="270">
                  <c:v>-5.8869999999999996</c:v>
                </c:pt>
                <c:pt idx="271">
                  <c:v>-16.399999999999999</c:v>
                </c:pt>
                <c:pt idx="272">
                  <c:v>-9.75</c:v>
                </c:pt>
                <c:pt idx="273">
                  <c:v>-17.88</c:v>
                </c:pt>
                <c:pt idx="274">
                  <c:v>-9.5500000000000007</c:v>
                </c:pt>
                <c:pt idx="275">
                  <c:v>-4.0810000000000004</c:v>
                </c:pt>
                <c:pt idx="276">
                  <c:v>-5.3360000000000003</c:v>
                </c:pt>
                <c:pt idx="277">
                  <c:v>-5.532</c:v>
                </c:pt>
                <c:pt idx="278">
                  <c:v>-8</c:v>
                </c:pt>
                <c:pt idx="279">
                  <c:v>0.44500000000000001</c:v>
                </c:pt>
                <c:pt idx="280">
                  <c:v>-6.641</c:v>
                </c:pt>
                <c:pt idx="281">
                  <c:v>-16.32</c:v>
                </c:pt>
                <c:pt idx="282">
                  <c:v>-16.47</c:v>
                </c:pt>
                <c:pt idx="283">
                  <c:v>-12.78</c:v>
                </c:pt>
                <c:pt idx="284">
                  <c:v>-7.83</c:v>
                </c:pt>
                <c:pt idx="285">
                  <c:v>-0.93600000000000005</c:v>
                </c:pt>
                <c:pt idx="286">
                  <c:v>-6.181</c:v>
                </c:pt>
                <c:pt idx="287">
                  <c:v>-3.7250000000000001</c:v>
                </c:pt>
                <c:pt idx="288">
                  <c:v>-0.85399999999999998</c:v>
                </c:pt>
                <c:pt idx="289">
                  <c:v>-3.38</c:v>
                </c:pt>
                <c:pt idx="290">
                  <c:v>-4.782</c:v>
                </c:pt>
                <c:pt idx="291">
                  <c:v>-9.14</c:v>
                </c:pt>
                <c:pt idx="292">
                  <c:v>-6.1120000000000001</c:v>
                </c:pt>
                <c:pt idx="293">
                  <c:v>-10.43</c:v>
                </c:pt>
                <c:pt idx="294">
                  <c:v>-4.0869999999999997</c:v>
                </c:pt>
                <c:pt idx="295">
                  <c:v>-12.17</c:v>
                </c:pt>
                <c:pt idx="296">
                  <c:v>-6.524</c:v>
                </c:pt>
                <c:pt idx="297">
                  <c:v>-6.5620000000000003</c:v>
                </c:pt>
                <c:pt idx="298">
                  <c:v>-15.56</c:v>
                </c:pt>
                <c:pt idx="299">
                  <c:v>-17.86</c:v>
                </c:pt>
                <c:pt idx="300">
                  <c:v>-25.14</c:v>
                </c:pt>
                <c:pt idx="301">
                  <c:v>-27.75</c:v>
                </c:pt>
                <c:pt idx="302">
                  <c:v>-19.14</c:v>
                </c:pt>
                <c:pt idx="303">
                  <c:v>-18.420000000000002</c:v>
                </c:pt>
                <c:pt idx="304">
                  <c:v>-19.309999999999999</c:v>
                </c:pt>
                <c:pt idx="305">
                  <c:v>-5.56</c:v>
                </c:pt>
                <c:pt idx="306">
                  <c:v>-2.8940000000000001</c:v>
                </c:pt>
                <c:pt idx="307">
                  <c:v>-5.3310000000000004</c:v>
                </c:pt>
                <c:pt idx="308">
                  <c:v>-7.31</c:v>
                </c:pt>
                <c:pt idx="309">
                  <c:v>-8.17</c:v>
                </c:pt>
                <c:pt idx="310">
                  <c:v>-9.5</c:v>
                </c:pt>
                <c:pt idx="311">
                  <c:v>-2.8879999999999999</c:v>
                </c:pt>
                <c:pt idx="312">
                  <c:v>-2.218</c:v>
                </c:pt>
                <c:pt idx="313">
                  <c:v>-9.4700000000000006</c:v>
                </c:pt>
                <c:pt idx="314">
                  <c:v>-10.76</c:v>
                </c:pt>
                <c:pt idx="315">
                  <c:v>-2.915</c:v>
                </c:pt>
                <c:pt idx="316">
                  <c:v>-11.12</c:v>
                </c:pt>
                <c:pt idx="317">
                  <c:v>-9.42</c:v>
                </c:pt>
                <c:pt idx="318">
                  <c:v>-5.0289999999999999</c:v>
                </c:pt>
                <c:pt idx="319">
                  <c:v>-8.56</c:v>
                </c:pt>
                <c:pt idx="320">
                  <c:v>-3.9529999999999998</c:v>
                </c:pt>
                <c:pt idx="321">
                  <c:v>-7.68</c:v>
                </c:pt>
                <c:pt idx="322">
                  <c:v>-10.16</c:v>
                </c:pt>
                <c:pt idx="323">
                  <c:v>-22.15</c:v>
                </c:pt>
                <c:pt idx="324">
                  <c:v>-20.48</c:v>
                </c:pt>
                <c:pt idx="325">
                  <c:v>-21.66</c:v>
                </c:pt>
                <c:pt idx="326">
                  <c:v>-12.55</c:v>
                </c:pt>
                <c:pt idx="327">
                  <c:v>-10.63</c:v>
                </c:pt>
                <c:pt idx="328">
                  <c:v>-28.04</c:v>
                </c:pt>
                <c:pt idx="329">
                  <c:v>-30.7</c:v>
                </c:pt>
                <c:pt idx="330">
                  <c:v>-25.53</c:v>
                </c:pt>
                <c:pt idx="331">
                  <c:v>-30.07</c:v>
                </c:pt>
                <c:pt idx="332">
                  <c:v>-30.61</c:v>
                </c:pt>
                <c:pt idx="333">
                  <c:v>-26.3</c:v>
                </c:pt>
                <c:pt idx="334">
                  <c:v>-23.74</c:v>
                </c:pt>
                <c:pt idx="335">
                  <c:v>-7.69</c:v>
                </c:pt>
                <c:pt idx="336">
                  <c:v>-5.6689999999999996</c:v>
                </c:pt>
                <c:pt idx="337">
                  <c:v>-22.53</c:v>
                </c:pt>
                <c:pt idx="338">
                  <c:v>-24.27</c:v>
                </c:pt>
                <c:pt idx="339">
                  <c:v>-6.1859999999999999</c:v>
                </c:pt>
                <c:pt idx="340">
                  <c:v>-3.7269999999999999</c:v>
                </c:pt>
                <c:pt idx="341">
                  <c:v>-24.91</c:v>
                </c:pt>
                <c:pt idx="342">
                  <c:v>-23.09</c:v>
                </c:pt>
                <c:pt idx="343">
                  <c:v>-19.809999999999999</c:v>
                </c:pt>
                <c:pt idx="344">
                  <c:v>-19.47</c:v>
                </c:pt>
                <c:pt idx="345">
                  <c:v>-22.21</c:v>
                </c:pt>
                <c:pt idx="346">
                  <c:v>-17.149999999999999</c:v>
                </c:pt>
                <c:pt idx="347">
                  <c:v>-20.02</c:v>
                </c:pt>
                <c:pt idx="348">
                  <c:v>-30.45</c:v>
                </c:pt>
                <c:pt idx="349">
                  <c:v>-31.43</c:v>
                </c:pt>
                <c:pt idx="350">
                  <c:v>-10.64</c:v>
                </c:pt>
                <c:pt idx="351">
                  <c:v>-9.16</c:v>
                </c:pt>
                <c:pt idx="352">
                  <c:v>-11.66</c:v>
                </c:pt>
                <c:pt idx="353">
                  <c:v>-4.694</c:v>
                </c:pt>
                <c:pt idx="354">
                  <c:v>-11.71</c:v>
                </c:pt>
                <c:pt idx="355">
                  <c:v>-22.51</c:v>
                </c:pt>
                <c:pt idx="356">
                  <c:v>-22.44</c:v>
                </c:pt>
                <c:pt idx="357">
                  <c:v>-23.94</c:v>
                </c:pt>
                <c:pt idx="358">
                  <c:v>-32.29</c:v>
                </c:pt>
                <c:pt idx="359">
                  <c:v>-33.619999999999997</c:v>
                </c:pt>
                <c:pt idx="360">
                  <c:v>-25.6</c:v>
                </c:pt>
                <c:pt idx="361">
                  <c:v>-25.07</c:v>
                </c:pt>
                <c:pt idx="362">
                  <c:v>-19.309999999999999</c:v>
                </c:pt>
                <c:pt idx="363">
                  <c:v>-21.23</c:v>
                </c:pt>
                <c:pt idx="364">
                  <c:v>-6.4870000000000001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-6.7539999999999996</c:v>
                </c:pt>
                <c:pt idx="1">
                  <c:v>-8.3800000000000008</c:v>
                </c:pt>
                <c:pt idx="2">
                  <c:v>-3.9159999999999999</c:v>
                </c:pt>
                <c:pt idx="3">
                  <c:v>-10.68</c:v>
                </c:pt>
                <c:pt idx="4">
                  <c:v>-4.7350000000000003</c:v>
                </c:pt>
                <c:pt idx="5">
                  <c:v>-10.9</c:v>
                </c:pt>
                <c:pt idx="6">
                  <c:v>-16.149999999999999</c:v>
                </c:pt>
                <c:pt idx="7">
                  <c:v>-14.78</c:v>
                </c:pt>
                <c:pt idx="8">
                  <c:v>-3.1059999999999999</c:v>
                </c:pt>
                <c:pt idx="9">
                  <c:v>-3.9620000000000002</c:v>
                </c:pt>
                <c:pt idx="10">
                  <c:v>-5.7240000000000002</c:v>
                </c:pt>
                <c:pt idx="11">
                  <c:v>-9.9</c:v>
                </c:pt>
                <c:pt idx="12">
                  <c:v>-16.190000000000001</c:v>
                </c:pt>
                <c:pt idx="13">
                  <c:v>-20.96</c:v>
                </c:pt>
                <c:pt idx="14">
                  <c:v>-17.350000000000001</c:v>
                </c:pt>
                <c:pt idx="15">
                  <c:v>-5.9790000000000001</c:v>
                </c:pt>
                <c:pt idx="16">
                  <c:v>-4.407</c:v>
                </c:pt>
                <c:pt idx="17">
                  <c:v>-7.05</c:v>
                </c:pt>
                <c:pt idx="18">
                  <c:v>-8.91</c:v>
                </c:pt>
                <c:pt idx="19">
                  <c:v>-15.58</c:v>
                </c:pt>
                <c:pt idx="20">
                  <c:v>-18.64</c:v>
                </c:pt>
                <c:pt idx="21">
                  <c:v>-8.4700000000000006</c:v>
                </c:pt>
                <c:pt idx="22">
                  <c:v>-10.68</c:v>
                </c:pt>
                <c:pt idx="23">
                  <c:v>-11.03</c:v>
                </c:pt>
                <c:pt idx="24">
                  <c:v>-7.93</c:v>
                </c:pt>
                <c:pt idx="25">
                  <c:v>-9.82</c:v>
                </c:pt>
                <c:pt idx="26">
                  <c:v>-8.6</c:v>
                </c:pt>
                <c:pt idx="27">
                  <c:v>-21.58</c:v>
                </c:pt>
                <c:pt idx="28">
                  <c:v>-23.51</c:v>
                </c:pt>
                <c:pt idx="29">
                  <c:v>-8.69</c:v>
                </c:pt>
                <c:pt idx="30">
                  <c:v>-5.74</c:v>
                </c:pt>
                <c:pt idx="31">
                  <c:v>-4.2839999999999998</c:v>
                </c:pt>
                <c:pt idx="32">
                  <c:v>-10.37</c:v>
                </c:pt>
                <c:pt idx="33">
                  <c:v>-14.46</c:v>
                </c:pt>
                <c:pt idx="34">
                  <c:v>-24.95</c:v>
                </c:pt>
                <c:pt idx="35">
                  <c:v>-28.39</c:v>
                </c:pt>
                <c:pt idx="36">
                  <c:v>-28.9</c:v>
                </c:pt>
                <c:pt idx="37">
                  <c:v>-17.489999999999998</c:v>
                </c:pt>
                <c:pt idx="38">
                  <c:v>-15.07</c:v>
                </c:pt>
                <c:pt idx="39">
                  <c:v>-20.079999999999998</c:v>
                </c:pt>
                <c:pt idx="40">
                  <c:v>-24.4</c:v>
                </c:pt>
                <c:pt idx="41">
                  <c:v>-21.94</c:v>
                </c:pt>
                <c:pt idx="42">
                  <c:v>-15.11</c:v>
                </c:pt>
                <c:pt idx="43">
                  <c:v>-20.81</c:v>
                </c:pt>
                <c:pt idx="44">
                  <c:v>-12.33</c:v>
                </c:pt>
                <c:pt idx="45">
                  <c:v>-8.43</c:v>
                </c:pt>
                <c:pt idx="46">
                  <c:v>-9.2899999999999991</c:v>
                </c:pt>
                <c:pt idx="47">
                  <c:v>-11.84</c:v>
                </c:pt>
                <c:pt idx="48">
                  <c:v>-21.29</c:v>
                </c:pt>
                <c:pt idx="49">
                  <c:v>-9.3000000000000007</c:v>
                </c:pt>
                <c:pt idx="50">
                  <c:v>-10.95</c:v>
                </c:pt>
                <c:pt idx="51">
                  <c:v>-15.39</c:v>
                </c:pt>
                <c:pt idx="52">
                  <c:v>-11.29</c:v>
                </c:pt>
                <c:pt idx="53">
                  <c:v>-12.16</c:v>
                </c:pt>
                <c:pt idx="54">
                  <c:v>-13.65</c:v>
                </c:pt>
                <c:pt idx="55">
                  <c:v>-16.59</c:v>
                </c:pt>
                <c:pt idx="56">
                  <c:v>-26.22</c:v>
                </c:pt>
                <c:pt idx="57">
                  <c:v>-14.04</c:v>
                </c:pt>
                <c:pt idx="58">
                  <c:v>-9.66</c:v>
                </c:pt>
                <c:pt idx="59">
                  <c:v>-12.82</c:v>
                </c:pt>
                <c:pt idx="60">
                  <c:v>-23.41</c:v>
                </c:pt>
                <c:pt idx="61">
                  <c:v>-29.63</c:v>
                </c:pt>
                <c:pt idx="62">
                  <c:v>-29.1</c:v>
                </c:pt>
                <c:pt idx="63">
                  <c:v>-12.84</c:v>
                </c:pt>
                <c:pt idx="64">
                  <c:v>-5.3109999999999999</c:v>
                </c:pt>
                <c:pt idx="65">
                  <c:v>-9.83</c:v>
                </c:pt>
                <c:pt idx="66">
                  <c:v>-22.45</c:v>
                </c:pt>
                <c:pt idx="67">
                  <c:v>-16.079999999999998</c:v>
                </c:pt>
                <c:pt idx="68">
                  <c:v>-19.989999999999998</c:v>
                </c:pt>
                <c:pt idx="69">
                  <c:v>-8.09</c:v>
                </c:pt>
                <c:pt idx="70">
                  <c:v>-10.24</c:v>
                </c:pt>
                <c:pt idx="71">
                  <c:v>-17.68</c:v>
                </c:pt>
                <c:pt idx="72">
                  <c:v>-10.14</c:v>
                </c:pt>
                <c:pt idx="73">
                  <c:v>-9.1199999999999992</c:v>
                </c:pt>
                <c:pt idx="74">
                  <c:v>-7.96</c:v>
                </c:pt>
                <c:pt idx="75">
                  <c:v>-8.7200000000000006</c:v>
                </c:pt>
                <c:pt idx="76">
                  <c:v>-8.2799999999999994</c:v>
                </c:pt>
                <c:pt idx="77">
                  <c:v>-7.19</c:v>
                </c:pt>
                <c:pt idx="78">
                  <c:v>-6.1879999999999997</c:v>
                </c:pt>
                <c:pt idx="79">
                  <c:v>-6.3289999999999997</c:v>
                </c:pt>
                <c:pt idx="80">
                  <c:v>-3.67</c:v>
                </c:pt>
                <c:pt idx="81">
                  <c:v>-1.099</c:v>
                </c:pt>
                <c:pt idx="82">
                  <c:v>-0.69599999999999995</c:v>
                </c:pt>
                <c:pt idx="83">
                  <c:v>-0.23599999999999999</c:v>
                </c:pt>
                <c:pt idx="84">
                  <c:v>-5.093</c:v>
                </c:pt>
                <c:pt idx="85">
                  <c:v>-9.15</c:v>
                </c:pt>
                <c:pt idx="86">
                  <c:v>-6.1150000000000002</c:v>
                </c:pt>
                <c:pt idx="87">
                  <c:v>-7.34</c:v>
                </c:pt>
                <c:pt idx="88">
                  <c:v>-5.3810000000000002</c:v>
                </c:pt>
                <c:pt idx="89">
                  <c:v>-2.9049999999999998</c:v>
                </c:pt>
                <c:pt idx="90">
                  <c:v>-6.4450000000000003</c:v>
                </c:pt>
                <c:pt idx="91">
                  <c:v>-5.8579999999999997</c:v>
                </c:pt>
                <c:pt idx="92">
                  <c:v>-1.4710000000000001</c:v>
                </c:pt>
                <c:pt idx="93">
                  <c:v>-2.8959999999999999</c:v>
                </c:pt>
                <c:pt idx="94">
                  <c:v>-0.79900000000000004</c:v>
                </c:pt>
                <c:pt idx="95">
                  <c:v>-6.7359999999999998</c:v>
                </c:pt>
                <c:pt idx="96">
                  <c:v>-2.8479999999999999</c:v>
                </c:pt>
                <c:pt idx="97">
                  <c:v>-3.556</c:v>
                </c:pt>
                <c:pt idx="98">
                  <c:v>-1.02</c:v>
                </c:pt>
                <c:pt idx="99">
                  <c:v>-2.9609999999999999</c:v>
                </c:pt>
                <c:pt idx="100">
                  <c:v>-4.915</c:v>
                </c:pt>
                <c:pt idx="101">
                  <c:v>-5.0060000000000002</c:v>
                </c:pt>
                <c:pt idx="102">
                  <c:v>-3.5710000000000002</c:v>
                </c:pt>
                <c:pt idx="103">
                  <c:v>-4.8010000000000002</c:v>
                </c:pt>
                <c:pt idx="104">
                  <c:v>-7.87</c:v>
                </c:pt>
                <c:pt idx="105">
                  <c:v>-5.3380000000000001</c:v>
                </c:pt>
                <c:pt idx="106">
                  <c:v>-0.375</c:v>
                </c:pt>
                <c:pt idx="107">
                  <c:v>0.41399999999999998</c:v>
                </c:pt>
                <c:pt idx="108">
                  <c:v>0.58799999999999997</c:v>
                </c:pt>
                <c:pt idx="109">
                  <c:v>-2.7639999999999998</c:v>
                </c:pt>
                <c:pt idx="110">
                  <c:v>-4.4029999999999996</c:v>
                </c:pt>
                <c:pt idx="111">
                  <c:v>-1.5649999999999999</c:v>
                </c:pt>
                <c:pt idx="112">
                  <c:v>-0.86799999999999999</c:v>
                </c:pt>
                <c:pt idx="113">
                  <c:v>-3.6320000000000001</c:v>
                </c:pt>
                <c:pt idx="114">
                  <c:v>-3.4860000000000002</c:v>
                </c:pt>
                <c:pt idx="115">
                  <c:v>-1.415</c:v>
                </c:pt>
                <c:pt idx="116">
                  <c:v>-3.6059999999999999</c:v>
                </c:pt>
                <c:pt idx="117">
                  <c:v>-5.1230000000000002</c:v>
                </c:pt>
                <c:pt idx="118">
                  <c:v>-7.51</c:v>
                </c:pt>
                <c:pt idx="119">
                  <c:v>-5.9660000000000002</c:v>
                </c:pt>
                <c:pt idx="120">
                  <c:v>-1.633</c:v>
                </c:pt>
                <c:pt idx="121">
                  <c:v>-1.363</c:v>
                </c:pt>
                <c:pt idx="122">
                  <c:v>-1.8120000000000001</c:v>
                </c:pt>
                <c:pt idx="123">
                  <c:v>0.30299999999999999</c:v>
                </c:pt>
                <c:pt idx="124">
                  <c:v>0.64100000000000001</c:v>
                </c:pt>
                <c:pt idx="125">
                  <c:v>5.7530000000000001</c:v>
                </c:pt>
                <c:pt idx="126">
                  <c:v>8.31</c:v>
                </c:pt>
                <c:pt idx="127">
                  <c:v>8.9600000000000009</c:v>
                </c:pt>
                <c:pt idx="128">
                  <c:v>10.15</c:v>
                </c:pt>
                <c:pt idx="129">
                  <c:v>11.88</c:v>
                </c:pt>
                <c:pt idx="130">
                  <c:v>13.97</c:v>
                </c:pt>
                <c:pt idx="131">
                  <c:v>15.53</c:v>
                </c:pt>
                <c:pt idx="132">
                  <c:v>13.29</c:v>
                </c:pt>
                <c:pt idx="133">
                  <c:v>5.8419999999999996</c:v>
                </c:pt>
                <c:pt idx="134">
                  <c:v>10.28</c:v>
                </c:pt>
                <c:pt idx="135">
                  <c:v>9.85</c:v>
                </c:pt>
                <c:pt idx="136">
                  <c:v>7.55</c:v>
                </c:pt>
                <c:pt idx="137">
                  <c:v>7.42</c:v>
                </c:pt>
                <c:pt idx="138">
                  <c:v>9.31</c:v>
                </c:pt>
                <c:pt idx="139">
                  <c:v>9.6999999999999993</c:v>
                </c:pt>
                <c:pt idx="140">
                  <c:v>7.57</c:v>
                </c:pt>
                <c:pt idx="141">
                  <c:v>9.6300000000000008</c:v>
                </c:pt>
                <c:pt idx="142">
                  <c:v>10.85</c:v>
                </c:pt>
                <c:pt idx="143">
                  <c:v>10.94</c:v>
                </c:pt>
                <c:pt idx="144">
                  <c:v>8.6</c:v>
                </c:pt>
                <c:pt idx="145">
                  <c:v>9.2100000000000009</c:v>
                </c:pt>
                <c:pt idx="146">
                  <c:v>12.04</c:v>
                </c:pt>
                <c:pt idx="147">
                  <c:v>15.1</c:v>
                </c:pt>
                <c:pt idx="148">
                  <c:v>16.27</c:v>
                </c:pt>
                <c:pt idx="149">
                  <c:v>12.32</c:v>
                </c:pt>
                <c:pt idx="150">
                  <c:v>12.61</c:v>
                </c:pt>
                <c:pt idx="151">
                  <c:v>15.51</c:v>
                </c:pt>
                <c:pt idx="152">
                  <c:v>17.47</c:v>
                </c:pt>
                <c:pt idx="153">
                  <c:v>15.08</c:v>
                </c:pt>
                <c:pt idx="154">
                  <c:v>13.2</c:v>
                </c:pt>
                <c:pt idx="155">
                  <c:v>12.96</c:v>
                </c:pt>
                <c:pt idx="156">
                  <c:v>7.35</c:v>
                </c:pt>
                <c:pt idx="157">
                  <c:v>4.4400000000000004</c:v>
                </c:pt>
                <c:pt idx="158">
                  <c:v>6.43</c:v>
                </c:pt>
                <c:pt idx="159">
                  <c:v>9.92</c:v>
                </c:pt>
                <c:pt idx="160">
                  <c:v>9.43</c:v>
                </c:pt>
                <c:pt idx="161">
                  <c:v>16.7</c:v>
                </c:pt>
                <c:pt idx="162">
                  <c:v>18.25</c:v>
                </c:pt>
                <c:pt idx="163">
                  <c:v>18</c:v>
                </c:pt>
                <c:pt idx="164">
                  <c:v>16.64</c:v>
                </c:pt>
                <c:pt idx="165">
                  <c:v>17.16</c:v>
                </c:pt>
                <c:pt idx="166">
                  <c:v>14.93</c:v>
                </c:pt>
                <c:pt idx="167">
                  <c:v>20.010000000000002</c:v>
                </c:pt>
                <c:pt idx="168">
                  <c:v>17.3</c:v>
                </c:pt>
                <c:pt idx="169">
                  <c:v>7.42</c:v>
                </c:pt>
                <c:pt idx="170">
                  <c:v>3.0979999999999999</c:v>
                </c:pt>
                <c:pt idx="171">
                  <c:v>10.57</c:v>
                </c:pt>
                <c:pt idx="172">
                  <c:v>12.04</c:v>
                </c:pt>
                <c:pt idx="173">
                  <c:v>10.4</c:v>
                </c:pt>
                <c:pt idx="174">
                  <c:v>8.69</c:v>
                </c:pt>
                <c:pt idx="175">
                  <c:v>8.99</c:v>
                </c:pt>
                <c:pt idx="176">
                  <c:v>13.42</c:v>
                </c:pt>
                <c:pt idx="177">
                  <c:v>11.16</c:v>
                </c:pt>
                <c:pt idx="178">
                  <c:v>11.17</c:v>
                </c:pt>
                <c:pt idx="179">
                  <c:v>9.36</c:v>
                </c:pt>
                <c:pt idx="180">
                  <c:v>11.44</c:v>
                </c:pt>
                <c:pt idx="181">
                  <c:v>15.68</c:v>
                </c:pt>
                <c:pt idx="182">
                  <c:v>13.06</c:v>
                </c:pt>
                <c:pt idx="183">
                  <c:v>15.79</c:v>
                </c:pt>
                <c:pt idx="184">
                  <c:v>13.71</c:v>
                </c:pt>
                <c:pt idx="185">
                  <c:v>11.33</c:v>
                </c:pt>
                <c:pt idx="186">
                  <c:v>11.99</c:v>
                </c:pt>
                <c:pt idx="187">
                  <c:v>11.38</c:v>
                </c:pt>
                <c:pt idx="188">
                  <c:v>10.4</c:v>
                </c:pt>
                <c:pt idx="189">
                  <c:v>13.91</c:v>
                </c:pt>
                <c:pt idx="190">
                  <c:v>13.9</c:v>
                </c:pt>
                <c:pt idx="191">
                  <c:v>14.82</c:v>
                </c:pt>
                <c:pt idx="192">
                  <c:v>15.33</c:v>
                </c:pt>
                <c:pt idx="193">
                  <c:v>15.28</c:v>
                </c:pt>
                <c:pt idx="194">
                  <c:v>14.08</c:v>
                </c:pt>
                <c:pt idx="195">
                  <c:v>14.53</c:v>
                </c:pt>
                <c:pt idx="196">
                  <c:v>12.52</c:v>
                </c:pt>
                <c:pt idx="197">
                  <c:v>11.31</c:v>
                </c:pt>
                <c:pt idx="198">
                  <c:v>9.16</c:v>
                </c:pt>
                <c:pt idx="199">
                  <c:v>9.19</c:v>
                </c:pt>
                <c:pt idx="200">
                  <c:v>10.39</c:v>
                </c:pt>
                <c:pt idx="201">
                  <c:v>15.87</c:v>
                </c:pt>
                <c:pt idx="202">
                  <c:v>17.309999999999999</c:v>
                </c:pt>
                <c:pt idx="203">
                  <c:v>15.02</c:v>
                </c:pt>
                <c:pt idx="204">
                  <c:v>9.52</c:v>
                </c:pt>
                <c:pt idx="205">
                  <c:v>13.54</c:v>
                </c:pt>
                <c:pt idx="206">
                  <c:v>17.510000000000002</c:v>
                </c:pt>
                <c:pt idx="207">
                  <c:v>15.69</c:v>
                </c:pt>
                <c:pt idx="208">
                  <c:v>13.73</c:v>
                </c:pt>
                <c:pt idx="209">
                  <c:v>17.239999999999998</c:v>
                </c:pt>
                <c:pt idx="210">
                  <c:v>16.350000000000001</c:v>
                </c:pt>
                <c:pt idx="211">
                  <c:v>15.74</c:v>
                </c:pt>
                <c:pt idx="212">
                  <c:v>16.93</c:v>
                </c:pt>
                <c:pt idx="213">
                  <c:v>15.99</c:v>
                </c:pt>
                <c:pt idx="214">
                  <c:v>12.32</c:v>
                </c:pt>
                <c:pt idx="215">
                  <c:v>14.24</c:v>
                </c:pt>
                <c:pt idx="216">
                  <c:v>17.29</c:v>
                </c:pt>
                <c:pt idx="217">
                  <c:v>18.07</c:v>
                </c:pt>
                <c:pt idx="218">
                  <c:v>18.350000000000001</c:v>
                </c:pt>
                <c:pt idx="219">
                  <c:v>19.13</c:v>
                </c:pt>
                <c:pt idx="220">
                  <c:v>19.09</c:v>
                </c:pt>
                <c:pt idx="221">
                  <c:v>14.59</c:v>
                </c:pt>
                <c:pt idx="222">
                  <c:v>10.92</c:v>
                </c:pt>
                <c:pt idx="223">
                  <c:v>13.62</c:v>
                </c:pt>
                <c:pt idx="224">
                  <c:v>10.99</c:v>
                </c:pt>
                <c:pt idx="225">
                  <c:v>12.63</c:v>
                </c:pt>
                <c:pt idx="226">
                  <c:v>12.67</c:v>
                </c:pt>
                <c:pt idx="227">
                  <c:v>11.09</c:v>
                </c:pt>
                <c:pt idx="228">
                  <c:v>11.99</c:v>
                </c:pt>
                <c:pt idx="229">
                  <c:v>14.07</c:v>
                </c:pt>
                <c:pt idx="230">
                  <c:v>13.9</c:v>
                </c:pt>
                <c:pt idx="231">
                  <c:v>15.75</c:v>
                </c:pt>
                <c:pt idx="232">
                  <c:v>12.22</c:v>
                </c:pt>
                <c:pt idx="233">
                  <c:v>11.32</c:v>
                </c:pt>
                <c:pt idx="234">
                  <c:v>8.5</c:v>
                </c:pt>
                <c:pt idx="235">
                  <c:v>11.35</c:v>
                </c:pt>
                <c:pt idx="236">
                  <c:v>9.1</c:v>
                </c:pt>
                <c:pt idx="237">
                  <c:v>8.43</c:v>
                </c:pt>
                <c:pt idx="238">
                  <c:v>12.3</c:v>
                </c:pt>
                <c:pt idx="239">
                  <c:v>13.58</c:v>
                </c:pt>
                <c:pt idx="240">
                  <c:v>14.51</c:v>
                </c:pt>
                <c:pt idx="241">
                  <c:v>15.6</c:v>
                </c:pt>
                <c:pt idx="242">
                  <c:v>14.76</c:v>
                </c:pt>
                <c:pt idx="243">
                  <c:v>13.51</c:v>
                </c:pt>
                <c:pt idx="244">
                  <c:v>11.84</c:v>
                </c:pt>
                <c:pt idx="245">
                  <c:v>14.99</c:v>
                </c:pt>
                <c:pt idx="246">
                  <c:v>11.05</c:v>
                </c:pt>
                <c:pt idx="247">
                  <c:v>12.95</c:v>
                </c:pt>
                <c:pt idx="248">
                  <c:v>13.4</c:v>
                </c:pt>
                <c:pt idx="249">
                  <c:v>12.75</c:v>
                </c:pt>
                <c:pt idx="250">
                  <c:v>9.65</c:v>
                </c:pt>
                <c:pt idx="251">
                  <c:v>9.1199999999999992</c:v>
                </c:pt>
                <c:pt idx="252">
                  <c:v>8.44</c:v>
                </c:pt>
                <c:pt idx="253">
                  <c:v>10.71</c:v>
                </c:pt>
                <c:pt idx="254">
                  <c:v>10.28</c:v>
                </c:pt>
                <c:pt idx="255">
                  <c:v>8.9</c:v>
                </c:pt>
                <c:pt idx="256">
                  <c:v>9.08</c:v>
                </c:pt>
                <c:pt idx="257">
                  <c:v>7.66</c:v>
                </c:pt>
                <c:pt idx="258">
                  <c:v>7.51</c:v>
                </c:pt>
                <c:pt idx="259">
                  <c:v>6.0019999999999998</c:v>
                </c:pt>
                <c:pt idx="260">
                  <c:v>6.8390000000000004</c:v>
                </c:pt>
                <c:pt idx="261">
                  <c:v>8.0399999999999991</c:v>
                </c:pt>
                <c:pt idx="262">
                  <c:v>6.52</c:v>
                </c:pt>
                <c:pt idx="263">
                  <c:v>6.3410000000000002</c:v>
                </c:pt>
                <c:pt idx="264">
                  <c:v>6.617</c:v>
                </c:pt>
                <c:pt idx="265">
                  <c:v>6.1120000000000001</c:v>
                </c:pt>
                <c:pt idx="266">
                  <c:v>5.6449999999999996</c:v>
                </c:pt>
                <c:pt idx="267">
                  <c:v>5.2640000000000002</c:v>
                </c:pt>
                <c:pt idx="268">
                  <c:v>5.0519999999999996</c:v>
                </c:pt>
                <c:pt idx="269">
                  <c:v>0.78100000000000003</c:v>
                </c:pt>
                <c:pt idx="270">
                  <c:v>-2.552</c:v>
                </c:pt>
                <c:pt idx="271">
                  <c:v>-5.3179999999999996</c:v>
                </c:pt>
                <c:pt idx="272">
                  <c:v>-4.6550000000000002</c:v>
                </c:pt>
                <c:pt idx="273">
                  <c:v>-5.4850000000000003</c:v>
                </c:pt>
                <c:pt idx="274">
                  <c:v>-2.1930000000000001</c:v>
                </c:pt>
                <c:pt idx="275">
                  <c:v>-0.69399999999999995</c:v>
                </c:pt>
                <c:pt idx="276">
                  <c:v>-0.10299999999999999</c:v>
                </c:pt>
                <c:pt idx="277">
                  <c:v>0.63500000000000001</c:v>
                </c:pt>
                <c:pt idx="278">
                  <c:v>0.436</c:v>
                </c:pt>
                <c:pt idx="279">
                  <c:v>3.39</c:v>
                </c:pt>
                <c:pt idx="280">
                  <c:v>-2.9430000000000001</c:v>
                </c:pt>
                <c:pt idx="281">
                  <c:v>-8.5</c:v>
                </c:pt>
                <c:pt idx="282">
                  <c:v>-7.17</c:v>
                </c:pt>
                <c:pt idx="283">
                  <c:v>-4.3710000000000004</c:v>
                </c:pt>
                <c:pt idx="284">
                  <c:v>-1.1000000000000001</c:v>
                </c:pt>
                <c:pt idx="285">
                  <c:v>8.2000000000000003E-2</c:v>
                </c:pt>
                <c:pt idx="286">
                  <c:v>0.16500000000000001</c:v>
                </c:pt>
                <c:pt idx="287">
                  <c:v>-6.3E-2</c:v>
                </c:pt>
                <c:pt idx="288">
                  <c:v>2.681</c:v>
                </c:pt>
                <c:pt idx="289">
                  <c:v>1.8240000000000001</c:v>
                </c:pt>
                <c:pt idx="290">
                  <c:v>-1.2749999999999999</c:v>
                </c:pt>
                <c:pt idx="291">
                  <c:v>-3.556</c:v>
                </c:pt>
                <c:pt idx="292">
                  <c:v>-2.3959999999999999</c:v>
                </c:pt>
                <c:pt idx="293">
                  <c:v>-1.849</c:v>
                </c:pt>
                <c:pt idx="294">
                  <c:v>-0.88600000000000001</c:v>
                </c:pt>
                <c:pt idx="295">
                  <c:v>-5.9980000000000002</c:v>
                </c:pt>
                <c:pt idx="296">
                  <c:v>-1.0109999999999999</c:v>
                </c:pt>
                <c:pt idx="297">
                  <c:v>-1.8069999999999999</c:v>
                </c:pt>
                <c:pt idx="298">
                  <c:v>-6.4939999999999998</c:v>
                </c:pt>
                <c:pt idx="299">
                  <c:v>-10.26</c:v>
                </c:pt>
                <c:pt idx="300">
                  <c:v>-9.58</c:v>
                </c:pt>
                <c:pt idx="301">
                  <c:v>-16.95</c:v>
                </c:pt>
                <c:pt idx="302">
                  <c:v>-11.65</c:v>
                </c:pt>
                <c:pt idx="303">
                  <c:v>-9</c:v>
                </c:pt>
                <c:pt idx="304">
                  <c:v>-8.6</c:v>
                </c:pt>
                <c:pt idx="305">
                  <c:v>-1.1479999999999999</c:v>
                </c:pt>
                <c:pt idx="306">
                  <c:v>-0.30299999999999999</c:v>
                </c:pt>
                <c:pt idx="307">
                  <c:v>-0.16</c:v>
                </c:pt>
                <c:pt idx="308">
                  <c:v>-2.2149999999999999</c:v>
                </c:pt>
                <c:pt idx="309">
                  <c:v>-2.9820000000000002</c:v>
                </c:pt>
                <c:pt idx="310">
                  <c:v>-3.3109999999999999</c:v>
                </c:pt>
                <c:pt idx="311">
                  <c:v>-0.93600000000000005</c:v>
                </c:pt>
                <c:pt idx="312">
                  <c:v>0.58699999999999997</c:v>
                </c:pt>
                <c:pt idx="313">
                  <c:v>-1.867</c:v>
                </c:pt>
                <c:pt idx="314">
                  <c:v>-3.6680000000000001</c:v>
                </c:pt>
                <c:pt idx="315">
                  <c:v>-1.323</c:v>
                </c:pt>
                <c:pt idx="316">
                  <c:v>-5.0039999999999996</c:v>
                </c:pt>
                <c:pt idx="317">
                  <c:v>-2.9769999999999999</c:v>
                </c:pt>
                <c:pt idx="318">
                  <c:v>-0.93300000000000005</c:v>
                </c:pt>
                <c:pt idx="319">
                  <c:v>-3.2189999999999999</c:v>
                </c:pt>
                <c:pt idx="320">
                  <c:v>-0.69299999999999995</c:v>
                </c:pt>
                <c:pt idx="321">
                  <c:v>-2.6960000000000002</c:v>
                </c:pt>
                <c:pt idx="322">
                  <c:v>-3.2930000000000001</c:v>
                </c:pt>
                <c:pt idx="323">
                  <c:v>-14.11</c:v>
                </c:pt>
                <c:pt idx="324">
                  <c:v>-14.5</c:v>
                </c:pt>
                <c:pt idx="325">
                  <c:v>-12.4</c:v>
                </c:pt>
                <c:pt idx="326">
                  <c:v>-3.4580000000000002</c:v>
                </c:pt>
                <c:pt idx="327">
                  <c:v>-5.4459999999999997</c:v>
                </c:pt>
                <c:pt idx="328">
                  <c:v>-12.11</c:v>
                </c:pt>
                <c:pt idx="329">
                  <c:v>-21.63</c:v>
                </c:pt>
                <c:pt idx="330">
                  <c:v>-15.84</c:v>
                </c:pt>
                <c:pt idx="331">
                  <c:v>-24.3</c:v>
                </c:pt>
                <c:pt idx="332">
                  <c:v>-24.53</c:v>
                </c:pt>
                <c:pt idx="333">
                  <c:v>-16.3</c:v>
                </c:pt>
                <c:pt idx="334">
                  <c:v>-11.29</c:v>
                </c:pt>
                <c:pt idx="335">
                  <c:v>-3.915</c:v>
                </c:pt>
                <c:pt idx="336">
                  <c:v>-2.032</c:v>
                </c:pt>
                <c:pt idx="337">
                  <c:v>-5.2539999999999996</c:v>
                </c:pt>
                <c:pt idx="338">
                  <c:v>-10.29</c:v>
                </c:pt>
                <c:pt idx="339">
                  <c:v>-2.5169999999999999</c:v>
                </c:pt>
                <c:pt idx="340">
                  <c:v>-1.6870000000000001</c:v>
                </c:pt>
                <c:pt idx="341">
                  <c:v>-14.11</c:v>
                </c:pt>
                <c:pt idx="342">
                  <c:v>-17.39</c:v>
                </c:pt>
                <c:pt idx="343">
                  <c:v>-9.9700000000000006</c:v>
                </c:pt>
                <c:pt idx="344">
                  <c:v>-8.35</c:v>
                </c:pt>
                <c:pt idx="345">
                  <c:v>-8.18</c:v>
                </c:pt>
                <c:pt idx="346">
                  <c:v>-7.55</c:v>
                </c:pt>
                <c:pt idx="347">
                  <c:v>-9.09</c:v>
                </c:pt>
                <c:pt idx="348">
                  <c:v>-15.15</c:v>
                </c:pt>
                <c:pt idx="349">
                  <c:v>-15.64</c:v>
                </c:pt>
                <c:pt idx="350">
                  <c:v>-8.1199999999999992</c:v>
                </c:pt>
                <c:pt idx="351">
                  <c:v>-7.68</c:v>
                </c:pt>
                <c:pt idx="352">
                  <c:v>-6.8449999999999998</c:v>
                </c:pt>
                <c:pt idx="353">
                  <c:v>-1.7290000000000001</c:v>
                </c:pt>
                <c:pt idx="354">
                  <c:v>-2.56</c:v>
                </c:pt>
                <c:pt idx="355">
                  <c:v>-10.36</c:v>
                </c:pt>
                <c:pt idx="356">
                  <c:v>-10.61</c:v>
                </c:pt>
                <c:pt idx="357">
                  <c:v>-11.01</c:v>
                </c:pt>
                <c:pt idx="358">
                  <c:v>-20.97</c:v>
                </c:pt>
                <c:pt idx="359">
                  <c:v>-20.82</c:v>
                </c:pt>
                <c:pt idx="360">
                  <c:v>-12.43</c:v>
                </c:pt>
                <c:pt idx="361">
                  <c:v>-12.78</c:v>
                </c:pt>
                <c:pt idx="362">
                  <c:v>-7.53</c:v>
                </c:pt>
                <c:pt idx="363">
                  <c:v>-9.84</c:v>
                </c:pt>
                <c:pt idx="364">
                  <c:v>-4.6399999999999997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70848"/>
        <c:axId val="142272384"/>
      </c:lineChart>
      <c:catAx>
        <c:axId val="1422708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72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272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70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13.14</c:v>
                </c:pt>
                <c:pt idx="1">
                  <c:v>13.11</c:v>
                </c:pt>
                <c:pt idx="2">
                  <c:v>13.16</c:v>
                </c:pt>
                <c:pt idx="3">
                  <c:v>13.14</c:v>
                </c:pt>
                <c:pt idx="4">
                  <c:v>13.19</c:v>
                </c:pt>
                <c:pt idx="5">
                  <c:v>13.08</c:v>
                </c:pt>
                <c:pt idx="6">
                  <c:v>13.06</c:v>
                </c:pt>
                <c:pt idx="7">
                  <c:v>13.13</c:v>
                </c:pt>
                <c:pt idx="8">
                  <c:v>13.18</c:v>
                </c:pt>
                <c:pt idx="9">
                  <c:v>13.17</c:v>
                </c:pt>
                <c:pt idx="10">
                  <c:v>13.18</c:v>
                </c:pt>
                <c:pt idx="11">
                  <c:v>13.14</c:v>
                </c:pt>
                <c:pt idx="12">
                  <c:v>13.11</c:v>
                </c:pt>
                <c:pt idx="13">
                  <c:v>13.1</c:v>
                </c:pt>
                <c:pt idx="14">
                  <c:v>13.12</c:v>
                </c:pt>
                <c:pt idx="15">
                  <c:v>13.18</c:v>
                </c:pt>
                <c:pt idx="16">
                  <c:v>13.18</c:v>
                </c:pt>
                <c:pt idx="17">
                  <c:v>13.17</c:v>
                </c:pt>
                <c:pt idx="18">
                  <c:v>13.15</c:v>
                </c:pt>
                <c:pt idx="19">
                  <c:v>13.11</c:v>
                </c:pt>
                <c:pt idx="20">
                  <c:v>13.06</c:v>
                </c:pt>
                <c:pt idx="21">
                  <c:v>13.14</c:v>
                </c:pt>
                <c:pt idx="22">
                  <c:v>13.14</c:v>
                </c:pt>
                <c:pt idx="23">
                  <c:v>13.17</c:v>
                </c:pt>
                <c:pt idx="24">
                  <c:v>13.2</c:v>
                </c:pt>
                <c:pt idx="25">
                  <c:v>13.2</c:v>
                </c:pt>
                <c:pt idx="26">
                  <c:v>13.14</c:v>
                </c:pt>
                <c:pt idx="27">
                  <c:v>13.07</c:v>
                </c:pt>
                <c:pt idx="28">
                  <c:v>13.08</c:v>
                </c:pt>
                <c:pt idx="29">
                  <c:v>13.19</c:v>
                </c:pt>
                <c:pt idx="30">
                  <c:v>13.16</c:v>
                </c:pt>
                <c:pt idx="31">
                  <c:v>13.18</c:v>
                </c:pt>
                <c:pt idx="32">
                  <c:v>13.12</c:v>
                </c:pt>
                <c:pt idx="33">
                  <c:v>13.04</c:v>
                </c:pt>
                <c:pt idx="34">
                  <c:v>13.01</c:v>
                </c:pt>
                <c:pt idx="35">
                  <c:v>13.04</c:v>
                </c:pt>
                <c:pt idx="36">
                  <c:v>13</c:v>
                </c:pt>
                <c:pt idx="37">
                  <c:v>13.09</c:v>
                </c:pt>
                <c:pt idx="38">
                  <c:v>13.08</c:v>
                </c:pt>
                <c:pt idx="39">
                  <c:v>13.06</c:v>
                </c:pt>
                <c:pt idx="40">
                  <c:v>13.06</c:v>
                </c:pt>
                <c:pt idx="41">
                  <c:v>13.1</c:v>
                </c:pt>
                <c:pt idx="42">
                  <c:v>13.05</c:v>
                </c:pt>
                <c:pt idx="43">
                  <c:v>13.07</c:v>
                </c:pt>
                <c:pt idx="44">
                  <c:v>13.18</c:v>
                </c:pt>
                <c:pt idx="45">
                  <c:v>13.16</c:v>
                </c:pt>
                <c:pt idx="46">
                  <c:v>13.19</c:v>
                </c:pt>
                <c:pt idx="47">
                  <c:v>13.12</c:v>
                </c:pt>
                <c:pt idx="48">
                  <c:v>13.08</c:v>
                </c:pt>
                <c:pt idx="49">
                  <c:v>13.16</c:v>
                </c:pt>
                <c:pt idx="50">
                  <c:v>13.16</c:v>
                </c:pt>
                <c:pt idx="51">
                  <c:v>13.09</c:v>
                </c:pt>
                <c:pt idx="52">
                  <c:v>13.14</c:v>
                </c:pt>
                <c:pt idx="53">
                  <c:v>13.13</c:v>
                </c:pt>
                <c:pt idx="54">
                  <c:v>13.15</c:v>
                </c:pt>
                <c:pt idx="55">
                  <c:v>13.12</c:v>
                </c:pt>
                <c:pt idx="56">
                  <c:v>13.04</c:v>
                </c:pt>
                <c:pt idx="57">
                  <c:v>13.18</c:v>
                </c:pt>
                <c:pt idx="58">
                  <c:v>13.16</c:v>
                </c:pt>
                <c:pt idx="59">
                  <c:v>13.17</c:v>
                </c:pt>
                <c:pt idx="60">
                  <c:v>13.08</c:v>
                </c:pt>
                <c:pt idx="61">
                  <c:v>13.03</c:v>
                </c:pt>
                <c:pt idx="62">
                  <c:v>13.05</c:v>
                </c:pt>
                <c:pt idx="63">
                  <c:v>13.2</c:v>
                </c:pt>
                <c:pt idx="64">
                  <c:v>13.2</c:v>
                </c:pt>
                <c:pt idx="65">
                  <c:v>13.13</c:v>
                </c:pt>
                <c:pt idx="66">
                  <c:v>13.1</c:v>
                </c:pt>
                <c:pt idx="67">
                  <c:v>13.11</c:v>
                </c:pt>
                <c:pt idx="68">
                  <c:v>13.12</c:v>
                </c:pt>
                <c:pt idx="69">
                  <c:v>13.19</c:v>
                </c:pt>
                <c:pt idx="70">
                  <c:v>13.13</c:v>
                </c:pt>
                <c:pt idx="71">
                  <c:v>13.1</c:v>
                </c:pt>
                <c:pt idx="72">
                  <c:v>13.2</c:v>
                </c:pt>
                <c:pt idx="73">
                  <c:v>13.15</c:v>
                </c:pt>
                <c:pt idx="74">
                  <c:v>13.17</c:v>
                </c:pt>
                <c:pt idx="75">
                  <c:v>13.19</c:v>
                </c:pt>
                <c:pt idx="76">
                  <c:v>13.16</c:v>
                </c:pt>
                <c:pt idx="77">
                  <c:v>13.18</c:v>
                </c:pt>
                <c:pt idx="78">
                  <c:v>13.18</c:v>
                </c:pt>
                <c:pt idx="79">
                  <c:v>13.16</c:v>
                </c:pt>
                <c:pt idx="80">
                  <c:v>13.19</c:v>
                </c:pt>
                <c:pt idx="81">
                  <c:v>13.18</c:v>
                </c:pt>
                <c:pt idx="82">
                  <c:v>13.18</c:v>
                </c:pt>
                <c:pt idx="83">
                  <c:v>13.19</c:v>
                </c:pt>
                <c:pt idx="84">
                  <c:v>13.13</c:v>
                </c:pt>
                <c:pt idx="85">
                  <c:v>13.14</c:v>
                </c:pt>
                <c:pt idx="86">
                  <c:v>13.15</c:v>
                </c:pt>
                <c:pt idx="87">
                  <c:v>13.14</c:v>
                </c:pt>
                <c:pt idx="88">
                  <c:v>13.17</c:v>
                </c:pt>
                <c:pt idx="89">
                  <c:v>13.14</c:v>
                </c:pt>
                <c:pt idx="90">
                  <c:v>13.14</c:v>
                </c:pt>
                <c:pt idx="91">
                  <c:v>13.15</c:v>
                </c:pt>
                <c:pt idx="92">
                  <c:v>13.18</c:v>
                </c:pt>
                <c:pt idx="93">
                  <c:v>13.18</c:v>
                </c:pt>
                <c:pt idx="94">
                  <c:v>13.17</c:v>
                </c:pt>
                <c:pt idx="95">
                  <c:v>13.17</c:v>
                </c:pt>
                <c:pt idx="96">
                  <c:v>13.15</c:v>
                </c:pt>
                <c:pt idx="97">
                  <c:v>13.18</c:v>
                </c:pt>
                <c:pt idx="98">
                  <c:v>13.17</c:v>
                </c:pt>
                <c:pt idx="99">
                  <c:v>13.2</c:v>
                </c:pt>
                <c:pt idx="100">
                  <c:v>13.17</c:v>
                </c:pt>
                <c:pt idx="101">
                  <c:v>13.16</c:v>
                </c:pt>
                <c:pt idx="102">
                  <c:v>13.18</c:v>
                </c:pt>
                <c:pt idx="103">
                  <c:v>13.16</c:v>
                </c:pt>
                <c:pt idx="104">
                  <c:v>13.14</c:v>
                </c:pt>
                <c:pt idx="105">
                  <c:v>13.17</c:v>
                </c:pt>
                <c:pt idx="106">
                  <c:v>13.17</c:v>
                </c:pt>
                <c:pt idx="107">
                  <c:v>13.19</c:v>
                </c:pt>
                <c:pt idx="108">
                  <c:v>13.19</c:v>
                </c:pt>
                <c:pt idx="109">
                  <c:v>13.14</c:v>
                </c:pt>
                <c:pt idx="110">
                  <c:v>13.16</c:v>
                </c:pt>
                <c:pt idx="111">
                  <c:v>13.18</c:v>
                </c:pt>
                <c:pt idx="112">
                  <c:v>13.16</c:v>
                </c:pt>
                <c:pt idx="113">
                  <c:v>13.14</c:v>
                </c:pt>
                <c:pt idx="114">
                  <c:v>13.18</c:v>
                </c:pt>
                <c:pt idx="115">
                  <c:v>13.18</c:v>
                </c:pt>
                <c:pt idx="116">
                  <c:v>13.21</c:v>
                </c:pt>
                <c:pt idx="117">
                  <c:v>13.18</c:v>
                </c:pt>
                <c:pt idx="118">
                  <c:v>13.13</c:v>
                </c:pt>
                <c:pt idx="119">
                  <c:v>13.17</c:v>
                </c:pt>
                <c:pt idx="120">
                  <c:v>13.17</c:v>
                </c:pt>
                <c:pt idx="121">
                  <c:v>13.15</c:v>
                </c:pt>
                <c:pt idx="122">
                  <c:v>13.16</c:v>
                </c:pt>
                <c:pt idx="123">
                  <c:v>13.18</c:v>
                </c:pt>
                <c:pt idx="124">
                  <c:v>13.16</c:v>
                </c:pt>
                <c:pt idx="125">
                  <c:v>13.19</c:v>
                </c:pt>
                <c:pt idx="126">
                  <c:v>13.16</c:v>
                </c:pt>
                <c:pt idx="127">
                  <c:v>13.17</c:v>
                </c:pt>
                <c:pt idx="128">
                  <c:v>13.16</c:v>
                </c:pt>
                <c:pt idx="129">
                  <c:v>13.17</c:v>
                </c:pt>
                <c:pt idx="130">
                  <c:v>13.21</c:v>
                </c:pt>
                <c:pt idx="131">
                  <c:v>13.2</c:v>
                </c:pt>
                <c:pt idx="132">
                  <c:v>13.18</c:v>
                </c:pt>
                <c:pt idx="133">
                  <c:v>13.2</c:v>
                </c:pt>
                <c:pt idx="134">
                  <c:v>13.18</c:v>
                </c:pt>
                <c:pt idx="135">
                  <c:v>13.2</c:v>
                </c:pt>
                <c:pt idx="136">
                  <c:v>13.18</c:v>
                </c:pt>
                <c:pt idx="137">
                  <c:v>13.19</c:v>
                </c:pt>
                <c:pt idx="138">
                  <c:v>13.19</c:v>
                </c:pt>
                <c:pt idx="139">
                  <c:v>13.19</c:v>
                </c:pt>
                <c:pt idx="140">
                  <c:v>13.21</c:v>
                </c:pt>
                <c:pt idx="141">
                  <c:v>13.17</c:v>
                </c:pt>
                <c:pt idx="142">
                  <c:v>13.18</c:v>
                </c:pt>
                <c:pt idx="143">
                  <c:v>13.19</c:v>
                </c:pt>
                <c:pt idx="144">
                  <c:v>13.19</c:v>
                </c:pt>
                <c:pt idx="145">
                  <c:v>13.17</c:v>
                </c:pt>
                <c:pt idx="146">
                  <c:v>13.17</c:v>
                </c:pt>
                <c:pt idx="147">
                  <c:v>13.2</c:v>
                </c:pt>
                <c:pt idx="148">
                  <c:v>13.2</c:v>
                </c:pt>
                <c:pt idx="149">
                  <c:v>13.2</c:v>
                </c:pt>
                <c:pt idx="150">
                  <c:v>13.19</c:v>
                </c:pt>
                <c:pt idx="151">
                  <c:v>13.2</c:v>
                </c:pt>
                <c:pt idx="152">
                  <c:v>13.21</c:v>
                </c:pt>
                <c:pt idx="153">
                  <c:v>13.17</c:v>
                </c:pt>
                <c:pt idx="154">
                  <c:v>13.18</c:v>
                </c:pt>
                <c:pt idx="155">
                  <c:v>13.21</c:v>
                </c:pt>
                <c:pt idx="156">
                  <c:v>13.23</c:v>
                </c:pt>
                <c:pt idx="157">
                  <c:v>13.21</c:v>
                </c:pt>
                <c:pt idx="158">
                  <c:v>13.22</c:v>
                </c:pt>
                <c:pt idx="159">
                  <c:v>13.2</c:v>
                </c:pt>
                <c:pt idx="160">
                  <c:v>13.18</c:v>
                </c:pt>
                <c:pt idx="161">
                  <c:v>13.19</c:v>
                </c:pt>
                <c:pt idx="162">
                  <c:v>13.21</c:v>
                </c:pt>
                <c:pt idx="163">
                  <c:v>13.21</c:v>
                </c:pt>
                <c:pt idx="164">
                  <c:v>13.19</c:v>
                </c:pt>
                <c:pt idx="165">
                  <c:v>13.19</c:v>
                </c:pt>
                <c:pt idx="166">
                  <c:v>13.19</c:v>
                </c:pt>
                <c:pt idx="167">
                  <c:v>13.22</c:v>
                </c:pt>
                <c:pt idx="168">
                  <c:v>13.2</c:v>
                </c:pt>
                <c:pt idx="169">
                  <c:v>13.21</c:v>
                </c:pt>
                <c:pt idx="170">
                  <c:v>13.15</c:v>
                </c:pt>
                <c:pt idx="171">
                  <c:v>13.19</c:v>
                </c:pt>
                <c:pt idx="172">
                  <c:v>13.19</c:v>
                </c:pt>
                <c:pt idx="173">
                  <c:v>13.19</c:v>
                </c:pt>
                <c:pt idx="174">
                  <c:v>13.21</c:v>
                </c:pt>
                <c:pt idx="175">
                  <c:v>13.2</c:v>
                </c:pt>
                <c:pt idx="176">
                  <c:v>13.21</c:v>
                </c:pt>
                <c:pt idx="177">
                  <c:v>13.17</c:v>
                </c:pt>
                <c:pt idx="178">
                  <c:v>13.21</c:v>
                </c:pt>
                <c:pt idx="179">
                  <c:v>13.19</c:v>
                </c:pt>
                <c:pt idx="180">
                  <c:v>13.17</c:v>
                </c:pt>
                <c:pt idx="181">
                  <c:v>13.2</c:v>
                </c:pt>
                <c:pt idx="182">
                  <c:v>13.21</c:v>
                </c:pt>
                <c:pt idx="183">
                  <c:v>13.21</c:v>
                </c:pt>
                <c:pt idx="184">
                  <c:v>13.22</c:v>
                </c:pt>
                <c:pt idx="185">
                  <c:v>13.17</c:v>
                </c:pt>
                <c:pt idx="186">
                  <c:v>13.19</c:v>
                </c:pt>
                <c:pt idx="187">
                  <c:v>13.19</c:v>
                </c:pt>
                <c:pt idx="188">
                  <c:v>13.17</c:v>
                </c:pt>
                <c:pt idx="189">
                  <c:v>13.21</c:v>
                </c:pt>
                <c:pt idx="190">
                  <c:v>13.2</c:v>
                </c:pt>
                <c:pt idx="191">
                  <c:v>13.21</c:v>
                </c:pt>
                <c:pt idx="192">
                  <c:v>13.2</c:v>
                </c:pt>
                <c:pt idx="193">
                  <c:v>13.21</c:v>
                </c:pt>
                <c:pt idx="194">
                  <c:v>13.19</c:v>
                </c:pt>
                <c:pt idx="195">
                  <c:v>13.19</c:v>
                </c:pt>
                <c:pt idx="196">
                  <c:v>13.2</c:v>
                </c:pt>
                <c:pt idx="197">
                  <c:v>13.2</c:v>
                </c:pt>
                <c:pt idx="198">
                  <c:v>13.2</c:v>
                </c:pt>
                <c:pt idx="199">
                  <c:v>13.17</c:v>
                </c:pt>
                <c:pt idx="200">
                  <c:v>13.17</c:v>
                </c:pt>
                <c:pt idx="201">
                  <c:v>13.19</c:v>
                </c:pt>
                <c:pt idx="202">
                  <c:v>13.2</c:v>
                </c:pt>
                <c:pt idx="203">
                  <c:v>13.2</c:v>
                </c:pt>
                <c:pt idx="204">
                  <c:v>13.18</c:v>
                </c:pt>
                <c:pt idx="205">
                  <c:v>13.18</c:v>
                </c:pt>
                <c:pt idx="206">
                  <c:v>13.2</c:v>
                </c:pt>
                <c:pt idx="207">
                  <c:v>13.17</c:v>
                </c:pt>
                <c:pt idx="208">
                  <c:v>13.17</c:v>
                </c:pt>
                <c:pt idx="209">
                  <c:v>13.2</c:v>
                </c:pt>
                <c:pt idx="210">
                  <c:v>13.19</c:v>
                </c:pt>
                <c:pt idx="211">
                  <c:v>13.18</c:v>
                </c:pt>
                <c:pt idx="212">
                  <c:v>13.19</c:v>
                </c:pt>
                <c:pt idx="213">
                  <c:v>13.19</c:v>
                </c:pt>
                <c:pt idx="214">
                  <c:v>13.15</c:v>
                </c:pt>
                <c:pt idx="215">
                  <c:v>13.17</c:v>
                </c:pt>
                <c:pt idx="216">
                  <c:v>13.18</c:v>
                </c:pt>
                <c:pt idx="217">
                  <c:v>13.18</c:v>
                </c:pt>
                <c:pt idx="218">
                  <c:v>13.2</c:v>
                </c:pt>
                <c:pt idx="219">
                  <c:v>13.21</c:v>
                </c:pt>
                <c:pt idx="220">
                  <c:v>13.21</c:v>
                </c:pt>
                <c:pt idx="221">
                  <c:v>13.2</c:v>
                </c:pt>
                <c:pt idx="222">
                  <c:v>13.18</c:v>
                </c:pt>
                <c:pt idx="223">
                  <c:v>13.18</c:v>
                </c:pt>
                <c:pt idx="224">
                  <c:v>13.17</c:v>
                </c:pt>
                <c:pt idx="225">
                  <c:v>13.17</c:v>
                </c:pt>
                <c:pt idx="226">
                  <c:v>13.17</c:v>
                </c:pt>
                <c:pt idx="227">
                  <c:v>13.19</c:v>
                </c:pt>
                <c:pt idx="228">
                  <c:v>13.18</c:v>
                </c:pt>
                <c:pt idx="229">
                  <c:v>13.18</c:v>
                </c:pt>
                <c:pt idx="230">
                  <c:v>13.16</c:v>
                </c:pt>
                <c:pt idx="231">
                  <c:v>13.19</c:v>
                </c:pt>
                <c:pt idx="232">
                  <c:v>13.18</c:v>
                </c:pt>
                <c:pt idx="233">
                  <c:v>13.15</c:v>
                </c:pt>
                <c:pt idx="234">
                  <c:v>13.17</c:v>
                </c:pt>
                <c:pt idx="235">
                  <c:v>13.17</c:v>
                </c:pt>
                <c:pt idx="236">
                  <c:v>13.15</c:v>
                </c:pt>
                <c:pt idx="237">
                  <c:v>13.14</c:v>
                </c:pt>
                <c:pt idx="238">
                  <c:v>13.16</c:v>
                </c:pt>
                <c:pt idx="239">
                  <c:v>13.17</c:v>
                </c:pt>
                <c:pt idx="240">
                  <c:v>13.18</c:v>
                </c:pt>
                <c:pt idx="241">
                  <c:v>13.19</c:v>
                </c:pt>
                <c:pt idx="242">
                  <c:v>13.18</c:v>
                </c:pt>
                <c:pt idx="243">
                  <c:v>13.17</c:v>
                </c:pt>
                <c:pt idx="244">
                  <c:v>13.15</c:v>
                </c:pt>
                <c:pt idx="245">
                  <c:v>13.16</c:v>
                </c:pt>
                <c:pt idx="246">
                  <c:v>13.16</c:v>
                </c:pt>
                <c:pt idx="247">
                  <c:v>13.17</c:v>
                </c:pt>
                <c:pt idx="248">
                  <c:v>13.17</c:v>
                </c:pt>
                <c:pt idx="249">
                  <c:v>13.18</c:v>
                </c:pt>
                <c:pt idx="250">
                  <c:v>13.18</c:v>
                </c:pt>
                <c:pt idx="251">
                  <c:v>13.17</c:v>
                </c:pt>
                <c:pt idx="252">
                  <c:v>13.16</c:v>
                </c:pt>
                <c:pt idx="253">
                  <c:v>13.17</c:v>
                </c:pt>
                <c:pt idx="254">
                  <c:v>13.18</c:v>
                </c:pt>
                <c:pt idx="255">
                  <c:v>13.17</c:v>
                </c:pt>
                <c:pt idx="256">
                  <c:v>13.18</c:v>
                </c:pt>
                <c:pt idx="257">
                  <c:v>13.17</c:v>
                </c:pt>
                <c:pt idx="258">
                  <c:v>13.17</c:v>
                </c:pt>
                <c:pt idx="259">
                  <c:v>13.15</c:v>
                </c:pt>
                <c:pt idx="260">
                  <c:v>13.17</c:v>
                </c:pt>
                <c:pt idx="261">
                  <c:v>13.17</c:v>
                </c:pt>
                <c:pt idx="262">
                  <c:v>13.13</c:v>
                </c:pt>
                <c:pt idx="263">
                  <c:v>13.13</c:v>
                </c:pt>
                <c:pt idx="264">
                  <c:v>13.16</c:v>
                </c:pt>
                <c:pt idx="265">
                  <c:v>13.16</c:v>
                </c:pt>
                <c:pt idx="266">
                  <c:v>13.14</c:v>
                </c:pt>
                <c:pt idx="267">
                  <c:v>13.17</c:v>
                </c:pt>
                <c:pt idx="268">
                  <c:v>13.16</c:v>
                </c:pt>
                <c:pt idx="269">
                  <c:v>13.14</c:v>
                </c:pt>
                <c:pt idx="270">
                  <c:v>13.15</c:v>
                </c:pt>
                <c:pt idx="271">
                  <c:v>13.12</c:v>
                </c:pt>
                <c:pt idx="272">
                  <c:v>13.12</c:v>
                </c:pt>
                <c:pt idx="273">
                  <c:v>13.11</c:v>
                </c:pt>
                <c:pt idx="274">
                  <c:v>13.14</c:v>
                </c:pt>
                <c:pt idx="275">
                  <c:v>13.13</c:v>
                </c:pt>
                <c:pt idx="276">
                  <c:v>13.12</c:v>
                </c:pt>
                <c:pt idx="277">
                  <c:v>13.11</c:v>
                </c:pt>
                <c:pt idx="278">
                  <c:v>13.13</c:v>
                </c:pt>
                <c:pt idx="279">
                  <c:v>13.17</c:v>
                </c:pt>
                <c:pt idx="280">
                  <c:v>13.08</c:v>
                </c:pt>
                <c:pt idx="281">
                  <c:v>13.07</c:v>
                </c:pt>
                <c:pt idx="282">
                  <c:v>13.08</c:v>
                </c:pt>
                <c:pt idx="283">
                  <c:v>13.11</c:v>
                </c:pt>
                <c:pt idx="284">
                  <c:v>13.14</c:v>
                </c:pt>
                <c:pt idx="285">
                  <c:v>13.13</c:v>
                </c:pt>
                <c:pt idx="286">
                  <c:v>13.12</c:v>
                </c:pt>
                <c:pt idx="287">
                  <c:v>13.15</c:v>
                </c:pt>
                <c:pt idx="288">
                  <c:v>13.14</c:v>
                </c:pt>
                <c:pt idx="289">
                  <c:v>13.15</c:v>
                </c:pt>
                <c:pt idx="290">
                  <c:v>13.13</c:v>
                </c:pt>
                <c:pt idx="291">
                  <c:v>13.11</c:v>
                </c:pt>
                <c:pt idx="292">
                  <c:v>13.13</c:v>
                </c:pt>
                <c:pt idx="293">
                  <c:v>13.12</c:v>
                </c:pt>
                <c:pt idx="294">
                  <c:v>13.14</c:v>
                </c:pt>
                <c:pt idx="295">
                  <c:v>13.12</c:v>
                </c:pt>
                <c:pt idx="296">
                  <c:v>13.14</c:v>
                </c:pt>
                <c:pt idx="297">
                  <c:v>13.14</c:v>
                </c:pt>
                <c:pt idx="298">
                  <c:v>13.1</c:v>
                </c:pt>
                <c:pt idx="299">
                  <c:v>13.11</c:v>
                </c:pt>
                <c:pt idx="300">
                  <c:v>13.06</c:v>
                </c:pt>
                <c:pt idx="301">
                  <c:v>13.07</c:v>
                </c:pt>
                <c:pt idx="302">
                  <c:v>13.1</c:v>
                </c:pt>
                <c:pt idx="303">
                  <c:v>13.06</c:v>
                </c:pt>
                <c:pt idx="304">
                  <c:v>13.11</c:v>
                </c:pt>
                <c:pt idx="305">
                  <c:v>13.12</c:v>
                </c:pt>
                <c:pt idx="306">
                  <c:v>13.15</c:v>
                </c:pt>
                <c:pt idx="307">
                  <c:v>13.11</c:v>
                </c:pt>
                <c:pt idx="308">
                  <c:v>13.14</c:v>
                </c:pt>
                <c:pt idx="309">
                  <c:v>13.09</c:v>
                </c:pt>
                <c:pt idx="310">
                  <c:v>13.13</c:v>
                </c:pt>
                <c:pt idx="311">
                  <c:v>13.13</c:v>
                </c:pt>
                <c:pt idx="312">
                  <c:v>13.14</c:v>
                </c:pt>
                <c:pt idx="313">
                  <c:v>13.1</c:v>
                </c:pt>
                <c:pt idx="314">
                  <c:v>13.12</c:v>
                </c:pt>
                <c:pt idx="315">
                  <c:v>13.14</c:v>
                </c:pt>
                <c:pt idx="316">
                  <c:v>13.11</c:v>
                </c:pt>
                <c:pt idx="317">
                  <c:v>13.14</c:v>
                </c:pt>
                <c:pt idx="318">
                  <c:v>13.12</c:v>
                </c:pt>
                <c:pt idx="319">
                  <c:v>13.06</c:v>
                </c:pt>
                <c:pt idx="320">
                  <c:v>13.16</c:v>
                </c:pt>
                <c:pt idx="321">
                  <c:v>13.14</c:v>
                </c:pt>
                <c:pt idx="322">
                  <c:v>13.08</c:v>
                </c:pt>
                <c:pt idx="323">
                  <c:v>13.05</c:v>
                </c:pt>
                <c:pt idx="324">
                  <c:v>13.07</c:v>
                </c:pt>
                <c:pt idx="325">
                  <c:v>13.12</c:v>
                </c:pt>
                <c:pt idx="326">
                  <c:v>13.11</c:v>
                </c:pt>
                <c:pt idx="327">
                  <c:v>13.13</c:v>
                </c:pt>
                <c:pt idx="328">
                  <c:v>13.04</c:v>
                </c:pt>
                <c:pt idx="329">
                  <c:v>13.02</c:v>
                </c:pt>
                <c:pt idx="330">
                  <c:v>13.04</c:v>
                </c:pt>
                <c:pt idx="331">
                  <c:v>12.96</c:v>
                </c:pt>
                <c:pt idx="332">
                  <c:v>13</c:v>
                </c:pt>
                <c:pt idx="333">
                  <c:v>13.03</c:v>
                </c:pt>
                <c:pt idx="334">
                  <c:v>13.07</c:v>
                </c:pt>
                <c:pt idx="335">
                  <c:v>13.11</c:v>
                </c:pt>
                <c:pt idx="336">
                  <c:v>13.14</c:v>
                </c:pt>
                <c:pt idx="337">
                  <c:v>13.09</c:v>
                </c:pt>
                <c:pt idx="338">
                  <c:v>13.11</c:v>
                </c:pt>
                <c:pt idx="339">
                  <c:v>13.12</c:v>
                </c:pt>
                <c:pt idx="340">
                  <c:v>13.12</c:v>
                </c:pt>
                <c:pt idx="341">
                  <c:v>13.07</c:v>
                </c:pt>
                <c:pt idx="342">
                  <c:v>13.05</c:v>
                </c:pt>
                <c:pt idx="343">
                  <c:v>13.11</c:v>
                </c:pt>
                <c:pt idx="344">
                  <c:v>13.11</c:v>
                </c:pt>
                <c:pt idx="345">
                  <c:v>13.11</c:v>
                </c:pt>
                <c:pt idx="346">
                  <c:v>13.1</c:v>
                </c:pt>
                <c:pt idx="347">
                  <c:v>13.1</c:v>
                </c:pt>
                <c:pt idx="348">
                  <c:v>13.01</c:v>
                </c:pt>
                <c:pt idx="349">
                  <c:v>13.06</c:v>
                </c:pt>
                <c:pt idx="350">
                  <c:v>13.1</c:v>
                </c:pt>
                <c:pt idx="351">
                  <c:v>13.09</c:v>
                </c:pt>
                <c:pt idx="352">
                  <c:v>13.11</c:v>
                </c:pt>
                <c:pt idx="353">
                  <c:v>13.15</c:v>
                </c:pt>
                <c:pt idx="354">
                  <c:v>13.08</c:v>
                </c:pt>
                <c:pt idx="355">
                  <c:v>13.09</c:v>
                </c:pt>
                <c:pt idx="356">
                  <c:v>13.09</c:v>
                </c:pt>
                <c:pt idx="357">
                  <c:v>13.06</c:v>
                </c:pt>
                <c:pt idx="358">
                  <c:v>13</c:v>
                </c:pt>
                <c:pt idx="359">
                  <c:v>13.08</c:v>
                </c:pt>
                <c:pt idx="360">
                  <c:v>13.07</c:v>
                </c:pt>
                <c:pt idx="361">
                  <c:v>13.09</c:v>
                </c:pt>
                <c:pt idx="362">
                  <c:v>13.13</c:v>
                </c:pt>
                <c:pt idx="363">
                  <c:v>13.12</c:v>
                </c:pt>
                <c:pt idx="364">
                  <c:v>13.14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93248"/>
        <c:axId val="142295040"/>
      </c:lineChart>
      <c:catAx>
        <c:axId val="142293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95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295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9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Data!$CA$6:$CA$370</c:f>
              <c:numCache>
                <c:formatCode>General</c:formatCode>
                <c:ptCount val="365"/>
                <c:pt idx="0">
                  <c:v>-1.3</c:v>
                </c:pt>
                <c:pt idx="1">
                  <c:v>0.5</c:v>
                </c:pt>
                <c:pt idx="2">
                  <c:v>-0.4</c:v>
                </c:pt>
                <c:pt idx="3">
                  <c:v>-2.9000000000000004</c:v>
                </c:pt>
                <c:pt idx="4">
                  <c:v>-1.8</c:v>
                </c:pt>
                <c:pt idx="5">
                  <c:v>-2.1</c:v>
                </c:pt>
                <c:pt idx="6">
                  <c:v>-3.7</c:v>
                </c:pt>
                <c:pt idx="7">
                  <c:v>0</c:v>
                </c:pt>
                <c:pt idx="8">
                  <c:v>-1.2</c:v>
                </c:pt>
                <c:pt idx="9">
                  <c:v>-2.2000000000000002</c:v>
                </c:pt>
                <c:pt idx="10">
                  <c:v>-1.3</c:v>
                </c:pt>
                <c:pt idx="11">
                  <c:v>-4.3</c:v>
                </c:pt>
                <c:pt idx="12">
                  <c:v>-7.4</c:v>
                </c:pt>
                <c:pt idx="13">
                  <c:v>-11.8</c:v>
                </c:pt>
                <c:pt idx="14">
                  <c:v>-6.1999999999999993</c:v>
                </c:pt>
                <c:pt idx="15">
                  <c:v>-2.4</c:v>
                </c:pt>
                <c:pt idx="16">
                  <c:v>-1.9999999999999998</c:v>
                </c:pt>
                <c:pt idx="17">
                  <c:v>-3.1</c:v>
                </c:pt>
                <c:pt idx="18">
                  <c:v>-3.9000000000000004</c:v>
                </c:pt>
                <c:pt idx="19">
                  <c:v>-4.3</c:v>
                </c:pt>
                <c:pt idx="20">
                  <c:v>-2.2000000000000002</c:v>
                </c:pt>
                <c:pt idx="21">
                  <c:v>-9.9999999999999645E-2</c:v>
                </c:pt>
                <c:pt idx="22">
                  <c:v>-0.39999999999999991</c:v>
                </c:pt>
                <c:pt idx="23">
                  <c:v>-7</c:v>
                </c:pt>
                <c:pt idx="24">
                  <c:v>-4.3</c:v>
                </c:pt>
                <c:pt idx="25">
                  <c:v>-12.3</c:v>
                </c:pt>
                <c:pt idx="26">
                  <c:v>-5.3000000000000007</c:v>
                </c:pt>
                <c:pt idx="27">
                  <c:v>-7.5</c:v>
                </c:pt>
                <c:pt idx="28">
                  <c:v>-13.5</c:v>
                </c:pt>
                <c:pt idx="29">
                  <c:v>-6.6999999999999993</c:v>
                </c:pt>
                <c:pt idx="30">
                  <c:v>-3.8</c:v>
                </c:pt>
                <c:pt idx="31">
                  <c:v>-1.2999999999999998</c:v>
                </c:pt>
                <c:pt idx="32">
                  <c:v>-4.3</c:v>
                </c:pt>
                <c:pt idx="33">
                  <c:v>-0.69999999999999929</c:v>
                </c:pt>
                <c:pt idx="34">
                  <c:v>-0.80000000000000071</c:v>
                </c:pt>
                <c:pt idx="35">
                  <c:v>-3.3000000000000007</c:v>
                </c:pt>
                <c:pt idx="36">
                  <c:v>-4.0999999999999996</c:v>
                </c:pt>
                <c:pt idx="37">
                  <c:v>-2.3999999999999995</c:v>
                </c:pt>
                <c:pt idx="38">
                  <c:v>-0.40000000000000036</c:v>
                </c:pt>
                <c:pt idx="39">
                  <c:v>0.59999999999999964</c:v>
                </c:pt>
                <c:pt idx="40">
                  <c:v>-5.0999999999999996</c:v>
                </c:pt>
                <c:pt idx="41">
                  <c:v>-1.4000000000000004</c:v>
                </c:pt>
                <c:pt idx="42">
                  <c:v>-0.30000000000000071</c:v>
                </c:pt>
                <c:pt idx="43">
                  <c:v>-4.7999999999999989</c:v>
                </c:pt>
                <c:pt idx="44">
                  <c:v>-0.90000000000000036</c:v>
                </c:pt>
                <c:pt idx="45">
                  <c:v>-1.3</c:v>
                </c:pt>
                <c:pt idx="46">
                  <c:v>-1.9</c:v>
                </c:pt>
                <c:pt idx="47">
                  <c:v>-9.9999999999999645E-2</c:v>
                </c:pt>
                <c:pt idx="48">
                  <c:v>-2.4000000000000004</c:v>
                </c:pt>
                <c:pt idx="49">
                  <c:v>-1.4000000000000004</c:v>
                </c:pt>
                <c:pt idx="50">
                  <c:v>0.10000000000000053</c:v>
                </c:pt>
                <c:pt idx="51">
                  <c:v>-0.59999999999999964</c:v>
                </c:pt>
                <c:pt idx="52">
                  <c:v>-0.40000000000000036</c:v>
                </c:pt>
                <c:pt idx="53">
                  <c:v>-0.70000000000000018</c:v>
                </c:pt>
                <c:pt idx="54">
                  <c:v>-9.9999999999999645E-2</c:v>
                </c:pt>
                <c:pt idx="55">
                  <c:v>-0.79999999999999893</c:v>
                </c:pt>
                <c:pt idx="56">
                  <c:v>1.6999999999999993</c:v>
                </c:pt>
                <c:pt idx="57">
                  <c:v>-1.8999999999999995</c:v>
                </c:pt>
                <c:pt idx="58">
                  <c:v>-1</c:v>
                </c:pt>
                <c:pt idx="59">
                  <c:v>-2</c:v>
                </c:pt>
                <c:pt idx="60">
                  <c:v>1.4000000000000004</c:v>
                </c:pt>
                <c:pt idx="61">
                  <c:v>-4.2</c:v>
                </c:pt>
                <c:pt idx="62">
                  <c:v>-5.5</c:v>
                </c:pt>
                <c:pt idx="63">
                  <c:v>-0.10000000000000009</c:v>
                </c:pt>
                <c:pt idx="64">
                  <c:v>0.4</c:v>
                </c:pt>
                <c:pt idx="65">
                  <c:v>-2.4</c:v>
                </c:pt>
                <c:pt idx="66">
                  <c:v>-2.9</c:v>
                </c:pt>
                <c:pt idx="67">
                  <c:v>-0.70000000000000007</c:v>
                </c:pt>
                <c:pt idx="68">
                  <c:v>-6.2</c:v>
                </c:pt>
                <c:pt idx="69">
                  <c:v>-2.5</c:v>
                </c:pt>
                <c:pt idx="70">
                  <c:v>-0.89999999999999947</c:v>
                </c:pt>
                <c:pt idx="71">
                  <c:v>-0.8</c:v>
                </c:pt>
                <c:pt idx="72">
                  <c:v>-3.9</c:v>
                </c:pt>
                <c:pt idx="73">
                  <c:v>-5.8999999999999995</c:v>
                </c:pt>
                <c:pt idx="74">
                  <c:v>-8.5</c:v>
                </c:pt>
                <c:pt idx="75">
                  <c:v>-7.9</c:v>
                </c:pt>
                <c:pt idx="76">
                  <c:v>-13.200000000000001</c:v>
                </c:pt>
                <c:pt idx="77">
                  <c:v>-14.7</c:v>
                </c:pt>
                <c:pt idx="78">
                  <c:v>-15.6</c:v>
                </c:pt>
                <c:pt idx="79">
                  <c:v>-16.3</c:v>
                </c:pt>
                <c:pt idx="80">
                  <c:v>-14.2</c:v>
                </c:pt>
                <c:pt idx="81">
                  <c:v>-8.1</c:v>
                </c:pt>
                <c:pt idx="82">
                  <c:v>-8.6</c:v>
                </c:pt>
                <c:pt idx="83">
                  <c:v>-5.9</c:v>
                </c:pt>
                <c:pt idx="84">
                  <c:v>-3.4000000000000004</c:v>
                </c:pt>
                <c:pt idx="85">
                  <c:v>-5.3</c:v>
                </c:pt>
                <c:pt idx="86">
                  <c:v>-5.4</c:v>
                </c:pt>
                <c:pt idx="87">
                  <c:v>-7.3</c:v>
                </c:pt>
                <c:pt idx="88">
                  <c:v>-9.5</c:v>
                </c:pt>
                <c:pt idx="89">
                  <c:v>-9.2000000000000011</c:v>
                </c:pt>
                <c:pt idx="90">
                  <c:v>-7.5</c:v>
                </c:pt>
                <c:pt idx="91">
                  <c:v>-8.3999999999999986</c:v>
                </c:pt>
                <c:pt idx="92">
                  <c:v>-4.9000000000000004</c:v>
                </c:pt>
                <c:pt idx="93">
                  <c:v>-6.8000000000000007</c:v>
                </c:pt>
                <c:pt idx="94">
                  <c:v>-4.8999999999999995</c:v>
                </c:pt>
                <c:pt idx="95">
                  <c:v>-2.5</c:v>
                </c:pt>
                <c:pt idx="96">
                  <c:v>-5.4</c:v>
                </c:pt>
                <c:pt idx="97">
                  <c:v>-3.5</c:v>
                </c:pt>
                <c:pt idx="98">
                  <c:v>-3.9</c:v>
                </c:pt>
                <c:pt idx="99">
                  <c:v>-2.4</c:v>
                </c:pt>
                <c:pt idx="100">
                  <c:v>-4.6000000000000005</c:v>
                </c:pt>
                <c:pt idx="101">
                  <c:v>-3.4</c:v>
                </c:pt>
                <c:pt idx="102">
                  <c:v>-2.5</c:v>
                </c:pt>
                <c:pt idx="103">
                  <c:v>-4.0999999999999996</c:v>
                </c:pt>
                <c:pt idx="104">
                  <c:v>-5.3</c:v>
                </c:pt>
                <c:pt idx="105">
                  <c:v>-7.6999999999999993</c:v>
                </c:pt>
                <c:pt idx="106">
                  <c:v>-7.9</c:v>
                </c:pt>
                <c:pt idx="107">
                  <c:v>-5.1999999999999993</c:v>
                </c:pt>
                <c:pt idx="108">
                  <c:v>-7.4</c:v>
                </c:pt>
                <c:pt idx="109">
                  <c:v>-4.8</c:v>
                </c:pt>
                <c:pt idx="110">
                  <c:v>-11.9</c:v>
                </c:pt>
                <c:pt idx="111">
                  <c:v>-9.2000000000000011</c:v>
                </c:pt>
                <c:pt idx="112">
                  <c:v>-7.8999999999999995</c:v>
                </c:pt>
                <c:pt idx="113">
                  <c:v>-5.8000000000000007</c:v>
                </c:pt>
                <c:pt idx="114">
                  <c:v>-9.6999999999999993</c:v>
                </c:pt>
                <c:pt idx="115">
                  <c:v>-7.8000000000000007</c:v>
                </c:pt>
                <c:pt idx="116">
                  <c:v>-0.2</c:v>
                </c:pt>
                <c:pt idx="117">
                  <c:v>-3.6000000000000005</c:v>
                </c:pt>
                <c:pt idx="118">
                  <c:v>-4</c:v>
                </c:pt>
                <c:pt idx="119">
                  <c:v>-4.4000000000000004</c:v>
                </c:pt>
                <c:pt idx="120">
                  <c:v>-6.1999999999999993</c:v>
                </c:pt>
                <c:pt idx="121">
                  <c:v>-7.8999999999999995</c:v>
                </c:pt>
                <c:pt idx="122">
                  <c:v>-9.6999999999999993</c:v>
                </c:pt>
                <c:pt idx="123">
                  <c:v>-8.5</c:v>
                </c:pt>
                <c:pt idx="124">
                  <c:v>-1</c:v>
                </c:pt>
                <c:pt idx="125">
                  <c:v>7.7999999999999989</c:v>
                </c:pt>
                <c:pt idx="126">
                  <c:v>14.9</c:v>
                </c:pt>
                <c:pt idx="127">
                  <c:v>18.999999999999996</c:v>
                </c:pt>
                <c:pt idx="128">
                  <c:v>15</c:v>
                </c:pt>
                <c:pt idx="129">
                  <c:v>17.5</c:v>
                </c:pt>
                <c:pt idx="130">
                  <c:v>16.899999999999999</c:v>
                </c:pt>
                <c:pt idx="131">
                  <c:v>20.800000000000004</c:v>
                </c:pt>
                <c:pt idx="132">
                  <c:v>23</c:v>
                </c:pt>
                <c:pt idx="133">
                  <c:v>8.9999999999999982</c:v>
                </c:pt>
                <c:pt idx="134">
                  <c:v>16.2</c:v>
                </c:pt>
                <c:pt idx="135">
                  <c:v>10.9</c:v>
                </c:pt>
                <c:pt idx="136">
                  <c:v>7.5000000000000009</c:v>
                </c:pt>
                <c:pt idx="137">
                  <c:v>14.100000000000001</c:v>
                </c:pt>
                <c:pt idx="138">
                  <c:v>18.899999999999999</c:v>
                </c:pt>
                <c:pt idx="139">
                  <c:v>18.299999999999997</c:v>
                </c:pt>
                <c:pt idx="140">
                  <c:v>10.9</c:v>
                </c:pt>
                <c:pt idx="141">
                  <c:v>24.099999999999998</c:v>
                </c:pt>
                <c:pt idx="142">
                  <c:v>19.8</c:v>
                </c:pt>
                <c:pt idx="143">
                  <c:v>20.5</c:v>
                </c:pt>
                <c:pt idx="144">
                  <c:v>12.900000000000002</c:v>
                </c:pt>
                <c:pt idx="145">
                  <c:v>17.599999999999998</c:v>
                </c:pt>
                <c:pt idx="146">
                  <c:v>16.3</c:v>
                </c:pt>
                <c:pt idx="147">
                  <c:v>21.799999999999997</c:v>
                </c:pt>
                <c:pt idx="148">
                  <c:v>21.5</c:v>
                </c:pt>
                <c:pt idx="149">
                  <c:v>15.900000000000002</c:v>
                </c:pt>
                <c:pt idx="150">
                  <c:v>13</c:v>
                </c:pt>
                <c:pt idx="151">
                  <c:v>12.7</c:v>
                </c:pt>
                <c:pt idx="152">
                  <c:v>18</c:v>
                </c:pt>
                <c:pt idx="153">
                  <c:v>21.299999999999997</c:v>
                </c:pt>
                <c:pt idx="154">
                  <c:v>20.100000000000001</c:v>
                </c:pt>
                <c:pt idx="155">
                  <c:v>22.6</c:v>
                </c:pt>
                <c:pt idx="156">
                  <c:v>13.799999999999999</c:v>
                </c:pt>
                <c:pt idx="157">
                  <c:v>13.899999999999999</c:v>
                </c:pt>
                <c:pt idx="158">
                  <c:v>13.5</c:v>
                </c:pt>
                <c:pt idx="159">
                  <c:v>15.200000000000001</c:v>
                </c:pt>
                <c:pt idx="160">
                  <c:v>12.3</c:v>
                </c:pt>
                <c:pt idx="161">
                  <c:v>19.799999999999997</c:v>
                </c:pt>
                <c:pt idx="162">
                  <c:v>18.599999999999998</c:v>
                </c:pt>
                <c:pt idx="163">
                  <c:v>20.6</c:v>
                </c:pt>
                <c:pt idx="164">
                  <c:v>21.6</c:v>
                </c:pt>
                <c:pt idx="165">
                  <c:v>21.799999999999997</c:v>
                </c:pt>
                <c:pt idx="166">
                  <c:v>19.499999999999996</c:v>
                </c:pt>
                <c:pt idx="167">
                  <c:v>21.7</c:v>
                </c:pt>
                <c:pt idx="168">
                  <c:v>25.900000000000002</c:v>
                </c:pt>
                <c:pt idx="169">
                  <c:v>15.700000000000001</c:v>
                </c:pt>
                <c:pt idx="170">
                  <c:v>6.7999999999999989</c:v>
                </c:pt>
                <c:pt idx="171">
                  <c:v>10.899999999999999</c:v>
                </c:pt>
                <c:pt idx="172">
                  <c:v>17</c:v>
                </c:pt>
                <c:pt idx="173">
                  <c:v>12.1</c:v>
                </c:pt>
                <c:pt idx="174">
                  <c:v>15.6</c:v>
                </c:pt>
                <c:pt idx="175">
                  <c:v>13.700000000000001</c:v>
                </c:pt>
                <c:pt idx="176">
                  <c:v>18.200000000000003</c:v>
                </c:pt>
                <c:pt idx="177">
                  <c:v>12.5</c:v>
                </c:pt>
                <c:pt idx="178">
                  <c:v>15.099999999999998</c:v>
                </c:pt>
                <c:pt idx="179">
                  <c:v>15.500000000000002</c:v>
                </c:pt>
                <c:pt idx="180">
                  <c:v>16.900000000000002</c:v>
                </c:pt>
                <c:pt idx="181">
                  <c:v>20</c:v>
                </c:pt>
                <c:pt idx="182">
                  <c:v>15.5</c:v>
                </c:pt>
                <c:pt idx="183">
                  <c:v>22.200000000000003</c:v>
                </c:pt>
                <c:pt idx="184">
                  <c:v>14.600000000000001</c:v>
                </c:pt>
                <c:pt idx="185">
                  <c:v>16.100000000000001</c:v>
                </c:pt>
                <c:pt idx="186">
                  <c:v>13.700000000000001</c:v>
                </c:pt>
                <c:pt idx="187">
                  <c:v>15.1</c:v>
                </c:pt>
                <c:pt idx="188">
                  <c:v>15.499999999999996</c:v>
                </c:pt>
                <c:pt idx="189">
                  <c:v>13.299999999999997</c:v>
                </c:pt>
                <c:pt idx="190">
                  <c:v>13.7</c:v>
                </c:pt>
                <c:pt idx="191">
                  <c:v>14.3</c:v>
                </c:pt>
                <c:pt idx="192">
                  <c:v>14.400000000000002</c:v>
                </c:pt>
                <c:pt idx="193">
                  <c:v>16.500000000000004</c:v>
                </c:pt>
                <c:pt idx="194">
                  <c:v>15.600000000000001</c:v>
                </c:pt>
                <c:pt idx="195">
                  <c:v>22.000000000000004</c:v>
                </c:pt>
                <c:pt idx="196">
                  <c:v>13.2</c:v>
                </c:pt>
                <c:pt idx="197">
                  <c:v>8.7999999999999989</c:v>
                </c:pt>
                <c:pt idx="198">
                  <c:v>13.3</c:v>
                </c:pt>
                <c:pt idx="199">
                  <c:v>14.9</c:v>
                </c:pt>
                <c:pt idx="200">
                  <c:v>13.5</c:v>
                </c:pt>
                <c:pt idx="201">
                  <c:v>15.3</c:v>
                </c:pt>
                <c:pt idx="202">
                  <c:v>15.3</c:v>
                </c:pt>
                <c:pt idx="203">
                  <c:v>9.4000000000000021</c:v>
                </c:pt>
                <c:pt idx="204">
                  <c:v>9.1</c:v>
                </c:pt>
                <c:pt idx="205">
                  <c:v>14.8</c:v>
                </c:pt>
                <c:pt idx="206">
                  <c:v>14.599999999999998</c:v>
                </c:pt>
                <c:pt idx="207">
                  <c:v>18.399999999999999</c:v>
                </c:pt>
                <c:pt idx="208">
                  <c:v>18.2</c:v>
                </c:pt>
                <c:pt idx="209">
                  <c:v>16.199999999999996</c:v>
                </c:pt>
                <c:pt idx="210">
                  <c:v>16.400000000000002</c:v>
                </c:pt>
                <c:pt idx="211">
                  <c:v>19.8</c:v>
                </c:pt>
                <c:pt idx="212">
                  <c:v>17.3</c:v>
                </c:pt>
                <c:pt idx="213">
                  <c:v>17.100000000000001</c:v>
                </c:pt>
                <c:pt idx="214">
                  <c:v>18.800000000000004</c:v>
                </c:pt>
                <c:pt idx="215">
                  <c:v>17.600000000000001</c:v>
                </c:pt>
                <c:pt idx="216">
                  <c:v>16.900000000000002</c:v>
                </c:pt>
                <c:pt idx="217">
                  <c:v>16.399999999999999</c:v>
                </c:pt>
                <c:pt idx="218">
                  <c:v>16.200000000000003</c:v>
                </c:pt>
                <c:pt idx="219">
                  <c:v>16.299999999999997</c:v>
                </c:pt>
                <c:pt idx="220">
                  <c:v>16.8</c:v>
                </c:pt>
                <c:pt idx="221">
                  <c:v>8.6000000000000014</c:v>
                </c:pt>
                <c:pt idx="222">
                  <c:v>4.7000000000000011</c:v>
                </c:pt>
                <c:pt idx="223">
                  <c:v>9.6000000000000014</c:v>
                </c:pt>
                <c:pt idx="224">
                  <c:v>10.5</c:v>
                </c:pt>
                <c:pt idx="225">
                  <c:v>10.700000000000003</c:v>
                </c:pt>
                <c:pt idx="226">
                  <c:v>14.399999999999999</c:v>
                </c:pt>
                <c:pt idx="227">
                  <c:v>12.899999999999999</c:v>
                </c:pt>
                <c:pt idx="228">
                  <c:v>15.599999999999998</c:v>
                </c:pt>
                <c:pt idx="229">
                  <c:v>12.8</c:v>
                </c:pt>
                <c:pt idx="230">
                  <c:v>14.700000000000003</c:v>
                </c:pt>
                <c:pt idx="231">
                  <c:v>14.7</c:v>
                </c:pt>
                <c:pt idx="232">
                  <c:v>10.399999999999999</c:v>
                </c:pt>
                <c:pt idx="233">
                  <c:v>14.600000000000001</c:v>
                </c:pt>
                <c:pt idx="234">
                  <c:v>6.5999999999999979</c:v>
                </c:pt>
                <c:pt idx="235">
                  <c:v>16</c:v>
                </c:pt>
                <c:pt idx="236">
                  <c:v>12.399999999999999</c:v>
                </c:pt>
                <c:pt idx="237">
                  <c:v>11.5</c:v>
                </c:pt>
                <c:pt idx="238">
                  <c:v>10.3</c:v>
                </c:pt>
                <c:pt idx="239">
                  <c:v>12.2</c:v>
                </c:pt>
                <c:pt idx="240">
                  <c:v>15.100000000000001</c:v>
                </c:pt>
                <c:pt idx="241">
                  <c:v>14.100000000000001</c:v>
                </c:pt>
                <c:pt idx="242">
                  <c:v>14.400000000000002</c:v>
                </c:pt>
                <c:pt idx="243">
                  <c:v>11.199999999999996</c:v>
                </c:pt>
                <c:pt idx="244">
                  <c:v>13.399999999999999</c:v>
                </c:pt>
                <c:pt idx="245">
                  <c:v>14.2</c:v>
                </c:pt>
                <c:pt idx="246">
                  <c:v>10.100000000000001</c:v>
                </c:pt>
                <c:pt idx="247">
                  <c:v>10.3</c:v>
                </c:pt>
                <c:pt idx="248">
                  <c:v>10.099999999999998</c:v>
                </c:pt>
                <c:pt idx="249">
                  <c:v>10.899999999999999</c:v>
                </c:pt>
                <c:pt idx="250">
                  <c:v>4.4000000000000004</c:v>
                </c:pt>
                <c:pt idx="251">
                  <c:v>9.8999999999999986</c:v>
                </c:pt>
                <c:pt idx="252">
                  <c:v>7.3000000000000007</c:v>
                </c:pt>
                <c:pt idx="253">
                  <c:v>9.9</c:v>
                </c:pt>
                <c:pt idx="254">
                  <c:v>8.5999999999999979</c:v>
                </c:pt>
                <c:pt idx="255">
                  <c:v>10.500000000000002</c:v>
                </c:pt>
                <c:pt idx="256">
                  <c:v>4.6000000000000014</c:v>
                </c:pt>
                <c:pt idx="257">
                  <c:v>3.0999999999999996</c:v>
                </c:pt>
                <c:pt idx="258">
                  <c:v>7.5</c:v>
                </c:pt>
                <c:pt idx="259">
                  <c:v>6.7000000000000011</c:v>
                </c:pt>
                <c:pt idx="260">
                  <c:v>6.2000000000000011</c:v>
                </c:pt>
                <c:pt idx="261">
                  <c:v>9.6000000000000014</c:v>
                </c:pt>
                <c:pt idx="262">
                  <c:v>6.5</c:v>
                </c:pt>
                <c:pt idx="263">
                  <c:v>5.7999999999999972</c:v>
                </c:pt>
                <c:pt idx="264">
                  <c:v>5.6999999999999993</c:v>
                </c:pt>
                <c:pt idx="265">
                  <c:v>3.0999999999999996</c:v>
                </c:pt>
                <c:pt idx="266">
                  <c:v>7.1999999999999993</c:v>
                </c:pt>
                <c:pt idx="267">
                  <c:v>8.3999999999999986</c:v>
                </c:pt>
                <c:pt idx="268">
                  <c:v>4.0999999999999996</c:v>
                </c:pt>
                <c:pt idx="269">
                  <c:v>1.5999999999999996</c:v>
                </c:pt>
                <c:pt idx="270">
                  <c:v>-1.5</c:v>
                </c:pt>
                <c:pt idx="271">
                  <c:v>-1.4</c:v>
                </c:pt>
                <c:pt idx="272">
                  <c:v>-3.6</c:v>
                </c:pt>
                <c:pt idx="273">
                  <c:v>-8.2000000000000011</c:v>
                </c:pt>
                <c:pt idx="274">
                  <c:v>-4</c:v>
                </c:pt>
                <c:pt idx="275">
                  <c:v>-4.3000000000000007</c:v>
                </c:pt>
                <c:pt idx="276">
                  <c:v>-3.6999999999999997</c:v>
                </c:pt>
                <c:pt idx="277">
                  <c:v>2</c:v>
                </c:pt>
                <c:pt idx="278">
                  <c:v>2.1000000000000014</c:v>
                </c:pt>
                <c:pt idx="279">
                  <c:v>4.8999999999999995</c:v>
                </c:pt>
                <c:pt idx="280">
                  <c:v>-0.7</c:v>
                </c:pt>
                <c:pt idx="281">
                  <c:v>0</c:v>
                </c:pt>
                <c:pt idx="282">
                  <c:v>-1.2000000000000002</c:v>
                </c:pt>
                <c:pt idx="283">
                  <c:v>0.39999999999999947</c:v>
                </c:pt>
                <c:pt idx="284">
                  <c:v>1.1000000000000005</c:v>
                </c:pt>
                <c:pt idx="285">
                  <c:v>0.10000000000000009</c:v>
                </c:pt>
                <c:pt idx="286">
                  <c:v>3.5</c:v>
                </c:pt>
                <c:pt idx="287">
                  <c:v>1</c:v>
                </c:pt>
                <c:pt idx="288">
                  <c:v>0.90000000000000036</c:v>
                </c:pt>
                <c:pt idx="289">
                  <c:v>3.2</c:v>
                </c:pt>
                <c:pt idx="290">
                  <c:v>-1.8</c:v>
                </c:pt>
                <c:pt idx="291">
                  <c:v>2</c:v>
                </c:pt>
                <c:pt idx="292">
                  <c:v>-1.2999999999999998</c:v>
                </c:pt>
                <c:pt idx="293">
                  <c:v>-1.1000000000000001</c:v>
                </c:pt>
                <c:pt idx="294">
                  <c:v>-5.8</c:v>
                </c:pt>
                <c:pt idx="295">
                  <c:v>-5.6</c:v>
                </c:pt>
                <c:pt idx="296">
                  <c:v>-10.199999999999999</c:v>
                </c:pt>
                <c:pt idx="297">
                  <c:v>-8</c:v>
                </c:pt>
                <c:pt idx="298">
                  <c:v>-0.8</c:v>
                </c:pt>
                <c:pt idx="299">
                  <c:v>-3.7</c:v>
                </c:pt>
                <c:pt idx="300">
                  <c:v>-0.60000000000000009</c:v>
                </c:pt>
                <c:pt idx="301">
                  <c:v>-5.7</c:v>
                </c:pt>
                <c:pt idx="302">
                  <c:v>-4.9000000000000004</c:v>
                </c:pt>
                <c:pt idx="303">
                  <c:v>-2.8000000000000003</c:v>
                </c:pt>
                <c:pt idx="304">
                  <c:v>-7.4</c:v>
                </c:pt>
                <c:pt idx="305">
                  <c:v>-7.6</c:v>
                </c:pt>
                <c:pt idx="306">
                  <c:v>-3.3</c:v>
                </c:pt>
                <c:pt idx="307">
                  <c:v>-6</c:v>
                </c:pt>
                <c:pt idx="308">
                  <c:v>-3.3</c:v>
                </c:pt>
                <c:pt idx="309">
                  <c:v>-2.7</c:v>
                </c:pt>
                <c:pt idx="310">
                  <c:v>-0.5</c:v>
                </c:pt>
                <c:pt idx="311">
                  <c:v>-1.2000000000000002</c:v>
                </c:pt>
                <c:pt idx="312">
                  <c:v>-2.2000000000000002</c:v>
                </c:pt>
                <c:pt idx="313">
                  <c:v>1.1000000000000001</c:v>
                </c:pt>
                <c:pt idx="314">
                  <c:v>1.6</c:v>
                </c:pt>
                <c:pt idx="315">
                  <c:v>-1.7</c:v>
                </c:pt>
                <c:pt idx="316">
                  <c:v>-5.4</c:v>
                </c:pt>
                <c:pt idx="317">
                  <c:v>-0.5</c:v>
                </c:pt>
                <c:pt idx="318">
                  <c:v>-1.7000000000000002</c:v>
                </c:pt>
                <c:pt idx="319">
                  <c:v>-1.5</c:v>
                </c:pt>
                <c:pt idx="320">
                  <c:v>-4.8</c:v>
                </c:pt>
                <c:pt idx="321">
                  <c:v>-4.0999999999999996</c:v>
                </c:pt>
                <c:pt idx="322">
                  <c:v>-0.3</c:v>
                </c:pt>
                <c:pt idx="323">
                  <c:v>-6.8999999999999995</c:v>
                </c:pt>
                <c:pt idx="324">
                  <c:v>-10.7</c:v>
                </c:pt>
                <c:pt idx="325">
                  <c:v>-11.2</c:v>
                </c:pt>
                <c:pt idx="326">
                  <c:v>-2.5</c:v>
                </c:pt>
                <c:pt idx="327">
                  <c:v>-2.2000000000000002</c:v>
                </c:pt>
                <c:pt idx="328">
                  <c:v>-2</c:v>
                </c:pt>
                <c:pt idx="329">
                  <c:v>-5.4999999999999991</c:v>
                </c:pt>
                <c:pt idx="330">
                  <c:v>-1.6999999999999993</c:v>
                </c:pt>
                <c:pt idx="331">
                  <c:v>-6.4</c:v>
                </c:pt>
                <c:pt idx="332">
                  <c:v>-8.1999999999999993</c:v>
                </c:pt>
                <c:pt idx="333">
                  <c:v>-7</c:v>
                </c:pt>
                <c:pt idx="334">
                  <c:v>0.79999999999999982</c:v>
                </c:pt>
                <c:pt idx="335">
                  <c:v>-0.7</c:v>
                </c:pt>
                <c:pt idx="336">
                  <c:v>-4.8</c:v>
                </c:pt>
                <c:pt idx="337">
                  <c:v>-2.4000000000000004</c:v>
                </c:pt>
                <c:pt idx="338">
                  <c:v>-4.2</c:v>
                </c:pt>
                <c:pt idx="339">
                  <c:v>0.20000000000000007</c:v>
                </c:pt>
                <c:pt idx="340">
                  <c:v>-0.8</c:v>
                </c:pt>
                <c:pt idx="341">
                  <c:v>-0.5</c:v>
                </c:pt>
                <c:pt idx="342">
                  <c:v>-8.1999999999999993</c:v>
                </c:pt>
                <c:pt idx="343">
                  <c:v>-1.5999999999999996</c:v>
                </c:pt>
                <c:pt idx="344">
                  <c:v>-2.5</c:v>
                </c:pt>
                <c:pt idx="345">
                  <c:v>-2.2999999999999998</c:v>
                </c:pt>
                <c:pt idx="346">
                  <c:v>-2.7</c:v>
                </c:pt>
                <c:pt idx="347">
                  <c:v>-2.5</c:v>
                </c:pt>
                <c:pt idx="348">
                  <c:v>-3</c:v>
                </c:pt>
                <c:pt idx="349">
                  <c:v>0.5</c:v>
                </c:pt>
                <c:pt idx="350">
                  <c:v>-0.29999999999999982</c:v>
                </c:pt>
                <c:pt idx="351">
                  <c:v>-9.9999999999999645E-2</c:v>
                </c:pt>
                <c:pt idx="352">
                  <c:v>-0.39999999999999991</c:v>
                </c:pt>
                <c:pt idx="353">
                  <c:v>-0.8</c:v>
                </c:pt>
                <c:pt idx="354">
                  <c:v>-1</c:v>
                </c:pt>
                <c:pt idx="355">
                  <c:v>-2.0999999999999996</c:v>
                </c:pt>
                <c:pt idx="356">
                  <c:v>-3.8</c:v>
                </c:pt>
                <c:pt idx="357">
                  <c:v>-3.1999999999999997</c:v>
                </c:pt>
                <c:pt idx="358">
                  <c:v>-11.3</c:v>
                </c:pt>
                <c:pt idx="359">
                  <c:v>-3.8</c:v>
                </c:pt>
                <c:pt idx="360">
                  <c:v>-1.4000000000000004</c:v>
                </c:pt>
                <c:pt idx="361">
                  <c:v>0</c:v>
                </c:pt>
                <c:pt idx="362">
                  <c:v>-1.9</c:v>
                </c:pt>
                <c:pt idx="363">
                  <c:v>-1.9999999999999996</c:v>
                </c:pt>
                <c:pt idx="364">
                  <c:v>-0.5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Data!$CB$6:$CB$370</c:f>
              <c:numCache>
                <c:formatCode>General</c:formatCode>
                <c:ptCount val="365"/>
                <c:pt idx="0">
                  <c:v>-7.1000000000000014</c:v>
                </c:pt>
                <c:pt idx="1">
                  <c:v>-6.5000000000000018</c:v>
                </c:pt>
                <c:pt idx="2">
                  <c:v>0.5</c:v>
                </c:pt>
                <c:pt idx="3">
                  <c:v>-10.3</c:v>
                </c:pt>
                <c:pt idx="4">
                  <c:v>-3.8</c:v>
                </c:pt>
                <c:pt idx="5">
                  <c:v>-9.8999999999999986</c:v>
                </c:pt>
                <c:pt idx="6">
                  <c:v>-10.899999999999999</c:v>
                </c:pt>
                <c:pt idx="7">
                  <c:v>-11.5</c:v>
                </c:pt>
                <c:pt idx="8">
                  <c:v>-9.9999999999999645E-2</c:v>
                </c:pt>
                <c:pt idx="9">
                  <c:v>-8.4</c:v>
                </c:pt>
                <c:pt idx="10">
                  <c:v>-8.8000000000000007</c:v>
                </c:pt>
                <c:pt idx="11">
                  <c:v>-8.8999999999999986</c:v>
                </c:pt>
                <c:pt idx="12">
                  <c:v>-11.899999999999999</c:v>
                </c:pt>
                <c:pt idx="13">
                  <c:v>-13.3</c:v>
                </c:pt>
                <c:pt idx="14">
                  <c:v>-12.100000000000001</c:v>
                </c:pt>
                <c:pt idx="15">
                  <c:v>-8.9</c:v>
                </c:pt>
                <c:pt idx="16">
                  <c:v>-6.2999999999999989</c:v>
                </c:pt>
                <c:pt idx="17">
                  <c:v>-7.5000000000000009</c:v>
                </c:pt>
                <c:pt idx="18">
                  <c:v>-10.199999999999999</c:v>
                </c:pt>
                <c:pt idx="19">
                  <c:v>-10</c:v>
                </c:pt>
                <c:pt idx="20">
                  <c:v>-10.5</c:v>
                </c:pt>
                <c:pt idx="21">
                  <c:v>-3.6000000000000014</c:v>
                </c:pt>
                <c:pt idx="22">
                  <c:v>-10.9</c:v>
                </c:pt>
                <c:pt idx="23">
                  <c:v>-10.799999999999999</c:v>
                </c:pt>
                <c:pt idx="24">
                  <c:v>-10.199999999999999</c:v>
                </c:pt>
                <c:pt idx="25">
                  <c:v>-8.6</c:v>
                </c:pt>
                <c:pt idx="26">
                  <c:v>-12</c:v>
                </c:pt>
                <c:pt idx="27">
                  <c:v>-12.3</c:v>
                </c:pt>
                <c:pt idx="28">
                  <c:v>-11.3</c:v>
                </c:pt>
                <c:pt idx="29">
                  <c:v>-10</c:v>
                </c:pt>
                <c:pt idx="30">
                  <c:v>-5.5</c:v>
                </c:pt>
                <c:pt idx="31">
                  <c:v>-2</c:v>
                </c:pt>
                <c:pt idx="32">
                  <c:v>-9.1999999999999993</c:v>
                </c:pt>
                <c:pt idx="33">
                  <c:v>1.8000000000000007</c:v>
                </c:pt>
                <c:pt idx="34">
                  <c:v>-7.9000000000000021</c:v>
                </c:pt>
                <c:pt idx="35">
                  <c:v>-12.8</c:v>
                </c:pt>
                <c:pt idx="36">
                  <c:v>-10</c:v>
                </c:pt>
                <c:pt idx="37">
                  <c:v>-10.299999999999997</c:v>
                </c:pt>
                <c:pt idx="38">
                  <c:v>-2.1999999999999993</c:v>
                </c:pt>
                <c:pt idx="39">
                  <c:v>-7.7000000000000028</c:v>
                </c:pt>
                <c:pt idx="40">
                  <c:v>-8.3999999999999986</c:v>
                </c:pt>
                <c:pt idx="41">
                  <c:v>-9.7000000000000028</c:v>
                </c:pt>
                <c:pt idx="42">
                  <c:v>-11</c:v>
                </c:pt>
                <c:pt idx="43">
                  <c:v>-12.599999999999998</c:v>
                </c:pt>
                <c:pt idx="44">
                  <c:v>-13.000000000000002</c:v>
                </c:pt>
                <c:pt idx="45">
                  <c:v>-8.8000000000000007</c:v>
                </c:pt>
                <c:pt idx="46">
                  <c:v>-9.7000000000000011</c:v>
                </c:pt>
                <c:pt idx="47">
                  <c:v>-12.7</c:v>
                </c:pt>
                <c:pt idx="48">
                  <c:v>-11.600000000000001</c:v>
                </c:pt>
                <c:pt idx="49">
                  <c:v>-8</c:v>
                </c:pt>
                <c:pt idx="50">
                  <c:v>-7.1999999999999993</c:v>
                </c:pt>
                <c:pt idx="51">
                  <c:v>-12.399999999999999</c:v>
                </c:pt>
                <c:pt idx="52">
                  <c:v>-1.9999999999999982</c:v>
                </c:pt>
                <c:pt idx="53">
                  <c:v>-12.099999999999998</c:v>
                </c:pt>
                <c:pt idx="54">
                  <c:v>-10.8</c:v>
                </c:pt>
                <c:pt idx="55">
                  <c:v>-13</c:v>
                </c:pt>
                <c:pt idx="56">
                  <c:v>-12.299999999999997</c:v>
                </c:pt>
                <c:pt idx="57">
                  <c:v>-11.499999999999996</c:v>
                </c:pt>
                <c:pt idx="58">
                  <c:v>-9.4</c:v>
                </c:pt>
                <c:pt idx="59">
                  <c:v>-11.400000000000002</c:v>
                </c:pt>
                <c:pt idx="60">
                  <c:v>-12.5</c:v>
                </c:pt>
                <c:pt idx="61">
                  <c:v>-14.000000000000004</c:v>
                </c:pt>
                <c:pt idx="62">
                  <c:v>-14.799999999999997</c:v>
                </c:pt>
                <c:pt idx="63">
                  <c:v>-13.400000000000002</c:v>
                </c:pt>
                <c:pt idx="64">
                  <c:v>-1.4999999999999991</c:v>
                </c:pt>
                <c:pt idx="65">
                  <c:v>-12.5</c:v>
                </c:pt>
                <c:pt idx="66">
                  <c:v>-12.400000000000002</c:v>
                </c:pt>
                <c:pt idx="67">
                  <c:v>-11.100000000000001</c:v>
                </c:pt>
                <c:pt idx="68">
                  <c:v>-11</c:v>
                </c:pt>
                <c:pt idx="69">
                  <c:v>-5.4</c:v>
                </c:pt>
                <c:pt idx="70">
                  <c:v>-11.7</c:v>
                </c:pt>
                <c:pt idx="71">
                  <c:v>-11.5</c:v>
                </c:pt>
                <c:pt idx="72">
                  <c:v>-11.200000000000003</c:v>
                </c:pt>
                <c:pt idx="73">
                  <c:v>-9.3000000000000007</c:v>
                </c:pt>
                <c:pt idx="74">
                  <c:v>-8.1999999999999993</c:v>
                </c:pt>
                <c:pt idx="75">
                  <c:v>-10.3</c:v>
                </c:pt>
                <c:pt idx="76">
                  <c:v>-10.7</c:v>
                </c:pt>
                <c:pt idx="77">
                  <c:v>-9.7999999999999989</c:v>
                </c:pt>
                <c:pt idx="78">
                  <c:v>-11.2</c:v>
                </c:pt>
                <c:pt idx="79">
                  <c:v>-8.8999999999999986</c:v>
                </c:pt>
                <c:pt idx="80">
                  <c:v>-7.4</c:v>
                </c:pt>
                <c:pt idx="81">
                  <c:v>-2.8999999999999995</c:v>
                </c:pt>
                <c:pt idx="82">
                  <c:v>-2.8</c:v>
                </c:pt>
                <c:pt idx="83">
                  <c:v>-1.2000000000000002</c:v>
                </c:pt>
                <c:pt idx="84">
                  <c:v>-8.8000000000000007</c:v>
                </c:pt>
                <c:pt idx="85">
                  <c:v>-9.1</c:v>
                </c:pt>
                <c:pt idx="86">
                  <c:v>-7</c:v>
                </c:pt>
                <c:pt idx="87">
                  <c:v>-6.7000000000000011</c:v>
                </c:pt>
                <c:pt idx="88">
                  <c:v>-6.3000000000000007</c:v>
                </c:pt>
                <c:pt idx="89">
                  <c:v>-4.4000000000000004</c:v>
                </c:pt>
                <c:pt idx="90">
                  <c:v>-5.6999999999999993</c:v>
                </c:pt>
                <c:pt idx="91">
                  <c:v>-6.3000000000000007</c:v>
                </c:pt>
                <c:pt idx="92">
                  <c:v>-2.4000000000000004</c:v>
                </c:pt>
                <c:pt idx="93">
                  <c:v>-3.8</c:v>
                </c:pt>
                <c:pt idx="94">
                  <c:v>-7.7999999999999989</c:v>
                </c:pt>
                <c:pt idx="95">
                  <c:v>-10.399999999999999</c:v>
                </c:pt>
                <c:pt idx="96">
                  <c:v>-4.3999999999999995</c:v>
                </c:pt>
                <c:pt idx="97">
                  <c:v>-4.3000000000000007</c:v>
                </c:pt>
                <c:pt idx="98">
                  <c:v>-3.4</c:v>
                </c:pt>
                <c:pt idx="99">
                  <c:v>-10.4</c:v>
                </c:pt>
                <c:pt idx="100">
                  <c:v>-10.199999999999999</c:v>
                </c:pt>
                <c:pt idx="101">
                  <c:v>-5.1999999999999993</c:v>
                </c:pt>
                <c:pt idx="102">
                  <c:v>-5.2999999999999989</c:v>
                </c:pt>
                <c:pt idx="103">
                  <c:v>-5.3999999999999995</c:v>
                </c:pt>
                <c:pt idx="104">
                  <c:v>-8.3999999999999986</c:v>
                </c:pt>
                <c:pt idx="105">
                  <c:v>-7.7000000000000011</c:v>
                </c:pt>
                <c:pt idx="106">
                  <c:v>-3.4000000000000004</c:v>
                </c:pt>
                <c:pt idx="107">
                  <c:v>-0.2</c:v>
                </c:pt>
                <c:pt idx="108">
                  <c:v>-1.1000000000000001</c:v>
                </c:pt>
                <c:pt idx="109">
                  <c:v>-4.6000000000000005</c:v>
                </c:pt>
                <c:pt idx="110">
                  <c:v>-5.3000000000000007</c:v>
                </c:pt>
                <c:pt idx="111">
                  <c:v>-3.3</c:v>
                </c:pt>
                <c:pt idx="112">
                  <c:v>-4</c:v>
                </c:pt>
                <c:pt idx="113">
                  <c:v>-4.4000000000000004</c:v>
                </c:pt>
                <c:pt idx="114">
                  <c:v>-5.3000000000000007</c:v>
                </c:pt>
                <c:pt idx="115">
                  <c:v>-3.5999999999999996</c:v>
                </c:pt>
                <c:pt idx="116">
                  <c:v>-4.8999999999999995</c:v>
                </c:pt>
                <c:pt idx="117">
                  <c:v>-5.3000000000000007</c:v>
                </c:pt>
                <c:pt idx="118">
                  <c:v>-6.1</c:v>
                </c:pt>
                <c:pt idx="119">
                  <c:v>-7.3000000000000007</c:v>
                </c:pt>
                <c:pt idx="120">
                  <c:v>-3.6</c:v>
                </c:pt>
                <c:pt idx="121">
                  <c:v>-3.3</c:v>
                </c:pt>
                <c:pt idx="122">
                  <c:v>-4.8</c:v>
                </c:pt>
                <c:pt idx="123">
                  <c:v>-3.1</c:v>
                </c:pt>
                <c:pt idx="124">
                  <c:v>-3</c:v>
                </c:pt>
                <c:pt idx="125">
                  <c:v>-2.2000000000000002</c:v>
                </c:pt>
                <c:pt idx="126">
                  <c:v>-0.39999999999999991</c:v>
                </c:pt>
                <c:pt idx="127">
                  <c:v>-1.7</c:v>
                </c:pt>
                <c:pt idx="128">
                  <c:v>-1.6</c:v>
                </c:pt>
                <c:pt idx="129">
                  <c:v>-2</c:v>
                </c:pt>
                <c:pt idx="130">
                  <c:v>-2.8000000000000003</c:v>
                </c:pt>
                <c:pt idx="131">
                  <c:v>-3.8</c:v>
                </c:pt>
                <c:pt idx="132">
                  <c:v>-2.6999999999999997</c:v>
                </c:pt>
                <c:pt idx="133">
                  <c:v>-2.7</c:v>
                </c:pt>
                <c:pt idx="134">
                  <c:v>-0.59999999999999964</c:v>
                </c:pt>
                <c:pt idx="135">
                  <c:v>-0.10000000000000053</c:v>
                </c:pt>
                <c:pt idx="136">
                  <c:v>-0.5</c:v>
                </c:pt>
                <c:pt idx="137">
                  <c:v>-0.39999999999999997</c:v>
                </c:pt>
                <c:pt idx="138">
                  <c:v>-0.99999999999999978</c:v>
                </c:pt>
                <c:pt idx="139">
                  <c:v>-0.59999999999999987</c:v>
                </c:pt>
                <c:pt idx="140">
                  <c:v>-1.1000000000000001</c:v>
                </c:pt>
                <c:pt idx="141">
                  <c:v>-1.6999999999999997</c:v>
                </c:pt>
                <c:pt idx="142">
                  <c:v>-1.7</c:v>
                </c:pt>
                <c:pt idx="143">
                  <c:v>-1.9</c:v>
                </c:pt>
                <c:pt idx="144">
                  <c:v>-1.3000000000000003</c:v>
                </c:pt>
                <c:pt idx="145">
                  <c:v>-1.7000000000000002</c:v>
                </c:pt>
                <c:pt idx="146">
                  <c:v>-1.4</c:v>
                </c:pt>
                <c:pt idx="147">
                  <c:v>-2.7</c:v>
                </c:pt>
                <c:pt idx="148">
                  <c:v>-3.1999999999999997</c:v>
                </c:pt>
                <c:pt idx="149">
                  <c:v>-2.6999999999999997</c:v>
                </c:pt>
                <c:pt idx="150">
                  <c:v>-2.1</c:v>
                </c:pt>
                <c:pt idx="151">
                  <c:v>-2.5</c:v>
                </c:pt>
                <c:pt idx="152">
                  <c:v>-3</c:v>
                </c:pt>
                <c:pt idx="153">
                  <c:v>-4.0999999999999996</c:v>
                </c:pt>
                <c:pt idx="154">
                  <c:v>-3.9</c:v>
                </c:pt>
                <c:pt idx="155">
                  <c:v>0.89999999999999991</c:v>
                </c:pt>
                <c:pt idx="156">
                  <c:v>-1.5</c:v>
                </c:pt>
                <c:pt idx="157">
                  <c:v>-0.70000000000000018</c:v>
                </c:pt>
                <c:pt idx="158">
                  <c:v>-0.70000000000000018</c:v>
                </c:pt>
                <c:pt idx="159">
                  <c:v>-0.59999999999999964</c:v>
                </c:pt>
                <c:pt idx="160">
                  <c:v>-1.2000000000000002</c:v>
                </c:pt>
                <c:pt idx="161">
                  <c:v>-2.7</c:v>
                </c:pt>
                <c:pt idx="162">
                  <c:v>-3.3</c:v>
                </c:pt>
                <c:pt idx="163">
                  <c:v>-4.5999999999999996</c:v>
                </c:pt>
                <c:pt idx="164">
                  <c:v>-3</c:v>
                </c:pt>
                <c:pt idx="165">
                  <c:v>-3.2</c:v>
                </c:pt>
                <c:pt idx="166">
                  <c:v>-3.4</c:v>
                </c:pt>
                <c:pt idx="167">
                  <c:v>-3.1999999999999997</c:v>
                </c:pt>
                <c:pt idx="168">
                  <c:v>-3.5</c:v>
                </c:pt>
                <c:pt idx="169">
                  <c:v>-3.0999999999999996</c:v>
                </c:pt>
                <c:pt idx="170">
                  <c:v>-0.39999999999999997</c:v>
                </c:pt>
                <c:pt idx="171">
                  <c:v>-1.5</c:v>
                </c:pt>
                <c:pt idx="172">
                  <c:v>-2.5</c:v>
                </c:pt>
                <c:pt idx="173">
                  <c:v>-0.70000000000000018</c:v>
                </c:pt>
                <c:pt idx="174">
                  <c:v>-1</c:v>
                </c:pt>
                <c:pt idx="175">
                  <c:v>-1.2000000000000002</c:v>
                </c:pt>
                <c:pt idx="176">
                  <c:v>-1.6</c:v>
                </c:pt>
                <c:pt idx="177">
                  <c:v>0.90000000000000036</c:v>
                </c:pt>
                <c:pt idx="178">
                  <c:v>-0.19999999999999996</c:v>
                </c:pt>
                <c:pt idx="179">
                  <c:v>-0.90000000000000036</c:v>
                </c:pt>
                <c:pt idx="180">
                  <c:v>-2.1</c:v>
                </c:pt>
                <c:pt idx="181">
                  <c:v>-2.6</c:v>
                </c:pt>
                <c:pt idx="182">
                  <c:v>-1.9000000000000004</c:v>
                </c:pt>
                <c:pt idx="183">
                  <c:v>-2.8000000000000003</c:v>
                </c:pt>
                <c:pt idx="184">
                  <c:v>-2</c:v>
                </c:pt>
                <c:pt idx="185">
                  <c:v>-1.2000000000000002</c:v>
                </c:pt>
                <c:pt idx="186">
                  <c:v>-1.3</c:v>
                </c:pt>
                <c:pt idx="187">
                  <c:v>-2.1999999999999997</c:v>
                </c:pt>
                <c:pt idx="188">
                  <c:v>-1.5</c:v>
                </c:pt>
                <c:pt idx="189">
                  <c:v>-2.1</c:v>
                </c:pt>
                <c:pt idx="190">
                  <c:v>-0.90000000000000036</c:v>
                </c:pt>
                <c:pt idx="191">
                  <c:v>-0.60000000000000053</c:v>
                </c:pt>
                <c:pt idx="192">
                  <c:v>-1.5</c:v>
                </c:pt>
                <c:pt idx="193">
                  <c:v>-2.1</c:v>
                </c:pt>
                <c:pt idx="194">
                  <c:v>-2</c:v>
                </c:pt>
                <c:pt idx="195">
                  <c:v>-1.7999999999999998</c:v>
                </c:pt>
                <c:pt idx="196">
                  <c:v>-1.9000000000000001</c:v>
                </c:pt>
                <c:pt idx="197">
                  <c:v>-1.8000000000000007</c:v>
                </c:pt>
                <c:pt idx="198">
                  <c:v>-2.4</c:v>
                </c:pt>
                <c:pt idx="199">
                  <c:v>-1.9</c:v>
                </c:pt>
                <c:pt idx="200">
                  <c:v>-2.1</c:v>
                </c:pt>
                <c:pt idx="201">
                  <c:v>-2.6</c:v>
                </c:pt>
                <c:pt idx="202">
                  <c:v>-3.4</c:v>
                </c:pt>
                <c:pt idx="203">
                  <c:v>-2.6000000000000005</c:v>
                </c:pt>
                <c:pt idx="204">
                  <c:v>-1.5</c:v>
                </c:pt>
                <c:pt idx="205">
                  <c:v>-2</c:v>
                </c:pt>
                <c:pt idx="206">
                  <c:v>-3.0999999999999996</c:v>
                </c:pt>
                <c:pt idx="207">
                  <c:v>-2.4</c:v>
                </c:pt>
                <c:pt idx="208">
                  <c:v>-2.6</c:v>
                </c:pt>
                <c:pt idx="209">
                  <c:v>-2.8</c:v>
                </c:pt>
                <c:pt idx="210">
                  <c:v>-3.4</c:v>
                </c:pt>
                <c:pt idx="211">
                  <c:v>-2.8</c:v>
                </c:pt>
                <c:pt idx="212">
                  <c:v>-3</c:v>
                </c:pt>
                <c:pt idx="213">
                  <c:v>-6.8</c:v>
                </c:pt>
                <c:pt idx="214">
                  <c:v>-3.4000000000000004</c:v>
                </c:pt>
                <c:pt idx="215">
                  <c:v>-3.7</c:v>
                </c:pt>
                <c:pt idx="216">
                  <c:v>-4.0999999999999996</c:v>
                </c:pt>
                <c:pt idx="217">
                  <c:v>-4.7</c:v>
                </c:pt>
                <c:pt idx="218">
                  <c:v>-4.4000000000000004</c:v>
                </c:pt>
                <c:pt idx="219">
                  <c:v>-6.6</c:v>
                </c:pt>
                <c:pt idx="220">
                  <c:v>-4.9000000000000004</c:v>
                </c:pt>
                <c:pt idx="221">
                  <c:v>-2.2999999999999989</c:v>
                </c:pt>
                <c:pt idx="222">
                  <c:v>-0.30000000000000071</c:v>
                </c:pt>
                <c:pt idx="223">
                  <c:v>-1.8999999999999995</c:v>
                </c:pt>
                <c:pt idx="224">
                  <c:v>-2.5999999999999996</c:v>
                </c:pt>
                <c:pt idx="225">
                  <c:v>-2.1</c:v>
                </c:pt>
                <c:pt idx="226">
                  <c:v>-3</c:v>
                </c:pt>
                <c:pt idx="227">
                  <c:v>-2.6</c:v>
                </c:pt>
                <c:pt idx="228">
                  <c:v>-2.5</c:v>
                </c:pt>
                <c:pt idx="229">
                  <c:v>-2.9</c:v>
                </c:pt>
                <c:pt idx="230">
                  <c:v>-4</c:v>
                </c:pt>
                <c:pt idx="231">
                  <c:v>-3.4000000000000004</c:v>
                </c:pt>
                <c:pt idx="232">
                  <c:v>-4.6000000000000005</c:v>
                </c:pt>
                <c:pt idx="233">
                  <c:v>-2.9000000000000004</c:v>
                </c:pt>
                <c:pt idx="234">
                  <c:v>-2.7</c:v>
                </c:pt>
                <c:pt idx="235">
                  <c:v>-2.1</c:v>
                </c:pt>
                <c:pt idx="236">
                  <c:v>-1.4000000000000001</c:v>
                </c:pt>
                <c:pt idx="237">
                  <c:v>-1.4</c:v>
                </c:pt>
                <c:pt idx="238">
                  <c:v>-2.5</c:v>
                </c:pt>
                <c:pt idx="239">
                  <c:v>-3.8</c:v>
                </c:pt>
                <c:pt idx="240">
                  <c:v>-3.8</c:v>
                </c:pt>
                <c:pt idx="241">
                  <c:v>-3.4000000000000004</c:v>
                </c:pt>
                <c:pt idx="242">
                  <c:v>-2.7</c:v>
                </c:pt>
                <c:pt idx="243">
                  <c:v>-3.5</c:v>
                </c:pt>
                <c:pt idx="244">
                  <c:v>-3.6</c:v>
                </c:pt>
                <c:pt idx="245">
                  <c:v>-4</c:v>
                </c:pt>
                <c:pt idx="246">
                  <c:v>-2.1999999999999997</c:v>
                </c:pt>
                <c:pt idx="247">
                  <c:v>-2.8</c:v>
                </c:pt>
                <c:pt idx="248">
                  <c:v>-4.3</c:v>
                </c:pt>
                <c:pt idx="249">
                  <c:v>-4.3</c:v>
                </c:pt>
                <c:pt idx="250">
                  <c:v>-2.8000000000000003</c:v>
                </c:pt>
                <c:pt idx="251">
                  <c:v>-0.79999999999999982</c:v>
                </c:pt>
                <c:pt idx="252">
                  <c:v>-1.0000000000000002</c:v>
                </c:pt>
                <c:pt idx="253">
                  <c:v>-0.60000000000000053</c:v>
                </c:pt>
                <c:pt idx="254">
                  <c:v>-2.2000000000000002</c:v>
                </c:pt>
                <c:pt idx="255">
                  <c:v>-1.9999999999999996</c:v>
                </c:pt>
                <c:pt idx="256">
                  <c:v>-9.9999999999999645E-2</c:v>
                </c:pt>
                <c:pt idx="257">
                  <c:v>0.29999999999999982</c:v>
                </c:pt>
                <c:pt idx="258">
                  <c:v>-0.8</c:v>
                </c:pt>
                <c:pt idx="259">
                  <c:v>-1.2000000000000002</c:v>
                </c:pt>
                <c:pt idx="260">
                  <c:v>-0.10000000000000009</c:v>
                </c:pt>
                <c:pt idx="261">
                  <c:v>-0.7</c:v>
                </c:pt>
                <c:pt idx="262">
                  <c:v>-0.70000000000000018</c:v>
                </c:pt>
                <c:pt idx="263">
                  <c:v>-1</c:v>
                </c:pt>
                <c:pt idx="264">
                  <c:v>-1.7000000000000002</c:v>
                </c:pt>
                <c:pt idx="265">
                  <c:v>-1.7000000000000002</c:v>
                </c:pt>
                <c:pt idx="266">
                  <c:v>-0.90000000000000036</c:v>
                </c:pt>
                <c:pt idx="267">
                  <c:v>-1.2000000000000002</c:v>
                </c:pt>
                <c:pt idx="268">
                  <c:v>0.39999999999999991</c:v>
                </c:pt>
                <c:pt idx="269">
                  <c:v>-1.2999999999999998</c:v>
                </c:pt>
                <c:pt idx="270">
                  <c:v>-1.9000000000000004</c:v>
                </c:pt>
                <c:pt idx="271">
                  <c:v>-8.6999999999999993</c:v>
                </c:pt>
                <c:pt idx="272">
                  <c:v>-3.2000000000000011</c:v>
                </c:pt>
                <c:pt idx="273">
                  <c:v>-8.9999999999999982</c:v>
                </c:pt>
                <c:pt idx="274">
                  <c:v>-4.8</c:v>
                </c:pt>
                <c:pt idx="275">
                  <c:v>-1.8999999999999995</c:v>
                </c:pt>
                <c:pt idx="276">
                  <c:v>-2.4</c:v>
                </c:pt>
                <c:pt idx="277">
                  <c:v>-0.90000000000000036</c:v>
                </c:pt>
                <c:pt idx="278">
                  <c:v>-1.7000000000000002</c:v>
                </c:pt>
                <c:pt idx="279">
                  <c:v>-0.79999999999999993</c:v>
                </c:pt>
                <c:pt idx="280">
                  <c:v>0.40000000000000036</c:v>
                </c:pt>
                <c:pt idx="281">
                  <c:v>-2.6000000000000014</c:v>
                </c:pt>
                <c:pt idx="282">
                  <c:v>-2.5</c:v>
                </c:pt>
                <c:pt idx="283">
                  <c:v>-1.8000000000000007</c:v>
                </c:pt>
                <c:pt idx="284">
                  <c:v>-1.8999999999999995</c:v>
                </c:pt>
                <c:pt idx="285">
                  <c:v>0</c:v>
                </c:pt>
                <c:pt idx="286">
                  <c:v>-2.8000000000000003</c:v>
                </c:pt>
                <c:pt idx="287">
                  <c:v>-1.1000000000000001</c:v>
                </c:pt>
                <c:pt idx="288">
                  <c:v>-2.1</c:v>
                </c:pt>
                <c:pt idx="289">
                  <c:v>-2.7</c:v>
                </c:pt>
                <c:pt idx="290">
                  <c:v>-2.9</c:v>
                </c:pt>
                <c:pt idx="291">
                  <c:v>-2.6999999999999993</c:v>
                </c:pt>
                <c:pt idx="292">
                  <c:v>-2.8</c:v>
                </c:pt>
                <c:pt idx="293">
                  <c:v>-7.6000000000000005</c:v>
                </c:pt>
                <c:pt idx="294">
                  <c:v>-3.6999999999999997</c:v>
                </c:pt>
                <c:pt idx="295">
                  <c:v>-7.1999999999999993</c:v>
                </c:pt>
                <c:pt idx="296">
                  <c:v>-3.7</c:v>
                </c:pt>
                <c:pt idx="297">
                  <c:v>-4.0999999999999996</c:v>
                </c:pt>
                <c:pt idx="298">
                  <c:v>-8.6999999999999993</c:v>
                </c:pt>
                <c:pt idx="299">
                  <c:v>-7.1999999999999993</c:v>
                </c:pt>
                <c:pt idx="300">
                  <c:v>-9.3000000000000007</c:v>
                </c:pt>
                <c:pt idx="301">
                  <c:v>-6.8000000000000007</c:v>
                </c:pt>
                <c:pt idx="302">
                  <c:v>-4.2000000000000011</c:v>
                </c:pt>
                <c:pt idx="303">
                  <c:v>-6.7999999999999989</c:v>
                </c:pt>
                <c:pt idx="304">
                  <c:v>-6.1000000000000014</c:v>
                </c:pt>
                <c:pt idx="305">
                  <c:v>-2.6999999999999997</c:v>
                </c:pt>
                <c:pt idx="306">
                  <c:v>-1.9</c:v>
                </c:pt>
                <c:pt idx="307">
                  <c:v>-1.2000000000000002</c:v>
                </c:pt>
                <c:pt idx="308">
                  <c:v>-2.2000000000000002</c:v>
                </c:pt>
                <c:pt idx="309">
                  <c:v>-1.0999999999999996</c:v>
                </c:pt>
                <c:pt idx="310">
                  <c:v>-1.7999999999999998</c:v>
                </c:pt>
                <c:pt idx="311">
                  <c:v>-0.89999999999999991</c:v>
                </c:pt>
                <c:pt idx="312">
                  <c:v>-1.3000000000000003</c:v>
                </c:pt>
                <c:pt idx="313">
                  <c:v>-9.9999999999999645E-2</c:v>
                </c:pt>
                <c:pt idx="314">
                  <c:v>-0.60000000000000142</c:v>
                </c:pt>
                <c:pt idx="315">
                  <c:v>0.30000000000000027</c:v>
                </c:pt>
                <c:pt idx="316">
                  <c:v>-6</c:v>
                </c:pt>
                <c:pt idx="317">
                  <c:v>-5.7</c:v>
                </c:pt>
                <c:pt idx="318">
                  <c:v>-3.7</c:v>
                </c:pt>
                <c:pt idx="319">
                  <c:v>-4.1999999999999993</c:v>
                </c:pt>
                <c:pt idx="320">
                  <c:v>-2.2000000000000002</c:v>
                </c:pt>
                <c:pt idx="321">
                  <c:v>-4.5</c:v>
                </c:pt>
                <c:pt idx="322">
                  <c:v>-5.2999999999999989</c:v>
                </c:pt>
                <c:pt idx="323">
                  <c:v>-9.1999999999999993</c:v>
                </c:pt>
                <c:pt idx="324">
                  <c:v>-7.8000000000000007</c:v>
                </c:pt>
                <c:pt idx="325">
                  <c:v>-10.1</c:v>
                </c:pt>
                <c:pt idx="326">
                  <c:v>-7.1</c:v>
                </c:pt>
                <c:pt idx="327">
                  <c:v>-5.8999999999999995</c:v>
                </c:pt>
                <c:pt idx="328">
                  <c:v>-11.2</c:v>
                </c:pt>
                <c:pt idx="329">
                  <c:v>-10.8</c:v>
                </c:pt>
                <c:pt idx="330">
                  <c:v>-9.3000000000000007</c:v>
                </c:pt>
                <c:pt idx="331">
                  <c:v>-8.9000000000000021</c:v>
                </c:pt>
                <c:pt idx="332">
                  <c:v>-9</c:v>
                </c:pt>
                <c:pt idx="333">
                  <c:v>-8.1000000000000014</c:v>
                </c:pt>
                <c:pt idx="334">
                  <c:v>-10.199999999999999</c:v>
                </c:pt>
                <c:pt idx="335">
                  <c:v>0.60000000000000053</c:v>
                </c:pt>
                <c:pt idx="336">
                  <c:v>-2.5</c:v>
                </c:pt>
                <c:pt idx="337">
                  <c:v>-9.9</c:v>
                </c:pt>
                <c:pt idx="338">
                  <c:v>-9.4</c:v>
                </c:pt>
                <c:pt idx="339">
                  <c:v>-2.8000000000000003</c:v>
                </c:pt>
                <c:pt idx="340">
                  <c:v>-1.2000000000000002</c:v>
                </c:pt>
                <c:pt idx="341">
                  <c:v>-12.099999999999998</c:v>
                </c:pt>
                <c:pt idx="342">
                  <c:v>-9.1000000000000014</c:v>
                </c:pt>
                <c:pt idx="343">
                  <c:v>-8.7000000000000011</c:v>
                </c:pt>
                <c:pt idx="344">
                  <c:v>-10.4</c:v>
                </c:pt>
                <c:pt idx="345">
                  <c:v>-11</c:v>
                </c:pt>
                <c:pt idx="346">
                  <c:v>-8.2999999999999989</c:v>
                </c:pt>
                <c:pt idx="347">
                  <c:v>-8.6999999999999993</c:v>
                </c:pt>
                <c:pt idx="348">
                  <c:v>-11.899999999999999</c:v>
                </c:pt>
                <c:pt idx="349">
                  <c:v>-11.299999999999997</c:v>
                </c:pt>
                <c:pt idx="350">
                  <c:v>-2.0999999999999996</c:v>
                </c:pt>
                <c:pt idx="351">
                  <c:v>-1.0999999999999996</c:v>
                </c:pt>
                <c:pt idx="352">
                  <c:v>-3.3999999999999986</c:v>
                </c:pt>
                <c:pt idx="353">
                  <c:v>0</c:v>
                </c:pt>
                <c:pt idx="354">
                  <c:v>-5.6999999999999993</c:v>
                </c:pt>
                <c:pt idx="355">
                  <c:v>-8.9</c:v>
                </c:pt>
                <c:pt idx="356">
                  <c:v>-10.7</c:v>
                </c:pt>
                <c:pt idx="357">
                  <c:v>-8.2999999999999989</c:v>
                </c:pt>
                <c:pt idx="358">
                  <c:v>-11.899999999999999</c:v>
                </c:pt>
                <c:pt idx="359">
                  <c:v>-12.100000000000001</c:v>
                </c:pt>
                <c:pt idx="360">
                  <c:v>-11.8</c:v>
                </c:pt>
                <c:pt idx="361">
                  <c:v>-8.8000000000000007</c:v>
                </c:pt>
                <c:pt idx="362">
                  <c:v>-8.3000000000000007</c:v>
                </c:pt>
                <c:pt idx="363">
                  <c:v>-8.6999999999999993</c:v>
                </c:pt>
                <c:pt idx="364">
                  <c:v>9.9999999999999645E-2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12192"/>
        <c:axId val="142313728"/>
      </c:lineChart>
      <c:catAx>
        <c:axId val="14231219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423137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313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312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-5.774</c:v>
                </c:pt>
                <c:pt idx="1">
                  <c:v>-8.4499999999999993</c:v>
                </c:pt>
                <c:pt idx="2">
                  <c:v>-3.895</c:v>
                </c:pt>
                <c:pt idx="3">
                  <c:v>-3.5840000000000001</c:v>
                </c:pt>
                <c:pt idx="4">
                  <c:v>-2.3740000000000001</c:v>
                </c:pt>
                <c:pt idx="5">
                  <c:v>-5.7750000000000004</c:v>
                </c:pt>
                <c:pt idx="6">
                  <c:v>-10.25</c:v>
                </c:pt>
                <c:pt idx="7">
                  <c:v>-11.05</c:v>
                </c:pt>
                <c:pt idx="8">
                  <c:v>-2.4689999999999999</c:v>
                </c:pt>
                <c:pt idx="9">
                  <c:v>-1.7689999999999999</c:v>
                </c:pt>
                <c:pt idx="10">
                  <c:v>-2.2869999999999999</c:v>
                </c:pt>
                <c:pt idx="11">
                  <c:v>-3.32</c:v>
                </c:pt>
                <c:pt idx="12">
                  <c:v>-6.4530000000000003</c:v>
                </c:pt>
                <c:pt idx="13">
                  <c:v>-7.95</c:v>
                </c:pt>
                <c:pt idx="14">
                  <c:v>-7.35</c:v>
                </c:pt>
                <c:pt idx="15">
                  <c:v>-3.899</c:v>
                </c:pt>
                <c:pt idx="16">
                  <c:v>-2.3650000000000002</c:v>
                </c:pt>
                <c:pt idx="17">
                  <c:v>-3.863</c:v>
                </c:pt>
                <c:pt idx="18">
                  <c:v>-3.577</c:v>
                </c:pt>
                <c:pt idx="19">
                  <c:v>-8.85</c:v>
                </c:pt>
                <c:pt idx="20">
                  <c:v>-10.38</c:v>
                </c:pt>
                <c:pt idx="21">
                  <c:v>-7.95</c:v>
                </c:pt>
                <c:pt idx="22">
                  <c:v>-6.2389999999999999</c:v>
                </c:pt>
                <c:pt idx="23">
                  <c:v>-4.3079999999999998</c:v>
                </c:pt>
                <c:pt idx="24">
                  <c:v>-2.2799999999999998</c:v>
                </c:pt>
                <c:pt idx="25">
                  <c:v>-0.47799999999999998</c:v>
                </c:pt>
                <c:pt idx="26">
                  <c:v>-1.155</c:v>
                </c:pt>
                <c:pt idx="27">
                  <c:v>-11.36</c:v>
                </c:pt>
                <c:pt idx="28">
                  <c:v>-10.81</c:v>
                </c:pt>
                <c:pt idx="29">
                  <c:v>-4.9329999999999998</c:v>
                </c:pt>
                <c:pt idx="30">
                  <c:v>-3.2930000000000001</c:v>
                </c:pt>
                <c:pt idx="31">
                  <c:v>-2.7690000000000001</c:v>
                </c:pt>
                <c:pt idx="32">
                  <c:v>-4.1920000000000002</c:v>
                </c:pt>
                <c:pt idx="33">
                  <c:v>-15.19</c:v>
                </c:pt>
                <c:pt idx="34">
                  <c:v>-23.25</c:v>
                </c:pt>
                <c:pt idx="35">
                  <c:v>-21.81</c:v>
                </c:pt>
                <c:pt idx="36">
                  <c:v>-20.58</c:v>
                </c:pt>
                <c:pt idx="37">
                  <c:v>-14.78</c:v>
                </c:pt>
                <c:pt idx="38">
                  <c:v>-13.95</c:v>
                </c:pt>
                <c:pt idx="39">
                  <c:v>-17.989999999999998</c:v>
                </c:pt>
                <c:pt idx="40">
                  <c:v>-19.149999999999999</c:v>
                </c:pt>
                <c:pt idx="41">
                  <c:v>-17.440000000000001</c:v>
                </c:pt>
                <c:pt idx="42">
                  <c:v>-12.6</c:v>
                </c:pt>
                <c:pt idx="43">
                  <c:v>-13.36</c:v>
                </c:pt>
                <c:pt idx="44">
                  <c:v>-7.71</c:v>
                </c:pt>
                <c:pt idx="45">
                  <c:v>-5.9809999999999999</c:v>
                </c:pt>
                <c:pt idx="46">
                  <c:v>-6.8689999999999998</c:v>
                </c:pt>
                <c:pt idx="47">
                  <c:v>-10.56</c:v>
                </c:pt>
                <c:pt idx="48">
                  <c:v>-14.08</c:v>
                </c:pt>
                <c:pt idx="49">
                  <c:v>-8.0500000000000007</c:v>
                </c:pt>
                <c:pt idx="50">
                  <c:v>-8.77</c:v>
                </c:pt>
                <c:pt idx="51">
                  <c:v>-11.52</c:v>
                </c:pt>
                <c:pt idx="52">
                  <c:v>-10.27</c:v>
                </c:pt>
                <c:pt idx="53">
                  <c:v>-9.35</c:v>
                </c:pt>
                <c:pt idx="54">
                  <c:v>-10.81</c:v>
                </c:pt>
                <c:pt idx="55">
                  <c:v>-13.62</c:v>
                </c:pt>
                <c:pt idx="56">
                  <c:v>-17.38</c:v>
                </c:pt>
                <c:pt idx="57">
                  <c:v>-10.56</c:v>
                </c:pt>
                <c:pt idx="58">
                  <c:v>-8.1</c:v>
                </c:pt>
                <c:pt idx="59">
                  <c:v>-8.91</c:v>
                </c:pt>
                <c:pt idx="60">
                  <c:v>-15.43</c:v>
                </c:pt>
                <c:pt idx="61">
                  <c:v>-18.45</c:v>
                </c:pt>
                <c:pt idx="62">
                  <c:v>-17.309999999999999</c:v>
                </c:pt>
                <c:pt idx="63">
                  <c:v>-8.4</c:v>
                </c:pt>
                <c:pt idx="64">
                  <c:v>-4.4320000000000004</c:v>
                </c:pt>
                <c:pt idx="65">
                  <c:v>-6.8289999999999997</c:v>
                </c:pt>
                <c:pt idx="66">
                  <c:v>-12.89</c:v>
                </c:pt>
                <c:pt idx="67">
                  <c:v>-11.29</c:v>
                </c:pt>
                <c:pt idx="68">
                  <c:v>-9.73</c:v>
                </c:pt>
                <c:pt idx="69">
                  <c:v>-6.4169999999999998</c:v>
                </c:pt>
                <c:pt idx="70">
                  <c:v>-6.8689999999999998</c:v>
                </c:pt>
                <c:pt idx="71">
                  <c:v>-8.48</c:v>
                </c:pt>
                <c:pt idx="72">
                  <c:v>-5.19</c:v>
                </c:pt>
                <c:pt idx="73">
                  <c:v>-2.5880000000000001</c:v>
                </c:pt>
                <c:pt idx="74">
                  <c:v>-1.44</c:v>
                </c:pt>
                <c:pt idx="75">
                  <c:v>8.7999999999999995E-2</c:v>
                </c:pt>
                <c:pt idx="76">
                  <c:v>1.7749999999999999</c:v>
                </c:pt>
                <c:pt idx="77">
                  <c:v>3.3079999999999998</c:v>
                </c:pt>
                <c:pt idx="78">
                  <c:v>5.7610000000000001</c:v>
                </c:pt>
                <c:pt idx="79">
                  <c:v>4.3390000000000004</c:v>
                </c:pt>
                <c:pt idx="80">
                  <c:v>4.58</c:v>
                </c:pt>
                <c:pt idx="81">
                  <c:v>1.7929999999999999</c:v>
                </c:pt>
                <c:pt idx="82">
                  <c:v>2.9889999999999999</c:v>
                </c:pt>
                <c:pt idx="83">
                  <c:v>1.7629999999999999</c:v>
                </c:pt>
                <c:pt idx="84">
                  <c:v>-1.357</c:v>
                </c:pt>
                <c:pt idx="85">
                  <c:v>-2.4</c:v>
                </c:pt>
                <c:pt idx="86">
                  <c:v>-0.16900000000000001</c:v>
                </c:pt>
                <c:pt idx="87">
                  <c:v>-1.0469999999999999</c:v>
                </c:pt>
                <c:pt idx="88">
                  <c:v>0.876</c:v>
                </c:pt>
                <c:pt idx="89">
                  <c:v>1.7050000000000001</c:v>
                </c:pt>
                <c:pt idx="90">
                  <c:v>-0.43099999999999999</c:v>
                </c:pt>
                <c:pt idx="91">
                  <c:v>0.68600000000000005</c:v>
                </c:pt>
                <c:pt idx="92">
                  <c:v>0.92</c:v>
                </c:pt>
                <c:pt idx="93">
                  <c:v>1.845</c:v>
                </c:pt>
                <c:pt idx="94">
                  <c:v>1.4119999999999999</c:v>
                </c:pt>
                <c:pt idx="95">
                  <c:v>-2.1070000000000002</c:v>
                </c:pt>
                <c:pt idx="96">
                  <c:v>0.36</c:v>
                </c:pt>
                <c:pt idx="97">
                  <c:v>-0.495</c:v>
                </c:pt>
                <c:pt idx="98">
                  <c:v>0.88500000000000001</c:v>
                </c:pt>
                <c:pt idx="99">
                  <c:v>-1.0089999999999999</c:v>
                </c:pt>
                <c:pt idx="100">
                  <c:v>-1.6579999999999999</c:v>
                </c:pt>
                <c:pt idx="101">
                  <c:v>-1.323</c:v>
                </c:pt>
                <c:pt idx="102">
                  <c:v>-1.6259999999999999</c:v>
                </c:pt>
                <c:pt idx="103">
                  <c:v>-1.2589999999999999</c:v>
                </c:pt>
                <c:pt idx="104">
                  <c:v>-2.5859999999999999</c:v>
                </c:pt>
                <c:pt idx="105">
                  <c:v>0.80200000000000005</c:v>
                </c:pt>
                <c:pt idx="106">
                  <c:v>3.879</c:v>
                </c:pt>
                <c:pt idx="107">
                  <c:v>3.3540000000000001</c:v>
                </c:pt>
                <c:pt idx="108">
                  <c:v>4.7460000000000004</c:v>
                </c:pt>
                <c:pt idx="109">
                  <c:v>0.61799999999999999</c:v>
                </c:pt>
                <c:pt idx="110">
                  <c:v>2.8260000000000001</c:v>
                </c:pt>
                <c:pt idx="111">
                  <c:v>3.3460000000000001</c:v>
                </c:pt>
                <c:pt idx="112">
                  <c:v>3.9780000000000002</c:v>
                </c:pt>
                <c:pt idx="113">
                  <c:v>0.26600000000000001</c:v>
                </c:pt>
                <c:pt idx="114">
                  <c:v>2.2320000000000002</c:v>
                </c:pt>
                <c:pt idx="115">
                  <c:v>3.3039999999999998</c:v>
                </c:pt>
                <c:pt idx="116">
                  <c:v>-2.778</c:v>
                </c:pt>
                <c:pt idx="117">
                  <c:v>-1.615</c:v>
                </c:pt>
                <c:pt idx="118">
                  <c:v>-2.4769999999999999</c:v>
                </c:pt>
                <c:pt idx="119">
                  <c:v>-0.88600000000000001</c:v>
                </c:pt>
                <c:pt idx="120">
                  <c:v>2.2170000000000001</c:v>
                </c:pt>
                <c:pt idx="121">
                  <c:v>2.4350000000000001</c:v>
                </c:pt>
              </c:numCache>
            </c:numRef>
          </c:xVal>
          <c:yVal>
            <c:numRef>
              <c:f>Data!$AE$6:$AE$127</c:f>
              <c:numCache>
                <c:formatCode>General</c:formatCode>
                <c:ptCount val="122"/>
                <c:pt idx="0">
                  <c:v>-6.7539999999999996</c:v>
                </c:pt>
                <c:pt idx="1">
                  <c:v>-8.3800000000000008</c:v>
                </c:pt>
                <c:pt idx="2">
                  <c:v>-3.9159999999999999</c:v>
                </c:pt>
                <c:pt idx="3">
                  <c:v>-10.68</c:v>
                </c:pt>
                <c:pt idx="4">
                  <c:v>-4.7350000000000003</c:v>
                </c:pt>
                <c:pt idx="5">
                  <c:v>-10.9</c:v>
                </c:pt>
                <c:pt idx="6">
                  <c:v>-16.149999999999999</c:v>
                </c:pt>
                <c:pt idx="7">
                  <c:v>-14.78</c:v>
                </c:pt>
                <c:pt idx="8">
                  <c:v>-3.1059999999999999</c:v>
                </c:pt>
                <c:pt idx="9">
                  <c:v>-3.9620000000000002</c:v>
                </c:pt>
                <c:pt idx="10">
                  <c:v>-5.7240000000000002</c:v>
                </c:pt>
                <c:pt idx="11">
                  <c:v>-9.9</c:v>
                </c:pt>
                <c:pt idx="12">
                  <c:v>-16.190000000000001</c:v>
                </c:pt>
                <c:pt idx="13">
                  <c:v>-20.96</c:v>
                </c:pt>
                <c:pt idx="14">
                  <c:v>-17.350000000000001</c:v>
                </c:pt>
                <c:pt idx="15">
                  <c:v>-5.9790000000000001</c:v>
                </c:pt>
                <c:pt idx="16">
                  <c:v>-4.407</c:v>
                </c:pt>
                <c:pt idx="17">
                  <c:v>-7.05</c:v>
                </c:pt>
                <c:pt idx="18">
                  <c:v>-8.91</c:v>
                </c:pt>
                <c:pt idx="19">
                  <c:v>-15.58</c:v>
                </c:pt>
                <c:pt idx="20">
                  <c:v>-18.64</c:v>
                </c:pt>
                <c:pt idx="21">
                  <c:v>-8.4700000000000006</c:v>
                </c:pt>
                <c:pt idx="22">
                  <c:v>-10.68</c:v>
                </c:pt>
                <c:pt idx="23">
                  <c:v>-11.03</c:v>
                </c:pt>
                <c:pt idx="24">
                  <c:v>-7.93</c:v>
                </c:pt>
                <c:pt idx="25">
                  <c:v>-9.82</c:v>
                </c:pt>
                <c:pt idx="26">
                  <c:v>-8.6</c:v>
                </c:pt>
                <c:pt idx="27">
                  <c:v>-21.58</c:v>
                </c:pt>
                <c:pt idx="28">
                  <c:v>-23.51</c:v>
                </c:pt>
                <c:pt idx="29">
                  <c:v>-8.69</c:v>
                </c:pt>
                <c:pt idx="30">
                  <c:v>-5.74</c:v>
                </c:pt>
                <c:pt idx="31">
                  <c:v>-4.2839999999999998</c:v>
                </c:pt>
                <c:pt idx="32">
                  <c:v>-10.37</c:v>
                </c:pt>
                <c:pt idx="33">
                  <c:v>-14.46</c:v>
                </c:pt>
                <c:pt idx="34">
                  <c:v>-24.95</c:v>
                </c:pt>
                <c:pt idx="35">
                  <c:v>-28.39</c:v>
                </c:pt>
                <c:pt idx="36">
                  <c:v>-28.9</c:v>
                </c:pt>
                <c:pt idx="37">
                  <c:v>-17.489999999999998</c:v>
                </c:pt>
                <c:pt idx="38">
                  <c:v>-15.07</c:v>
                </c:pt>
                <c:pt idx="39">
                  <c:v>-20.079999999999998</c:v>
                </c:pt>
                <c:pt idx="40">
                  <c:v>-24.4</c:v>
                </c:pt>
                <c:pt idx="41">
                  <c:v>-21.94</c:v>
                </c:pt>
                <c:pt idx="42">
                  <c:v>-15.11</c:v>
                </c:pt>
                <c:pt idx="43">
                  <c:v>-20.81</c:v>
                </c:pt>
                <c:pt idx="44">
                  <c:v>-12.33</c:v>
                </c:pt>
                <c:pt idx="45">
                  <c:v>-8.43</c:v>
                </c:pt>
                <c:pt idx="46">
                  <c:v>-9.2899999999999991</c:v>
                </c:pt>
                <c:pt idx="47">
                  <c:v>-11.84</c:v>
                </c:pt>
                <c:pt idx="48">
                  <c:v>-21.29</c:v>
                </c:pt>
                <c:pt idx="49">
                  <c:v>-9.3000000000000007</c:v>
                </c:pt>
                <c:pt idx="50">
                  <c:v>-10.95</c:v>
                </c:pt>
                <c:pt idx="51">
                  <c:v>-15.39</c:v>
                </c:pt>
                <c:pt idx="52">
                  <c:v>-11.29</c:v>
                </c:pt>
                <c:pt idx="53">
                  <c:v>-12.16</c:v>
                </c:pt>
                <c:pt idx="54">
                  <c:v>-13.65</c:v>
                </c:pt>
                <c:pt idx="55">
                  <c:v>-16.59</c:v>
                </c:pt>
                <c:pt idx="56">
                  <c:v>-26.22</c:v>
                </c:pt>
                <c:pt idx="57">
                  <c:v>-14.04</c:v>
                </c:pt>
                <c:pt idx="58">
                  <c:v>-9.66</c:v>
                </c:pt>
                <c:pt idx="59">
                  <c:v>-12.82</c:v>
                </c:pt>
                <c:pt idx="60">
                  <c:v>-23.41</c:v>
                </c:pt>
                <c:pt idx="61">
                  <c:v>-29.63</c:v>
                </c:pt>
                <c:pt idx="62">
                  <c:v>-29.1</c:v>
                </c:pt>
                <c:pt idx="63">
                  <c:v>-12.84</c:v>
                </c:pt>
                <c:pt idx="64">
                  <c:v>-5.3109999999999999</c:v>
                </c:pt>
                <c:pt idx="65">
                  <c:v>-9.83</c:v>
                </c:pt>
                <c:pt idx="66">
                  <c:v>-22.45</c:v>
                </c:pt>
                <c:pt idx="67">
                  <c:v>-16.079999999999998</c:v>
                </c:pt>
                <c:pt idx="68">
                  <c:v>-19.989999999999998</c:v>
                </c:pt>
                <c:pt idx="69">
                  <c:v>-8.09</c:v>
                </c:pt>
                <c:pt idx="70">
                  <c:v>-10.24</c:v>
                </c:pt>
                <c:pt idx="71">
                  <c:v>-17.68</c:v>
                </c:pt>
                <c:pt idx="72">
                  <c:v>-10.14</c:v>
                </c:pt>
                <c:pt idx="73">
                  <c:v>-9.1199999999999992</c:v>
                </c:pt>
                <c:pt idx="74">
                  <c:v>-7.96</c:v>
                </c:pt>
                <c:pt idx="75">
                  <c:v>-8.7200000000000006</c:v>
                </c:pt>
                <c:pt idx="76">
                  <c:v>-8.2799999999999994</c:v>
                </c:pt>
                <c:pt idx="77">
                  <c:v>-7.19</c:v>
                </c:pt>
                <c:pt idx="78">
                  <c:v>-6.1879999999999997</c:v>
                </c:pt>
                <c:pt idx="79">
                  <c:v>-6.3289999999999997</c:v>
                </c:pt>
                <c:pt idx="80">
                  <c:v>-3.67</c:v>
                </c:pt>
                <c:pt idx="81">
                  <c:v>-1.099</c:v>
                </c:pt>
                <c:pt idx="82">
                  <c:v>-0.69599999999999995</c:v>
                </c:pt>
                <c:pt idx="83">
                  <c:v>-0.23599999999999999</c:v>
                </c:pt>
                <c:pt idx="84">
                  <c:v>-5.093</c:v>
                </c:pt>
                <c:pt idx="85">
                  <c:v>-9.15</c:v>
                </c:pt>
                <c:pt idx="86">
                  <c:v>-6.1150000000000002</c:v>
                </c:pt>
                <c:pt idx="87">
                  <c:v>-7.34</c:v>
                </c:pt>
                <c:pt idx="88">
                  <c:v>-5.3810000000000002</c:v>
                </c:pt>
                <c:pt idx="89">
                  <c:v>-2.9049999999999998</c:v>
                </c:pt>
                <c:pt idx="90">
                  <c:v>-6.4450000000000003</c:v>
                </c:pt>
                <c:pt idx="91">
                  <c:v>-5.8579999999999997</c:v>
                </c:pt>
                <c:pt idx="92">
                  <c:v>-1.4710000000000001</c:v>
                </c:pt>
                <c:pt idx="93">
                  <c:v>-2.8959999999999999</c:v>
                </c:pt>
                <c:pt idx="94">
                  <c:v>-0.79900000000000004</c:v>
                </c:pt>
                <c:pt idx="95">
                  <c:v>-6.7359999999999998</c:v>
                </c:pt>
                <c:pt idx="96">
                  <c:v>-2.8479999999999999</c:v>
                </c:pt>
                <c:pt idx="97">
                  <c:v>-3.556</c:v>
                </c:pt>
                <c:pt idx="98">
                  <c:v>-1.02</c:v>
                </c:pt>
                <c:pt idx="99">
                  <c:v>-2.9609999999999999</c:v>
                </c:pt>
                <c:pt idx="100">
                  <c:v>-4.915</c:v>
                </c:pt>
                <c:pt idx="101">
                  <c:v>-5.0060000000000002</c:v>
                </c:pt>
                <c:pt idx="102">
                  <c:v>-3.5710000000000002</c:v>
                </c:pt>
                <c:pt idx="103">
                  <c:v>-4.8010000000000002</c:v>
                </c:pt>
                <c:pt idx="104">
                  <c:v>-7.87</c:v>
                </c:pt>
                <c:pt idx="105">
                  <c:v>-5.3380000000000001</c:v>
                </c:pt>
                <c:pt idx="106">
                  <c:v>-0.375</c:v>
                </c:pt>
                <c:pt idx="107">
                  <c:v>0.41399999999999998</c:v>
                </c:pt>
                <c:pt idx="108">
                  <c:v>0.58799999999999997</c:v>
                </c:pt>
                <c:pt idx="109">
                  <c:v>-2.7639999999999998</c:v>
                </c:pt>
                <c:pt idx="110">
                  <c:v>-4.4029999999999996</c:v>
                </c:pt>
                <c:pt idx="111">
                  <c:v>-1.5649999999999999</c:v>
                </c:pt>
                <c:pt idx="112">
                  <c:v>-0.86799999999999999</c:v>
                </c:pt>
                <c:pt idx="113">
                  <c:v>-3.6320000000000001</c:v>
                </c:pt>
                <c:pt idx="114">
                  <c:v>-3.4860000000000002</c:v>
                </c:pt>
                <c:pt idx="115">
                  <c:v>-1.415</c:v>
                </c:pt>
                <c:pt idx="116">
                  <c:v>-3.6059999999999999</c:v>
                </c:pt>
                <c:pt idx="117">
                  <c:v>-5.1230000000000002</c:v>
                </c:pt>
                <c:pt idx="118">
                  <c:v>-7.51</c:v>
                </c:pt>
                <c:pt idx="119">
                  <c:v>-5.9660000000000002</c:v>
                </c:pt>
                <c:pt idx="120">
                  <c:v>-1.633</c:v>
                </c:pt>
                <c:pt idx="121">
                  <c:v>-1.363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23072"/>
        <c:axId val="142329344"/>
      </c:scatterChart>
      <c:valAx>
        <c:axId val="14232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29344"/>
        <c:crosses val="autoZero"/>
        <c:crossBetween val="midCat"/>
      </c:valAx>
      <c:valAx>
        <c:axId val="142329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3230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3256878184344603"/>
          <c:w val="0.82763871945584266"/>
          <c:h val="0.7528559518295506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1.202</c:v>
                </c:pt>
                <c:pt idx="1">
                  <c:v>0.91900000000000004</c:v>
                </c:pt>
                <c:pt idx="2">
                  <c:v>0.90100000000000002</c:v>
                </c:pt>
                <c:pt idx="3">
                  <c:v>2.3420000000000001</c:v>
                </c:pt>
                <c:pt idx="4">
                  <c:v>1.9359999999999999</c:v>
                </c:pt>
                <c:pt idx="5">
                  <c:v>3.202</c:v>
                </c:pt>
                <c:pt idx="6">
                  <c:v>2.6859999999999999</c:v>
                </c:pt>
                <c:pt idx="7">
                  <c:v>1.9510000000000001</c:v>
                </c:pt>
                <c:pt idx="8">
                  <c:v>1.3660000000000001</c:v>
                </c:pt>
                <c:pt idx="9">
                  <c:v>3.44</c:v>
                </c:pt>
                <c:pt idx="10">
                  <c:v>2.4630000000000001</c:v>
                </c:pt>
                <c:pt idx="11">
                  <c:v>3.8479999999999999</c:v>
                </c:pt>
                <c:pt idx="12">
                  <c:v>4.8970000000000002</c:v>
                </c:pt>
                <c:pt idx="13">
                  <c:v>4.6989999999999998</c:v>
                </c:pt>
                <c:pt idx="14">
                  <c:v>5.0510000000000002</c:v>
                </c:pt>
                <c:pt idx="15">
                  <c:v>2.548</c:v>
                </c:pt>
                <c:pt idx="16">
                  <c:v>0.82699999999999996</c:v>
                </c:pt>
                <c:pt idx="17">
                  <c:v>1.3480000000000001</c:v>
                </c:pt>
                <c:pt idx="18">
                  <c:v>5.319</c:v>
                </c:pt>
                <c:pt idx="19">
                  <c:v>3.2610000000000001</c:v>
                </c:pt>
                <c:pt idx="20">
                  <c:v>1.3779999999999999</c:v>
                </c:pt>
                <c:pt idx="21">
                  <c:v>0.501</c:v>
                </c:pt>
                <c:pt idx="22">
                  <c:v>2.0219999999999998</c:v>
                </c:pt>
                <c:pt idx="23">
                  <c:v>5.5439999999999996</c:v>
                </c:pt>
                <c:pt idx="24">
                  <c:v>5.6660000000000004</c:v>
                </c:pt>
                <c:pt idx="25">
                  <c:v>5.923</c:v>
                </c:pt>
                <c:pt idx="26">
                  <c:v>6.4870000000000001</c:v>
                </c:pt>
                <c:pt idx="27">
                  <c:v>4.9829999999999997</c:v>
                </c:pt>
                <c:pt idx="28">
                  <c:v>6.7359999999999998</c:v>
                </c:pt>
                <c:pt idx="29">
                  <c:v>3.9489999999999998</c:v>
                </c:pt>
                <c:pt idx="30">
                  <c:v>2.629</c:v>
                </c:pt>
                <c:pt idx="31">
                  <c:v>4.1630000000000003</c:v>
                </c:pt>
                <c:pt idx="32">
                  <c:v>5.8029999999999999</c:v>
                </c:pt>
                <c:pt idx="33">
                  <c:v>5.1849999999999996</c:v>
                </c:pt>
                <c:pt idx="34">
                  <c:v>6.4189999999999996</c:v>
                </c:pt>
                <c:pt idx="35">
                  <c:v>6.9610000000000003</c:v>
                </c:pt>
                <c:pt idx="36">
                  <c:v>8.17</c:v>
                </c:pt>
                <c:pt idx="37">
                  <c:v>4.0119999999999996</c:v>
                </c:pt>
                <c:pt idx="38">
                  <c:v>1.506</c:v>
                </c:pt>
                <c:pt idx="39">
                  <c:v>6.6840000000000002</c:v>
                </c:pt>
                <c:pt idx="40">
                  <c:v>7.26</c:v>
                </c:pt>
                <c:pt idx="41">
                  <c:v>3.4980000000000002</c:v>
                </c:pt>
                <c:pt idx="42">
                  <c:v>2.4489999999999998</c:v>
                </c:pt>
                <c:pt idx="43">
                  <c:v>3.524</c:v>
                </c:pt>
                <c:pt idx="44">
                  <c:v>4.3440000000000003</c:v>
                </c:pt>
                <c:pt idx="45">
                  <c:v>3.75</c:v>
                </c:pt>
                <c:pt idx="46">
                  <c:v>3.0739999999999998</c:v>
                </c:pt>
                <c:pt idx="47">
                  <c:v>3.9460000000000002</c:v>
                </c:pt>
                <c:pt idx="48">
                  <c:v>8.17</c:v>
                </c:pt>
                <c:pt idx="49">
                  <c:v>5.0730000000000004</c:v>
                </c:pt>
                <c:pt idx="50">
                  <c:v>4.9420000000000002</c:v>
                </c:pt>
                <c:pt idx="51">
                  <c:v>6.97</c:v>
                </c:pt>
                <c:pt idx="52">
                  <c:v>1.913</c:v>
                </c:pt>
                <c:pt idx="53">
                  <c:v>1.236</c:v>
                </c:pt>
                <c:pt idx="54">
                  <c:v>7.54</c:v>
                </c:pt>
                <c:pt idx="55">
                  <c:v>10.76</c:v>
                </c:pt>
                <c:pt idx="56">
                  <c:v>12.02</c:v>
                </c:pt>
                <c:pt idx="57">
                  <c:v>4.9800000000000004</c:v>
                </c:pt>
                <c:pt idx="58">
                  <c:v>2.077</c:v>
                </c:pt>
                <c:pt idx="59">
                  <c:v>3.0350000000000001</c:v>
                </c:pt>
                <c:pt idx="60">
                  <c:v>6.94</c:v>
                </c:pt>
                <c:pt idx="61">
                  <c:v>12.6</c:v>
                </c:pt>
                <c:pt idx="62">
                  <c:v>13.57</c:v>
                </c:pt>
                <c:pt idx="63">
                  <c:v>10.86</c:v>
                </c:pt>
                <c:pt idx="64">
                  <c:v>7.18</c:v>
                </c:pt>
                <c:pt idx="65">
                  <c:v>4.1970000000000001</c:v>
                </c:pt>
                <c:pt idx="66">
                  <c:v>8.9700000000000006</c:v>
                </c:pt>
                <c:pt idx="67">
                  <c:v>6.42</c:v>
                </c:pt>
                <c:pt idx="68">
                  <c:v>14.33</c:v>
                </c:pt>
                <c:pt idx="69">
                  <c:v>7.54</c:v>
                </c:pt>
                <c:pt idx="70">
                  <c:v>6.4790000000000001</c:v>
                </c:pt>
                <c:pt idx="71">
                  <c:v>12.64</c:v>
                </c:pt>
                <c:pt idx="72">
                  <c:v>11.69</c:v>
                </c:pt>
                <c:pt idx="73">
                  <c:v>11.45</c:v>
                </c:pt>
                <c:pt idx="74">
                  <c:v>14.53</c:v>
                </c:pt>
                <c:pt idx="75">
                  <c:v>16.010000000000002</c:v>
                </c:pt>
                <c:pt idx="76">
                  <c:v>16.579999999999998</c:v>
                </c:pt>
                <c:pt idx="77">
                  <c:v>16.8</c:v>
                </c:pt>
                <c:pt idx="78">
                  <c:v>17.04</c:v>
                </c:pt>
                <c:pt idx="79">
                  <c:v>16.920000000000002</c:v>
                </c:pt>
                <c:pt idx="80">
                  <c:v>16.600000000000001</c:v>
                </c:pt>
                <c:pt idx="81">
                  <c:v>8.86</c:v>
                </c:pt>
                <c:pt idx="82">
                  <c:v>8.33</c:v>
                </c:pt>
                <c:pt idx="83">
                  <c:v>12.2</c:v>
                </c:pt>
                <c:pt idx="84">
                  <c:v>9.32</c:v>
                </c:pt>
                <c:pt idx="85">
                  <c:v>17.440000000000001</c:v>
                </c:pt>
                <c:pt idx="86">
                  <c:v>11.75</c:v>
                </c:pt>
                <c:pt idx="87">
                  <c:v>15.73</c:v>
                </c:pt>
                <c:pt idx="88">
                  <c:v>18.21</c:v>
                </c:pt>
                <c:pt idx="89">
                  <c:v>14.31</c:v>
                </c:pt>
                <c:pt idx="90">
                  <c:v>19.850000000000001</c:v>
                </c:pt>
                <c:pt idx="91">
                  <c:v>19.600000000000001</c:v>
                </c:pt>
                <c:pt idx="92">
                  <c:v>7.3</c:v>
                </c:pt>
                <c:pt idx="93">
                  <c:v>12.39</c:v>
                </c:pt>
                <c:pt idx="94">
                  <c:v>7.13</c:v>
                </c:pt>
                <c:pt idx="95">
                  <c:v>6.6219999999999999</c:v>
                </c:pt>
                <c:pt idx="96">
                  <c:v>16.739999999999998</c:v>
                </c:pt>
                <c:pt idx="97">
                  <c:v>10.29</c:v>
                </c:pt>
                <c:pt idx="98">
                  <c:v>13.96</c:v>
                </c:pt>
                <c:pt idx="99">
                  <c:v>7.11</c:v>
                </c:pt>
                <c:pt idx="100">
                  <c:v>12.83</c:v>
                </c:pt>
                <c:pt idx="101">
                  <c:v>12.08</c:v>
                </c:pt>
                <c:pt idx="102">
                  <c:v>3.7360000000000002</c:v>
                </c:pt>
                <c:pt idx="103">
                  <c:v>16.510000000000002</c:v>
                </c:pt>
                <c:pt idx="104">
                  <c:v>14.23</c:v>
                </c:pt>
                <c:pt idx="105">
                  <c:v>17.3</c:v>
                </c:pt>
                <c:pt idx="106">
                  <c:v>22.04</c:v>
                </c:pt>
                <c:pt idx="107">
                  <c:v>8.98</c:v>
                </c:pt>
                <c:pt idx="108">
                  <c:v>10.17</c:v>
                </c:pt>
                <c:pt idx="109">
                  <c:v>20.62</c:v>
                </c:pt>
                <c:pt idx="110">
                  <c:v>23.07</c:v>
                </c:pt>
                <c:pt idx="111">
                  <c:v>7.35</c:v>
                </c:pt>
                <c:pt idx="112">
                  <c:v>16.32</c:v>
                </c:pt>
                <c:pt idx="113">
                  <c:v>19.45</c:v>
                </c:pt>
                <c:pt idx="114">
                  <c:v>20.07</c:v>
                </c:pt>
                <c:pt idx="115">
                  <c:v>19.79</c:v>
                </c:pt>
                <c:pt idx="116">
                  <c:v>14.33</c:v>
                </c:pt>
                <c:pt idx="117">
                  <c:v>20.7</c:v>
                </c:pt>
                <c:pt idx="118">
                  <c:v>15.53</c:v>
                </c:pt>
                <c:pt idx="119">
                  <c:v>20.75</c:v>
                </c:pt>
                <c:pt idx="120">
                  <c:v>17.510000000000002</c:v>
                </c:pt>
                <c:pt idx="121">
                  <c:v>15.72</c:v>
                </c:pt>
                <c:pt idx="122">
                  <c:v>24.31</c:v>
                </c:pt>
                <c:pt idx="123">
                  <c:v>16.97</c:v>
                </c:pt>
                <c:pt idx="124">
                  <c:v>22</c:v>
                </c:pt>
                <c:pt idx="125">
                  <c:v>23.6</c:v>
                </c:pt>
                <c:pt idx="126">
                  <c:v>25.73</c:v>
                </c:pt>
                <c:pt idx="127">
                  <c:v>20.98</c:v>
                </c:pt>
                <c:pt idx="128">
                  <c:v>26.91</c:v>
                </c:pt>
                <c:pt idx="129">
                  <c:v>23.56</c:v>
                </c:pt>
                <c:pt idx="130">
                  <c:v>22.18</c:v>
                </c:pt>
                <c:pt idx="131">
                  <c:v>27.23</c:v>
                </c:pt>
                <c:pt idx="132">
                  <c:v>21.94</c:v>
                </c:pt>
                <c:pt idx="133">
                  <c:v>8.4</c:v>
                </c:pt>
                <c:pt idx="134">
                  <c:v>25.41</c:v>
                </c:pt>
                <c:pt idx="135">
                  <c:v>10.69</c:v>
                </c:pt>
                <c:pt idx="136">
                  <c:v>10.56</c:v>
                </c:pt>
                <c:pt idx="137">
                  <c:v>11.66</c:v>
                </c:pt>
                <c:pt idx="138">
                  <c:v>14.67</c:v>
                </c:pt>
                <c:pt idx="139">
                  <c:v>16.350000000000001</c:v>
                </c:pt>
                <c:pt idx="140">
                  <c:v>10.14</c:v>
                </c:pt>
                <c:pt idx="141">
                  <c:v>16.350000000000001</c:v>
                </c:pt>
                <c:pt idx="142">
                  <c:v>18.72</c:v>
                </c:pt>
                <c:pt idx="143">
                  <c:v>20.309999999999999</c:v>
                </c:pt>
                <c:pt idx="144">
                  <c:v>10.42</c:v>
                </c:pt>
                <c:pt idx="145">
                  <c:v>15.79</c:v>
                </c:pt>
                <c:pt idx="146">
                  <c:v>28.73</c:v>
                </c:pt>
                <c:pt idx="147">
                  <c:v>25.71</c:v>
                </c:pt>
                <c:pt idx="148">
                  <c:v>25.21</c:v>
                </c:pt>
                <c:pt idx="149">
                  <c:v>15.37</c:v>
                </c:pt>
                <c:pt idx="150">
                  <c:v>18.89</c:v>
                </c:pt>
                <c:pt idx="151">
                  <c:v>28.47</c:v>
                </c:pt>
                <c:pt idx="152">
                  <c:v>26.74</c:v>
                </c:pt>
                <c:pt idx="153">
                  <c:v>27.55</c:v>
                </c:pt>
                <c:pt idx="154">
                  <c:v>27.07</c:v>
                </c:pt>
                <c:pt idx="155">
                  <c:v>12.89</c:v>
                </c:pt>
                <c:pt idx="156">
                  <c:v>16.190000000000001</c:v>
                </c:pt>
                <c:pt idx="157">
                  <c:v>16.12</c:v>
                </c:pt>
                <c:pt idx="158">
                  <c:v>16.72</c:v>
                </c:pt>
                <c:pt idx="159">
                  <c:v>23.12</c:v>
                </c:pt>
                <c:pt idx="160">
                  <c:v>15.07</c:v>
                </c:pt>
                <c:pt idx="161">
                  <c:v>28.22</c:v>
                </c:pt>
                <c:pt idx="162">
                  <c:v>26.92</c:v>
                </c:pt>
                <c:pt idx="163">
                  <c:v>24.88</c:v>
                </c:pt>
                <c:pt idx="164">
                  <c:v>28.7</c:v>
                </c:pt>
                <c:pt idx="165">
                  <c:v>25.14</c:v>
                </c:pt>
                <c:pt idx="166">
                  <c:v>14.52</c:v>
                </c:pt>
                <c:pt idx="167">
                  <c:v>29.42</c:v>
                </c:pt>
                <c:pt idx="168">
                  <c:v>28.58</c:v>
                </c:pt>
                <c:pt idx="169">
                  <c:v>19.489999999999998</c:v>
                </c:pt>
                <c:pt idx="170">
                  <c:v>6.0960000000000001</c:v>
                </c:pt>
                <c:pt idx="171">
                  <c:v>26.39</c:v>
                </c:pt>
                <c:pt idx="172">
                  <c:v>21.28</c:v>
                </c:pt>
                <c:pt idx="173">
                  <c:v>17.600000000000001</c:v>
                </c:pt>
                <c:pt idx="174">
                  <c:v>14.19</c:v>
                </c:pt>
                <c:pt idx="175">
                  <c:v>17.329999999999998</c:v>
                </c:pt>
                <c:pt idx="176">
                  <c:v>24.29</c:v>
                </c:pt>
                <c:pt idx="177">
                  <c:v>16.54</c:v>
                </c:pt>
                <c:pt idx="178">
                  <c:v>25.04</c:v>
                </c:pt>
                <c:pt idx="179">
                  <c:v>16.82</c:v>
                </c:pt>
                <c:pt idx="180">
                  <c:v>20.52</c:v>
                </c:pt>
                <c:pt idx="181">
                  <c:v>27.58</c:v>
                </c:pt>
                <c:pt idx="182">
                  <c:v>15.68</c:v>
                </c:pt>
                <c:pt idx="183">
                  <c:v>23.73</c:v>
                </c:pt>
                <c:pt idx="184">
                  <c:v>12.24</c:v>
                </c:pt>
                <c:pt idx="185">
                  <c:v>11.68</c:v>
                </c:pt>
                <c:pt idx="186">
                  <c:v>16.88</c:v>
                </c:pt>
                <c:pt idx="187">
                  <c:v>18.84</c:v>
                </c:pt>
                <c:pt idx="188">
                  <c:v>18.09</c:v>
                </c:pt>
                <c:pt idx="189">
                  <c:v>19.7</c:v>
                </c:pt>
                <c:pt idx="190">
                  <c:v>12.97</c:v>
                </c:pt>
                <c:pt idx="191">
                  <c:v>18.62</c:v>
                </c:pt>
                <c:pt idx="192">
                  <c:v>21.59</c:v>
                </c:pt>
                <c:pt idx="193">
                  <c:v>21.09</c:v>
                </c:pt>
                <c:pt idx="194">
                  <c:v>19.760000000000002</c:v>
                </c:pt>
                <c:pt idx="195">
                  <c:v>18.850000000000001</c:v>
                </c:pt>
                <c:pt idx="196">
                  <c:v>18.940000000000001</c:v>
                </c:pt>
                <c:pt idx="197">
                  <c:v>10.56</c:v>
                </c:pt>
                <c:pt idx="198">
                  <c:v>21.52</c:v>
                </c:pt>
                <c:pt idx="199">
                  <c:v>18.03</c:v>
                </c:pt>
                <c:pt idx="200">
                  <c:v>17.059999999999999</c:v>
                </c:pt>
                <c:pt idx="201">
                  <c:v>29.53</c:v>
                </c:pt>
                <c:pt idx="202">
                  <c:v>22.71</c:v>
                </c:pt>
                <c:pt idx="203">
                  <c:v>14.54</c:v>
                </c:pt>
                <c:pt idx="204">
                  <c:v>14.91</c:v>
                </c:pt>
                <c:pt idx="205">
                  <c:v>26.34</c:v>
                </c:pt>
                <c:pt idx="206">
                  <c:v>27.38</c:v>
                </c:pt>
                <c:pt idx="207">
                  <c:v>24.35</c:v>
                </c:pt>
                <c:pt idx="208">
                  <c:v>24.38</c:v>
                </c:pt>
                <c:pt idx="209">
                  <c:v>25.37</c:v>
                </c:pt>
                <c:pt idx="210">
                  <c:v>24.67</c:v>
                </c:pt>
                <c:pt idx="211">
                  <c:v>23.25</c:v>
                </c:pt>
                <c:pt idx="212">
                  <c:v>25.19</c:v>
                </c:pt>
                <c:pt idx="213">
                  <c:v>20.41</c:v>
                </c:pt>
                <c:pt idx="214">
                  <c:v>22.92</c:v>
                </c:pt>
                <c:pt idx="215">
                  <c:v>26.75</c:v>
                </c:pt>
                <c:pt idx="216">
                  <c:v>26.16</c:v>
                </c:pt>
                <c:pt idx="217">
                  <c:v>26.9</c:v>
                </c:pt>
                <c:pt idx="218">
                  <c:v>26.76</c:v>
                </c:pt>
                <c:pt idx="219">
                  <c:v>26.36</c:v>
                </c:pt>
                <c:pt idx="220">
                  <c:v>20.91</c:v>
                </c:pt>
                <c:pt idx="221">
                  <c:v>10.96</c:v>
                </c:pt>
                <c:pt idx="222">
                  <c:v>7.07</c:v>
                </c:pt>
                <c:pt idx="223">
                  <c:v>21.74</c:v>
                </c:pt>
                <c:pt idx="224">
                  <c:v>14.1</c:v>
                </c:pt>
                <c:pt idx="225">
                  <c:v>22.94</c:v>
                </c:pt>
                <c:pt idx="226">
                  <c:v>21.3</c:v>
                </c:pt>
                <c:pt idx="227">
                  <c:v>8.81</c:v>
                </c:pt>
                <c:pt idx="228">
                  <c:v>18.32</c:v>
                </c:pt>
                <c:pt idx="229">
                  <c:v>24.38</c:v>
                </c:pt>
                <c:pt idx="230">
                  <c:v>23.49</c:v>
                </c:pt>
                <c:pt idx="231">
                  <c:v>22.44</c:v>
                </c:pt>
                <c:pt idx="232">
                  <c:v>10.83</c:v>
                </c:pt>
                <c:pt idx="233">
                  <c:v>22.88</c:v>
                </c:pt>
                <c:pt idx="234">
                  <c:v>8.24</c:v>
                </c:pt>
                <c:pt idx="235">
                  <c:v>21.56</c:v>
                </c:pt>
                <c:pt idx="236">
                  <c:v>14.64</c:v>
                </c:pt>
                <c:pt idx="237">
                  <c:v>19.82</c:v>
                </c:pt>
                <c:pt idx="238">
                  <c:v>22.31</c:v>
                </c:pt>
                <c:pt idx="239">
                  <c:v>22.22</c:v>
                </c:pt>
                <c:pt idx="240">
                  <c:v>22.21</c:v>
                </c:pt>
                <c:pt idx="241">
                  <c:v>16.399999999999999</c:v>
                </c:pt>
                <c:pt idx="242">
                  <c:v>12.68</c:v>
                </c:pt>
                <c:pt idx="243">
                  <c:v>17.329999999999998</c:v>
                </c:pt>
                <c:pt idx="244">
                  <c:v>20.329999999999998</c:v>
                </c:pt>
                <c:pt idx="245">
                  <c:v>20.66</c:v>
                </c:pt>
                <c:pt idx="246">
                  <c:v>18.850000000000001</c:v>
                </c:pt>
                <c:pt idx="247">
                  <c:v>19.989999999999998</c:v>
                </c:pt>
                <c:pt idx="248">
                  <c:v>14.64</c:v>
                </c:pt>
                <c:pt idx="249">
                  <c:v>14.76</c:v>
                </c:pt>
                <c:pt idx="250">
                  <c:v>4.4269999999999996</c:v>
                </c:pt>
                <c:pt idx="251">
                  <c:v>8.33</c:v>
                </c:pt>
                <c:pt idx="252">
                  <c:v>8</c:v>
                </c:pt>
                <c:pt idx="253">
                  <c:v>12.52</c:v>
                </c:pt>
                <c:pt idx="254">
                  <c:v>13.58</c:v>
                </c:pt>
                <c:pt idx="255">
                  <c:v>11.02</c:v>
                </c:pt>
                <c:pt idx="256">
                  <c:v>6.7889999999999997</c:v>
                </c:pt>
                <c:pt idx="257">
                  <c:v>3.2090000000000001</c:v>
                </c:pt>
                <c:pt idx="258">
                  <c:v>9.01</c:v>
                </c:pt>
                <c:pt idx="259">
                  <c:v>6.3879999999999999</c:v>
                </c:pt>
                <c:pt idx="260">
                  <c:v>5.8860000000000001</c:v>
                </c:pt>
                <c:pt idx="261">
                  <c:v>13.15</c:v>
                </c:pt>
                <c:pt idx="262">
                  <c:v>9.6</c:v>
                </c:pt>
                <c:pt idx="263">
                  <c:v>16.25</c:v>
                </c:pt>
                <c:pt idx="264">
                  <c:v>6.4539999999999997</c:v>
                </c:pt>
                <c:pt idx="265">
                  <c:v>3.5219999999999998</c:v>
                </c:pt>
                <c:pt idx="266">
                  <c:v>11.74</c:v>
                </c:pt>
                <c:pt idx="267">
                  <c:v>8.69</c:v>
                </c:pt>
                <c:pt idx="268">
                  <c:v>8.25</c:v>
                </c:pt>
                <c:pt idx="269">
                  <c:v>5.0069999999999997</c:v>
                </c:pt>
                <c:pt idx="270">
                  <c:v>4.8230000000000004</c:v>
                </c:pt>
                <c:pt idx="271">
                  <c:v>6.3789999999999996</c:v>
                </c:pt>
                <c:pt idx="272">
                  <c:v>9.6999999999999993</c:v>
                </c:pt>
                <c:pt idx="273">
                  <c:v>13.81</c:v>
                </c:pt>
                <c:pt idx="274">
                  <c:v>6.8</c:v>
                </c:pt>
                <c:pt idx="275">
                  <c:v>6.976</c:v>
                </c:pt>
                <c:pt idx="276">
                  <c:v>7.25</c:v>
                </c:pt>
                <c:pt idx="277">
                  <c:v>9.26</c:v>
                </c:pt>
                <c:pt idx="278">
                  <c:v>11.5</c:v>
                </c:pt>
                <c:pt idx="279">
                  <c:v>4.048</c:v>
                </c:pt>
                <c:pt idx="280">
                  <c:v>4.3239999999999998</c:v>
                </c:pt>
                <c:pt idx="281">
                  <c:v>12.92</c:v>
                </c:pt>
                <c:pt idx="282">
                  <c:v>12.69</c:v>
                </c:pt>
                <c:pt idx="283">
                  <c:v>12.5</c:v>
                </c:pt>
                <c:pt idx="284">
                  <c:v>8.2100000000000009</c:v>
                </c:pt>
                <c:pt idx="285">
                  <c:v>2.145</c:v>
                </c:pt>
                <c:pt idx="286">
                  <c:v>9.3000000000000007</c:v>
                </c:pt>
                <c:pt idx="287">
                  <c:v>4.3090000000000002</c:v>
                </c:pt>
                <c:pt idx="288">
                  <c:v>4.7539999999999996</c:v>
                </c:pt>
                <c:pt idx="289">
                  <c:v>7.02</c:v>
                </c:pt>
                <c:pt idx="290">
                  <c:v>6.4729999999999999</c:v>
                </c:pt>
                <c:pt idx="291">
                  <c:v>6.8220000000000001</c:v>
                </c:pt>
                <c:pt idx="292">
                  <c:v>2.371</c:v>
                </c:pt>
                <c:pt idx="293">
                  <c:v>0.48099999999999998</c:v>
                </c:pt>
                <c:pt idx="294">
                  <c:v>6.77</c:v>
                </c:pt>
                <c:pt idx="295">
                  <c:v>7.51</c:v>
                </c:pt>
                <c:pt idx="296">
                  <c:v>8.73</c:v>
                </c:pt>
                <c:pt idx="297">
                  <c:v>2.9780000000000002</c:v>
                </c:pt>
                <c:pt idx="298">
                  <c:v>8.7100000000000009</c:v>
                </c:pt>
                <c:pt idx="299">
                  <c:v>9.6</c:v>
                </c:pt>
                <c:pt idx="300">
                  <c:v>4.0330000000000004</c:v>
                </c:pt>
                <c:pt idx="301">
                  <c:v>9.39</c:v>
                </c:pt>
                <c:pt idx="302">
                  <c:v>7.69</c:v>
                </c:pt>
                <c:pt idx="303">
                  <c:v>5.915</c:v>
                </c:pt>
                <c:pt idx="304">
                  <c:v>7.89</c:v>
                </c:pt>
                <c:pt idx="305">
                  <c:v>5.6989999999999998</c:v>
                </c:pt>
                <c:pt idx="306">
                  <c:v>5.1710000000000003</c:v>
                </c:pt>
                <c:pt idx="307">
                  <c:v>6.6189999999999998</c:v>
                </c:pt>
                <c:pt idx="308">
                  <c:v>7.78</c:v>
                </c:pt>
                <c:pt idx="309">
                  <c:v>8.23</c:v>
                </c:pt>
                <c:pt idx="310">
                  <c:v>5.7969999999999997</c:v>
                </c:pt>
                <c:pt idx="311">
                  <c:v>1.665</c:v>
                </c:pt>
                <c:pt idx="312">
                  <c:v>2.847</c:v>
                </c:pt>
                <c:pt idx="313">
                  <c:v>6.1390000000000002</c:v>
                </c:pt>
                <c:pt idx="314">
                  <c:v>4.992</c:v>
                </c:pt>
                <c:pt idx="315">
                  <c:v>0.77700000000000002</c:v>
                </c:pt>
                <c:pt idx="316">
                  <c:v>5.1689999999999996</c:v>
                </c:pt>
                <c:pt idx="317">
                  <c:v>4.0090000000000003</c:v>
                </c:pt>
                <c:pt idx="318">
                  <c:v>2.403</c:v>
                </c:pt>
                <c:pt idx="319">
                  <c:v>1.032</c:v>
                </c:pt>
                <c:pt idx="320">
                  <c:v>2.4489999999999998</c:v>
                </c:pt>
                <c:pt idx="321">
                  <c:v>2.2850000000000001</c:v>
                </c:pt>
                <c:pt idx="322">
                  <c:v>0.21199999999999999</c:v>
                </c:pt>
                <c:pt idx="323">
                  <c:v>2.4700000000000002</c:v>
                </c:pt>
                <c:pt idx="324">
                  <c:v>5.2539999999999996</c:v>
                </c:pt>
                <c:pt idx="325">
                  <c:v>5.274</c:v>
                </c:pt>
                <c:pt idx="326">
                  <c:v>1.4079999999999999</c:v>
                </c:pt>
                <c:pt idx="327">
                  <c:v>5.4080000000000004</c:v>
                </c:pt>
                <c:pt idx="328">
                  <c:v>1.748</c:v>
                </c:pt>
                <c:pt idx="329">
                  <c:v>3.629</c:v>
                </c:pt>
                <c:pt idx="330">
                  <c:v>3.6110000000000002</c:v>
                </c:pt>
                <c:pt idx="331">
                  <c:v>4.8470000000000004</c:v>
                </c:pt>
                <c:pt idx="332">
                  <c:v>4.7190000000000003</c:v>
                </c:pt>
                <c:pt idx="333">
                  <c:v>4.819</c:v>
                </c:pt>
                <c:pt idx="334">
                  <c:v>1.772</c:v>
                </c:pt>
                <c:pt idx="335">
                  <c:v>1.06</c:v>
                </c:pt>
                <c:pt idx="336">
                  <c:v>3.2349999999999999</c:v>
                </c:pt>
                <c:pt idx="337">
                  <c:v>1.716</c:v>
                </c:pt>
                <c:pt idx="338">
                  <c:v>2.9689999999999999</c:v>
                </c:pt>
                <c:pt idx="339">
                  <c:v>1.696</c:v>
                </c:pt>
                <c:pt idx="340">
                  <c:v>1.0509999999999999</c:v>
                </c:pt>
                <c:pt idx="341">
                  <c:v>1.1659999999999999</c:v>
                </c:pt>
                <c:pt idx="342">
                  <c:v>2.5249999999999999</c:v>
                </c:pt>
                <c:pt idx="343">
                  <c:v>3.4649999999999999</c:v>
                </c:pt>
                <c:pt idx="344">
                  <c:v>1.24</c:v>
                </c:pt>
                <c:pt idx="345">
                  <c:v>0.96899999999999997</c:v>
                </c:pt>
                <c:pt idx="346">
                  <c:v>0.72399999999999998</c:v>
                </c:pt>
                <c:pt idx="347">
                  <c:v>0.499</c:v>
                </c:pt>
                <c:pt idx="348">
                  <c:v>1.157</c:v>
                </c:pt>
                <c:pt idx="349">
                  <c:v>0.42499999999999999</c:v>
                </c:pt>
                <c:pt idx="350">
                  <c:v>0.60099999999999998</c:v>
                </c:pt>
                <c:pt idx="351">
                  <c:v>0.42899999999999999</c:v>
                </c:pt>
                <c:pt idx="352">
                  <c:v>0.61699999999999999</c:v>
                </c:pt>
                <c:pt idx="353">
                  <c:v>0.193</c:v>
                </c:pt>
                <c:pt idx="354">
                  <c:v>0.58099999999999996</c:v>
                </c:pt>
                <c:pt idx="355">
                  <c:v>1.1599999999999999</c:v>
                </c:pt>
                <c:pt idx="356">
                  <c:v>3.1629999999999998</c:v>
                </c:pt>
                <c:pt idx="357">
                  <c:v>2.6520000000000001</c:v>
                </c:pt>
                <c:pt idx="358">
                  <c:v>3.7189999999999999</c:v>
                </c:pt>
                <c:pt idx="359">
                  <c:v>3.6139999999999999</c:v>
                </c:pt>
                <c:pt idx="360">
                  <c:v>1.149</c:v>
                </c:pt>
                <c:pt idx="361">
                  <c:v>1.337</c:v>
                </c:pt>
                <c:pt idx="362">
                  <c:v>2.024</c:v>
                </c:pt>
                <c:pt idx="363">
                  <c:v>2.0619999999999998</c:v>
                </c:pt>
                <c:pt idx="364">
                  <c:v>0.372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Data!$AB$6:$AB$370</c:f>
              <c:numCache>
                <c:formatCode>General</c:formatCode>
                <c:ptCount val="365"/>
                <c:pt idx="0">
                  <c:v>1.8979999999999999</c:v>
                </c:pt>
                <c:pt idx="1">
                  <c:v>1.306</c:v>
                </c:pt>
                <c:pt idx="2">
                  <c:v>1.2549999999999999</c:v>
                </c:pt>
                <c:pt idx="3">
                  <c:v>2.9969999999999999</c:v>
                </c:pt>
                <c:pt idx="4">
                  <c:v>1.98</c:v>
                </c:pt>
                <c:pt idx="5">
                  <c:v>2.9340000000000002</c:v>
                </c:pt>
                <c:pt idx="6">
                  <c:v>3.6349999999999998</c:v>
                </c:pt>
                <c:pt idx="7">
                  <c:v>1.7170000000000001</c:v>
                </c:pt>
                <c:pt idx="8">
                  <c:v>1.21</c:v>
                </c:pt>
                <c:pt idx="9">
                  <c:v>3.157</c:v>
                </c:pt>
                <c:pt idx="10">
                  <c:v>2.927</c:v>
                </c:pt>
                <c:pt idx="11">
                  <c:v>3.5139999999999998</c:v>
                </c:pt>
                <c:pt idx="12">
                  <c:v>4.4889999999999999</c:v>
                </c:pt>
                <c:pt idx="13">
                  <c:v>4.6449999999999996</c:v>
                </c:pt>
                <c:pt idx="14">
                  <c:v>4.5359999999999996</c:v>
                </c:pt>
                <c:pt idx="15">
                  <c:v>2.2029999999999998</c:v>
                </c:pt>
                <c:pt idx="16">
                  <c:v>1.583</c:v>
                </c:pt>
                <c:pt idx="17">
                  <c:v>2.7050000000000001</c:v>
                </c:pt>
                <c:pt idx="18">
                  <c:v>5.1719999999999997</c:v>
                </c:pt>
                <c:pt idx="19">
                  <c:v>2.98</c:v>
                </c:pt>
                <c:pt idx="20">
                  <c:v>1.2969999999999999</c:v>
                </c:pt>
                <c:pt idx="21">
                  <c:v>1.4830000000000001</c:v>
                </c:pt>
                <c:pt idx="22">
                  <c:v>3.9569999999999999</c:v>
                </c:pt>
                <c:pt idx="23">
                  <c:v>5.2050000000000001</c:v>
                </c:pt>
                <c:pt idx="24">
                  <c:v>5.2469999999999999</c:v>
                </c:pt>
                <c:pt idx="25">
                  <c:v>5.431</c:v>
                </c:pt>
                <c:pt idx="26">
                  <c:v>5.99</c:v>
                </c:pt>
                <c:pt idx="27">
                  <c:v>4.6689999999999996</c:v>
                </c:pt>
                <c:pt idx="28">
                  <c:v>6.2969999999999997</c:v>
                </c:pt>
                <c:pt idx="29">
                  <c:v>3.4060000000000001</c:v>
                </c:pt>
                <c:pt idx="30">
                  <c:v>2.2450000000000001</c:v>
                </c:pt>
                <c:pt idx="31">
                  <c:v>3.5939999999999999</c:v>
                </c:pt>
                <c:pt idx="32">
                  <c:v>5.4589999999999996</c:v>
                </c:pt>
                <c:pt idx="33">
                  <c:v>4.7080000000000002</c:v>
                </c:pt>
                <c:pt idx="34">
                  <c:v>6.0540000000000003</c:v>
                </c:pt>
                <c:pt idx="35">
                  <c:v>6.38</c:v>
                </c:pt>
                <c:pt idx="36">
                  <c:v>7.64</c:v>
                </c:pt>
                <c:pt idx="37">
                  <c:v>3.468</c:v>
                </c:pt>
                <c:pt idx="38">
                  <c:v>4.7050000000000001</c:v>
                </c:pt>
                <c:pt idx="39">
                  <c:v>6.1479999999999997</c:v>
                </c:pt>
                <c:pt idx="40">
                  <c:v>6.9329999999999998</c:v>
                </c:pt>
                <c:pt idx="41">
                  <c:v>6.4020000000000001</c:v>
                </c:pt>
                <c:pt idx="42">
                  <c:v>3.0819999999999999</c:v>
                </c:pt>
                <c:pt idx="43">
                  <c:v>8.39</c:v>
                </c:pt>
                <c:pt idx="44">
                  <c:v>5.0960000000000001</c:v>
                </c:pt>
                <c:pt idx="45">
                  <c:v>5.3380000000000001</c:v>
                </c:pt>
                <c:pt idx="46">
                  <c:v>4.4530000000000003</c:v>
                </c:pt>
                <c:pt idx="47">
                  <c:v>4.9349999999999996</c:v>
                </c:pt>
                <c:pt idx="48">
                  <c:v>9.4700000000000006</c:v>
                </c:pt>
                <c:pt idx="49">
                  <c:v>4.4820000000000002</c:v>
                </c:pt>
                <c:pt idx="50">
                  <c:v>5.38</c:v>
                </c:pt>
                <c:pt idx="51">
                  <c:v>6.4390000000000001</c:v>
                </c:pt>
                <c:pt idx="52">
                  <c:v>3.99</c:v>
                </c:pt>
                <c:pt idx="53">
                  <c:v>4.367</c:v>
                </c:pt>
                <c:pt idx="54">
                  <c:v>9.8800000000000008</c:v>
                </c:pt>
                <c:pt idx="55">
                  <c:v>10.42</c:v>
                </c:pt>
                <c:pt idx="56">
                  <c:v>11.13</c:v>
                </c:pt>
                <c:pt idx="57">
                  <c:v>4.3310000000000004</c:v>
                </c:pt>
                <c:pt idx="58">
                  <c:v>5.5819999999999999</c:v>
                </c:pt>
                <c:pt idx="59">
                  <c:v>8.0399999999999991</c:v>
                </c:pt>
                <c:pt idx="60">
                  <c:v>8.67</c:v>
                </c:pt>
                <c:pt idx="61">
                  <c:v>11.91</c:v>
                </c:pt>
                <c:pt idx="62">
                  <c:v>12.77</c:v>
                </c:pt>
                <c:pt idx="63">
                  <c:v>9.8699999999999992</c:v>
                </c:pt>
                <c:pt idx="64">
                  <c:v>6.4219999999999997</c:v>
                </c:pt>
                <c:pt idx="65">
                  <c:v>8.42</c:v>
                </c:pt>
                <c:pt idx="66">
                  <c:v>10.029999999999999</c:v>
                </c:pt>
                <c:pt idx="67">
                  <c:v>6.702</c:v>
                </c:pt>
                <c:pt idx="68">
                  <c:v>13.44</c:v>
                </c:pt>
                <c:pt idx="69">
                  <c:v>6.5810000000000004</c:v>
                </c:pt>
                <c:pt idx="70">
                  <c:v>6.8109999999999999</c:v>
                </c:pt>
                <c:pt idx="71">
                  <c:v>12.5</c:v>
                </c:pt>
                <c:pt idx="72">
                  <c:v>10.63</c:v>
                </c:pt>
                <c:pt idx="73">
                  <c:v>9.99</c:v>
                </c:pt>
                <c:pt idx="74">
                  <c:v>12.72</c:v>
                </c:pt>
                <c:pt idx="75">
                  <c:v>13.6</c:v>
                </c:pt>
                <c:pt idx="76">
                  <c:v>13.67</c:v>
                </c:pt>
                <c:pt idx="77">
                  <c:v>13.59</c:v>
                </c:pt>
                <c:pt idx="78">
                  <c:v>13.61</c:v>
                </c:pt>
                <c:pt idx="79">
                  <c:v>13.59</c:v>
                </c:pt>
                <c:pt idx="80">
                  <c:v>13.29</c:v>
                </c:pt>
                <c:pt idx="81">
                  <c:v>6.609</c:v>
                </c:pt>
                <c:pt idx="82">
                  <c:v>6.1870000000000003</c:v>
                </c:pt>
                <c:pt idx="83">
                  <c:v>9.4</c:v>
                </c:pt>
                <c:pt idx="84">
                  <c:v>9.67</c:v>
                </c:pt>
                <c:pt idx="85">
                  <c:v>15.2</c:v>
                </c:pt>
                <c:pt idx="86">
                  <c:v>9.3699999999999992</c:v>
                </c:pt>
                <c:pt idx="87">
                  <c:v>12.36</c:v>
                </c:pt>
                <c:pt idx="88">
                  <c:v>13.96</c:v>
                </c:pt>
                <c:pt idx="89">
                  <c:v>11.39</c:v>
                </c:pt>
                <c:pt idx="90">
                  <c:v>14.89</c:v>
                </c:pt>
                <c:pt idx="91">
                  <c:v>14.52</c:v>
                </c:pt>
                <c:pt idx="92">
                  <c:v>5.3550000000000004</c:v>
                </c:pt>
                <c:pt idx="93">
                  <c:v>8.84</c:v>
                </c:pt>
                <c:pt idx="94">
                  <c:v>5.008</c:v>
                </c:pt>
                <c:pt idx="95">
                  <c:v>8.73</c:v>
                </c:pt>
                <c:pt idx="96">
                  <c:v>13.67</c:v>
                </c:pt>
                <c:pt idx="97">
                  <c:v>7.58</c:v>
                </c:pt>
                <c:pt idx="98">
                  <c:v>10.78</c:v>
                </c:pt>
                <c:pt idx="99">
                  <c:v>6.4660000000000002</c:v>
                </c:pt>
                <c:pt idx="100">
                  <c:v>11.08</c:v>
                </c:pt>
                <c:pt idx="101">
                  <c:v>9.77</c:v>
                </c:pt>
                <c:pt idx="102">
                  <c:v>4.641</c:v>
                </c:pt>
                <c:pt idx="103">
                  <c:v>14.94</c:v>
                </c:pt>
                <c:pt idx="104">
                  <c:v>12.09</c:v>
                </c:pt>
                <c:pt idx="105">
                  <c:v>14.16</c:v>
                </c:pt>
                <c:pt idx="106">
                  <c:v>16.079999999999998</c:v>
                </c:pt>
                <c:pt idx="107">
                  <c:v>6.181</c:v>
                </c:pt>
                <c:pt idx="108">
                  <c:v>6.6619999999999999</c:v>
                </c:pt>
                <c:pt idx="109">
                  <c:v>13.82</c:v>
                </c:pt>
                <c:pt idx="110">
                  <c:v>15.75</c:v>
                </c:pt>
                <c:pt idx="111">
                  <c:v>4.867</c:v>
                </c:pt>
                <c:pt idx="112">
                  <c:v>10.6</c:v>
                </c:pt>
                <c:pt idx="113">
                  <c:v>12.92</c:v>
                </c:pt>
                <c:pt idx="114">
                  <c:v>13.68</c:v>
                </c:pt>
                <c:pt idx="115">
                  <c:v>13.15</c:v>
                </c:pt>
                <c:pt idx="116">
                  <c:v>10.98</c:v>
                </c:pt>
                <c:pt idx="117">
                  <c:v>17.05</c:v>
                </c:pt>
                <c:pt idx="118">
                  <c:v>12.01</c:v>
                </c:pt>
                <c:pt idx="119">
                  <c:v>15.41</c:v>
                </c:pt>
                <c:pt idx="120">
                  <c:v>11.75</c:v>
                </c:pt>
                <c:pt idx="121">
                  <c:v>10.61</c:v>
                </c:pt>
                <c:pt idx="122">
                  <c:v>14.65</c:v>
                </c:pt>
                <c:pt idx="123">
                  <c:v>8.82</c:v>
                </c:pt>
                <c:pt idx="124">
                  <c:v>9.2200000000000006</c:v>
                </c:pt>
                <c:pt idx="125">
                  <c:v>6.4930000000000003</c:v>
                </c:pt>
                <c:pt idx="126">
                  <c:v>4.63</c:v>
                </c:pt>
                <c:pt idx="127">
                  <c:v>3.6739999999999999</c:v>
                </c:pt>
                <c:pt idx="128">
                  <c:v>4.7329999999999997</c:v>
                </c:pt>
                <c:pt idx="129">
                  <c:v>4.18</c:v>
                </c:pt>
                <c:pt idx="130">
                  <c:v>3.9569999999999999</c:v>
                </c:pt>
                <c:pt idx="131">
                  <c:v>4.9269999999999996</c:v>
                </c:pt>
                <c:pt idx="132">
                  <c:v>4.0350000000000001</c:v>
                </c:pt>
                <c:pt idx="133">
                  <c:v>1.498</c:v>
                </c:pt>
                <c:pt idx="134">
                  <c:v>4.4390000000000001</c:v>
                </c:pt>
                <c:pt idx="135">
                  <c:v>1.639</c:v>
                </c:pt>
                <c:pt idx="136">
                  <c:v>1.542</c:v>
                </c:pt>
                <c:pt idx="137">
                  <c:v>1.992</c:v>
                </c:pt>
                <c:pt idx="138">
                  <c:v>2.7229999999999999</c:v>
                </c:pt>
                <c:pt idx="139">
                  <c:v>3.11</c:v>
                </c:pt>
                <c:pt idx="140">
                  <c:v>1.9319999999999999</c:v>
                </c:pt>
                <c:pt idx="141">
                  <c:v>3.1240000000000001</c:v>
                </c:pt>
                <c:pt idx="142">
                  <c:v>3.5630000000000002</c:v>
                </c:pt>
                <c:pt idx="143">
                  <c:v>3.8260000000000001</c:v>
                </c:pt>
                <c:pt idx="144">
                  <c:v>1.5960000000000001</c:v>
                </c:pt>
                <c:pt idx="145">
                  <c:v>2.8690000000000002</c:v>
                </c:pt>
                <c:pt idx="146">
                  <c:v>5.6109999999999998</c:v>
                </c:pt>
                <c:pt idx="147">
                  <c:v>5.1509999999999998</c:v>
                </c:pt>
                <c:pt idx="148">
                  <c:v>5.14</c:v>
                </c:pt>
                <c:pt idx="149">
                  <c:v>2.996</c:v>
                </c:pt>
                <c:pt idx="150">
                  <c:v>3.5710000000000002</c:v>
                </c:pt>
                <c:pt idx="151">
                  <c:v>5.75</c:v>
                </c:pt>
                <c:pt idx="152">
                  <c:v>5.5460000000000003</c:v>
                </c:pt>
                <c:pt idx="153">
                  <c:v>5.8150000000000004</c:v>
                </c:pt>
                <c:pt idx="154">
                  <c:v>5.7279999999999998</c:v>
                </c:pt>
                <c:pt idx="155">
                  <c:v>2.57</c:v>
                </c:pt>
                <c:pt idx="156">
                  <c:v>3.0649999999999999</c:v>
                </c:pt>
                <c:pt idx="157">
                  <c:v>3.6779999999999999</c:v>
                </c:pt>
                <c:pt idx="158">
                  <c:v>2.9009999999999998</c:v>
                </c:pt>
                <c:pt idx="159">
                  <c:v>4.5910000000000002</c:v>
                </c:pt>
                <c:pt idx="160">
                  <c:v>3.12</c:v>
                </c:pt>
                <c:pt idx="161">
                  <c:v>5.8150000000000004</c:v>
                </c:pt>
                <c:pt idx="162">
                  <c:v>5.617</c:v>
                </c:pt>
                <c:pt idx="163">
                  <c:v>5.2240000000000002</c:v>
                </c:pt>
                <c:pt idx="164">
                  <c:v>6.0030000000000001</c:v>
                </c:pt>
                <c:pt idx="165">
                  <c:v>5.2919999999999998</c:v>
                </c:pt>
                <c:pt idx="166">
                  <c:v>3.1259999999999999</c:v>
                </c:pt>
                <c:pt idx="167">
                  <c:v>6.2169999999999996</c:v>
                </c:pt>
                <c:pt idx="168">
                  <c:v>6.1130000000000004</c:v>
                </c:pt>
                <c:pt idx="169">
                  <c:v>4.0590000000000002</c:v>
                </c:pt>
                <c:pt idx="170">
                  <c:v>1.105</c:v>
                </c:pt>
                <c:pt idx="171">
                  <c:v>5.36</c:v>
                </c:pt>
                <c:pt idx="172">
                  <c:v>4.6500000000000004</c:v>
                </c:pt>
                <c:pt idx="173">
                  <c:v>3.6280000000000001</c:v>
                </c:pt>
                <c:pt idx="174">
                  <c:v>2.7610000000000001</c:v>
                </c:pt>
                <c:pt idx="175">
                  <c:v>3.6640000000000001</c:v>
                </c:pt>
                <c:pt idx="176">
                  <c:v>5.2220000000000004</c:v>
                </c:pt>
                <c:pt idx="177">
                  <c:v>3.3879999999999999</c:v>
                </c:pt>
                <c:pt idx="178">
                  <c:v>5.0739999999999998</c:v>
                </c:pt>
                <c:pt idx="179">
                  <c:v>3.621</c:v>
                </c:pt>
                <c:pt idx="180">
                  <c:v>4.51</c:v>
                </c:pt>
                <c:pt idx="181">
                  <c:v>5.9119999999999999</c:v>
                </c:pt>
                <c:pt idx="182">
                  <c:v>3.4790000000000001</c:v>
                </c:pt>
                <c:pt idx="183">
                  <c:v>5.1870000000000003</c:v>
                </c:pt>
                <c:pt idx="184">
                  <c:v>2.6970000000000001</c:v>
                </c:pt>
                <c:pt idx="185">
                  <c:v>2.3540000000000001</c:v>
                </c:pt>
                <c:pt idx="186">
                  <c:v>3.2349999999999999</c:v>
                </c:pt>
                <c:pt idx="187">
                  <c:v>4.0419999999999998</c:v>
                </c:pt>
                <c:pt idx="188">
                  <c:v>3.8149999999999999</c:v>
                </c:pt>
                <c:pt idx="189">
                  <c:v>4.26</c:v>
                </c:pt>
                <c:pt idx="190">
                  <c:v>2.669</c:v>
                </c:pt>
                <c:pt idx="191">
                  <c:v>3.8439999999999999</c:v>
                </c:pt>
                <c:pt idx="192">
                  <c:v>4.6760000000000002</c:v>
                </c:pt>
                <c:pt idx="193">
                  <c:v>4.6559999999999997</c:v>
                </c:pt>
                <c:pt idx="194">
                  <c:v>4.3470000000000004</c:v>
                </c:pt>
                <c:pt idx="195">
                  <c:v>4.1100000000000003</c:v>
                </c:pt>
                <c:pt idx="196">
                  <c:v>4.2149999999999999</c:v>
                </c:pt>
                <c:pt idx="197">
                  <c:v>2.0880000000000001</c:v>
                </c:pt>
                <c:pt idx="198">
                  <c:v>4.6120000000000001</c:v>
                </c:pt>
                <c:pt idx="199">
                  <c:v>3.9849999999999999</c:v>
                </c:pt>
                <c:pt idx="200">
                  <c:v>3.7530000000000001</c:v>
                </c:pt>
                <c:pt idx="201">
                  <c:v>6.5339999999999998</c:v>
                </c:pt>
                <c:pt idx="202">
                  <c:v>5.0519999999999996</c:v>
                </c:pt>
                <c:pt idx="203">
                  <c:v>3.165</c:v>
                </c:pt>
                <c:pt idx="204">
                  <c:v>3.2170000000000001</c:v>
                </c:pt>
                <c:pt idx="205">
                  <c:v>5.8390000000000004</c:v>
                </c:pt>
                <c:pt idx="206">
                  <c:v>6.1159999999999997</c:v>
                </c:pt>
                <c:pt idx="207">
                  <c:v>5.4189999999999996</c:v>
                </c:pt>
                <c:pt idx="208">
                  <c:v>5.5270000000000001</c:v>
                </c:pt>
                <c:pt idx="209">
                  <c:v>5.7270000000000003</c:v>
                </c:pt>
                <c:pt idx="210">
                  <c:v>5.5659999999999998</c:v>
                </c:pt>
                <c:pt idx="211">
                  <c:v>5.2770000000000001</c:v>
                </c:pt>
                <c:pt idx="212">
                  <c:v>5.8550000000000004</c:v>
                </c:pt>
                <c:pt idx="213">
                  <c:v>4.7910000000000004</c:v>
                </c:pt>
                <c:pt idx="214">
                  <c:v>5.3449999999999998</c:v>
                </c:pt>
                <c:pt idx="215">
                  <c:v>6.22</c:v>
                </c:pt>
                <c:pt idx="216">
                  <c:v>6.0949999999999998</c:v>
                </c:pt>
                <c:pt idx="217">
                  <c:v>6.359</c:v>
                </c:pt>
                <c:pt idx="218">
                  <c:v>6.3559999999999999</c:v>
                </c:pt>
                <c:pt idx="219">
                  <c:v>6.2679999999999998</c:v>
                </c:pt>
                <c:pt idx="220">
                  <c:v>4.9790000000000001</c:v>
                </c:pt>
                <c:pt idx="221">
                  <c:v>2.3889999999999998</c:v>
                </c:pt>
                <c:pt idx="222">
                  <c:v>1.3340000000000001</c:v>
                </c:pt>
                <c:pt idx="223">
                  <c:v>4.7350000000000003</c:v>
                </c:pt>
                <c:pt idx="224">
                  <c:v>3.2109999999999999</c:v>
                </c:pt>
                <c:pt idx="225">
                  <c:v>5.1219999999999999</c:v>
                </c:pt>
                <c:pt idx="226">
                  <c:v>4.9459999999999997</c:v>
                </c:pt>
                <c:pt idx="227">
                  <c:v>1.984</c:v>
                </c:pt>
                <c:pt idx="228">
                  <c:v>4.2149999999999999</c:v>
                </c:pt>
                <c:pt idx="229">
                  <c:v>5.6669999999999998</c:v>
                </c:pt>
                <c:pt idx="230">
                  <c:v>5.55</c:v>
                </c:pt>
                <c:pt idx="231">
                  <c:v>5.28</c:v>
                </c:pt>
                <c:pt idx="232">
                  <c:v>2.52</c:v>
                </c:pt>
                <c:pt idx="233">
                  <c:v>5.327</c:v>
                </c:pt>
                <c:pt idx="234">
                  <c:v>1.849</c:v>
                </c:pt>
                <c:pt idx="235">
                  <c:v>5.0549999999999997</c:v>
                </c:pt>
                <c:pt idx="236">
                  <c:v>3.1709999999999998</c:v>
                </c:pt>
                <c:pt idx="237">
                  <c:v>4.3840000000000003</c:v>
                </c:pt>
                <c:pt idx="238">
                  <c:v>5.2110000000000003</c:v>
                </c:pt>
                <c:pt idx="239">
                  <c:v>5.226</c:v>
                </c:pt>
                <c:pt idx="240">
                  <c:v>5.2640000000000002</c:v>
                </c:pt>
                <c:pt idx="241">
                  <c:v>3.827</c:v>
                </c:pt>
                <c:pt idx="242">
                  <c:v>2.9260000000000002</c:v>
                </c:pt>
                <c:pt idx="243">
                  <c:v>3.9889999999999999</c:v>
                </c:pt>
                <c:pt idx="244">
                  <c:v>4.7889999999999997</c:v>
                </c:pt>
                <c:pt idx="245">
                  <c:v>4.8520000000000003</c:v>
                </c:pt>
                <c:pt idx="246">
                  <c:v>4.2619999999999996</c:v>
                </c:pt>
                <c:pt idx="247">
                  <c:v>4.7149999999999999</c:v>
                </c:pt>
                <c:pt idx="248">
                  <c:v>3.4169999999999998</c:v>
                </c:pt>
                <c:pt idx="249">
                  <c:v>3.4590000000000001</c:v>
                </c:pt>
                <c:pt idx="250">
                  <c:v>0.81100000000000005</c:v>
                </c:pt>
                <c:pt idx="251">
                  <c:v>1.552</c:v>
                </c:pt>
                <c:pt idx="252">
                  <c:v>1.4339999999999999</c:v>
                </c:pt>
                <c:pt idx="253">
                  <c:v>2.4500000000000002</c:v>
                </c:pt>
                <c:pt idx="254">
                  <c:v>2.85</c:v>
                </c:pt>
                <c:pt idx="255">
                  <c:v>2.403</c:v>
                </c:pt>
                <c:pt idx="256">
                  <c:v>1.248</c:v>
                </c:pt>
                <c:pt idx="257">
                  <c:v>0.503</c:v>
                </c:pt>
                <c:pt idx="258">
                  <c:v>1.6759999999999999</c:v>
                </c:pt>
                <c:pt idx="259">
                  <c:v>1.1459999999999999</c:v>
                </c:pt>
                <c:pt idx="260">
                  <c:v>0.97899999999999998</c:v>
                </c:pt>
                <c:pt idx="261">
                  <c:v>2.64</c:v>
                </c:pt>
                <c:pt idx="262">
                  <c:v>1.847</c:v>
                </c:pt>
                <c:pt idx="263">
                  <c:v>3.5390000000000001</c:v>
                </c:pt>
                <c:pt idx="264">
                  <c:v>1.226</c:v>
                </c:pt>
                <c:pt idx="265">
                  <c:v>0.54900000000000004</c:v>
                </c:pt>
                <c:pt idx="266">
                  <c:v>2.379</c:v>
                </c:pt>
                <c:pt idx="267">
                  <c:v>1.7949999999999999</c:v>
                </c:pt>
                <c:pt idx="268">
                  <c:v>1.379</c:v>
                </c:pt>
                <c:pt idx="269">
                  <c:v>1.399</c:v>
                </c:pt>
                <c:pt idx="270">
                  <c:v>5.0970000000000004</c:v>
                </c:pt>
                <c:pt idx="271">
                  <c:v>5.3470000000000004</c:v>
                </c:pt>
                <c:pt idx="272">
                  <c:v>8.15</c:v>
                </c:pt>
                <c:pt idx="273">
                  <c:v>10.67</c:v>
                </c:pt>
                <c:pt idx="274">
                  <c:v>4.6870000000000003</c:v>
                </c:pt>
                <c:pt idx="275">
                  <c:v>4.7149999999999999</c:v>
                </c:pt>
                <c:pt idx="276">
                  <c:v>3.1949999999999998</c:v>
                </c:pt>
                <c:pt idx="277">
                  <c:v>2.9279999999999999</c:v>
                </c:pt>
                <c:pt idx="278">
                  <c:v>2.5539999999999998</c:v>
                </c:pt>
                <c:pt idx="279">
                  <c:v>0.70599999999999996</c:v>
                </c:pt>
                <c:pt idx="280">
                  <c:v>2.2730000000000001</c:v>
                </c:pt>
                <c:pt idx="281">
                  <c:v>7.88</c:v>
                </c:pt>
                <c:pt idx="282">
                  <c:v>5.5359999999999996</c:v>
                </c:pt>
                <c:pt idx="283">
                  <c:v>3.6779999999999999</c:v>
                </c:pt>
                <c:pt idx="284">
                  <c:v>1.8640000000000001</c:v>
                </c:pt>
                <c:pt idx="285">
                  <c:v>1.0580000000000001</c:v>
                </c:pt>
                <c:pt idx="286">
                  <c:v>2.6539999999999999</c:v>
                </c:pt>
                <c:pt idx="287">
                  <c:v>0.80400000000000005</c:v>
                </c:pt>
                <c:pt idx="288">
                  <c:v>0.94699999999999995</c:v>
                </c:pt>
                <c:pt idx="289">
                  <c:v>1.613</c:v>
                </c:pt>
                <c:pt idx="290">
                  <c:v>3.61</c:v>
                </c:pt>
                <c:pt idx="291">
                  <c:v>3.254</c:v>
                </c:pt>
                <c:pt idx="292">
                  <c:v>1.6910000000000001</c:v>
                </c:pt>
                <c:pt idx="293">
                  <c:v>1.6759999999999999</c:v>
                </c:pt>
                <c:pt idx="294">
                  <c:v>5.6609999999999996</c:v>
                </c:pt>
                <c:pt idx="295">
                  <c:v>6.0990000000000002</c:v>
                </c:pt>
                <c:pt idx="296">
                  <c:v>6.5019999999999998</c:v>
                </c:pt>
                <c:pt idx="297">
                  <c:v>1.9370000000000001</c:v>
                </c:pt>
                <c:pt idx="298">
                  <c:v>6.6719999999999997</c:v>
                </c:pt>
                <c:pt idx="299">
                  <c:v>7.02</c:v>
                </c:pt>
                <c:pt idx="300">
                  <c:v>2.9929999999999999</c:v>
                </c:pt>
                <c:pt idx="301">
                  <c:v>6.9630000000000001</c:v>
                </c:pt>
                <c:pt idx="302">
                  <c:v>5.5010000000000003</c:v>
                </c:pt>
                <c:pt idx="303">
                  <c:v>4.0309999999999997</c:v>
                </c:pt>
                <c:pt idx="304">
                  <c:v>5.6749999999999998</c:v>
                </c:pt>
                <c:pt idx="305">
                  <c:v>3.399</c:v>
                </c:pt>
                <c:pt idx="306">
                  <c:v>2.6030000000000002</c:v>
                </c:pt>
                <c:pt idx="307">
                  <c:v>2.246</c:v>
                </c:pt>
                <c:pt idx="308">
                  <c:v>2.1629999999999998</c:v>
                </c:pt>
                <c:pt idx="309">
                  <c:v>2.109</c:v>
                </c:pt>
                <c:pt idx="310">
                  <c:v>1.5309999999999999</c:v>
                </c:pt>
                <c:pt idx="311">
                  <c:v>0.36</c:v>
                </c:pt>
                <c:pt idx="312">
                  <c:v>0.58199999999999996</c:v>
                </c:pt>
                <c:pt idx="313">
                  <c:v>1.343</c:v>
                </c:pt>
                <c:pt idx="314">
                  <c:v>1.181</c:v>
                </c:pt>
                <c:pt idx="315">
                  <c:v>1.573</c:v>
                </c:pt>
                <c:pt idx="316">
                  <c:v>3.617</c:v>
                </c:pt>
                <c:pt idx="317">
                  <c:v>2.6539999999999999</c:v>
                </c:pt>
                <c:pt idx="318">
                  <c:v>1.7050000000000001</c:v>
                </c:pt>
                <c:pt idx="319">
                  <c:v>0.871</c:v>
                </c:pt>
                <c:pt idx="320">
                  <c:v>2.1269999999999998</c:v>
                </c:pt>
                <c:pt idx="321">
                  <c:v>1.591</c:v>
                </c:pt>
                <c:pt idx="322">
                  <c:v>0.754</c:v>
                </c:pt>
                <c:pt idx="323">
                  <c:v>4.625</c:v>
                </c:pt>
                <c:pt idx="324">
                  <c:v>4.3540000000000001</c:v>
                </c:pt>
                <c:pt idx="325">
                  <c:v>4.2430000000000003</c:v>
                </c:pt>
                <c:pt idx="326">
                  <c:v>1.1020000000000001</c:v>
                </c:pt>
                <c:pt idx="327">
                  <c:v>4.2539999999999996</c:v>
                </c:pt>
                <c:pt idx="328">
                  <c:v>2.8610000000000002</c:v>
                </c:pt>
                <c:pt idx="329">
                  <c:v>4.0720000000000001</c:v>
                </c:pt>
                <c:pt idx="330">
                  <c:v>2.9740000000000002</c:v>
                </c:pt>
                <c:pt idx="331">
                  <c:v>3.8559999999999999</c:v>
                </c:pt>
                <c:pt idx="332">
                  <c:v>3.8069999999999999</c:v>
                </c:pt>
                <c:pt idx="333">
                  <c:v>3.8279999999999998</c:v>
                </c:pt>
                <c:pt idx="334">
                  <c:v>1.4279999999999999</c:v>
                </c:pt>
                <c:pt idx="335">
                  <c:v>1.488</c:v>
                </c:pt>
                <c:pt idx="336">
                  <c:v>2.665</c:v>
                </c:pt>
                <c:pt idx="337">
                  <c:v>1.4470000000000001</c:v>
                </c:pt>
                <c:pt idx="338">
                  <c:v>2.3410000000000002</c:v>
                </c:pt>
                <c:pt idx="339">
                  <c:v>1.3819999999999999</c:v>
                </c:pt>
                <c:pt idx="340">
                  <c:v>1.0629999999999999</c:v>
                </c:pt>
                <c:pt idx="341">
                  <c:v>3.633</c:v>
                </c:pt>
                <c:pt idx="342">
                  <c:v>3.468</c:v>
                </c:pt>
                <c:pt idx="343">
                  <c:v>3.0179999999999998</c:v>
                </c:pt>
                <c:pt idx="344">
                  <c:v>2.3109999999999999</c:v>
                </c:pt>
                <c:pt idx="345">
                  <c:v>2.42</c:v>
                </c:pt>
                <c:pt idx="346">
                  <c:v>2.218</c:v>
                </c:pt>
                <c:pt idx="347">
                  <c:v>1.617</c:v>
                </c:pt>
                <c:pt idx="348">
                  <c:v>2.4750000000000001</c:v>
                </c:pt>
                <c:pt idx="349">
                  <c:v>1.4650000000000001</c:v>
                </c:pt>
                <c:pt idx="350">
                  <c:v>1.8660000000000001</c:v>
                </c:pt>
                <c:pt idx="351">
                  <c:v>1.458</c:v>
                </c:pt>
                <c:pt idx="352">
                  <c:v>1.9850000000000001</c:v>
                </c:pt>
                <c:pt idx="353">
                  <c:v>0.88100000000000001</c:v>
                </c:pt>
                <c:pt idx="354">
                  <c:v>0.621</c:v>
                </c:pt>
                <c:pt idx="355">
                  <c:v>1.607</c:v>
                </c:pt>
                <c:pt idx="356">
                  <c:v>3.49</c:v>
                </c:pt>
                <c:pt idx="357">
                  <c:v>2.3719999999999999</c:v>
                </c:pt>
                <c:pt idx="358">
                  <c:v>3.153</c:v>
                </c:pt>
                <c:pt idx="359">
                  <c:v>3.1749999999999998</c:v>
                </c:pt>
                <c:pt idx="360">
                  <c:v>0.99199999999999999</c:v>
                </c:pt>
                <c:pt idx="361">
                  <c:v>1.093</c:v>
                </c:pt>
                <c:pt idx="362">
                  <c:v>2.399</c:v>
                </c:pt>
                <c:pt idx="363">
                  <c:v>1.829</c:v>
                </c:pt>
                <c:pt idx="364">
                  <c:v>1.3939999999999999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64032"/>
        <c:axId val="142374016"/>
      </c:lineChart>
      <c:catAx>
        <c:axId val="142364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740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374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6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014066023437208"/>
          <c:y val="0.25444804693530954"/>
          <c:w val="0.15422553694872648"/>
          <c:h val="0.180535433070866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3868734100545124"/>
          <c:w val="0.82835180751790916"/>
          <c:h val="0.741449303452453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99.5</c:v>
                </c:pt>
                <c:pt idx="1">
                  <c:v>99.1</c:v>
                </c:pt>
                <c:pt idx="2">
                  <c:v>102.1</c:v>
                </c:pt>
                <c:pt idx="3">
                  <c:v>102.1</c:v>
                </c:pt>
                <c:pt idx="4">
                  <c:v>101</c:v>
                </c:pt>
                <c:pt idx="5">
                  <c:v>101</c:v>
                </c:pt>
                <c:pt idx="6">
                  <c:v>100.1</c:v>
                </c:pt>
                <c:pt idx="7">
                  <c:v>97.7</c:v>
                </c:pt>
                <c:pt idx="8">
                  <c:v>101.6</c:v>
                </c:pt>
                <c:pt idx="9">
                  <c:v>101.8</c:v>
                </c:pt>
                <c:pt idx="10">
                  <c:v>101.7</c:v>
                </c:pt>
                <c:pt idx="11">
                  <c:v>101.4</c:v>
                </c:pt>
                <c:pt idx="12">
                  <c:v>100.2</c:v>
                </c:pt>
                <c:pt idx="13">
                  <c:v>99.1</c:v>
                </c:pt>
                <c:pt idx="14">
                  <c:v>97</c:v>
                </c:pt>
                <c:pt idx="15">
                  <c:v>90.1</c:v>
                </c:pt>
                <c:pt idx="16">
                  <c:v>100.5</c:v>
                </c:pt>
                <c:pt idx="17">
                  <c:v>100.9</c:v>
                </c:pt>
                <c:pt idx="18">
                  <c:v>101.5</c:v>
                </c:pt>
                <c:pt idx="19">
                  <c:v>99.6</c:v>
                </c:pt>
                <c:pt idx="20">
                  <c:v>100.2</c:v>
                </c:pt>
                <c:pt idx="21">
                  <c:v>98.7</c:v>
                </c:pt>
                <c:pt idx="22">
                  <c:v>100.4</c:v>
                </c:pt>
                <c:pt idx="23">
                  <c:v>101</c:v>
                </c:pt>
                <c:pt idx="24">
                  <c:v>101.1</c:v>
                </c:pt>
                <c:pt idx="25">
                  <c:v>101.5</c:v>
                </c:pt>
                <c:pt idx="26">
                  <c:v>98.7</c:v>
                </c:pt>
                <c:pt idx="27">
                  <c:v>99.3</c:v>
                </c:pt>
                <c:pt idx="28">
                  <c:v>97.4</c:v>
                </c:pt>
                <c:pt idx="29">
                  <c:v>93.8</c:v>
                </c:pt>
                <c:pt idx="30">
                  <c:v>95.7</c:v>
                </c:pt>
                <c:pt idx="31">
                  <c:v>101.4</c:v>
                </c:pt>
                <c:pt idx="32">
                  <c:v>101.5</c:v>
                </c:pt>
                <c:pt idx="33">
                  <c:v>97.9</c:v>
                </c:pt>
                <c:pt idx="34">
                  <c:v>90</c:v>
                </c:pt>
                <c:pt idx="35">
                  <c:v>89.6</c:v>
                </c:pt>
                <c:pt idx="36">
                  <c:v>93.1</c:v>
                </c:pt>
                <c:pt idx="37">
                  <c:v>96.1</c:v>
                </c:pt>
                <c:pt idx="38">
                  <c:v>95.5</c:v>
                </c:pt>
                <c:pt idx="39">
                  <c:v>88.5</c:v>
                </c:pt>
                <c:pt idx="40">
                  <c:v>97.6</c:v>
                </c:pt>
                <c:pt idx="41">
                  <c:v>90.2</c:v>
                </c:pt>
                <c:pt idx="42">
                  <c:v>95.7</c:v>
                </c:pt>
                <c:pt idx="43">
                  <c:v>101</c:v>
                </c:pt>
                <c:pt idx="44">
                  <c:v>96</c:v>
                </c:pt>
                <c:pt idx="45">
                  <c:v>99</c:v>
                </c:pt>
                <c:pt idx="46">
                  <c:v>100.8</c:v>
                </c:pt>
                <c:pt idx="47">
                  <c:v>98.9</c:v>
                </c:pt>
                <c:pt idx="48">
                  <c:v>100.3</c:v>
                </c:pt>
                <c:pt idx="49">
                  <c:v>97.9</c:v>
                </c:pt>
                <c:pt idx="50">
                  <c:v>97.9</c:v>
                </c:pt>
                <c:pt idx="51">
                  <c:v>96.9</c:v>
                </c:pt>
                <c:pt idx="52">
                  <c:v>97.4</c:v>
                </c:pt>
                <c:pt idx="53">
                  <c:v>97.5</c:v>
                </c:pt>
                <c:pt idx="54">
                  <c:v>99.1</c:v>
                </c:pt>
                <c:pt idx="55">
                  <c:v>94.2</c:v>
                </c:pt>
                <c:pt idx="56">
                  <c:v>98.6</c:v>
                </c:pt>
                <c:pt idx="57">
                  <c:v>94.2</c:v>
                </c:pt>
                <c:pt idx="58">
                  <c:v>97.5</c:v>
                </c:pt>
                <c:pt idx="59">
                  <c:v>98.7</c:v>
                </c:pt>
                <c:pt idx="60">
                  <c:v>98.3</c:v>
                </c:pt>
                <c:pt idx="61">
                  <c:v>93.8</c:v>
                </c:pt>
                <c:pt idx="62">
                  <c:v>96.2</c:v>
                </c:pt>
                <c:pt idx="63">
                  <c:v>91.2</c:v>
                </c:pt>
                <c:pt idx="64">
                  <c:v>99</c:v>
                </c:pt>
                <c:pt idx="65">
                  <c:v>99.2</c:v>
                </c:pt>
                <c:pt idx="66">
                  <c:v>96.4</c:v>
                </c:pt>
                <c:pt idx="67">
                  <c:v>97.1</c:v>
                </c:pt>
                <c:pt idx="68">
                  <c:v>99.1</c:v>
                </c:pt>
                <c:pt idx="69">
                  <c:v>89.6</c:v>
                </c:pt>
                <c:pt idx="70">
                  <c:v>99.9</c:v>
                </c:pt>
                <c:pt idx="71">
                  <c:v>98.8</c:v>
                </c:pt>
                <c:pt idx="72">
                  <c:v>97.9</c:v>
                </c:pt>
                <c:pt idx="73">
                  <c:v>100.3</c:v>
                </c:pt>
                <c:pt idx="74">
                  <c:v>99.9</c:v>
                </c:pt>
                <c:pt idx="75">
                  <c:v>100.7</c:v>
                </c:pt>
                <c:pt idx="76">
                  <c:v>95.1</c:v>
                </c:pt>
                <c:pt idx="77">
                  <c:v>96.5</c:v>
                </c:pt>
                <c:pt idx="78">
                  <c:v>80.599999999999994</c:v>
                </c:pt>
                <c:pt idx="79">
                  <c:v>91</c:v>
                </c:pt>
                <c:pt idx="80">
                  <c:v>98.4</c:v>
                </c:pt>
                <c:pt idx="81">
                  <c:v>101.8</c:v>
                </c:pt>
                <c:pt idx="82">
                  <c:v>102</c:v>
                </c:pt>
                <c:pt idx="83">
                  <c:v>102.1</c:v>
                </c:pt>
                <c:pt idx="84">
                  <c:v>101.8</c:v>
                </c:pt>
                <c:pt idx="85">
                  <c:v>100.4</c:v>
                </c:pt>
                <c:pt idx="86">
                  <c:v>98.5</c:v>
                </c:pt>
                <c:pt idx="87">
                  <c:v>100.3</c:v>
                </c:pt>
                <c:pt idx="88">
                  <c:v>99.8</c:v>
                </c:pt>
                <c:pt idx="89">
                  <c:v>100.9</c:v>
                </c:pt>
                <c:pt idx="90">
                  <c:v>101</c:v>
                </c:pt>
                <c:pt idx="91">
                  <c:v>98.4</c:v>
                </c:pt>
                <c:pt idx="92">
                  <c:v>101.3</c:v>
                </c:pt>
                <c:pt idx="93">
                  <c:v>101.7</c:v>
                </c:pt>
                <c:pt idx="94">
                  <c:v>101.5</c:v>
                </c:pt>
                <c:pt idx="95">
                  <c:v>101</c:v>
                </c:pt>
                <c:pt idx="96">
                  <c:v>99</c:v>
                </c:pt>
                <c:pt idx="97">
                  <c:v>101.9</c:v>
                </c:pt>
                <c:pt idx="98">
                  <c:v>102</c:v>
                </c:pt>
                <c:pt idx="99">
                  <c:v>99.9</c:v>
                </c:pt>
                <c:pt idx="100">
                  <c:v>100.3</c:v>
                </c:pt>
                <c:pt idx="101">
                  <c:v>100.5</c:v>
                </c:pt>
                <c:pt idx="102">
                  <c:v>100.9</c:v>
                </c:pt>
                <c:pt idx="103">
                  <c:v>87.2</c:v>
                </c:pt>
                <c:pt idx="104">
                  <c:v>99.9</c:v>
                </c:pt>
                <c:pt idx="105">
                  <c:v>100.2</c:v>
                </c:pt>
                <c:pt idx="106">
                  <c:v>93.5</c:v>
                </c:pt>
                <c:pt idx="107">
                  <c:v>102.4</c:v>
                </c:pt>
                <c:pt idx="108">
                  <c:v>102.6</c:v>
                </c:pt>
                <c:pt idx="109">
                  <c:v>99.3</c:v>
                </c:pt>
                <c:pt idx="110">
                  <c:v>99</c:v>
                </c:pt>
                <c:pt idx="111">
                  <c:v>99</c:v>
                </c:pt>
                <c:pt idx="112">
                  <c:v>95.5</c:v>
                </c:pt>
                <c:pt idx="113">
                  <c:v>99.3</c:v>
                </c:pt>
                <c:pt idx="114">
                  <c:v>98.9</c:v>
                </c:pt>
                <c:pt idx="115">
                  <c:v>98.4</c:v>
                </c:pt>
                <c:pt idx="116">
                  <c:v>96.8</c:v>
                </c:pt>
                <c:pt idx="117">
                  <c:v>98.9</c:v>
                </c:pt>
                <c:pt idx="118">
                  <c:v>100</c:v>
                </c:pt>
                <c:pt idx="119">
                  <c:v>99.8</c:v>
                </c:pt>
                <c:pt idx="120">
                  <c:v>90.3</c:v>
                </c:pt>
                <c:pt idx="121">
                  <c:v>99.3</c:v>
                </c:pt>
                <c:pt idx="122">
                  <c:v>100.2</c:v>
                </c:pt>
                <c:pt idx="123">
                  <c:v>100.9</c:v>
                </c:pt>
                <c:pt idx="124">
                  <c:v>100.6</c:v>
                </c:pt>
                <c:pt idx="125">
                  <c:v>100.3</c:v>
                </c:pt>
                <c:pt idx="126">
                  <c:v>100.7</c:v>
                </c:pt>
                <c:pt idx="127">
                  <c:v>97.6</c:v>
                </c:pt>
                <c:pt idx="128">
                  <c:v>99.8</c:v>
                </c:pt>
                <c:pt idx="129">
                  <c:v>100.4</c:v>
                </c:pt>
                <c:pt idx="130">
                  <c:v>102</c:v>
                </c:pt>
                <c:pt idx="131">
                  <c:v>90.9</c:v>
                </c:pt>
                <c:pt idx="132">
                  <c:v>94.9</c:v>
                </c:pt>
                <c:pt idx="133">
                  <c:v>101.7</c:v>
                </c:pt>
                <c:pt idx="134">
                  <c:v>102.1</c:v>
                </c:pt>
                <c:pt idx="135">
                  <c:v>100.8</c:v>
                </c:pt>
                <c:pt idx="136">
                  <c:v>101.3</c:v>
                </c:pt>
                <c:pt idx="137">
                  <c:v>97.9</c:v>
                </c:pt>
                <c:pt idx="138">
                  <c:v>94</c:v>
                </c:pt>
                <c:pt idx="139">
                  <c:v>95</c:v>
                </c:pt>
                <c:pt idx="140">
                  <c:v>82.2</c:v>
                </c:pt>
                <c:pt idx="141">
                  <c:v>100.9</c:v>
                </c:pt>
                <c:pt idx="142">
                  <c:v>101.3</c:v>
                </c:pt>
                <c:pt idx="143">
                  <c:v>102</c:v>
                </c:pt>
                <c:pt idx="144">
                  <c:v>102</c:v>
                </c:pt>
                <c:pt idx="145">
                  <c:v>100.8</c:v>
                </c:pt>
                <c:pt idx="146">
                  <c:v>101.8</c:v>
                </c:pt>
                <c:pt idx="147">
                  <c:v>101</c:v>
                </c:pt>
                <c:pt idx="148">
                  <c:v>100.3</c:v>
                </c:pt>
                <c:pt idx="149">
                  <c:v>101.5</c:v>
                </c:pt>
                <c:pt idx="150">
                  <c:v>102.5</c:v>
                </c:pt>
                <c:pt idx="151">
                  <c:v>96.9</c:v>
                </c:pt>
                <c:pt idx="152">
                  <c:v>99.1</c:v>
                </c:pt>
                <c:pt idx="153">
                  <c:v>81.7</c:v>
                </c:pt>
                <c:pt idx="154">
                  <c:v>92.5</c:v>
                </c:pt>
                <c:pt idx="155">
                  <c:v>102</c:v>
                </c:pt>
                <c:pt idx="156">
                  <c:v>101.4</c:v>
                </c:pt>
                <c:pt idx="157">
                  <c:v>101.8</c:v>
                </c:pt>
                <c:pt idx="158">
                  <c:v>101.5</c:v>
                </c:pt>
                <c:pt idx="159">
                  <c:v>101.3</c:v>
                </c:pt>
                <c:pt idx="160">
                  <c:v>101.3</c:v>
                </c:pt>
                <c:pt idx="161">
                  <c:v>101.4</c:v>
                </c:pt>
                <c:pt idx="162">
                  <c:v>102.3</c:v>
                </c:pt>
                <c:pt idx="163">
                  <c:v>97.5</c:v>
                </c:pt>
                <c:pt idx="164">
                  <c:v>99.8</c:v>
                </c:pt>
                <c:pt idx="165">
                  <c:v>100.1</c:v>
                </c:pt>
                <c:pt idx="166">
                  <c:v>101.2</c:v>
                </c:pt>
                <c:pt idx="167">
                  <c:v>100.7</c:v>
                </c:pt>
                <c:pt idx="168">
                  <c:v>99.9</c:v>
                </c:pt>
                <c:pt idx="169">
                  <c:v>99.7</c:v>
                </c:pt>
                <c:pt idx="170">
                  <c:v>101.6</c:v>
                </c:pt>
                <c:pt idx="171">
                  <c:v>101.3</c:v>
                </c:pt>
                <c:pt idx="172">
                  <c:v>102.3</c:v>
                </c:pt>
                <c:pt idx="173">
                  <c:v>99.5</c:v>
                </c:pt>
                <c:pt idx="174">
                  <c:v>101.6</c:v>
                </c:pt>
                <c:pt idx="175">
                  <c:v>102.4</c:v>
                </c:pt>
                <c:pt idx="176">
                  <c:v>102.1</c:v>
                </c:pt>
                <c:pt idx="177">
                  <c:v>101.5</c:v>
                </c:pt>
                <c:pt idx="178">
                  <c:v>101.6</c:v>
                </c:pt>
                <c:pt idx="179">
                  <c:v>102.2</c:v>
                </c:pt>
                <c:pt idx="180">
                  <c:v>102.2</c:v>
                </c:pt>
                <c:pt idx="181">
                  <c:v>102.3</c:v>
                </c:pt>
                <c:pt idx="182">
                  <c:v>100</c:v>
                </c:pt>
                <c:pt idx="183">
                  <c:v>102.3</c:v>
                </c:pt>
                <c:pt idx="184">
                  <c:v>94.4</c:v>
                </c:pt>
                <c:pt idx="185">
                  <c:v>101.6</c:v>
                </c:pt>
                <c:pt idx="186">
                  <c:v>102</c:v>
                </c:pt>
                <c:pt idx="187">
                  <c:v>102</c:v>
                </c:pt>
                <c:pt idx="188">
                  <c:v>102.4</c:v>
                </c:pt>
                <c:pt idx="189">
                  <c:v>102.6</c:v>
                </c:pt>
                <c:pt idx="190">
                  <c:v>102</c:v>
                </c:pt>
                <c:pt idx="191">
                  <c:v>102.4</c:v>
                </c:pt>
                <c:pt idx="192">
                  <c:v>101.8</c:v>
                </c:pt>
                <c:pt idx="193">
                  <c:v>101.6</c:v>
                </c:pt>
                <c:pt idx="194">
                  <c:v>98.8</c:v>
                </c:pt>
                <c:pt idx="195">
                  <c:v>100.8</c:v>
                </c:pt>
                <c:pt idx="196">
                  <c:v>102.4</c:v>
                </c:pt>
                <c:pt idx="197">
                  <c:v>100</c:v>
                </c:pt>
                <c:pt idx="198">
                  <c:v>98.7</c:v>
                </c:pt>
                <c:pt idx="199">
                  <c:v>101.1</c:v>
                </c:pt>
                <c:pt idx="200">
                  <c:v>102</c:v>
                </c:pt>
                <c:pt idx="201">
                  <c:v>102.5</c:v>
                </c:pt>
                <c:pt idx="202">
                  <c:v>100.6</c:v>
                </c:pt>
                <c:pt idx="203">
                  <c:v>101.6</c:v>
                </c:pt>
                <c:pt idx="204">
                  <c:v>101.9</c:v>
                </c:pt>
                <c:pt idx="205">
                  <c:v>102.1</c:v>
                </c:pt>
                <c:pt idx="206">
                  <c:v>102.3</c:v>
                </c:pt>
                <c:pt idx="207">
                  <c:v>101.4</c:v>
                </c:pt>
                <c:pt idx="208">
                  <c:v>102.5</c:v>
                </c:pt>
                <c:pt idx="209">
                  <c:v>102</c:v>
                </c:pt>
                <c:pt idx="210">
                  <c:v>99</c:v>
                </c:pt>
                <c:pt idx="211">
                  <c:v>102.1</c:v>
                </c:pt>
                <c:pt idx="212">
                  <c:v>102.2</c:v>
                </c:pt>
                <c:pt idx="213">
                  <c:v>87.9</c:v>
                </c:pt>
                <c:pt idx="214">
                  <c:v>101.1</c:v>
                </c:pt>
                <c:pt idx="215">
                  <c:v>102.6</c:v>
                </c:pt>
                <c:pt idx="216">
                  <c:v>101.8</c:v>
                </c:pt>
                <c:pt idx="217">
                  <c:v>101.3</c:v>
                </c:pt>
                <c:pt idx="218">
                  <c:v>91</c:v>
                </c:pt>
                <c:pt idx="219">
                  <c:v>81.099999999999994</c:v>
                </c:pt>
                <c:pt idx="220">
                  <c:v>88.4</c:v>
                </c:pt>
                <c:pt idx="221">
                  <c:v>101.2</c:v>
                </c:pt>
                <c:pt idx="222">
                  <c:v>102.4</c:v>
                </c:pt>
                <c:pt idx="223">
                  <c:v>101.8</c:v>
                </c:pt>
                <c:pt idx="224">
                  <c:v>102.7</c:v>
                </c:pt>
                <c:pt idx="225">
                  <c:v>102.8</c:v>
                </c:pt>
                <c:pt idx="226">
                  <c:v>102.9</c:v>
                </c:pt>
                <c:pt idx="227">
                  <c:v>101.6</c:v>
                </c:pt>
                <c:pt idx="228">
                  <c:v>101.8</c:v>
                </c:pt>
                <c:pt idx="229">
                  <c:v>102.3</c:v>
                </c:pt>
                <c:pt idx="230">
                  <c:v>96</c:v>
                </c:pt>
                <c:pt idx="231">
                  <c:v>100</c:v>
                </c:pt>
                <c:pt idx="232">
                  <c:v>100.7</c:v>
                </c:pt>
                <c:pt idx="233">
                  <c:v>102.3</c:v>
                </c:pt>
                <c:pt idx="234">
                  <c:v>102.3</c:v>
                </c:pt>
                <c:pt idx="235">
                  <c:v>101.8</c:v>
                </c:pt>
                <c:pt idx="236">
                  <c:v>102.3</c:v>
                </c:pt>
                <c:pt idx="237">
                  <c:v>102.9</c:v>
                </c:pt>
                <c:pt idx="238">
                  <c:v>102.8</c:v>
                </c:pt>
                <c:pt idx="239">
                  <c:v>101.9</c:v>
                </c:pt>
                <c:pt idx="240">
                  <c:v>102.4</c:v>
                </c:pt>
                <c:pt idx="241">
                  <c:v>101.4</c:v>
                </c:pt>
                <c:pt idx="242">
                  <c:v>102.4</c:v>
                </c:pt>
                <c:pt idx="243">
                  <c:v>102.6</c:v>
                </c:pt>
                <c:pt idx="244">
                  <c:v>102.4</c:v>
                </c:pt>
                <c:pt idx="245">
                  <c:v>102.3</c:v>
                </c:pt>
                <c:pt idx="246">
                  <c:v>103</c:v>
                </c:pt>
                <c:pt idx="247">
                  <c:v>102.8</c:v>
                </c:pt>
                <c:pt idx="248">
                  <c:v>102.2</c:v>
                </c:pt>
                <c:pt idx="249">
                  <c:v>103</c:v>
                </c:pt>
                <c:pt idx="250">
                  <c:v>101.6</c:v>
                </c:pt>
                <c:pt idx="251">
                  <c:v>102.5</c:v>
                </c:pt>
                <c:pt idx="252">
                  <c:v>102.6</c:v>
                </c:pt>
                <c:pt idx="253">
                  <c:v>102.7</c:v>
                </c:pt>
                <c:pt idx="254">
                  <c:v>102.9</c:v>
                </c:pt>
                <c:pt idx="255">
                  <c:v>102</c:v>
                </c:pt>
                <c:pt idx="256">
                  <c:v>102.3</c:v>
                </c:pt>
                <c:pt idx="257">
                  <c:v>102</c:v>
                </c:pt>
                <c:pt idx="258">
                  <c:v>102.5</c:v>
                </c:pt>
                <c:pt idx="259">
                  <c:v>102.5</c:v>
                </c:pt>
                <c:pt idx="260">
                  <c:v>102.6</c:v>
                </c:pt>
                <c:pt idx="261">
                  <c:v>102.6</c:v>
                </c:pt>
                <c:pt idx="262">
                  <c:v>102.6</c:v>
                </c:pt>
                <c:pt idx="263">
                  <c:v>102.9</c:v>
                </c:pt>
                <c:pt idx="264">
                  <c:v>103.1</c:v>
                </c:pt>
                <c:pt idx="265">
                  <c:v>101.2</c:v>
                </c:pt>
                <c:pt idx="266">
                  <c:v>101.8</c:v>
                </c:pt>
                <c:pt idx="267">
                  <c:v>102.4</c:v>
                </c:pt>
                <c:pt idx="268">
                  <c:v>101.2</c:v>
                </c:pt>
                <c:pt idx="269">
                  <c:v>102.1</c:v>
                </c:pt>
                <c:pt idx="270">
                  <c:v>102.3</c:v>
                </c:pt>
                <c:pt idx="271">
                  <c:v>100.4</c:v>
                </c:pt>
                <c:pt idx="272">
                  <c:v>101</c:v>
                </c:pt>
                <c:pt idx="273">
                  <c:v>102.2</c:v>
                </c:pt>
                <c:pt idx="274">
                  <c:v>101.9</c:v>
                </c:pt>
                <c:pt idx="275">
                  <c:v>101.9</c:v>
                </c:pt>
                <c:pt idx="276">
                  <c:v>102.4</c:v>
                </c:pt>
                <c:pt idx="277">
                  <c:v>101.8</c:v>
                </c:pt>
                <c:pt idx="278">
                  <c:v>101.4</c:v>
                </c:pt>
                <c:pt idx="279">
                  <c:v>101.5</c:v>
                </c:pt>
                <c:pt idx="280">
                  <c:v>96.9</c:v>
                </c:pt>
                <c:pt idx="281">
                  <c:v>98.2</c:v>
                </c:pt>
                <c:pt idx="282">
                  <c:v>99.6</c:v>
                </c:pt>
                <c:pt idx="283">
                  <c:v>99.3</c:v>
                </c:pt>
                <c:pt idx="284">
                  <c:v>91.3</c:v>
                </c:pt>
                <c:pt idx="285">
                  <c:v>101.5</c:v>
                </c:pt>
                <c:pt idx="286">
                  <c:v>101.9</c:v>
                </c:pt>
                <c:pt idx="287">
                  <c:v>99.8</c:v>
                </c:pt>
                <c:pt idx="288">
                  <c:v>101.3</c:v>
                </c:pt>
                <c:pt idx="289">
                  <c:v>102.6</c:v>
                </c:pt>
                <c:pt idx="290">
                  <c:v>102.5</c:v>
                </c:pt>
                <c:pt idx="291">
                  <c:v>102</c:v>
                </c:pt>
                <c:pt idx="292">
                  <c:v>102</c:v>
                </c:pt>
                <c:pt idx="293">
                  <c:v>103.2</c:v>
                </c:pt>
                <c:pt idx="294">
                  <c:v>103.3</c:v>
                </c:pt>
                <c:pt idx="295">
                  <c:v>100.8</c:v>
                </c:pt>
                <c:pt idx="296">
                  <c:v>100.8</c:v>
                </c:pt>
                <c:pt idx="297">
                  <c:v>102.2</c:v>
                </c:pt>
                <c:pt idx="298">
                  <c:v>96.2</c:v>
                </c:pt>
                <c:pt idx="299">
                  <c:v>100</c:v>
                </c:pt>
                <c:pt idx="300">
                  <c:v>87.3</c:v>
                </c:pt>
                <c:pt idx="301">
                  <c:v>93.9</c:v>
                </c:pt>
                <c:pt idx="302">
                  <c:v>96.7</c:v>
                </c:pt>
                <c:pt idx="303">
                  <c:v>100.1</c:v>
                </c:pt>
                <c:pt idx="304">
                  <c:v>99.1</c:v>
                </c:pt>
                <c:pt idx="305">
                  <c:v>102</c:v>
                </c:pt>
                <c:pt idx="306">
                  <c:v>100</c:v>
                </c:pt>
                <c:pt idx="307">
                  <c:v>101.7</c:v>
                </c:pt>
                <c:pt idx="308">
                  <c:v>101.9</c:v>
                </c:pt>
                <c:pt idx="309">
                  <c:v>99.9</c:v>
                </c:pt>
                <c:pt idx="310">
                  <c:v>100.4</c:v>
                </c:pt>
                <c:pt idx="311">
                  <c:v>99.6</c:v>
                </c:pt>
                <c:pt idx="312">
                  <c:v>101.7</c:v>
                </c:pt>
                <c:pt idx="313">
                  <c:v>101.8</c:v>
                </c:pt>
                <c:pt idx="314">
                  <c:v>99.6</c:v>
                </c:pt>
                <c:pt idx="315">
                  <c:v>101.3</c:v>
                </c:pt>
                <c:pt idx="316">
                  <c:v>102.4</c:v>
                </c:pt>
                <c:pt idx="317">
                  <c:v>102.4</c:v>
                </c:pt>
                <c:pt idx="318">
                  <c:v>103</c:v>
                </c:pt>
                <c:pt idx="319">
                  <c:v>102.2</c:v>
                </c:pt>
                <c:pt idx="320">
                  <c:v>103.1</c:v>
                </c:pt>
                <c:pt idx="321">
                  <c:v>101.6</c:v>
                </c:pt>
                <c:pt idx="322">
                  <c:v>102</c:v>
                </c:pt>
                <c:pt idx="323">
                  <c:v>101.7</c:v>
                </c:pt>
                <c:pt idx="324">
                  <c:v>101.3</c:v>
                </c:pt>
                <c:pt idx="325">
                  <c:v>100.8</c:v>
                </c:pt>
                <c:pt idx="326">
                  <c:v>101.6</c:v>
                </c:pt>
                <c:pt idx="327">
                  <c:v>100.4</c:v>
                </c:pt>
                <c:pt idx="328">
                  <c:v>99.4</c:v>
                </c:pt>
                <c:pt idx="329">
                  <c:v>98.2</c:v>
                </c:pt>
                <c:pt idx="330">
                  <c:v>93</c:v>
                </c:pt>
                <c:pt idx="331">
                  <c:v>96.9</c:v>
                </c:pt>
                <c:pt idx="332">
                  <c:v>96.8</c:v>
                </c:pt>
                <c:pt idx="333">
                  <c:v>98.1</c:v>
                </c:pt>
                <c:pt idx="334">
                  <c:v>98.3</c:v>
                </c:pt>
                <c:pt idx="335">
                  <c:v>101.3</c:v>
                </c:pt>
                <c:pt idx="336">
                  <c:v>100.8</c:v>
                </c:pt>
                <c:pt idx="337">
                  <c:v>101.9</c:v>
                </c:pt>
                <c:pt idx="338">
                  <c:v>101.8</c:v>
                </c:pt>
                <c:pt idx="339">
                  <c:v>102.4</c:v>
                </c:pt>
                <c:pt idx="340">
                  <c:v>102.6</c:v>
                </c:pt>
                <c:pt idx="341">
                  <c:v>101.3</c:v>
                </c:pt>
                <c:pt idx="342">
                  <c:v>100.6</c:v>
                </c:pt>
                <c:pt idx="343">
                  <c:v>101.1</c:v>
                </c:pt>
                <c:pt idx="344">
                  <c:v>101.7</c:v>
                </c:pt>
                <c:pt idx="345">
                  <c:v>100.9</c:v>
                </c:pt>
                <c:pt idx="346">
                  <c:v>100.5</c:v>
                </c:pt>
                <c:pt idx="347">
                  <c:v>100.6</c:v>
                </c:pt>
                <c:pt idx="348">
                  <c:v>99.2</c:v>
                </c:pt>
                <c:pt idx="349">
                  <c:v>99.9</c:v>
                </c:pt>
                <c:pt idx="350">
                  <c:v>99.9</c:v>
                </c:pt>
                <c:pt idx="351">
                  <c:v>99.1</c:v>
                </c:pt>
                <c:pt idx="352">
                  <c:v>100.9</c:v>
                </c:pt>
                <c:pt idx="353">
                  <c:v>102.9</c:v>
                </c:pt>
                <c:pt idx="354">
                  <c:v>102.9</c:v>
                </c:pt>
                <c:pt idx="355">
                  <c:v>100.6</c:v>
                </c:pt>
                <c:pt idx="356">
                  <c:v>101.2</c:v>
                </c:pt>
                <c:pt idx="357">
                  <c:v>100.6</c:v>
                </c:pt>
                <c:pt idx="358">
                  <c:v>100.2</c:v>
                </c:pt>
                <c:pt idx="359">
                  <c:v>99</c:v>
                </c:pt>
                <c:pt idx="360">
                  <c:v>99.4</c:v>
                </c:pt>
                <c:pt idx="361">
                  <c:v>98.8</c:v>
                </c:pt>
                <c:pt idx="362">
                  <c:v>102</c:v>
                </c:pt>
                <c:pt idx="363">
                  <c:v>100.2</c:v>
                </c:pt>
                <c:pt idx="364">
                  <c:v>102.2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80.599999999999994</c:v>
                </c:pt>
                <c:pt idx="1">
                  <c:v>94.8</c:v>
                </c:pt>
                <c:pt idx="2">
                  <c:v>97.6</c:v>
                </c:pt>
                <c:pt idx="3">
                  <c:v>88.4</c:v>
                </c:pt>
                <c:pt idx="4">
                  <c:v>84.4</c:v>
                </c:pt>
                <c:pt idx="5">
                  <c:v>61.1</c:v>
                </c:pt>
                <c:pt idx="6">
                  <c:v>56.76</c:v>
                </c:pt>
                <c:pt idx="7">
                  <c:v>38.56</c:v>
                </c:pt>
                <c:pt idx="8">
                  <c:v>90.2</c:v>
                </c:pt>
                <c:pt idx="9">
                  <c:v>97.1</c:v>
                </c:pt>
                <c:pt idx="10">
                  <c:v>92.2</c:v>
                </c:pt>
                <c:pt idx="11">
                  <c:v>77.900000000000006</c:v>
                </c:pt>
                <c:pt idx="12">
                  <c:v>60.95</c:v>
                </c:pt>
                <c:pt idx="13">
                  <c:v>39.020000000000003</c:v>
                </c:pt>
                <c:pt idx="14">
                  <c:v>51.69</c:v>
                </c:pt>
                <c:pt idx="15">
                  <c:v>71.900000000000006</c:v>
                </c:pt>
                <c:pt idx="16">
                  <c:v>85.6</c:v>
                </c:pt>
                <c:pt idx="17">
                  <c:v>89.6</c:v>
                </c:pt>
                <c:pt idx="18">
                  <c:v>64.38</c:v>
                </c:pt>
                <c:pt idx="19">
                  <c:v>77.599999999999994</c:v>
                </c:pt>
                <c:pt idx="20">
                  <c:v>81.2</c:v>
                </c:pt>
                <c:pt idx="21">
                  <c:v>92.7</c:v>
                </c:pt>
                <c:pt idx="22">
                  <c:v>94.7</c:v>
                </c:pt>
                <c:pt idx="23">
                  <c:v>47.27</c:v>
                </c:pt>
                <c:pt idx="24">
                  <c:v>57.59</c:v>
                </c:pt>
                <c:pt idx="25">
                  <c:v>39.64</c:v>
                </c:pt>
                <c:pt idx="26">
                  <c:v>48.4</c:v>
                </c:pt>
                <c:pt idx="27">
                  <c:v>43.37</c:v>
                </c:pt>
                <c:pt idx="28">
                  <c:v>13.32</c:v>
                </c:pt>
                <c:pt idx="29">
                  <c:v>32.630000000000003</c:v>
                </c:pt>
                <c:pt idx="30">
                  <c:v>58.01</c:v>
                </c:pt>
                <c:pt idx="31">
                  <c:v>81.599999999999994</c:v>
                </c:pt>
                <c:pt idx="32">
                  <c:v>53.38</c:v>
                </c:pt>
                <c:pt idx="33">
                  <c:v>52.43</c:v>
                </c:pt>
                <c:pt idx="34">
                  <c:v>70.5</c:v>
                </c:pt>
                <c:pt idx="35">
                  <c:v>41.35</c:v>
                </c:pt>
                <c:pt idx="36">
                  <c:v>56.34</c:v>
                </c:pt>
                <c:pt idx="37">
                  <c:v>41.92</c:v>
                </c:pt>
                <c:pt idx="38">
                  <c:v>84.4</c:v>
                </c:pt>
                <c:pt idx="39">
                  <c:v>79</c:v>
                </c:pt>
                <c:pt idx="40">
                  <c:v>47.04</c:v>
                </c:pt>
                <c:pt idx="41">
                  <c:v>66.489999999999995</c:v>
                </c:pt>
                <c:pt idx="42">
                  <c:v>88.1</c:v>
                </c:pt>
                <c:pt idx="43">
                  <c:v>64.88</c:v>
                </c:pt>
                <c:pt idx="44">
                  <c:v>55.41</c:v>
                </c:pt>
                <c:pt idx="45">
                  <c:v>84.6</c:v>
                </c:pt>
                <c:pt idx="46">
                  <c:v>68.14</c:v>
                </c:pt>
                <c:pt idx="47">
                  <c:v>87.5</c:v>
                </c:pt>
                <c:pt idx="48">
                  <c:v>67.069999999999993</c:v>
                </c:pt>
                <c:pt idx="49">
                  <c:v>80.8</c:v>
                </c:pt>
                <c:pt idx="50">
                  <c:v>80.599999999999994</c:v>
                </c:pt>
                <c:pt idx="51">
                  <c:v>60.12</c:v>
                </c:pt>
                <c:pt idx="52">
                  <c:v>84.6</c:v>
                </c:pt>
                <c:pt idx="53">
                  <c:v>81</c:v>
                </c:pt>
                <c:pt idx="54">
                  <c:v>73.8</c:v>
                </c:pt>
                <c:pt idx="55">
                  <c:v>79.7</c:v>
                </c:pt>
                <c:pt idx="56">
                  <c:v>47.75</c:v>
                </c:pt>
                <c:pt idx="57">
                  <c:v>29.36</c:v>
                </c:pt>
                <c:pt idx="58">
                  <c:v>68.489999999999995</c:v>
                </c:pt>
                <c:pt idx="59">
                  <c:v>55.06</c:v>
                </c:pt>
                <c:pt idx="60">
                  <c:v>61.01</c:v>
                </c:pt>
                <c:pt idx="61">
                  <c:v>38.06</c:v>
                </c:pt>
                <c:pt idx="62">
                  <c:v>28.03</c:v>
                </c:pt>
                <c:pt idx="63">
                  <c:v>42.56</c:v>
                </c:pt>
                <c:pt idx="64">
                  <c:v>76</c:v>
                </c:pt>
                <c:pt idx="65">
                  <c:v>46.83</c:v>
                </c:pt>
                <c:pt idx="66">
                  <c:v>35.25</c:v>
                </c:pt>
                <c:pt idx="67">
                  <c:v>46.01</c:v>
                </c:pt>
                <c:pt idx="68">
                  <c:v>38.76</c:v>
                </c:pt>
                <c:pt idx="69">
                  <c:v>52.95</c:v>
                </c:pt>
                <c:pt idx="70">
                  <c:v>80.400000000000006</c:v>
                </c:pt>
                <c:pt idx="71">
                  <c:v>41.32</c:v>
                </c:pt>
                <c:pt idx="72">
                  <c:v>35.56</c:v>
                </c:pt>
                <c:pt idx="73">
                  <c:v>40.630000000000003</c:v>
                </c:pt>
                <c:pt idx="74">
                  <c:v>36.39</c:v>
                </c:pt>
                <c:pt idx="75">
                  <c:v>34.86</c:v>
                </c:pt>
                <c:pt idx="76">
                  <c:v>17.62</c:v>
                </c:pt>
                <c:pt idx="77">
                  <c:v>19.420000000000002</c:v>
                </c:pt>
                <c:pt idx="78">
                  <c:v>18.28</c:v>
                </c:pt>
                <c:pt idx="79">
                  <c:v>18.89</c:v>
                </c:pt>
                <c:pt idx="80">
                  <c:v>21.75</c:v>
                </c:pt>
                <c:pt idx="81">
                  <c:v>49.04</c:v>
                </c:pt>
                <c:pt idx="82">
                  <c:v>50.44</c:v>
                </c:pt>
                <c:pt idx="83">
                  <c:v>59.36</c:v>
                </c:pt>
                <c:pt idx="84">
                  <c:v>50.45</c:v>
                </c:pt>
                <c:pt idx="85">
                  <c:v>41.47</c:v>
                </c:pt>
                <c:pt idx="86">
                  <c:v>39.299999999999997</c:v>
                </c:pt>
                <c:pt idx="87">
                  <c:v>31.59</c:v>
                </c:pt>
                <c:pt idx="88">
                  <c:v>28.3</c:v>
                </c:pt>
                <c:pt idx="89">
                  <c:v>28.3</c:v>
                </c:pt>
                <c:pt idx="90">
                  <c:v>28.18</c:v>
                </c:pt>
                <c:pt idx="91">
                  <c:v>22.1</c:v>
                </c:pt>
                <c:pt idx="92">
                  <c:v>61.54</c:v>
                </c:pt>
                <c:pt idx="93">
                  <c:v>46.79</c:v>
                </c:pt>
                <c:pt idx="94">
                  <c:v>71.7</c:v>
                </c:pt>
                <c:pt idx="95">
                  <c:v>74.5</c:v>
                </c:pt>
                <c:pt idx="96">
                  <c:v>37.61</c:v>
                </c:pt>
                <c:pt idx="97">
                  <c:v>55.62</c:v>
                </c:pt>
                <c:pt idx="98">
                  <c:v>59.92</c:v>
                </c:pt>
                <c:pt idx="99">
                  <c:v>62.57</c:v>
                </c:pt>
                <c:pt idx="100">
                  <c:v>41.97</c:v>
                </c:pt>
                <c:pt idx="101">
                  <c:v>47.65</c:v>
                </c:pt>
                <c:pt idx="102">
                  <c:v>78.7</c:v>
                </c:pt>
                <c:pt idx="103">
                  <c:v>35.89</c:v>
                </c:pt>
                <c:pt idx="104">
                  <c:v>35.35</c:v>
                </c:pt>
                <c:pt idx="105">
                  <c:v>25.64</c:v>
                </c:pt>
                <c:pt idx="106">
                  <c:v>39.08</c:v>
                </c:pt>
                <c:pt idx="107">
                  <c:v>92.3</c:v>
                </c:pt>
                <c:pt idx="108">
                  <c:v>63.89</c:v>
                </c:pt>
                <c:pt idx="109">
                  <c:v>39.01</c:v>
                </c:pt>
                <c:pt idx="110">
                  <c:v>15.35</c:v>
                </c:pt>
                <c:pt idx="111">
                  <c:v>42.37</c:v>
                </c:pt>
                <c:pt idx="112">
                  <c:v>39.22</c:v>
                </c:pt>
                <c:pt idx="113">
                  <c:v>34.93</c:v>
                </c:pt>
                <c:pt idx="114">
                  <c:v>19.09</c:v>
                </c:pt>
                <c:pt idx="115">
                  <c:v>21.84</c:v>
                </c:pt>
                <c:pt idx="116">
                  <c:v>56.71</c:v>
                </c:pt>
                <c:pt idx="117">
                  <c:v>35.07</c:v>
                </c:pt>
                <c:pt idx="118">
                  <c:v>36.28</c:v>
                </c:pt>
                <c:pt idx="119">
                  <c:v>30.87</c:v>
                </c:pt>
                <c:pt idx="120">
                  <c:v>36.47</c:v>
                </c:pt>
                <c:pt idx="121">
                  <c:v>43.57</c:v>
                </c:pt>
                <c:pt idx="122">
                  <c:v>34.18</c:v>
                </c:pt>
                <c:pt idx="123">
                  <c:v>40.32</c:v>
                </c:pt>
                <c:pt idx="124">
                  <c:v>34.32</c:v>
                </c:pt>
                <c:pt idx="125">
                  <c:v>32.979999999999997</c:v>
                </c:pt>
                <c:pt idx="126">
                  <c:v>37.450000000000003</c:v>
                </c:pt>
                <c:pt idx="127">
                  <c:v>38.520000000000003</c:v>
                </c:pt>
                <c:pt idx="128">
                  <c:v>25.69</c:v>
                </c:pt>
                <c:pt idx="129">
                  <c:v>34.43</c:v>
                </c:pt>
                <c:pt idx="130">
                  <c:v>28.81</c:v>
                </c:pt>
                <c:pt idx="131">
                  <c:v>20.61</c:v>
                </c:pt>
                <c:pt idx="132">
                  <c:v>28.09</c:v>
                </c:pt>
                <c:pt idx="133">
                  <c:v>40.86</c:v>
                </c:pt>
                <c:pt idx="134">
                  <c:v>41.05</c:v>
                </c:pt>
                <c:pt idx="135">
                  <c:v>75.900000000000006</c:v>
                </c:pt>
                <c:pt idx="136">
                  <c:v>72.400000000000006</c:v>
                </c:pt>
                <c:pt idx="137">
                  <c:v>64.14</c:v>
                </c:pt>
                <c:pt idx="138">
                  <c:v>51.81</c:v>
                </c:pt>
                <c:pt idx="139">
                  <c:v>41.06</c:v>
                </c:pt>
                <c:pt idx="140">
                  <c:v>50.85</c:v>
                </c:pt>
                <c:pt idx="141">
                  <c:v>37.53</c:v>
                </c:pt>
                <c:pt idx="142">
                  <c:v>42.39</c:v>
                </c:pt>
                <c:pt idx="143">
                  <c:v>43.93</c:v>
                </c:pt>
                <c:pt idx="144">
                  <c:v>84.6</c:v>
                </c:pt>
                <c:pt idx="145">
                  <c:v>50.31</c:v>
                </c:pt>
                <c:pt idx="146">
                  <c:v>26.28</c:v>
                </c:pt>
                <c:pt idx="147">
                  <c:v>17.47</c:v>
                </c:pt>
                <c:pt idx="148">
                  <c:v>22.94</c:v>
                </c:pt>
                <c:pt idx="149">
                  <c:v>36.56</c:v>
                </c:pt>
                <c:pt idx="150">
                  <c:v>40.22</c:v>
                </c:pt>
                <c:pt idx="151">
                  <c:v>20.54</c:v>
                </c:pt>
                <c:pt idx="152">
                  <c:v>12.87</c:v>
                </c:pt>
                <c:pt idx="153">
                  <c:v>18.22</c:v>
                </c:pt>
                <c:pt idx="154">
                  <c:v>23.36</c:v>
                </c:pt>
                <c:pt idx="155">
                  <c:v>36.39</c:v>
                </c:pt>
                <c:pt idx="156">
                  <c:v>43.14</c:v>
                </c:pt>
                <c:pt idx="157">
                  <c:v>49.32</c:v>
                </c:pt>
                <c:pt idx="158">
                  <c:v>50.3</c:v>
                </c:pt>
                <c:pt idx="159">
                  <c:v>21.55</c:v>
                </c:pt>
                <c:pt idx="160">
                  <c:v>57.94</c:v>
                </c:pt>
                <c:pt idx="161">
                  <c:v>42.56</c:v>
                </c:pt>
                <c:pt idx="162">
                  <c:v>30.27</c:v>
                </c:pt>
                <c:pt idx="163">
                  <c:v>32.090000000000003</c:v>
                </c:pt>
                <c:pt idx="164">
                  <c:v>30.22</c:v>
                </c:pt>
                <c:pt idx="165">
                  <c:v>25.16</c:v>
                </c:pt>
                <c:pt idx="166">
                  <c:v>31.42</c:v>
                </c:pt>
                <c:pt idx="167">
                  <c:v>29.81</c:v>
                </c:pt>
                <c:pt idx="168">
                  <c:v>27.02</c:v>
                </c:pt>
                <c:pt idx="169">
                  <c:v>54.12</c:v>
                </c:pt>
                <c:pt idx="170">
                  <c:v>80.900000000000006</c:v>
                </c:pt>
                <c:pt idx="171">
                  <c:v>49.74</c:v>
                </c:pt>
                <c:pt idx="172">
                  <c:v>45.73</c:v>
                </c:pt>
                <c:pt idx="173">
                  <c:v>32.71</c:v>
                </c:pt>
                <c:pt idx="174">
                  <c:v>51.09</c:v>
                </c:pt>
                <c:pt idx="175">
                  <c:v>41.14</c:v>
                </c:pt>
                <c:pt idx="176">
                  <c:v>33.69</c:v>
                </c:pt>
                <c:pt idx="177">
                  <c:v>42.6</c:v>
                </c:pt>
                <c:pt idx="178">
                  <c:v>44.13</c:v>
                </c:pt>
                <c:pt idx="179">
                  <c:v>47.6</c:v>
                </c:pt>
                <c:pt idx="180">
                  <c:v>35.229999999999997</c:v>
                </c:pt>
                <c:pt idx="181">
                  <c:v>26.88</c:v>
                </c:pt>
                <c:pt idx="182">
                  <c:v>46.39</c:v>
                </c:pt>
                <c:pt idx="183">
                  <c:v>31.75</c:v>
                </c:pt>
                <c:pt idx="184">
                  <c:v>56.07</c:v>
                </c:pt>
                <c:pt idx="185">
                  <c:v>53.49</c:v>
                </c:pt>
                <c:pt idx="186">
                  <c:v>58.26</c:v>
                </c:pt>
                <c:pt idx="187">
                  <c:v>49.65</c:v>
                </c:pt>
                <c:pt idx="188">
                  <c:v>52.34</c:v>
                </c:pt>
                <c:pt idx="189">
                  <c:v>39.96</c:v>
                </c:pt>
                <c:pt idx="190">
                  <c:v>50.44</c:v>
                </c:pt>
                <c:pt idx="191">
                  <c:v>50.72</c:v>
                </c:pt>
                <c:pt idx="192">
                  <c:v>49.57</c:v>
                </c:pt>
                <c:pt idx="193">
                  <c:v>40.96</c:v>
                </c:pt>
                <c:pt idx="194">
                  <c:v>42.18</c:v>
                </c:pt>
                <c:pt idx="195">
                  <c:v>37.83</c:v>
                </c:pt>
                <c:pt idx="196">
                  <c:v>39.69</c:v>
                </c:pt>
                <c:pt idx="197">
                  <c:v>66.44</c:v>
                </c:pt>
                <c:pt idx="198">
                  <c:v>45.61</c:v>
                </c:pt>
                <c:pt idx="199">
                  <c:v>54.23</c:v>
                </c:pt>
                <c:pt idx="200">
                  <c:v>53</c:v>
                </c:pt>
                <c:pt idx="201">
                  <c:v>26.8</c:v>
                </c:pt>
                <c:pt idx="202">
                  <c:v>28</c:v>
                </c:pt>
                <c:pt idx="203">
                  <c:v>37.61</c:v>
                </c:pt>
                <c:pt idx="204">
                  <c:v>48.47</c:v>
                </c:pt>
                <c:pt idx="205">
                  <c:v>36.82</c:v>
                </c:pt>
                <c:pt idx="206">
                  <c:v>21.33</c:v>
                </c:pt>
                <c:pt idx="207">
                  <c:v>36.36</c:v>
                </c:pt>
                <c:pt idx="208">
                  <c:v>38.020000000000003</c:v>
                </c:pt>
                <c:pt idx="209">
                  <c:v>23.47</c:v>
                </c:pt>
                <c:pt idx="210">
                  <c:v>27.01</c:v>
                </c:pt>
                <c:pt idx="211">
                  <c:v>35.15</c:v>
                </c:pt>
                <c:pt idx="212">
                  <c:v>28.08</c:v>
                </c:pt>
                <c:pt idx="213">
                  <c:v>37.229999999999997</c:v>
                </c:pt>
                <c:pt idx="214">
                  <c:v>37.96</c:v>
                </c:pt>
                <c:pt idx="215">
                  <c:v>24.02</c:v>
                </c:pt>
                <c:pt idx="216">
                  <c:v>29.52</c:v>
                </c:pt>
                <c:pt idx="217">
                  <c:v>9.26</c:v>
                </c:pt>
                <c:pt idx="218">
                  <c:v>13.06</c:v>
                </c:pt>
                <c:pt idx="219">
                  <c:v>16</c:v>
                </c:pt>
                <c:pt idx="220">
                  <c:v>32.07</c:v>
                </c:pt>
                <c:pt idx="221">
                  <c:v>52.38</c:v>
                </c:pt>
                <c:pt idx="222">
                  <c:v>76.8</c:v>
                </c:pt>
                <c:pt idx="223">
                  <c:v>36.17</c:v>
                </c:pt>
                <c:pt idx="224">
                  <c:v>43.91</c:v>
                </c:pt>
                <c:pt idx="225">
                  <c:v>35.22</c:v>
                </c:pt>
                <c:pt idx="226">
                  <c:v>36.82</c:v>
                </c:pt>
                <c:pt idx="227">
                  <c:v>57.09</c:v>
                </c:pt>
                <c:pt idx="228">
                  <c:v>42.38</c:v>
                </c:pt>
                <c:pt idx="229">
                  <c:v>32.880000000000003</c:v>
                </c:pt>
                <c:pt idx="230">
                  <c:v>29.62</c:v>
                </c:pt>
                <c:pt idx="231">
                  <c:v>28.27</c:v>
                </c:pt>
                <c:pt idx="232">
                  <c:v>33.82</c:v>
                </c:pt>
                <c:pt idx="233">
                  <c:v>38.770000000000003</c:v>
                </c:pt>
                <c:pt idx="234">
                  <c:v>51.56</c:v>
                </c:pt>
                <c:pt idx="235">
                  <c:v>44.24</c:v>
                </c:pt>
                <c:pt idx="236">
                  <c:v>56.08</c:v>
                </c:pt>
                <c:pt idx="237">
                  <c:v>44.59</c:v>
                </c:pt>
                <c:pt idx="238">
                  <c:v>29.93</c:v>
                </c:pt>
                <c:pt idx="239">
                  <c:v>31.8</c:v>
                </c:pt>
                <c:pt idx="240">
                  <c:v>15.6</c:v>
                </c:pt>
                <c:pt idx="241">
                  <c:v>40.28</c:v>
                </c:pt>
                <c:pt idx="242">
                  <c:v>42.21</c:v>
                </c:pt>
                <c:pt idx="243">
                  <c:v>40.96</c:v>
                </c:pt>
                <c:pt idx="244">
                  <c:v>36.56</c:v>
                </c:pt>
                <c:pt idx="245">
                  <c:v>28.4</c:v>
                </c:pt>
                <c:pt idx="246">
                  <c:v>36.479999999999997</c:v>
                </c:pt>
                <c:pt idx="247">
                  <c:v>31.2</c:v>
                </c:pt>
                <c:pt idx="248">
                  <c:v>32.21</c:v>
                </c:pt>
                <c:pt idx="249">
                  <c:v>41.02</c:v>
                </c:pt>
                <c:pt idx="250">
                  <c:v>80.7</c:v>
                </c:pt>
                <c:pt idx="251">
                  <c:v>57.21</c:v>
                </c:pt>
                <c:pt idx="252">
                  <c:v>64.11</c:v>
                </c:pt>
                <c:pt idx="253">
                  <c:v>56.95</c:v>
                </c:pt>
                <c:pt idx="254">
                  <c:v>48.18</c:v>
                </c:pt>
                <c:pt idx="255">
                  <c:v>62.37</c:v>
                </c:pt>
                <c:pt idx="256">
                  <c:v>73.7</c:v>
                </c:pt>
                <c:pt idx="257">
                  <c:v>90.3</c:v>
                </c:pt>
                <c:pt idx="258">
                  <c:v>62.53</c:v>
                </c:pt>
                <c:pt idx="259">
                  <c:v>72.2</c:v>
                </c:pt>
                <c:pt idx="260">
                  <c:v>83.3</c:v>
                </c:pt>
                <c:pt idx="261">
                  <c:v>59.17</c:v>
                </c:pt>
                <c:pt idx="262">
                  <c:v>60.17</c:v>
                </c:pt>
                <c:pt idx="263">
                  <c:v>49.05</c:v>
                </c:pt>
                <c:pt idx="264">
                  <c:v>78.599999999999994</c:v>
                </c:pt>
                <c:pt idx="265">
                  <c:v>80.7</c:v>
                </c:pt>
                <c:pt idx="266">
                  <c:v>57.98</c:v>
                </c:pt>
                <c:pt idx="267">
                  <c:v>50.24</c:v>
                </c:pt>
                <c:pt idx="268">
                  <c:v>68.069999999999993</c:v>
                </c:pt>
                <c:pt idx="269">
                  <c:v>71.2</c:v>
                </c:pt>
                <c:pt idx="270">
                  <c:v>79.400000000000006</c:v>
                </c:pt>
                <c:pt idx="271">
                  <c:v>75.599999999999994</c:v>
                </c:pt>
                <c:pt idx="272">
                  <c:v>45.25</c:v>
                </c:pt>
                <c:pt idx="273">
                  <c:v>46.75</c:v>
                </c:pt>
                <c:pt idx="274">
                  <c:v>68.45</c:v>
                </c:pt>
                <c:pt idx="275">
                  <c:v>67.849999999999994</c:v>
                </c:pt>
                <c:pt idx="276">
                  <c:v>56.89</c:v>
                </c:pt>
                <c:pt idx="277">
                  <c:v>56.95</c:v>
                </c:pt>
                <c:pt idx="278">
                  <c:v>54.52</c:v>
                </c:pt>
                <c:pt idx="279">
                  <c:v>68.36</c:v>
                </c:pt>
                <c:pt idx="280">
                  <c:v>75</c:v>
                </c:pt>
                <c:pt idx="281">
                  <c:v>48.42</c:v>
                </c:pt>
                <c:pt idx="282">
                  <c:v>25.19</c:v>
                </c:pt>
                <c:pt idx="283">
                  <c:v>40.35</c:v>
                </c:pt>
                <c:pt idx="284">
                  <c:v>39.11</c:v>
                </c:pt>
                <c:pt idx="285">
                  <c:v>75.599999999999994</c:v>
                </c:pt>
                <c:pt idx="286">
                  <c:v>52.24</c:v>
                </c:pt>
                <c:pt idx="287">
                  <c:v>76.099999999999994</c:v>
                </c:pt>
                <c:pt idx="288">
                  <c:v>55.69</c:v>
                </c:pt>
                <c:pt idx="289">
                  <c:v>65.760000000000005</c:v>
                </c:pt>
                <c:pt idx="290">
                  <c:v>69.2</c:v>
                </c:pt>
                <c:pt idx="291">
                  <c:v>70.8</c:v>
                </c:pt>
                <c:pt idx="292">
                  <c:v>65.06</c:v>
                </c:pt>
                <c:pt idx="293">
                  <c:v>96.1</c:v>
                </c:pt>
                <c:pt idx="294">
                  <c:v>61.75</c:v>
                </c:pt>
                <c:pt idx="295">
                  <c:v>55.33</c:v>
                </c:pt>
                <c:pt idx="296">
                  <c:v>58.83</c:v>
                </c:pt>
                <c:pt idx="297">
                  <c:v>63.91</c:v>
                </c:pt>
                <c:pt idx="298">
                  <c:v>65.650000000000006</c:v>
                </c:pt>
                <c:pt idx="299">
                  <c:v>46.41</c:v>
                </c:pt>
                <c:pt idx="300">
                  <c:v>31.42</c:v>
                </c:pt>
                <c:pt idx="301">
                  <c:v>21.19</c:v>
                </c:pt>
                <c:pt idx="302">
                  <c:v>26.14</c:v>
                </c:pt>
                <c:pt idx="303">
                  <c:v>45.07</c:v>
                </c:pt>
                <c:pt idx="304">
                  <c:v>30.39</c:v>
                </c:pt>
                <c:pt idx="305">
                  <c:v>54.18</c:v>
                </c:pt>
                <c:pt idx="306">
                  <c:v>60.58</c:v>
                </c:pt>
                <c:pt idx="307">
                  <c:v>55.89</c:v>
                </c:pt>
                <c:pt idx="308">
                  <c:v>53.98</c:v>
                </c:pt>
                <c:pt idx="309">
                  <c:v>55.53</c:v>
                </c:pt>
                <c:pt idx="310">
                  <c:v>59.48</c:v>
                </c:pt>
                <c:pt idx="311">
                  <c:v>77.8</c:v>
                </c:pt>
                <c:pt idx="312">
                  <c:v>70</c:v>
                </c:pt>
                <c:pt idx="313">
                  <c:v>67.47</c:v>
                </c:pt>
                <c:pt idx="314">
                  <c:v>73.599999999999994</c:v>
                </c:pt>
                <c:pt idx="315">
                  <c:v>80.099999999999994</c:v>
                </c:pt>
                <c:pt idx="316">
                  <c:v>64.87</c:v>
                </c:pt>
                <c:pt idx="317">
                  <c:v>87.6</c:v>
                </c:pt>
                <c:pt idx="318">
                  <c:v>93.6</c:v>
                </c:pt>
                <c:pt idx="319">
                  <c:v>87.6</c:v>
                </c:pt>
                <c:pt idx="320">
                  <c:v>71.5</c:v>
                </c:pt>
                <c:pt idx="321">
                  <c:v>57.36</c:v>
                </c:pt>
                <c:pt idx="322">
                  <c:v>94.2</c:v>
                </c:pt>
                <c:pt idx="323">
                  <c:v>57.84</c:v>
                </c:pt>
                <c:pt idx="324">
                  <c:v>51.14</c:v>
                </c:pt>
                <c:pt idx="325">
                  <c:v>26.4</c:v>
                </c:pt>
                <c:pt idx="326">
                  <c:v>78.099999999999994</c:v>
                </c:pt>
                <c:pt idx="327">
                  <c:v>63.39</c:v>
                </c:pt>
                <c:pt idx="328">
                  <c:v>69.69</c:v>
                </c:pt>
                <c:pt idx="329">
                  <c:v>55.67</c:v>
                </c:pt>
                <c:pt idx="330">
                  <c:v>55.24</c:v>
                </c:pt>
                <c:pt idx="331">
                  <c:v>52.78</c:v>
                </c:pt>
                <c:pt idx="332">
                  <c:v>55.77</c:v>
                </c:pt>
                <c:pt idx="333">
                  <c:v>47.45</c:v>
                </c:pt>
                <c:pt idx="334">
                  <c:v>80.5</c:v>
                </c:pt>
                <c:pt idx="335">
                  <c:v>87.7</c:v>
                </c:pt>
                <c:pt idx="336">
                  <c:v>68.28</c:v>
                </c:pt>
                <c:pt idx="337">
                  <c:v>84.4</c:v>
                </c:pt>
                <c:pt idx="338">
                  <c:v>72.099999999999994</c:v>
                </c:pt>
                <c:pt idx="339">
                  <c:v>100.9</c:v>
                </c:pt>
                <c:pt idx="340">
                  <c:v>100.8</c:v>
                </c:pt>
                <c:pt idx="341">
                  <c:v>71.8</c:v>
                </c:pt>
                <c:pt idx="342">
                  <c:v>54.1</c:v>
                </c:pt>
                <c:pt idx="343">
                  <c:v>82.7</c:v>
                </c:pt>
                <c:pt idx="344">
                  <c:v>92.5</c:v>
                </c:pt>
                <c:pt idx="345">
                  <c:v>96.1</c:v>
                </c:pt>
                <c:pt idx="346">
                  <c:v>82.9</c:v>
                </c:pt>
                <c:pt idx="347">
                  <c:v>83.2</c:v>
                </c:pt>
                <c:pt idx="348">
                  <c:v>73.8</c:v>
                </c:pt>
                <c:pt idx="349">
                  <c:v>87.5</c:v>
                </c:pt>
                <c:pt idx="350">
                  <c:v>96.8</c:v>
                </c:pt>
                <c:pt idx="351">
                  <c:v>96.8</c:v>
                </c:pt>
                <c:pt idx="352">
                  <c:v>96.6</c:v>
                </c:pt>
                <c:pt idx="353">
                  <c:v>99.9</c:v>
                </c:pt>
                <c:pt idx="354">
                  <c:v>97.4</c:v>
                </c:pt>
                <c:pt idx="355">
                  <c:v>89.6</c:v>
                </c:pt>
                <c:pt idx="356">
                  <c:v>68</c:v>
                </c:pt>
                <c:pt idx="357">
                  <c:v>75.3</c:v>
                </c:pt>
                <c:pt idx="358">
                  <c:v>66</c:v>
                </c:pt>
                <c:pt idx="359">
                  <c:v>75.3</c:v>
                </c:pt>
                <c:pt idx="360">
                  <c:v>92.2</c:v>
                </c:pt>
                <c:pt idx="361">
                  <c:v>92</c:v>
                </c:pt>
                <c:pt idx="362">
                  <c:v>83.4</c:v>
                </c:pt>
                <c:pt idx="363">
                  <c:v>95</c:v>
                </c:pt>
                <c:pt idx="364">
                  <c:v>97.1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99744"/>
        <c:axId val="142405632"/>
      </c:lineChart>
      <c:catAx>
        <c:axId val="142399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4056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405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99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99170622125661"/>
          <c:y val="0.69715679386230567"/>
          <c:w val="0.10770952400721438"/>
          <c:h val="0.12591189178275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95744"/>
        <c:axId val="142497280"/>
      </c:radarChart>
      <c:catAx>
        <c:axId val="14249574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42497280"/>
        <c:crosses val="autoZero"/>
        <c:auto val="1"/>
        <c:lblAlgn val="ctr"/>
        <c:lblOffset val="100"/>
        <c:noMultiLvlLbl val="0"/>
      </c:catAx>
      <c:valAx>
        <c:axId val="1424972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2495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General</c:formatCode>
                <c:ptCount val="365"/>
                <c:pt idx="0">
                  <c:v>0.45100000000000001</c:v>
                </c:pt>
                <c:pt idx="1">
                  <c:v>0.32200000000000001</c:v>
                </c:pt>
                <c:pt idx="2">
                  <c:v>0.57499999999999996</c:v>
                </c:pt>
                <c:pt idx="3">
                  <c:v>0.57199999999999995</c:v>
                </c:pt>
                <c:pt idx="4">
                  <c:v>0.501</c:v>
                </c:pt>
                <c:pt idx="5">
                  <c:v>0.34399999999999997</c:v>
                </c:pt>
                <c:pt idx="6">
                  <c:v>0.24299999999999999</c:v>
                </c:pt>
                <c:pt idx="7">
                  <c:v>0.14000000000000001</c:v>
                </c:pt>
                <c:pt idx="8">
                  <c:v>0.55000000000000004</c:v>
                </c:pt>
                <c:pt idx="9">
                  <c:v>0.625</c:v>
                </c:pt>
                <c:pt idx="10">
                  <c:v>0.53400000000000003</c:v>
                </c:pt>
                <c:pt idx="11">
                  <c:v>0.47899999999999998</c:v>
                </c:pt>
                <c:pt idx="12">
                  <c:v>0.44700000000000001</c:v>
                </c:pt>
                <c:pt idx="13">
                  <c:v>0.33700000000000002</c:v>
                </c:pt>
                <c:pt idx="14">
                  <c:v>0.30499999999999999</c:v>
                </c:pt>
                <c:pt idx="15">
                  <c:v>0.41</c:v>
                </c:pt>
                <c:pt idx="16">
                  <c:v>0.49199999999999999</c:v>
                </c:pt>
                <c:pt idx="17">
                  <c:v>0.49199999999999999</c:v>
                </c:pt>
                <c:pt idx="18">
                  <c:v>0.44</c:v>
                </c:pt>
                <c:pt idx="19">
                  <c:v>0.36699999999999999</c:v>
                </c:pt>
                <c:pt idx="20">
                  <c:v>0.32900000000000001</c:v>
                </c:pt>
                <c:pt idx="21">
                  <c:v>0.33500000000000002</c:v>
                </c:pt>
                <c:pt idx="22">
                  <c:v>0.45200000000000001</c:v>
                </c:pt>
                <c:pt idx="23">
                  <c:v>0.31900000000000001</c:v>
                </c:pt>
                <c:pt idx="24">
                  <c:v>0.43</c:v>
                </c:pt>
                <c:pt idx="25">
                  <c:v>0.56499999999999995</c:v>
                </c:pt>
                <c:pt idx="26">
                  <c:v>0.40300000000000002</c:v>
                </c:pt>
                <c:pt idx="27">
                  <c:v>0.251</c:v>
                </c:pt>
                <c:pt idx="28">
                  <c:v>0.114</c:v>
                </c:pt>
                <c:pt idx="29">
                  <c:v>0.27700000000000002</c:v>
                </c:pt>
                <c:pt idx="30">
                  <c:v>0.41099999999999998</c:v>
                </c:pt>
                <c:pt idx="31">
                  <c:v>0.46100000000000002</c:v>
                </c:pt>
                <c:pt idx="32">
                  <c:v>0.35699999999999998</c:v>
                </c:pt>
                <c:pt idx="33">
                  <c:v>0.16200000000000001</c:v>
                </c:pt>
                <c:pt idx="34">
                  <c:v>9.2999999999999999E-2</c:v>
                </c:pt>
                <c:pt idx="35">
                  <c:v>8.4000000000000005E-2</c:v>
                </c:pt>
                <c:pt idx="36">
                  <c:v>0.11700000000000001</c:v>
                </c:pt>
                <c:pt idx="37">
                  <c:v>0.14199999999999999</c:v>
                </c:pt>
                <c:pt idx="38">
                  <c:v>0.20499999999999999</c:v>
                </c:pt>
                <c:pt idx="39">
                  <c:v>0.13100000000000001</c:v>
                </c:pt>
                <c:pt idx="40">
                  <c:v>0.13900000000000001</c:v>
                </c:pt>
                <c:pt idx="41">
                  <c:v>0.16700000000000001</c:v>
                </c:pt>
                <c:pt idx="42">
                  <c:v>0.25800000000000001</c:v>
                </c:pt>
                <c:pt idx="43">
                  <c:v>0.29599999999999999</c:v>
                </c:pt>
                <c:pt idx="44">
                  <c:v>0.23599999999999999</c:v>
                </c:pt>
                <c:pt idx="45">
                  <c:v>0.435</c:v>
                </c:pt>
                <c:pt idx="46">
                  <c:v>0.33600000000000002</c:v>
                </c:pt>
                <c:pt idx="47">
                  <c:v>0.3</c:v>
                </c:pt>
                <c:pt idx="48">
                  <c:v>0.22700000000000001</c:v>
                </c:pt>
                <c:pt idx="49">
                  <c:v>0.34</c:v>
                </c:pt>
                <c:pt idx="50">
                  <c:v>0.27700000000000002</c:v>
                </c:pt>
                <c:pt idx="51">
                  <c:v>0.24199999999999999</c:v>
                </c:pt>
                <c:pt idx="52">
                  <c:v>0.27200000000000002</c:v>
                </c:pt>
                <c:pt idx="53">
                  <c:v>0.309</c:v>
                </c:pt>
                <c:pt idx="54">
                  <c:v>0.27800000000000002</c:v>
                </c:pt>
                <c:pt idx="55">
                  <c:v>0.19600000000000001</c:v>
                </c:pt>
                <c:pt idx="56">
                  <c:v>0.158</c:v>
                </c:pt>
                <c:pt idx="57">
                  <c:v>0.11899999999999999</c:v>
                </c:pt>
                <c:pt idx="58">
                  <c:v>0.28399999999999997</c:v>
                </c:pt>
                <c:pt idx="59">
                  <c:v>0.24099999999999999</c:v>
                </c:pt>
                <c:pt idx="60">
                  <c:v>0.19</c:v>
                </c:pt>
                <c:pt idx="61">
                  <c:v>0.129</c:v>
                </c:pt>
                <c:pt idx="62">
                  <c:v>0.113</c:v>
                </c:pt>
                <c:pt idx="63">
                  <c:v>0.20799999999999999</c:v>
                </c:pt>
                <c:pt idx="64">
                  <c:v>0.40500000000000003</c:v>
                </c:pt>
                <c:pt idx="65">
                  <c:v>0.27300000000000002</c:v>
                </c:pt>
                <c:pt idx="66">
                  <c:v>0.22700000000000001</c:v>
                </c:pt>
                <c:pt idx="67">
                  <c:v>0.252</c:v>
                </c:pt>
                <c:pt idx="68">
                  <c:v>0.26500000000000001</c:v>
                </c:pt>
                <c:pt idx="69">
                  <c:v>0.26800000000000002</c:v>
                </c:pt>
                <c:pt idx="70">
                  <c:v>0.36099999999999999</c:v>
                </c:pt>
                <c:pt idx="71">
                  <c:v>0.23599999999999999</c:v>
                </c:pt>
                <c:pt idx="72">
                  <c:v>0.27400000000000002</c:v>
                </c:pt>
                <c:pt idx="73">
                  <c:v>0.39100000000000001</c:v>
                </c:pt>
                <c:pt idx="74">
                  <c:v>0.40100000000000002</c:v>
                </c:pt>
                <c:pt idx="75">
                  <c:v>0.36699999999999999</c:v>
                </c:pt>
                <c:pt idx="76">
                  <c:v>0.26300000000000001</c:v>
                </c:pt>
                <c:pt idx="77">
                  <c:v>0.32300000000000001</c:v>
                </c:pt>
                <c:pt idx="78">
                  <c:v>0.32200000000000001</c:v>
                </c:pt>
                <c:pt idx="79">
                  <c:v>0.35099999999999998</c:v>
                </c:pt>
                <c:pt idx="80">
                  <c:v>0.35299999999999998</c:v>
                </c:pt>
                <c:pt idx="81">
                  <c:v>0.54900000000000004</c:v>
                </c:pt>
                <c:pt idx="82">
                  <c:v>0.57399999999999995</c:v>
                </c:pt>
                <c:pt idx="83">
                  <c:v>0.56599999999999995</c:v>
                </c:pt>
                <c:pt idx="84">
                  <c:v>0.41399999999999998</c:v>
                </c:pt>
                <c:pt idx="85">
                  <c:v>0.378</c:v>
                </c:pt>
                <c:pt idx="86">
                  <c:v>0.36499999999999999</c:v>
                </c:pt>
                <c:pt idx="87">
                  <c:v>0.32400000000000001</c:v>
                </c:pt>
                <c:pt idx="88">
                  <c:v>0.34599999999999997</c:v>
                </c:pt>
                <c:pt idx="89">
                  <c:v>0.33800000000000002</c:v>
                </c:pt>
                <c:pt idx="90">
                  <c:v>0.28999999999999998</c:v>
                </c:pt>
                <c:pt idx="91">
                  <c:v>0.24299999999999999</c:v>
                </c:pt>
                <c:pt idx="92">
                  <c:v>0.55500000000000005</c:v>
                </c:pt>
                <c:pt idx="93">
                  <c:v>0.49</c:v>
                </c:pt>
                <c:pt idx="94">
                  <c:v>0.627</c:v>
                </c:pt>
                <c:pt idx="95">
                  <c:v>0.56000000000000005</c:v>
                </c:pt>
                <c:pt idx="96">
                  <c:v>0.35299999999999998</c:v>
                </c:pt>
                <c:pt idx="97">
                  <c:v>0.45600000000000002</c:v>
                </c:pt>
                <c:pt idx="98">
                  <c:v>0.501</c:v>
                </c:pt>
                <c:pt idx="99">
                  <c:v>0.438</c:v>
                </c:pt>
                <c:pt idx="100">
                  <c:v>0.36099999999999999</c:v>
                </c:pt>
                <c:pt idx="101">
                  <c:v>0.39200000000000002</c:v>
                </c:pt>
                <c:pt idx="102">
                  <c:v>0.56399999999999995</c:v>
                </c:pt>
                <c:pt idx="103">
                  <c:v>0.30299999999999999</c:v>
                </c:pt>
                <c:pt idx="104">
                  <c:v>0.32800000000000001</c:v>
                </c:pt>
                <c:pt idx="105">
                  <c:v>0.27500000000000002</c:v>
                </c:pt>
                <c:pt idx="106">
                  <c:v>0.42299999999999999</c:v>
                </c:pt>
                <c:pt idx="107">
                  <c:v>0.86499999999999999</c:v>
                </c:pt>
                <c:pt idx="108">
                  <c:v>0.73</c:v>
                </c:pt>
                <c:pt idx="109">
                  <c:v>0.33200000000000002</c:v>
                </c:pt>
                <c:pt idx="110">
                  <c:v>0.217</c:v>
                </c:pt>
                <c:pt idx="111">
                  <c:v>0.51300000000000001</c:v>
                </c:pt>
                <c:pt idx="112">
                  <c:v>0.435</c:v>
                </c:pt>
                <c:pt idx="113">
                  <c:v>0.33100000000000002</c:v>
                </c:pt>
                <c:pt idx="114">
                  <c:v>0.23699999999999999</c:v>
                </c:pt>
                <c:pt idx="115">
                  <c:v>0.24399999999999999</c:v>
                </c:pt>
                <c:pt idx="116">
                  <c:v>0.33200000000000002</c:v>
                </c:pt>
                <c:pt idx="117">
                  <c:v>0.28000000000000003</c:v>
                </c:pt>
                <c:pt idx="118">
                  <c:v>0.31</c:v>
                </c:pt>
                <c:pt idx="119">
                  <c:v>0.26300000000000001</c:v>
                </c:pt>
                <c:pt idx="120">
                  <c:v>0.36299999999999999</c:v>
                </c:pt>
                <c:pt idx="121">
                  <c:v>0.502</c:v>
                </c:pt>
                <c:pt idx="122">
                  <c:v>0.49299999999999999</c:v>
                </c:pt>
                <c:pt idx="123">
                  <c:v>0.58899999999999997</c:v>
                </c:pt>
                <c:pt idx="124">
                  <c:v>0.442</c:v>
                </c:pt>
                <c:pt idx="125">
                  <c:v>0.505</c:v>
                </c:pt>
                <c:pt idx="126">
                  <c:v>0.52200000000000002</c:v>
                </c:pt>
                <c:pt idx="127">
                  <c:v>0.56299999999999994</c:v>
                </c:pt>
                <c:pt idx="128">
                  <c:v>0.45700000000000002</c:v>
                </c:pt>
                <c:pt idx="129">
                  <c:v>0.69799999999999995</c:v>
                </c:pt>
                <c:pt idx="130">
                  <c:v>0.68400000000000005</c:v>
                </c:pt>
                <c:pt idx="131">
                  <c:v>0.438</c:v>
                </c:pt>
                <c:pt idx="132">
                  <c:v>0.51500000000000001</c:v>
                </c:pt>
                <c:pt idx="133">
                  <c:v>0.56299999999999994</c:v>
                </c:pt>
                <c:pt idx="134">
                  <c:v>0.621</c:v>
                </c:pt>
                <c:pt idx="135">
                  <c:v>0.98499999999999999</c:v>
                </c:pt>
                <c:pt idx="136">
                  <c:v>0.73599999999999999</c:v>
                </c:pt>
                <c:pt idx="137">
                  <c:v>0.76800000000000002</c:v>
                </c:pt>
                <c:pt idx="138">
                  <c:v>0.624</c:v>
                </c:pt>
                <c:pt idx="139">
                  <c:v>0.51900000000000002</c:v>
                </c:pt>
                <c:pt idx="140">
                  <c:v>0.55700000000000005</c:v>
                </c:pt>
                <c:pt idx="141">
                  <c:v>0.56599999999999995</c:v>
                </c:pt>
                <c:pt idx="142">
                  <c:v>0.63600000000000001</c:v>
                </c:pt>
                <c:pt idx="143">
                  <c:v>0.64700000000000002</c:v>
                </c:pt>
                <c:pt idx="144">
                  <c:v>0.91600000000000004</c:v>
                </c:pt>
                <c:pt idx="145">
                  <c:v>0.71599999999999997</c:v>
                </c:pt>
                <c:pt idx="146">
                  <c:v>0.50600000000000001</c:v>
                </c:pt>
                <c:pt idx="147">
                  <c:v>0.41</c:v>
                </c:pt>
                <c:pt idx="148">
                  <c:v>0.55500000000000005</c:v>
                </c:pt>
                <c:pt idx="149">
                  <c:v>0.82699999999999996</c:v>
                </c:pt>
                <c:pt idx="150">
                  <c:v>0.92500000000000004</c:v>
                </c:pt>
                <c:pt idx="151">
                  <c:v>0.53700000000000003</c:v>
                </c:pt>
                <c:pt idx="152">
                  <c:v>0.33400000000000002</c:v>
                </c:pt>
                <c:pt idx="153">
                  <c:v>0.30599999999999999</c:v>
                </c:pt>
                <c:pt idx="154">
                  <c:v>0.41799999999999998</c:v>
                </c:pt>
                <c:pt idx="155">
                  <c:v>0.56100000000000005</c:v>
                </c:pt>
                <c:pt idx="156">
                  <c:v>0.495</c:v>
                </c:pt>
                <c:pt idx="157">
                  <c:v>0.48899999999999999</c:v>
                </c:pt>
                <c:pt idx="158">
                  <c:v>0.61499999999999999</c:v>
                </c:pt>
                <c:pt idx="159">
                  <c:v>0.36099999999999999</c:v>
                </c:pt>
                <c:pt idx="160">
                  <c:v>0.88</c:v>
                </c:pt>
                <c:pt idx="161">
                  <c:v>0.89500000000000002</c:v>
                </c:pt>
                <c:pt idx="162">
                  <c:v>0.84699999999999998</c:v>
                </c:pt>
                <c:pt idx="163">
                  <c:v>0.85399999999999998</c:v>
                </c:pt>
                <c:pt idx="164">
                  <c:v>0.68799999999999994</c:v>
                </c:pt>
                <c:pt idx="165">
                  <c:v>0.59499999999999997</c:v>
                </c:pt>
                <c:pt idx="166">
                  <c:v>0.75700000000000001</c:v>
                </c:pt>
                <c:pt idx="167">
                  <c:v>0.78300000000000003</c:v>
                </c:pt>
                <c:pt idx="168">
                  <c:v>0.53700000000000003</c:v>
                </c:pt>
                <c:pt idx="169">
                  <c:v>0.57899999999999996</c:v>
                </c:pt>
                <c:pt idx="170">
                  <c:v>0.63</c:v>
                </c:pt>
                <c:pt idx="171">
                  <c:v>0.85699999999999998</c:v>
                </c:pt>
                <c:pt idx="172">
                  <c:v>0.747</c:v>
                </c:pt>
                <c:pt idx="173">
                  <c:v>0.48699999999999999</c:v>
                </c:pt>
                <c:pt idx="174">
                  <c:v>0.66200000000000003</c:v>
                </c:pt>
                <c:pt idx="175">
                  <c:v>0.624</c:v>
                </c:pt>
                <c:pt idx="176">
                  <c:v>0.62</c:v>
                </c:pt>
                <c:pt idx="177">
                  <c:v>0.69599999999999995</c:v>
                </c:pt>
                <c:pt idx="178">
                  <c:v>0.64400000000000002</c:v>
                </c:pt>
                <c:pt idx="179">
                  <c:v>0.70899999999999996</c:v>
                </c:pt>
                <c:pt idx="180">
                  <c:v>0.73</c:v>
                </c:pt>
                <c:pt idx="181">
                  <c:v>0.63500000000000001</c:v>
                </c:pt>
                <c:pt idx="182">
                  <c:v>0.8</c:v>
                </c:pt>
                <c:pt idx="183">
                  <c:v>0.66600000000000004</c:v>
                </c:pt>
                <c:pt idx="184">
                  <c:v>0.99299999999999999</c:v>
                </c:pt>
                <c:pt idx="185">
                  <c:v>0.88</c:v>
                </c:pt>
                <c:pt idx="186">
                  <c:v>0.99</c:v>
                </c:pt>
                <c:pt idx="187">
                  <c:v>0.84199999999999997</c:v>
                </c:pt>
                <c:pt idx="188">
                  <c:v>0.96499999999999997</c:v>
                </c:pt>
                <c:pt idx="189">
                  <c:v>0.92900000000000005</c:v>
                </c:pt>
                <c:pt idx="190">
                  <c:v>1.0489999999999999</c:v>
                </c:pt>
                <c:pt idx="191">
                  <c:v>0.98899999999999999</c:v>
                </c:pt>
                <c:pt idx="192">
                  <c:v>1.089</c:v>
                </c:pt>
                <c:pt idx="193">
                  <c:v>0.92500000000000004</c:v>
                </c:pt>
                <c:pt idx="194">
                  <c:v>0.82599999999999996</c:v>
                </c:pt>
                <c:pt idx="195">
                  <c:v>0.755</c:v>
                </c:pt>
                <c:pt idx="196">
                  <c:v>0.875</c:v>
                </c:pt>
                <c:pt idx="197">
                  <c:v>1.0960000000000001</c:v>
                </c:pt>
                <c:pt idx="198">
                  <c:v>0.59899999999999998</c:v>
                </c:pt>
                <c:pt idx="199">
                  <c:v>0.76200000000000001</c:v>
                </c:pt>
                <c:pt idx="200">
                  <c:v>0.83899999999999997</c:v>
                </c:pt>
                <c:pt idx="201">
                  <c:v>0.70899999999999996</c:v>
                </c:pt>
                <c:pt idx="202">
                  <c:v>0.90500000000000003</c:v>
                </c:pt>
                <c:pt idx="203">
                  <c:v>1.0900000000000001</c:v>
                </c:pt>
                <c:pt idx="204">
                  <c:v>0.749</c:v>
                </c:pt>
                <c:pt idx="205">
                  <c:v>0.85899999999999999</c:v>
                </c:pt>
                <c:pt idx="206">
                  <c:v>0.64700000000000002</c:v>
                </c:pt>
                <c:pt idx="207">
                  <c:v>0.7</c:v>
                </c:pt>
                <c:pt idx="208">
                  <c:v>0.83599999999999997</c:v>
                </c:pt>
                <c:pt idx="209">
                  <c:v>0.65</c:v>
                </c:pt>
                <c:pt idx="210">
                  <c:v>0.64600000000000002</c:v>
                </c:pt>
                <c:pt idx="211">
                  <c:v>0.92700000000000005</c:v>
                </c:pt>
                <c:pt idx="212">
                  <c:v>0.78700000000000003</c:v>
                </c:pt>
                <c:pt idx="213">
                  <c:v>0.88300000000000001</c:v>
                </c:pt>
                <c:pt idx="214">
                  <c:v>0.72</c:v>
                </c:pt>
                <c:pt idx="215">
                  <c:v>0.53400000000000003</c:v>
                </c:pt>
                <c:pt idx="216">
                  <c:v>0.879</c:v>
                </c:pt>
                <c:pt idx="217">
                  <c:v>0.30199999999999999</c:v>
                </c:pt>
                <c:pt idx="218">
                  <c:v>0.44900000000000001</c:v>
                </c:pt>
                <c:pt idx="219">
                  <c:v>0.52100000000000002</c:v>
                </c:pt>
                <c:pt idx="220">
                  <c:v>0.90300000000000002</c:v>
                </c:pt>
                <c:pt idx="221">
                  <c:v>1.095</c:v>
                </c:pt>
                <c:pt idx="222">
                  <c:v>1.079</c:v>
                </c:pt>
                <c:pt idx="223">
                  <c:v>0.75800000000000001</c:v>
                </c:pt>
                <c:pt idx="224">
                  <c:v>0.92700000000000005</c:v>
                </c:pt>
                <c:pt idx="225">
                  <c:v>0.78100000000000003</c:v>
                </c:pt>
                <c:pt idx="226">
                  <c:v>0.86899999999999999</c:v>
                </c:pt>
                <c:pt idx="227">
                  <c:v>0.96499999999999997</c:v>
                </c:pt>
                <c:pt idx="228">
                  <c:v>0.82799999999999996</c:v>
                </c:pt>
                <c:pt idx="229">
                  <c:v>0.84</c:v>
                </c:pt>
                <c:pt idx="230">
                  <c:v>0.69699999999999995</c:v>
                </c:pt>
                <c:pt idx="231">
                  <c:v>0.83799999999999997</c:v>
                </c:pt>
                <c:pt idx="232">
                  <c:v>0.81599999999999995</c:v>
                </c:pt>
                <c:pt idx="233">
                  <c:v>0.72699999999999998</c:v>
                </c:pt>
                <c:pt idx="234">
                  <c:v>0.90600000000000003</c:v>
                </c:pt>
                <c:pt idx="235">
                  <c:v>0.77500000000000002</c:v>
                </c:pt>
                <c:pt idx="236">
                  <c:v>0.82</c:v>
                </c:pt>
                <c:pt idx="237">
                  <c:v>0.74399999999999999</c:v>
                </c:pt>
                <c:pt idx="238">
                  <c:v>0.81100000000000005</c:v>
                </c:pt>
                <c:pt idx="239">
                  <c:v>0.86499999999999999</c:v>
                </c:pt>
                <c:pt idx="240">
                  <c:v>0.46400000000000002</c:v>
                </c:pt>
                <c:pt idx="241">
                  <c:v>1.014</c:v>
                </c:pt>
                <c:pt idx="242">
                  <c:v>1.1120000000000001</c:v>
                </c:pt>
                <c:pt idx="243">
                  <c:v>0.98199999999999998</c:v>
                </c:pt>
                <c:pt idx="244">
                  <c:v>0.76400000000000001</c:v>
                </c:pt>
                <c:pt idx="245">
                  <c:v>0.81699999999999995</c:v>
                </c:pt>
                <c:pt idx="246">
                  <c:v>0.85099999999999998</c:v>
                </c:pt>
                <c:pt idx="247">
                  <c:v>0.874</c:v>
                </c:pt>
                <c:pt idx="248">
                  <c:v>0.874</c:v>
                </c:pt>
                <c:pt idx="249">
                  <c:v>1.038</c:v>
                </c:pt>
                <c:pt idx="250">
                  <c:v>1.099</c:v>
                </c:pt>
                <c:pt idx="251">
                  <c:v>0.90600000000000003</c:v>
                </c:pt>
                <c:pt idx="252">
                  <c:v>1.008</c:v>
                </c:pt>
                <c:pt idx="253">
                  <c:v>0.89900000000000002</c:v>
                </c:pt>
                <c:pt idx="254">
                  <c:v>0.84599999999999997</c:v>
                </c:pt>
                <c:pt idx="255">
                  <c:v>0.90200000000000002</c:v>
                </c:pt>
                <c:pt idx="256">
                  <c:v>0.995</c:v>
                </c:pt>
                <c:pt idx="257">
                  <c:v>0.97399999999999998</c:v>
                </c:pt>
                <c:pt idx="258">
                  <c:v>0.755</c:v>
                </c:pt>
                <c:pt idx="259">
                  <c:v>0.77900000000000003</c:v>
                </c:pt>
                <c:pt idx="260">
                  <c:v>0.873</c:v>
                </c:pt>
                <c:pt idx="261">
                  <c:v>0.75800000000000001</c:v>
                </c:pt>
                <c:pt idx="262">
                  <c:v>0.746</c:v>
                </c:pt>
                <c:pt idx="263">
                  <c:v>0.86299999999999999</c:v>
                </c:pt>
                <c:pt idx="264">
                  <c:v>1.0229999999999999</c:v>
                </c:pt>
                <c:pt idx="265">
                  <c:v>0.80600000000000005</c:v>
                </c:pt>
                <c:pt idx="266">
                  <c:v>0.71599999999999997</c:v>
                </c:pt>
                <c:pt idx="267">
                  <c:v>0.56299999999999994</c:v>
                </c:pt>
                <c:pt idx="268">
                  <c:v>0.747</c:v>
                </c:pt>
                <c:pt idx="269">
                  <c:v>0.57899999999999996</c:v>
                </c:pt>
                <c:pt idx="270">
                  <c:v>0.498</c:v>
                </c:pt>
                <c:pt idx="271">
                  <c:v>0.433</c:v>
                </c:pt>
                <c:pt idx="272">
                  <c:v>0.35299999999999998</c:v>
                </c:pt>
                <c:pt idx="273">
                  <c:v>0.52900000000000003</c:v>
                </c:pt>
                <c:pt idx="274">
                  <c:v>0.56200000000000006</c:v>
                </c:pt>
                <c:pt idx="275">
                  <c:v>0.60599999999999998</c:v>
                </c:pt>
                <c:pt idx="276">
                  <c:v>0.55000000000000004</c:v>
                </c:pt>
                <c:pt idx="277">
                  <c:v>0.56299999999999994</c:v>
                </c:pt>
                <c:pt idx="278">
                  <c:v>0.60899999999999999</c:v>
                </c:pt>
                <c:pt idx="279">
                  <c:v>0.66800000000000004</c:v>
                </c:pt>
                <c:pt idx="280">
                  <c:v>0.501</c:v>
                </c:pt>
                <c:pt idx="281">
                  <c:v>0.22800000000000001</c:v>
                </c:pt>
                <c:pt idx="282">
                  <c:v>0.2</c:v>
                </c:pt>
                <c:pt idx="283">
                  <c:v>0.34</c:v>
                </c:pt>
                <c:pt idx="284">
                  <c:v>0.35199999999999998</c:v>
                </c:pt>
                <c:pt idx="285">
                  <c:v>0.51300000000000001</c:v>
                </c:pt>
                <c:pt idx="286">
                  <c:v>0.48699999999999999</c:v>
                </c:pt>
                <c:pt idx="287">
                  <c:v>0.55200000000000005</c:v>
                </c:pt>
                <c:pt idx="288">
                  <c:v>0.59399999999999997</c:v>
                </c:pt>
                <c:pt idx="289">
                  <c:v>0.622</c:v>
                </c:pt>
                <c:pt idx="290">
                  <c:v>0.52400000000000002</c:v>
                </c:pt>
                <c:pt idx="291">
                  <c:v>0.50700000000000001</c:v>
                </c:pt>
                <c:pt idx="292">
                  <c:v>0.45400000000000001</c:v>
                </c:pt>
                <c:pt idx="293">
                  <c:v>0.61399999999999999</c:v>
                </c:pt>
                <c:pt idx="294">
                  <c:v>0.58299999999999996</c:v>
                </c:pt>
                <c:pt idx="295">
                  <c:v>0.441</c:v>
                </c:pt>
                <c:pt idx="296">
                  <c:v>0.749</c:v>
                </c:pt>
                <c:pt idx="297">
                  <c:v>0.71799999999999997</c:v>
                </c:pt>
                <c:pt idx="298">
                  <c:v>0.39900000000000002</c:v>
                </c:pt>
                <c:pt idx="299">
                  <c:v>0.28100000000000003</c:v>
                </c:pt>
                <c:pt idx="300">
                  <c:v>0.158</c:v>
                </c:pt>
                <c:pt idx="301">
                  <c:v>0.108</c:v>
                </c:pt>
                <c:pt idx="302">
                  <c:v>0.18099999999999999</c:v>
                </c:pt>
                <c:pt idx="303">
                  <c:v>0.32</c:v>
                </c:pt>
                <c:pt idx="304">
                  <c:v>0.29299999999999998</c:v>
                </c:pt>
                <c:pt idx="305">
                  <c:v>0.61899999999999999</c:v>
                </c:pt>
                <c:pt idx="306">
                  <c:v>0.51100000000000001</c:v>
                </c:pt>
                <c:pt idx="307">
                  <c:v>0.68300000000000005</c:v>
                </c:pt>
                <c:pt idx="308">
                  <c:v>0.53100000000000003</c:v>
                </c:pt>
                <c:pt idx="309">
                  <c:v>0.47199999999999998</c:v>
                </c:pt>
                <c:pt idx="310">
                  <c:v>0.49199999999999999</c:v>
                </c:pt>
                <c:pt idx="311">
                  <c:v>0.51400000000000001</c:v>
                </c:pt>
                <c:pt idx="312">
                  <c:v>0.60899999999999999</c:v>
                </c:pt>
                <c:pt idx="313">
                  <c:v>0.47299999999999998</c:v>
                </c:pt>
                <c:pt idx="314">
                  <c:v>0.44500000000000001</c:v>
                </c:pt>
                <c:pt idx="315">
                  <c:v>0.54400000000000004</c:v>
                </c:pt>
                <c:pt idx="316">
                  <c:v>0.57699999999999996</c:v>
                </c:pt>
                <c:pt idx="317">
                  <c:v>0.53</c:v>
                </c:pt>
                <c:pt idx="318">
                  <c:v>0.64800000000000002</c:v>
                </c:pt>
                <c:pt idx="319">
                  <c:v>0.54700000000000004</c:v>
                </c:pt>
                <c:pt idx="320">
                  <c:v>0.627</c:v>
                </c:pt>
                <c:pt idx="321">
                  <c:v>0.436</c:v>
                </c:pt>
                <c:pt idx="322">
                  <c:v>0.54400000000000004</c:v>
                </c:pt>
                <c:pt idx="323">
                  <c:v>0.35499999999999998</c:v>
                </c:pt>
                <c:pt idx="324">
                  <c:v>0.54700000000000004</c:v>
                </c:pt>
                <c:pt idx="325">
                  <c:v>0.27800000000000002</c:v>
                </c:pt>
                <c:pt idx="326">
                  <c:v>0.54100000000000004</c:v>
                </c:pt>
                <c:pt idx="327">
                  <c:v>0.40600000000000003</c:v>
                </c:pt>
                <c:pt idx="328">
                  <c:v>0.32200000000000001</c:v>
                </c:pt>
                <c:pt idx="329">
                  <c:v>0.222</c:v>
                </c:pt>
                <c:pt idx="330">
                  <c:v>0.184</c:v>
                </c:pt>
                <c:pt idx="331">
                  <c:v>0.182</c:v>
                </c:pt>
                <c:pt idx="332">
                  <c:v>0.23699999999999999</c:v>
                </c:pt>
                <c:pt idx="333">
                  <c:v>0.23799999999999999</c:v>
                </c:pt>
                <c:pt idx="334">
                  <c:v>0.25800000000000001</c:v>
                </c:pt>
                <c:pt idx="335">
                  <c:v>0.48799999999999999</c:v>
                </c:pt>
                <c:pt idx="336">
                  <c:v>0.58399999999999996</c:v>
                </c:pt>
                <c:pt idx="337">
                  <c:v>0.60299999999999998</c:v>
                </c:pt>
                <c:pt idx="338">
                  <c:v>0.46200000000000002</c:v>
                </c:pt>
                <c:pt idx="339">
                  <c:v>0.54900000000000004</c:v>
                </c:pt>
                <c:pt idx="340">
                  <c:v>0.59499999999999997</c:v>
                </c:pt>
                <c:pt idx="341">
                  <c:v>0.35</c:v>
                </c:pt>
                <c:pt idx="342">
                  <c:v>0.41399999999999998</c:v>
                </c:pt>
                <c:pt idx="343">
                  <c:v>0.38500000000000001</c:v>
                </c:pt>
                <c:pt idx="344">
                  <c:v>0.48099999999999998</c:v>
                </c:pt>
                <c:pt idx="345">
                  <c:v>0.5</c:v>
                </c:pt>
                <c:pt idx="346">
                  <c:v>0.47399999999999998</c:v>
                </c:pt>
                <c:pt idx="347">
                  <c:v>0.40200000000000002</c:v>
                </c:pt>
                <c:pt idx="348">
                  <c:v>0.311</c:v>
                </c:pt>
                <c:pt idx="349">
                  <c:v>0.30299999999999999</c:v>
                </c:pt>
                <c:pt idx="350">
                  <c:v>0.35399999999999998</c:v>
                </c:pt>
                <c:pt idx="351">
                  <c:v>0.35899999999999999</c:v>
                </c:pt>
                <c:pt idx="352">
                  <c:v>0.45400000000000001</c:v>
                </c:pt>
                <c:pt idx="353">
                  <c:v>0.628</c:v>
                </c:pt>
                <c:pt idx="354">
                  <c:v>0.627</c:v>
                </c:pt>
                <c:pt idx="355">
                  <c:v>0.45700000000000002</c:v>
                </c:pt>
                <c:pt idx="356">
                  <c:v>0.45600000000000002</c:v>
                </c:pt>
                <c:pt idx="357">
                  <c:v>0.38600000000000001</c:v>
                </c:pt>
                <c:pt idx="358">
                  <c:v>0.40200000000000002</c:v>
                </c:pt>
                <c:pt idx="359">
                  <c:v>0.28599999999999998</c:v>
                </c:pt>
                <c:pt idx="360">
                  <c:v>0.372</c:v>
                </c:pt>
                <c:pt idx="361">
                  <c:v>0.375</c:v>
                </c:pt>
                <c:pt idx="362">
                  <c:v>0.55300000000000005</c:v>
                </c:pt>
                <c:pt idx="363">
                  <c:v>0.44500000000000001</c:v>
                </c:pt>
                <c:pt idx="364">
                  <c:v>0.54100000000000004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General</c:formatCode>
                <c:ptCount val="365"/>
                <c:pt idx="0">
                  <c:v>0.129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9.9000000000000005E-2</c:v>
                </c:pt>
                <c:pt idx="4">
                  <c:v>0.114</c:v>
                </c:pt>
                <c:pt idx="5">
                  <c:v>0.24099999999999999</c:v>
                </c:pt>
                <c:pt idx="6">
                  <c:v>0.20200000000000001</c:v>
                </c:pt>
                <c:pt idx="7">
                  <c:v>0.23899999999999999</c:v>
                </c:pt>
                <c:pt idx="8">
                  <c:v>8.2000000000000003E-2</c:v>
                </c:pt>
                <c:pt idx="9">
                  <c:v>4.2000000000000003E-2</c:v>
                </c:pt>
                <c:pt idx="10">
                  <c:v>6.7000000000000004E-2</c:v>
                </c:pt>
                <c:pt idx="11">
                  <c:v>0.159</c:v>
                </c:pt>
                <c:pt idx="12">
                  <c:v>0.316</c:v>
                </c:pt>
                <c:pt idx="13">
                  <c:v>0.56599999999999995</c:v>
                </c:pt>
                <c:pt idx="14">
                  <c:v>0.31</c:v>
                </c:pt>
                <c:pt idx="15">
                  <c:v>0.182</c:v>
                </c:pt>
                <c:pt idx="16">
                  <c:v>0.104</c:v>
                </c:pt>
                <c:pt idx="17">
                  <c:v>7.6999999999999999E-2</c:v>
                </c:pt>
                <c:pt idx="18">
                  <c:v>0.27100000000000002</c:v>
                </c:pt>
                <c:pt idx="19">
                  <c:v>0.124</c:v>
                </c:pt>
                <c:pt idx="20">
                  <c:v>9.0999999999999998E-2</c:v>
                </c:pt>
                <c:pt idx="21">
                  <c:v>0.04</c:v>
                </c:pt>
                <c:pt idx="22">
                  <c:v>4.2999999999999997E-2</c:v>
                </c:pt>
                <c:pt idx="23">
                  <c:v>0.38400000000000001</c:v>
                </c:pt>
                <c:pt idx="24">
                  <c:v>0.34599999999999997</c:v>
                </c:pt>
                <c:pt idx="25">
                  <c:v>0.92200000000000004</c:v>
                </c:pt>
                <c:pt idx="26">
                  <c:v>0.46600000000000003</c:v>
                </c:pt>
                <c:pt idx="27">
                  <c:v>0.35199999999999998</c:v>
                </c:pt>
                <c:pt idx="28">
                  <c:v>0.80500000000000005</c:v>
                </c:pt>
                <c:pt idx="29">
                  <c:v>0.61099999999999999</c:v>
                </c:pt>
                <c:pt idx="30">
                  <c:v>0.32600000000000001</c:v>
                </c:pt>
                <c:pt idx="31">
                  <c:v>0.125</c:v>
                </c:pt>
                <c:pt idx="32">
                  <c:v>0.33900000000000002</c:v>
                </c:pt>
                <c:pt idx="33">
                  <c:v>0.159</c:v>
                </c:pt>
                <c:pt idx="34">
                  <c:v>4.3999999999999997E-2</c:v>
                </c:pt>
                <c:pt idx="35">
                  <c:v>0.128</c:v>
                </c:pt>
                <c:pt idx="36">
                  <c:v>9.9000000000000005E-2</c:v>
                </c:pt>
                <c:pt idx="37">
                  <c:v>0.21099999999999999</c:v>
                </c:pt>
                <c:pt idx="38">
                  <c:v>4.7E-2</c:v>
                </c:pt>
                <c:pt idx="39">
                  <c:v>4.1000000000000002E-2</c:v>
                </c:pt>
                <c:pt idx="40">
                  <c:v>0.16900000000000001</c:v>
                </c:pt>
                <c:pt idx="41">
                  <c:v>9.4E-2</c:v>
                </c:pt>
                <c:pt idx="42">
                  <c:v>4.5999999999999999E-2</c:v>
                </c:pt>
                <c:pt idx="43">
                  <c:v>0.17799999999999999</c:v>
                </c:pt>
                <c:pt idx="44">
                  <c:v>0.20799999999999999</c:v>
                </c:pt>
                <c:pt idx="45">
                  <c:v>9.8000000000000004E-2</c:v>
                </c:pt>
                <c:pt idx="46">
                  <c:v>0.17599999999999999</c:v>
                </c:pt>
                <c:pt idx="47">
                  <c:v>5.5E-2</c:v>
                </c:pt>
                <c:pt idx="48">
                  <c:v>0.124</c:v>
                </c:pt>
                <c:pt idx="49">
                  <c:v>9.6000000000000002E-2</c:v>
                </c:pt>
                <c:pt idx="50">
                  <c:v>7.9000000000000001E-2</c:v>
                </c:pt>
                <c:pt idx="51">
                  <c:v>0.17699999999999999</c:v>
                </c:pt>
                <c:pt idx="52">
                  <c:v>6.0999999999999999E-2</c:v>
                </c:pt>
                <c:pt idx="53">
                  <c:v>8.6999999999999994E-2</c:v>
                </c:pt>
                <c:pt idx="54">
                  <c:v>0.113</c:v>
                </c:pt>
                <c:pt idx="55">
                  <c:v>5.8999999999999997E-2</c:v>
                </c:pt>
                <c:pt idx="56">
                  <c:v>0.187</c:v>
                </c:pt>
                <c:pt idx="57">
                  <c:v>0.30599999999999999</c:v>
                </c:pt>
                <c:pt idx="58">
                  <c:v>0.14699999999999999</c:v>
                </c:pt>
                <c:pt idx="59">
                  <c:v>0.215</c:v>
                </c:pt>
                <c:pt idx="60">
                  <c:v>0.13400000000000001</c:v>
                </c:pt>
                <c:pt idx="61">
                  <c:v>0.22500000000000001</c:v>
                </c:pt>
                <c:pt idx="62">
                  <c:v>0.31</c:v>
                </c:pt>
                <c:pt idx="63">
                  <c:v>0.30199999999999999</c:v>
                </c:pt>
                <c:pt idx="64">
                  <c:v>0.14799999999999999</c:v>
                </c:pt>
                <c:pt idx="65">
                  <c:v>0.33500000000000002</c:v>
                </c:pt>
                <c:pt idx="66">
                  <c:v>0.44700000000000001</c:v>
                </c:pt>
                <c:pt idx="67">
                  <c:v>0.31900000000000001</c:v>
                </c:pt>
                <c:pt idx="68">
                  <c:v>0.44900000000000001</c:v>
                </c:pt>
                <c:pt idx="69">
                  <c:v>0.25900000000000001</c:v>
                </c:pt>
                <c:pt idx="70">
                  <c:v>0.105</c:v>
                </c:pt>
                <c:pt idx="71">
                  <c:v>0.36</c:v>
                </c:pt>
                <c:pt idx="72">
                  <c:v>0.53200000000000003</c:v>
                </c:pt>
                <c:pt idx="73">
                  <c:v>0.61399999999999999</c:v>
                </c:pt>
                <c:pt idx="74">
                  <c:v>0.751</c:v>
                </c:pt>
                <c:pt idx="75">
                  <c:v>0.73499999999999999</c:v>
                </c:pt>
                <c:pt idx="76">
                  <c:v>1.321</c:v>
                </c:pt>
                <c:pt idx="77">
                  <c:v>1.4419999999999999</c:v>
                </c:pt>
                <c:pt idx="78">
                  <c:v>1.55</c:v>
                </c:pt>
                <c:pt idx="79">
                  <c:v>1.621</c:v>
                </c:pt>
                <c:pt idx="80">
                  <c:v>1.361</c:v>
                </c:pt>
                <c:pt idx="81">
                  <c:v>0.61699999999999999</c:v>
                </c:pt>
                <c:pt idx="82">
                  <c:v>0.61199999999999999</c:v>
                </c:pt>
                <c:pt idx="83">
                  <c:v>0.42499999999999999</c:v>
                </c:pt>
                <c:pt idx="84">
                  <c:v>0.441</c:v>
                </c:pt>
                <c:pt idx="85">
                  <c:v>0.57399999999999995</c:v>
                </c:pt>
                <c:pt idx="86">
                  <c:v>0.60599999999999998</c:v>
                </c:pt>
                <c:pt idx="87">
                  <c:v>0.752</c:v>
                </c:pt>
                <c:pt idx="88">
                  <c:v>0.93500000000000005</c:v>
                </c:pt>
                <c:pt idx="89">
                  <c:v>0.91400000000000003</c:v>
                </c:pt>
                <c:pt idx="90">
                  <c:v>0.79200000000000004</c:v>
                </c:pt>
                <c:pt idx="91">
                  <c:v>0.92</c:v>
                </c:pt>
                <c:pt idx="92">
                  <c:v>0.38300000000000001</c:v>
                </c:pt>
                <c:pt idx="93">
                  <c:v>0.60099999999999998</c:v>
                </c:pt>
                <c:pt idx="94">
                  <c:v>0.28199999999999997</c:v>
                </c:pt>
                <c:pt idx="95">
                  <c:v>0.22</c:v>
                </c:pt>
                <c:pt idx="96">
                  <c:v>0.628</c:v>
                </c:pt>
                <c:pt idx="97">
                  <c:v>0.39600000000000002</c:v>
                </c:pt>
                <c:pt idx="98">
                  <c:v>0.36899999999999999</c:v>
                </c:pt>
                <c:pt idx="99">
                  <c:v>0.28999999999999998</c:v>
                </c:pt>
                <c:pt idx="100">
                  <c:v>0.53700000000000003</c:v>
                </c:pt>
                <c:pt idx="101">
                  <c:v>0.46600000000000003</c:v>
                </c:pt>
                <c:pt idx="102">
                  <c:v>0.18</c:v>
                </c:pt>
                <c:pt idx="103">
                  <c:v>0.57999999999999996</c:v>
                </c:pt>
                <c:pt idx="104">
                  <c:v>0.64200000000000002</c:v>
                </c:pt>
                <c:pt idx="105">
                  <c:v>0.85199999999999998</c:v>
                </c:pt>
                <c:pt idx="106">
                  <c:v>0.70799999999999996</c:v>
                </c:pt>
                <c:pt idx="107">
                  <c:v>0.107</c:v>
                </c:pt>
                <c:pt idx="108">
                  <c:v>0.45700000000000002</c:v>
                </c:pt>
                <c:pt idx="109">
                  <c:v>0.55800000000000005</c:v>
                </c:pt>
                <c:pt idx="110">
                  <c:v>1.29</c:v>
                </c:pt>
                <c:pt idx="111">
                  <c:v>0.751</c:v>
                </c:pt>
                <c:pt idx="112">
                  <c:v>0.72499999999999998</c:v>
                </c:pt>
                <c:pt idx="113">
                  <c:v>0.66</c:v>
                </c:pt>
                <c:pt idx="114">
                  <c:v>1.08</c:v>
                </c:pt>
                <c:pt idx="115">
                  <c:v>0.93500000000000005</c:v>
                </c:pt>
                <c:pt idx="116">
                  <c:v>0.27700000000000002</c:v>
                </c:pt>
                <c:pt idx="117">
                  <c:v>0.55600000000000005</c:v>
                </c:pt>
                <c:pt idx="118">
                  <c:v>0.58299999999999996</c:v>
                </c:pt>
                <c:pt idx="119">
                  <c:v>0.63200000000000001</c:v>
                </c:pt>
                <c:pt idx="120">
                  <c:v>0.67700000000000005</c:v>
                </c:pt>
                <c:pt idx="121">
                  <c:v>0.69899999999999995</c:v>
                </c:pt>
                <c:pt idx="122">
                  <c:v>1.0149999999999999</c:v>
                </c:pt>
                <c:pt idx="123">
                  <c:v>0.93700000000000006</c:v>
                </c:pt>
                <c:pt idx="124">
                  <c:v>0.90600000000000003</c:v>
                </c:pt>
                <c:pt idx="125">
                  <c:v>1.0980000000000001</c:v>
                </c:pt>
                <c:pt idx="126">
                  <c:v>0.93600000000000005</c:v>
                </c:pt>
                <c:pt idx="127">
                  <c:v>0.96299999999999997</c:v>
                </c:pt>
                <c:pt idx="128">
                  <c:v>1.4159999999999999</c:v>
                </c:pt>
                <c:pt idx="129">
                  <c:v>1.4239999999999999</c:v>
                </c:pt>
                <c:pt idx="130">
                  <c:v>1.8120000000000001</c:v>
                </c:pt>
                <c:pt idx="131">
                  <c:v>1.8080000000000001</c:v>
                </c:pt>
                <c:pt idx="132">
                  <c:v>1.4139999999999999</c:v>
                </c:pt>
                <c:pt idx="133">
                  <c:v>0.877</c:v>
                </c:pt>
                <c:pt idx="134">
                  <c:v>0.95899999999999996</c:v>
                </c:pt>
                <c:pt idx="135">
                  <c:v>0.36199999999999999</c:v>
                </c:pt>
                <c:pt idx="136">
                  <c:v>0.32</c:v>
                </c:pt>
                <c:pt idx="137">
                  <c:v>0.47699999999999998</c:v>
                </c:pt>
                <c:pt idx="138">
                  <c:v>0.629</c:v>
                </c:pt>
                <c:pt idx="139">
                  <c:v>0.80200000000000005</c:v>
                </c:pt>
                <c:pt idx="140">
                  <c:v>0.58399999999999996</c:v>
                </c:pt>
                <c:pt idx="141">
                  <c:v>1.0109999999999999</c:v>
                </c:pt>
                <c:pt idx="142">
                  <c:v>0.93100000000000005</c:v>
                </c:pt>
                <c:pt idx="143">
                  <c:v>0.89</c:v>
                </c:pt>
                <c:pt idx="144">
                  <c:v>0.20699999999999999</c:v>
                </c:pt>
                <c:pt idx="145">
                  <c:v>0.76600000000000001</c:v>
                </c:pt>
                <c:pt idx="146">
                  <c:v>1.518</c:v>
                </c:pt>
                <c:pt idx="147">
                  <c:v>2.09</c:v>
                </c:pt>
                <c:pt idx="148">
                  <c:v>1.9910000000000001</c:v>
                </c:pt>
                <c:pt idx="149">
                  <c:v>1.536</c:v>
                </c:pt>
                <c:pt idx="150">
                  <c:v>1.478</c:v>
                </c:pt>
                <c:pt idx="151">
                  <c:v>2.2309999999999999</c:v>
                </c:pt>
                <c:pt idx="152">
                  <c:v>2.4489999999999998</c:v>
                </c:pt>
                <c:pt idx="153">
                  <c:v>1.4730000000000001</c:v>
                </c:pt>
                <c:pt idx="154">
                  <c:v>1.4650000000000001</c:v>
                </c:pt>
                <c:pt idx="155">
                  <c:v>1.0509999999999999</c:v>
                </c:pt>
                <c:pt idx="156">
                  <c:v>0.70399999999999996</c:v>
                </c:pt>
                <c:pt idx="157">
                  <c:v>0.54500000000000004</c:v>
                </c:pt>
                <c:pt idx="158">
                  <c:v>0.65800000000000003</c:v>
                </c:pt>
                <c:pt idx="159">
                  <c:v>1.409</c:v>
                </c:pt>
                <c:pt idx="160">
                  <c:v>0.7</c:v>
                </c:pt>
                <c:pt idx="161">
                  <c:v>1.2989999999999999</c:v>
                </c:pt>
                <c:pt idx="162">
                  <c:v>2.0840000000000001</c:v>
                </c:pt>
                <c:pt idx="163">
                  <c:v>1.9370000000000001</c:v>
                </c:pt>
                <c:pt idx="164">
                  <c:v>1.7010000000000001</c:v>
                </c:pt>
                <c:pt idx="165">
                  <c:v>1.895</c:v>
                </c:pt>
                <c:pt idx="166">
                  <c:v>1.766</c:v>
                </c:pt>
                <c:pt idx="167">
                  <c:v>1.974</c:v>
                </c:pt>
                <c:pt idx="168">
                  <c:v>1.552</c:v>
                </c:pt>
                <c:pt idx="169">
                  <c:v>0.53400000000000003</c:v>
                </c:pt>
                <c:pt idx="170">
                  <c:v>0.17799999999999999</c:v>
                </c:pt>
                <c:pt idx="171">
                  <c:v>0.94</c:v>
                </c:pt>
                <c:pt idx="172">
                  <c:v>0.95499999999999996</c:v>
                </c:pt>
                <c:pt idx="173">
                  <c:v>1.0740000000000001</c:v>
                </c:pt>
                <c:pt idx="174">
                  <c:v>0.68600000000000005</c:v>
                </c:pt>
                <c:pt idx="175">
                  <c:v>0.96</c:v>
                </c:pt>
                <c:pt idx="176">
                  <c:v>1.3049999999999999</c:v>
                </c:pt>
                <c:pt idx="177">
                  <c:v>1.01</c:v>
                </c:pt>
                <c:pt idx="178">
                  <c:v>0.878</c:v>
                </c:pt>
                <c:pt idx="179">
                  <c:v>0.84199999999999997</c:v>
                </c:pt>
                <c:pt idx="180">
                  <c:v>1.4359999999999999</c:v>
                </c:pt>
                <c:pt idx="181">
                  <c:v>1.845</c:v>
                </c:pt>
                <c:pt idx="182">
                  <c:v>0.998</c:v>
                </c:pt>
                <c:pt idx="183">
                  <c:v>1.532</c:v>
                </c:pt>
                <c:pt idx="184">
                  <c:v>0.84899999999999998</c:v>
                </c:pt>
                <c:pt idx="185">
                  <c:v>0.83199999999999996</c:v>
                </c:pt>
                <c:pt idx="186">
                  <c:v>0.77800000000000002</c:v>
                </c:pt>
                <c:pt idx="187">
                  <c:v>0.92300000000000004</c:v>
                </c:pt>
                <c:pt idx="188">
                  <c:v>0.95299999999999996</c:v>
                </c:pt>
                <c:pt idx="189">
                  <c:v>1.4970000000000001</c:v>
                </c:pt>
                <c:pt idx="190">
                  <c:v>1.1180000000000001</c:v>
                </c:pt>
                <c:pt idx="191">
                  <c:v>1.042</c:v>
                </c:pt>
                <c:pt idx="192">
                  <c:v>1.1990000000000001</c:v>
                </c:pt>
                <c:pt idx="193">
                  <c:v>1.4350000000000001</c:v>
                </c:pt>
                <c:pt idx="194">
                  <c:v>1.2190000000000001</c:v>
                </c:pt>
                <c:pt idx="195">
                  <c:v>1.331</c:v>
                </c:pt>
                <c:pt idx="196">
                  <c:v>1.4279999999999999</c:v>
                </c:pt>
                <c:pt idx="197">
                  <c:v>0.61899999999999999</c:v>
                </c:pt>
                <c:pt idx="198">
                  <c:v>0.77200000000000002</c:v>
                </c:pt>
                <c:pt idx="199">
                  <c:v>0.70099999999999996</c:v>
                </c:pt>
                <c:pt idx="200">
                  <c:v>0.80900000000000005</c:v>
                </c:pt>
                <c:pt idx="201">
                  <c:v>2.0710000000000002</c:v>
                </c:pt>
                <c:pt idx="202">
                  <c:v>2.4849999999999999</c:v>
                </c:pt>
                <c:pt idx="203">
                  <c:v>1.9379999999999999</c:v>
                </c:pt>
                <c:pt idx="204">
                  <c:v>0.86199999999999999</c:v>
                </c:pt>
                <c:pt idx="205">
                  <c:v>1.581</c:v>
                </c:pt>
                <c:pt idx="206">
                  <c:v>2.556</c:v>
                </c:pt>
                <c:pt idx="207">
                  <c:v>1.3109999999999999</c:v>
                </c:pt>
                <c:pt idx="208">
                  <c:v>1.4610000000000001</c:v>
                </c:pt>
                <c:pt idx="209">
                  <c:v>2.2650000000000001</c:v>
                </c:pt>
                <c:pt idx="210">
                  <c:v>1.8680000000000001</c:v>
                </c:pt>
                <c:pt idx="211">
                  <c:v>1.8320000000000001</c:v>
                </c:pt>
                <c:pt idx="212">
                  <c:v>2.161</c:v>
                </c:pt>
                <c:pt idx="213">
                  <c:v>1.597</c:v>
                </c:pt>
                <c:pt idx="214">
                  <c:v>1.2629999999999999</c:v>
                </c:pt>
                <c:pt idx="215">
                  <c:v>1.8080000000000001</c:v>
                </c:pt>
                <c:pt idx="216">
                  <c:v>2.2490000000000001</c:v>
                </c:pt>
                <c:pt idx="217">
                  <c:v>3.2509999999999999</c:v>
                </c:pt>
                <c:pt idx="218">
                  <c:v>3.2309999999999999</c:v>
                </c:pt>
                <c:pt idx="219">
                  <c:v>2.952</c:v>
                </c:pt>
                <c:pt idx="220">
                  <c:v>2.048</c:v>
                </c:pt>
                <c:pt idx="221">
                  <c:v>1.0820000000000001</c:v>
                </c:pt>
                <c:pt idx="222">
                  <c:v>0.379</c:v>
                </c:pt>
                <c:pt idx="223">
                  <c:v>1.4330000000000001</c:v>
                </c:pt>
                <c:pt idx="224">
                  <c:v>1.2749999999999999</c:v>
                </c:pt>
                <c:pt idx="225">
                  <c:v>1.5369999999999999</c:v>
                </c:pt>
                <c:pt idx="226">
                  <c:v>1.6</c:v>
                </c:pt>
                <c:pt idx="227">
                  <c:v>0.79300000000000004</c:v>
                </c:pt>
                <c:pt idx="228">
                  <c:v>1.2110000000000001</c:v>
                </c:pt>
                <c:pt idx="229">
                  <c:v>1.835</c:v>
                </c:pt>
                <c:pt idx="230">
                  <c:v>1.7749999999999999</c:v>
                </c:pt>
                <c:pt idx="231">
                  <c:v>2.2770000000000001</c:v>
                </c:pt>
                <c:pt idx="232">
                  <c:v>1.71</c:v>
                </c:pt>
                <c:pt idx="233">
                  <c:v>1.2330000000000001</c:v>
                </c:pt>
                <c:pt idx="234">
                  <c:v>0.92400000000000004</c:v>
                </c:pt>
                <c:pt idx="235">
                  <c:v>1.0529999999999999</c:v>
                </c:pt>
                <c:pt idx="236">
                  <c:v>0.70099999999999996</c:v>
                </c:pt>
                <c:pt idx="237">
                  <c:v>0.99399999999999999</c:v>
                </c:pt>
                <c:pt idx="238">
                  <c:v>2.0350000000000001</c:v>
                </c:pt>
                <c:pt idx="239">
                  <c:v>1.99</c:v>
                </c:pt>
                <c:pt idx="240">
                  <c:v>2.714</c:v>
                </c:pt>
                <c:pt idx="241">
                  <c:v>1.613</c:v>
                </c:pt>
                <c:pt idx="242">
                  <c:v>1.64</c:v>
                </c:pt>
                <c:pt idx="243">
                  <c:v>1.5229999999999999</c:v>
                </c:pt>
                <c:pt idx="244">
                  <c:v>1.419</c:v>
                </c:pt>
                <c:pt idx="245">
                  <c:v>2.2090000000000001</c:v>
                </c:pt>
                <c:pt idx="246">
                  <c:v>1.587</c:v>
                </c:pt>
                <c:pt idx="247">
                  <c:v>2.0590000000000002</c:v>
                </c:pt>
                <c:pt idx="248">
                  <c:v>1.9730000000000001</c:v>
                </c:pt>
                <c:pt idx="249">
                  <c:v>1.603</c:v>
                </c:pt>
                <c:pt idx="250">
                  <c:v>0.314</c:v>
                </c:pt>
                <c:pt idx="251">
                  <c:v>0.74099999999999999</c:v>
                </c:pt>
                <c:pt idx="252">
                  <c:v>0.626</c:v>
                </c:pt>
                <c:pt idx="253">
                  <c:v>0.745</c:v>
                </c:pt>
                <c:pt idx="254">
                  <c:v>0.98499999999999999</c:v>
                </c:pt>
                <c:pt idx="255">
                  <c:v>0.60099999999999998</c:v>
                </c:pt>
                <c:pt idx="256">
                  <c:v>0.40600000000000003</c:v>
                </c:pt>
                <c:pt idx="257">
                  <c:v>0.14399999999999999</c:v>
                </c:pt>
                <c:pt idx="258">
                  <c:v>0.499</c:v>
                </c:pt>
                <c:pt idx="259">
                  <c:v>0.34200000000000003</c:v>
                </c:pt>
                <c:pt idx="260">
                  <c:v>0.214</c:v>
                </c:pt>
                <c:pt idx="261">
                  <c:v>0.57399999999999995</c:v>
                </c:pt>
                <c:pt idx="262">
                  <c:v>0.54200000000000004</c:v>
                </c:pt>
                <c:pt idx="263">
                  <c:v>0.96899999999999997</c:v>
                </c:pt>
                <c:pt idx="264">
                  <c:v>0.32800000000000001</c:v>
                </c:pt>
                <c:pt idx="265">
                  <c:v>0.23</c:v>
                </c:pt>
                <c:pt idx="266">
                  <c:v>0.56899999999999995</c:v>
                </c:pt>
                <c:pt idx="267">
                  <c:v>0.60499999999999998</c:v>
                </c:pt>
                <c:pt idx="268">
                  <c:v>0.39300000000000002</c:v>
                </c:pt>
                <c:pt idx="269">
                  <c:v>0.26500000000000001</c:v>
                </c:pt>
                <c:pt idx="270">
                  <c:v>0.153</c:v>
                </c:pt>
                <c:pt idx="271">
                  <c:v>0.16200000000000001</c:v>
                </c:pt>
                <c:pt idx="272">
                  <c:v>0.46</c:v>
                </c:pt>
                <c:pt idx="273">
                  <c:v>0.65200000000000002</c:v>
                </c:pt>
                <c:pt idx="274">
                  <c:v>0.29099999999999998</c:v>
                </c:pt>
                <c:pt idx="275">
                  <c:v>0.32200000000000001</c:v>
                </c:pt>
                <c:pt idx="276">
                  <c:v>0.45500000000000002</c:v>
                </c:pt>
                <c:pt idx="277">
                  <c:v>0.46600000000000003</c:v>
                </c:pt>
                <c:pt idx="278">
                  <c:v>0.55300000000000005</c:v>
                </c:pt>
                <c:pt idx="279">
                  <c:v>0.34699999999999998</c:v>
                </c:pt>
                <c:pt idx="280">
                  <c:v>0.192</c:v>
                </c:pt>
                <c:pt idx="281">
                  <c:v>0.26200000000000001</c:v>
                </c:pt>
                <c:pt idx="282">
                  <c:v>0.63700000000000001</c:v>
                </c:pt>
                <c:pt idx="283">
                  <c:v>0.54100000000000004</c:v>
                </c:pt>
                <c:pt idx="284">
                  <c:v>0.58899999999999997</c:v>
                </c:pt>
                <c:pt idx="285">
                  <c:v>0.192</c:v>
                </c:pt>
                <c:pt idx="286">
                  <c:v>0.48299999999999998</c:v>
                </c:pt>
                <c:pt idx="287">
                  <c:v>0.20100000000000001</c:v>
                </c:pt>
                <c:pt idx="288">
                  <c:v>0.51600000000000001</c:v>
                </c:pt>
                <c:pt idx="289">
                  <c:v>0.36099999999999999</c:v>
                </c:pt>
                <c:pt idx="290">
                  <c:v>0.26300000000000001</c:v>
                </c:pt>
                <c:pt idx="291">
                  <c:v>0.23599999999999999</c:v>
                </c:pt>
                <c:pt idx="292">
                  <c:v>0.27100000000000002</c:v>
                </c:pt>
                <c:pt idx="293">
                  <c:v>4.8000000000000001E-2</c:v>
                </c:pt>
                <c:pt idx="294">
                  <c:v>0.39800000000000002</c:v>
                </c:pt>
                <c:pt idx="295">
                  <c:v>0.38800000000000001</c:v>
                </c:pt>
                <c:pt idx="296">
                  <c:v>0.57399999999999995</c:v>
                </c:pt>
                <c:pt idx="297">
                  <c:v>0.44900000000000001</c:v>
                </c:pt>
                <c:pt idx="298">
                  <c:v>0.23200000000000001</c:v>
                </c:pt>
                <c:pt idx="299">
                  <c:v>0.35</c:v>
                </c:pt>
                <c:pt idx="300">
                  <c:v>0.36899999999999999</c:v>
                </c:pt>
                <c:pt idx="301">
                  <c:v>0.42899999999999999</c:v>
                </c:pt>
                <c:pt idx="302">
                  <c:v>0.54600000000000004</c:v>
                </c:pt>
                <c:pt idx="303">
                  <c:v>0.42099999999999999</c:v>
                </c:pt>
                <c:pt idx="304">
                  <c:v>0.71699999999999997</c:v>
                </c:pt>
                <c:pt idx="305">
                  <c:v>0.56899999999999995</c:v>
                </c:pt>
                <c:pt idx="306">
                  <c:v>0.36599999999999999</c:v>
                </c:pt>
                <c:pt idx="307">
                  <c:v>0.58899999999999997</c:v>
                </c:pt>
                <c:pt idx="308">
                  <c:v>0.49199999999999999</c:v>
                </c:pt>
                <c:pt idx="309">
                  <c:v>0.41199999999999998</c:v>
                </c:pt>
                <c:pt idx="310">
                  <c:v>0.36799999999999999</c:v>
                </c:pt>
                <c:pt idx="311">
                  <c:v>0.17100000000000001</c:v>
                </c:pt>
                <c:pt idx="312">
                  <c:v>0.29499999999999998</c:v>
                </c:pt>
                <c:pt idx="313">
                  <c:v>0.25600000000000001</c:v>
                </c:pt>
                <c:pt idx="314">
                  <c:v>0.183</c:v>
                </c:pt>
                <c:pt idx="315">
                  <c:v>0.161</c:v>
                </c:pt>
                <c:pt idx="316">
                  <c:v>0.34799999999999998</c:v>
                </c:pt>
                <c:pt idx="317">
                  <c:v>9.7000000000000003E-2</c:v>
                </c:pt>
                <c:pt idx="318">
                  <c:v>7.0000000000000007E-2</c:v>
                </c:pt>
                <c:pt idx="319">
                  <c:v>0.1</c:v>
                </c:pt>
                <c:pt idx="320">
                  <c:v>0.28299999999999997</c:v>
                </c:pt>
                <c:pt idx="321">
                  <c:v>0.35499999999999998</c:v>
                </c:pt>
                <c:pt idx="322">
                  <c:v>5.3999999999999999E-2</c:v>
                </c:pt>
                <c:pt idx="323">
                  <c:v>0.28299999999999997</c:v>
                </c:pt>
                <c:pt idx="324">
                  <c:v>0.56699999999999995</c:v>
                </c:pt>
                <c:pt idx="325">
                  <c:v>0.83</c:v>
                </c:pt>
                <c:pt idx="326">
                  <c:v>0.17699999999999999</c:v>
                </c:pt>
                <c:pt idx="327">
                  <c:v>0.26</c:v>
                </c:pt>
                <c:pt idx="328">
                  <c:v>0.158</c:v>
                </c:pt>
                <c:pt idx="329">
                  <c:v>0.193</c:v>
                </c:pt>
                <c:pt idx="330">
                  <c:v>0.16300000000000001</c:v>
                </c:pt>
                <c:pt idx="331">
                  <c:v>0.17699999999999999</c:v>
                </c:pt>
                <c:pt idx="332">
                  <c:v>0.20499999999999999</c:v>
                </c:pt>
                <c:pt idx="333">
                  <c:v>0.28499999999999998</c:v>
                </c:pt>
                <c:pt idx="334">
                  <c:v>7.3999999999999996E-2</c:v>
                </c:pt>
                <c:pt idx="335">
                  <c:v>8.8999999999999996E-2</c:v>
                </c:pt>
                <c:pt idx="336">
                  <c:v>0.30499999999999999</c:v>
                </c:pt>
                <c:pt idx="337">
                  <c:v>0.13800000000000001</c:v>
                </c:pt>
                <c:pt idx="338">
                  <c:v>0.20399999999999999</c:v>
                </c:pt>
                <c:pt idx="339">
                  <c:v>1.4999999999999999E-2</c:v>
                </c:pt>
                <c:pt idx="340">
                  <c:v>1.7000000000000001E-2</c:v>
                </c:pt>
                <c:pt idx="341">
                  <c:v>0.157</c:v>
                </c:pt>
                <c:pt idx="342">
                  <c:v>0.38200000000000001</c:v>
                </c:pt>
                <c:pt idx="343">
                  <c:v>9.8000000000000004E-2</c:v>
                </c:pt>
                <c:pt idx="344">
                  <c:v>5.8000000000000003E-2</c:v>
                </c:pt>
                <c:pt idx="345">
                  <c:v>3.9E-2</c:v>
                </c:pt>
                <c:pt idx="346">
                  <c:v>0.11899999999999999</c:v>
                </c:pt>
                <c:pt idx="347">
                  <c:v>9.9000000000000005E-2</c:v>
                </c:pt>
                <c:pt idx="348">
                  <c:v>0.126</c:v>
                </c:pt>
                <c:pt idx="349">
                  <c:v>5.6000000000000001E-2</c:v>
                </c:pt>
                <c:pt idx="350">
                  <c:v>2.5000000000000001E-2</c:v>
                </c:pt>
                <c:pt idx="351">
                  <c:v>2.5000000000000001E-2</c:v>
                </c:pt>
                <c:pt idx="352">
                  <c:v>3.3000000000000002E-2</c:v>
                </c:pt>
                <c:pt idx="353">
                  <c:v>2.3E-2</c:v>
                </c:pt>
                <c:pt idx="354">
                  <c:v>0.04</c:v>
                </c:pt>
                <c:pt idx="355">
                  <c:v>7.1999999999999995E-2</c:v>
                </c:pt>
                <c:pt idx="356">
                  <c:v>0.24</c:v>
                </c:pt>
                <c:pt idx="357">
                  <c:v>0.14599999999999999</c:v>
                </c:pt>
                <c:pt idx="358">
                  <c:v>0.23100000000000001</c:v>
                </c:pt>
                <c:pt idx="359">
                  <c:v>0.108</c:v>
                </c:pt>
                <c:pt idx="360">
                  <c:v>4.5999999999999999E-2</c:v>
                </c:pt>
                <c:pt idx="361">
                  <c:v>4.8000000000000001E-2</c:v>
                </c:pt>
                <c:pt idx="362">
                  <c:v>0.13500000000000001</c:v>
                </c:pt>
                <c:pt idx="363">
                  <c:v>0.04</c:v>
                </c:pt>
                <c:pt idx="364">
                  <c:v>3.5999999999999997E-2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46816"/>
        <c:axId val="142548352"/>
      </c:lineChart>
      <c:catAx>
        <c:axId val="14254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2548352"/>
        <c:crosses val="autoZero"/>
        <c:auto val="1"/>
        <c:lblAlgn val="ctr"/>
        <c:lblOffset val="100"/>
        <c:noMultiLvlLbl val="0"/>
      </c:catAx>
      <c:valAx>
        <c:axId val="142548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54681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Data!$AW$6:$AW$370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0.99</c:v>
                </c:pt>
                <c:pt idx="7">
                  <c:v>3.96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3.74</c:v>
                </c:pt>
                <c:pt idx="17">
                  <c:v>2.2000000000000002</c:v>
                </c:pt>
                <c:pt idx="18">
                  <c:v>2.42</c:v>
                </c:pt>
                <c:pt idx="19">
                  <c:v>0</c:v>
                </c:pt>
                <c:pt idx="20">
                  <c:v>0</c:v>
                </c:pt>
                <c:pt idx="21">
                  <c:v>9.9</c:v>
                </c:pt>
                <c:pt idx="22">
                  <c:v>8.69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3.08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2.09</c:v>
                </c:pt>
                <c:pt idx="38">
                  <c:v>5.94</c:v>
                </c:pt>
                <c:pt idx="39">
                  <c:v>0</c:v>
                </c:pt>
                <c:pt idx="40">
                  <c:v>0.55000000000000004</c:v>
                </c:pt>
                <c:pt idx="41">
                  <c:v>0</c:v>
                </c:pt>
                <c:pt idx="42">
                  <c:v>7.37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2.86</c:v>
                </c:pt>
                <c:pt idx="46">
                  <c:v>0</c:v>
                </c:pt>
                <c:pt idx="47">
                  <c:v>6.05</c:v>
                </c:pt>
                <c:pt idx="48">
                  <c:v>0</c:v>
                </c:pt>
                <c:pt idx="49">
                  <c:v>9.9</c:v>
                </c:pt>
                <c:pt idx="50">
                  <c:v>2.09</c:v>
                </c:pt>
                <c:pt idx="51">
                  <c:v>1.98</c:v>
                </c:pt>
                <c:pt idx="52">
                  <c:v>10.89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8.4700000000000006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1.87</c:v>
                </c:pt>
                <c:pt idx="64">
                  <c:v>4.4000000000000004</c:v>
                </c:pt>
                <c:pt idx="65">
                  <c:v>7.48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4.07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2</c:v>
                </c:pt>
                <c:pt idx="84">
                  <c:v>9.92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2.86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8.48</c:v>
                </c:pt>
                <c:pt idx="95">
                  <c:v>0</c:v>
                </c:pt>
                <c:pt idx="96">
                  <c:v>1.76</c:v>
                </c:pt>
                <c:pt idx="97">
                  <c:v>2</c:v>
                </c:pt>
                <c:pt idx="98">
                  <c:v>1</c:v>
                </c:pt>
                <c:pt idx="99">
                  <c:v>6.49</c:v>
                </c:pt>
                <c:pt idx="100">
                  <c:v>0</c:v>
                </c:pt>
                <c:pt idx="101">
                  <c:v>0</c:v>
                </c:pt>
                <c:pt idx="102">
                  <c:v>7.62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16</c:v>
                </c:pt>
                <c:pt idx="108">
                  <c:v>8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4.51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9.6519999999999992</c:v>
                </c:pt>
                <c:pt idx="134">
                  <c:v>0</c:v>
                </c:pt>
                <c:pt idx="135">
                  <c:v>5.08</c:v>
                </c:pt>
                <c:pt idx="136">
                  <c:v>4.8259999999999996</c:v>
                </c:pt>
                <c:pt idx="137">
                  <c:v>0.50800000000000001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3.556</c:v>
                </c:pt>
                <c:pt idx="144">
                  <c:v>3.81</c:v>
                </c:pt>
                <c:pt idx="145">
                  <c:v>0.254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5.08</c:v>
                </c:pt>
                <c:pt idx="150">
                  <c:v>4.3179999999999996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7.62</c:v>
                </c:pt>
                <c:pt idx="156">
                  <c:v>0.254</c:v>
                </c:pt>
                <c:pt idx="157">
                  <c:v>2.54</c:v>
                </c:pt>
                <c:pt idx="158">
                  <c:v>6.8579999999999997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6.6040000000000001</c:v>
                </c:pt>
                <c:pt idx="170">
                  <c:v>18.795999999999999</c:v>
                </c:pt>
                <c:pt idx="171">
                  <c:v>0</c:v>
                </c:pt>
                <c:pt idx="172">
                  <c:v>0</c:v>
                </c:pt>
                <c:pt idx="173">
                  <c:v>2.286</c:v>
                </c:pt>
                <c:pt idx="174">
                  <c:v>5.8419999999999996</c:v>
                </c:pt>
                <c:pt idx="175">
                  <c:v>0.50800000000000001</c:v>
                </c:pt>
                <c:pt idx="176">
                  <c:v>5.5880000000000001</c:v>
                </c:pt>
                <c:pt idx="177">
                  <c:v>11.938000000000001</c:v>
                </c:pt>
                <c:pt idx="178">
                  <c:v>1.27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28.956</c:v>
                </c:pt>
                <c:pt idx="186">
                  <c:v>2.286</c:v>
                </c:pt>
                <c:pt idx="187">
                  <c:v>0</c:v>
                </c:pt>
                <c:pt idx="188">
                  <c:v>2.286</c:v>
                </c:pt>
                <c:pt idx="189">
                  <c:v>0</c:v>
                </c:pt>
                <c:pt idx="190">
                  <c:v>10.16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0.254</c:v>
                </c:pt>
                <c:pt idx="196">
                  <c:v>0.254</c:v>
                </c:pt>
                <c:pt idx="197">
                  <c:v>5.3339999999999996</c:v>
                </c:pt>
                <c:pt idx="198">
                  <c:v>0.76200000000000001</c:v>
                </c:pt>
                <c:pt idx="199">
                  <c:v>0.76200000000000001</c:v>
                </c:pt>
                <c:pt idx="200">
                  <c:v>1.016</c:v>
                </c:pt>
                <c:pt idx="201">
                  <c:v>0</c:v>
                </c:pt>
                <c:pt idx="202">
                  <c:v>0.50800000000000001</c:v>
                </c:pt>
                <c:pt idx="203">
                  <c:v>2.54</c:v>
                </c:pt>
                <c:pt idx="204">
                  <c:v>2.286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23.114000000000001</c:v>
                </c:pt>
                <c:pt idx="222">
                  <c:v>8.6359999999999992</c:v>
                </c:pt>
                <c:pt idx="223">
                  <c:v>0.254</c:v>
                </c:pt>
                <c:pt idx="224">
                  <c:v>5.5880000000000001</c:v>
                </c:pt>
                <c:pt idx="225">
                  <c:v>0</c:v>
                </c:pt>
                <c:pt idx="226">
                  <c:v>0</c:v>
                </c:pt>
                <c:pt idx="227">
                  <c:v>0.254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0.50800000000000001</c:v>
                </c:pt>
                <c:pt idx="233">
                  <c:v>0</c:v>
                </c:pt>
                <c:pt idx="234">
                  <c:v>1.016</c:v>
                </c:pt>
                <c:pt idx="235">
                  <c:v>0</c:v>
                </c:pt>
                <c:pt idx="236">
                  <c:v>7.8739999999999997</c:v>
                </c:pt>
                <c:pt idx="237">
                  <c:v>0.254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1.016</c:v>
                </c:pt>
                <c:pt idx="243">
                  <c:v>0.254</c:v>
                </c:pt>
                <c:pt idx="244">
                  <c:v>0</c:v>
                </c:pt>
                <c:pt idx="245">
                  <c:v>5.08</c:v>
                </c:pt>
                <c:pt idx="246">
                  <c:v>0.254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8.89</c:v>
                </c:pt>
                <c:pt idx="251">
                  <c:v>5.3339999999999996</c:v>
                </c:pt>
                <c:pt idx="252">
                  <c:v>7.8739999999999997</c:v>
                </c:pt>
                <c:pt idx="253">
                  <c:v>3.556</c:v>
                </c:pt>
                <c:pt idx="254">
                  <c:v>0.50800000000000001</c:v>
                </c:pt>
                <c:pt idx="255">
                  <c:v>1.524</c:v>
                </c:pt>
                <c:pt idx="256">
                  <c:v>1.27</c:v>
                </c:pt>
                <c:pt idx="257">
                  <c:v>22.86</c:v>
                </c:pt>
                <c:pt idx="258">
                  <c:v>2.032</c:v>
                </c:pt>
                <c:pt idx="259">
                  <c:v>6.6040000000000001</c:v>
                </c:pt>
                <c:pt idx="260">
                  <c:v>3.81</c:v>
                </c:pt>
                <c:pt idx="261">
                  <c:v>1.016</c:v>
                </c:pt>
                <c:pt idx="262">
                  <c:v>3.302</c:v>
                </c:pt>
                <c:pt idx="263">
                  <c:v>0</c:v>
                </c:pt>
                <c:pt idx="264">
                  <c:v>9.6519999999999992</c:v>
                </c:pt>
                <c:pt idx="265">
                  <c:v>5.08</c:v>
                </c:pt>
                <c:pt idx="266">
                  <c:v>0.254</c:v>
                </c:pt>
                <c:pt idx="267">
                  <c:v>0</c:v>
                </c:pt>
                <c:pt idx="268">
                  <c:v>20.32</c:v>
                </c:pt>
                <c:pt idx="269">
                  <c:v>13.382</c:v>
                </c:pt>
                <c:pt idx="270">
                  <c:v>11.654999999999999</c:v>
                </c:pt>
                <c:pt idx="271">
                  <c:v>2.415</c:v>
                </c:pt>
                <c:pt idx="272">
                  <c:v>0</c:v>
                </c:pt>
                <c:pt idx="273" formatCode="0.0">
                  <c:v>0</c:v>
                </c:pt>
                <c:pt idx="274" formatCode="0.0">
                  <c:v>0</c:v>
                </c:pt>
                <c:pt idx="275" formatCode="0.0">
                  <c:v>0</c:v>
                </c:pt>
                <c:pt idx="276" formatCode="0.0">
                  <c:v>1</c:v>
                </c:pt>
                <c:pt idx="277" formatCode="0.0">
                  <c:v>3</c:v>
                </c:pt>
                <c:pt idx="278" formatCode="0.0">
                  <c:v>1</c:v>
                </c:pt>
                <c:pt idx="279">
                  <c:v>4.8259999999999996</c:v>
                </c:pt>
                <c:pt idx="280">
                  <c:v>4</c:v>
                </c:pt>
                <c:pt idx="281">
                  <c:v>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0.50800000000000001</c:v>
                </c:pt>
                <c:pt idx="289">
                  <c:v>9</c:v>
                </c:pt>
                <c:pt idx="290">
                  <c:v>0</c:v>
                </c:pt>
                <c:pt idx="291">
                  <c:v>0</c:v>
                </c:pt>
                <c:pt idx="292">
                  <c:v>7.28</c:v>
                </c:pt>
                <c:pt idx="293">
                  <c:v>9.02</c:v>
                </c:pt>
                <c:pt idx="294">
                  <c:v>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 formatCode="0.0">
                  <c:v>0</c:v>
                </c:pt>
                <c:pt idx="301" formatCode="0.0">
                  <c:v>0</c:v>
                </c:pt>
                <c:pt idx="302" formatCode="0.0">
                  <c:v>0</c:v>
                </c:pt>
                <c:pt idx="303" formatCode="0.0">
                  <c:v>0</c:v>
                </c:pt>
                <c:pt idx="304" formatCode="0.0">
                  <c:v>0</c:v>
                </c:pt>
                <c:pt idx="305" formatCode="0.0">
                  <c:v>0.254</c:v>
                </c:pt>
                <c:pt idx="306" formatCode="0.0">
                  <c:v>0</c:v>
                </c:pt>
                <c:pt idx="307" formatCode="0.0">
                  <c:v>0</c:v>
                </c:pt>
                <c:pt idx="308" formatCode="0.0">
                  <c:v>0</c:v>
                </c:pt>
                <c:pt idx="309" formatCode="0.0">
                  <c:v>0</c:v>
                </c:pt>
                <c:pt idx="310" formatCode="0.0">
                  <c:v>0</c:v>
                </c:pt>
                <c:pt idx="311" formatCode="0.0">
                  <c:v>0</c:v>
                </c:pt>
                <c:pt idx="312" formatCode="0.0">
                  <c:v>1</c:v>
                </c:pt>
                <c:pt idx="313" formatCode="0.0">
                  <c:v>0</c:v>
                </c:pt>
                <c:pt idx="314" formatCode="0.0">
                  <c:v>0</c:v>
                </c:pt>
                <c:pt idx="315" formatCode="0.0">
                  <c:v>3.08</c:v>
                </c:pt>
                <c:pt idx="316" formatCode="0.0">
                  <c:v>0</c:v>
                </c:pt>
                <c:pt idx="317" formatCode="0.0">
                  <c:v>0</c:v>
                </c:pt>
                <c:pt idx="318" formatCode="0.0">
                  <c:v>0</c:v>
                </c:pt>
                <c:pt idx="319" formatCode="0.0">
                  <c:v>8.25</c:v>
                </c:pt>
                <c:pt idx="320" formatCode="0.0">
                  <c:v>0</c:v>
                </c:pt>
                <c:pt idx="321" formatCode="0.0">
                  <c:v>3.08</c:v>
                </c:pt>
                <c:pt idx="322" formatCode="0.0">
                  <c:v>6.71</c:v>
                </c:pt>
                <c:pt idx="323" formatCode="0.0">
                  <c:v>0</c:v>
                </c:pt>
                <c:pt idx="324" formatCode="0.0">
                  <c:v>0</c:v>
                </c:pt>
                <c:pt idx="325" formatCode="0.0">
                  <c:v>0</c:v>
                </c:pt>
                <c:pt idx="326" formatCode="0.0">
                  <c:v>0</c:v>
                </c:pt>
                <c:pt idx="327" formatCode="0.0">
                  <c:v>0</c:v>
                </c:pt>
                <c:pt idx="328" formatCode="0.0">
                  <c:v>1.76</c:v>
                </c:pt>
                <c:pt idx="329" formatCode="0.0">
                  <c:v>1.43</c:v>
                </c:pt>
                <c:pt idx="330" formatCode="0.0">
                  <c:v>0</c:v>
                </c:pt>
                <c:pt idx="331" formatCode="0.0">
                  <c:v>0</c:v>
                </c:pt>
                <c:pt idx="332" formatCode="0.0">
                  <c:v>0</c:v>
                </c:pt>
                <c:pt idx="333" formatCode="0.0">
                  <c:v>0</c:v>
                </c:pt>
                <c:pt idx="334" formatCode="0.0">
                  <c:v>0.88</c:v>
                </c:pt>
                <c:pt idx="335" formatCode="0.0">
                  <c:v>0</c:v>
                </c:pt>
                <c:pt idx="336" formatCode="0.0">
                  <c:v>0</c:v>
                </c:pt>
                <c:pt idx="337" formatCode="0.0">
                  <c:v>0</c:v>
                </c:pt>
                <c:pt idx="338" formatCode="0.0">
                  <c:v>0</c:v>
                </c:pt>
                <c:pt idx="339" formatCode="0.0">
                  <c:v>0</c:v>
                </c:pt>
                <c:pt idx="340" formatCode="0.0">
                  <c:v>16.170000000000002</c:v>
                </c:pt>
                <c:pt idx="341" formatCode="0.0">
                  <c:v>0</c:v>
                </c:pt>
                <c:pt idx="342" formatCode="0.0">
                  <c:v>0</c:v>
                </c:pt>
                <c:pt idx="343" formatCode="0.0">
                  <c:v>2.86</c:v>
                </c:pt>
                <c:pt idx="344" formatCode="0.0">
                  <c:v>3.74</c:v>
                </c:pt>
                <c:pt idx="345" formatCode="0.0">
                  <c:v>12.1</c:v>
                </c:pt>
                <c:pt idx="346" formatCode="0.0">
                  <c:v>0</c:v>
                </c:pt>
                <c:pt idx="347" formatCode="0.0">
                  <c:v>1.87</c:v>
                </c:pt>
                <c:pt idx="348" formatCode="0.0">
                  <c:v>0</c:v>
                </c:pt>
                <c:pt idx="349" formatCode="0.0">
                  <c:v>1.21</c:v>
                </c:pt>
                <c:pt idx="350" formatCode="0.0">
                  <c:v>0</c:v>
                </c:pt>
                <c:pt idx="351" formatCode="0.0">
                  <c:v>0</c:v>
                </c:pt>
                <c:pt idx="352" formatCode="0.0">
                  <c:v>9.7899999999999991</c:v>
                </c:pt>
                <c:pt idx="353" formatCode="0.0">
                  <c:v>6.93</c:v>
                </c:pt>
                <c:pt idx="354" formatCode="0.0">
                  <c:v>5</c:v>
                </c:pt>
                <c:pt idx="355" formatCode="0.0">
                  <c:v>3.96</c:v>
                </c:pt>
                <c:pt idx="356" formatCode="0.0">
                  <c:v>0</c:v>
                </c:pt>
                <c:pt idx="357" formatCode="0.0">
                  <c:v>0</c:v>
                </c:pt>
                <c:pt idx="358" formatCode="0.0">
                  <c:v>0</c:v>
                </c:pt>
                <c:pt idx="359" formatCode="0.0">
                  <c:v>1.32</c:v>
                </c:pt>
                <c:pt idx="360" formatCode="0.0">
                  <c:v>4.7300000000000004</c:v>
                </c:pt>
                <c:pt idx="361" formatCode="0.0">
                  <c:v>1.87</c:v>
                </c:pt>
                <c:pt idx="362" formatCode="0.0">
                  <c:v>0</c:v>
                </c:pt>
                <c:pt idx="363" formatCode="0.0">
                  <c:v>8.36</c:v>
                </c:pt>
                <c:pt idx="364" formatCode="0.0">
                  <c:v>5.39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06272"/>
        <c:axId val="148407808"/>
      </c:barChart>
      <c:catAx>
        <c:axId val="148406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78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07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6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0.84499999999999997</c:v>
                </c:pt>
                <c:pt idx="1">
                  <c:v>-6.8179999999999996</c:v>
                </c:pt>
                <c:pt idx="2">
                  <c:v>-0.67700000000000005</c:v>
                </c:pt>
                <c:pt idx="3">
                  <c:v>7.55</c:v>
                </c:pt>
                <c:pt idx="4">
                  <c:v>2.6139999999999999</c:v>
                </c:pt>
                <c:pt idx="5">
                  <c:v>4.3259999999999996</c:v>
                </c:pt>
                <c:pt idx="6">
                  <c:v>0.70199999999999996</c:v>
                </c:pt>
                <c:pt idx="7">
                  <c:v>-7.05</c:v>
                </c:pt>
                <c:pt idx="8">
                  <c:v>8.3000000000000004E-2</c:v>
                </c:pt>
                <c:pt idx="9">
                  <c:v>10.16</c:v>
                </c:pt>
                <c:pt idx="10">
                  <c:v>2.859</c:v>
                </c:pt>
                <c:pt idx="11">
                  <c:v>5.3209999999999997</c:v>
                </c:pt>
                <c:pt idx="12">
                  <c:v>12.91</c:v>
                </c:pt>
                <c:pt idx="13">
                  <c:v>15.92</c:v>
                </c:pt>
                <c:pt idx="14">
                  <c:v>7.59</c:v>
                </c:pt>
                <c:pt idx="15">
                  <c:v>1.2989999999999999</c:v>
                </c:pt>
                <c:pt idx="16">
                  <c:v>0.14499999999999999</c:v>
                </c:pt>
                <c:pt idx="17">
                  <c:v>1.5209999999999999</c:v>
                </c:pt>
                <c:pt idx="18">
                  <c:v>9.11</c:v>
                </c:pt>
                <c:pt idx="19">
                  <c:v>-2.2770000000000001</c:v>
                </c:pt>
                <c:pt idx="20">
                  <c:v>-4.3449999999999998</c:v>
                </c:pt>
                <c:pt idx="21">
                  <c:v>-5.7009999999999996</c:v>
                </c:pt>
                <c:pt idx="22">
                  <c:v>3.375</c:v>
                </c:pt>
                <c:pt idx="23">
                  <c:v>11.98</c:v>
                </c:pt>
                <c:pt idx="24">
                  <c:v>12.67</c:v>
                </c:pt>
                <c:pt idx="25">
                  <c:v>20.6</c:v>
                </c:pt>
                <c:pt idx="26">
                  <c:v>10.34</c:v>
                </c:pt>
                <c:pt idx="27">
                  <c:v>5.468</c:v>
                </c:pt>
                <c:pt idx="28">
                  <c:v>15.47</c:v>
                </c:pt>
                <c:pt idx="29">
                  <c:v>8.1999999999999993</c:v>
                </c:pt>
                <c:pt idx="30">
                  <c:v>3.1920000000000002</c:v>
                </c:pt>
                <c:pt idx="31">
                  <c:v>2.1829999999999998</c:v>
                </c:pt>
                <c:pt idx="32">
                  <c:v>8.5399999999999991</c:v>
                </c:pt>
                <c:pt idx="33">
                  <c:v>-1.228</c:v>
                </c:pt>
                <c:pt idx="34">
                  <c:v>-13.17</c:v>
                </c:pt>
                <c:pt idx="35">
                  <c:v>-6.8129999999999997</c:v>
                </c:pt>
                <c:pt idx="36">
                  <c:v>-5.3849999999999998</c:v>
                </c:pt>
                <c:pt idx="37">
                  <c:v>-4.2389999999999999</c:v>
                </c:pt>
                <c:pt idx="38">
                  <c:v>-7.2</c:v>
                </c:pt>
                <c:pt idx="39">
                  <c:v>-9.7799999999999994</c:v>
                </c:pt>
                <c:pt idx="40">
                  <c:v>1.8520000000000001</c:v>
                </c:pt>
                <c:pt idx="41">
                  <c:v>-4.0119999999999996</c:v>
                </c:pt>
                <c:pt idx="42">
                  <c:v>-6.33</c:v>
                </c:pt>
                <c:pt idx="43">
                  <c:v>8.41</c:v>
                </c:pt>
                <c:pt idx="44">
                  <c:v>2.1629999999999998</c:v>
                </c:pt>
                <c:pt idx="45">
                  <c:v>3.6859999999999999</c:v>
                </c:pt>
                <c:pt idx="46">
                  <c:v>0.49399999999999999</c:v>
                </c:pt>
                <c:pt idx="47">
                  <c:v>-2.9359999999999999</c:v>
                </c:pt>
                <c:pt idx="48">
                  <c:v>7.03</c:v>
                </c:pt>
                <c:pt idx="49">
                  <c:v>-2.339</c:v>
                </c:pt>
                <c:pt idx="50">
                  <c:v>-0.30399999999999999</c:v>
                </c:pt>
                <c:pt idx="51">
                  <c:v>4.6399999999999997</c:v>
                </c:pt>
                <c:pt idx="52">
                  <c:v>-5.3849999999999998</c:v>
                </c:pt>
                <c:pt idx="53">
                  <c:v>-2.464</c:v>
                </c:pt>
                <c:pt idx="54">
                  <c:v>2.39</c:v>
                </c:pt>
                <c:pt idx="55">
                  <c:v>-2.0720000000000001</c:v>
                </c:pt>
                <c:pt idx="56">
                  <c:v>6.2160000000000002</c:v>
                </c:pt>
                <c:pt idx="57">
                  <c:v>-2.4430000000000001</c:v>
                </c:pt>
                <c:pt idx="58">
                  <c:v>-0.75600000000000001</c:v>
                </c:pt>
                <c:pt idx="59">
                  <c:v>5.51</c:v>
                </c:pt>
                <c:pt idx="60">
                  <c:v>-0.999</c:v>
                </c:pt>
                <c:pt idx="61">
                  <c:v>6.2160000000000002</c:v>
                </c:pt>
                <c:pt idx="62">
                  <c:v>7.13</c:v>
                </c:pt>
                <c:pt idx="63">
                  <c:v>7.45</c:v>
                </c:pt>
                <c:pt idx="64">
                  <c:v>2.6349999999999998</c:v>
                </c:pt>
                <c:pt idx="65">
                  <c:v>5.468</c:v>
                </c:pt>
                <c:pt idx="66">
                  <c:v>7.22</c:v>
                </c:pt>
                <c:pt idx="67">
                  <c:v>1.526</c:v>
                </c:pt>
                <c:pt idx="68">
                  <c:v>11.66</c:v>
                </c:pt>
                <c:pt idx="69">
                  <c:v>0.33100000000000002</c:v>
                </c:pt>
                <c:pt idx="70">
                  <c:v>6.6000000000000003E-2</c:v>
                </c:pt>
                <c:pt idx="71">
                  <c:v>8.68</c:v>
                </c:pt>
                <c:pt idx="72">
                  <c:v>10.57</c:v>
                </c:pt>
                <c:pt idx="73">
                  <c:v>16.100000000000001</c:v>
                </c:pt>
                <c:pt idx="74">
                  <c:v>18.260000000000002</c:v>
                </c:pt>
                <c:pt idx="75">
                  <c:v>17.079999999999998</c:v>
                </c:pt>
                <c:pt idx="76">
                  <c:v>22.86</c:v>
                </c:pt>
                <c:pt idx="77">
                  <c:v>24.85</c:v>
                </c:pt>
                <c:pt idx="78">
                  <c:v>25.66</c:v>
                </c:pt>
                <c:pt idx="79">
                  <c:v>25.16</c:v>
                </c:pt>
                <c:pt idx="80">
                  <c:v>23.75</c:v>
                </c:pt>
                <c:pt idx="81">
                  <c:v>16.38</c:v>
                </c:pt>
                <c:pt idx="82">
                  <c:v>15.61</c:v>
                </c:pt>
                <c:pt idx="83">
                  <c:v>18.22</c:v>
                </c:pt>
                <c:pt idx="84">
                  <c:v>11.1</c:v>
                </c:pt>
                <c:pt idx="85">
                  <c:v>20.010000000000002</c:v>
                </c:pt>
                <c:pt idx="86">
                  <c:v>15.3</c:v>
                </c:pt>
                <c:pt idx="87">
                  <c:v>16.739999999999998</c:v>
                </c:pt>
                <c:pt idx="88">
                  <c:v>20.84</c:v>
                </c:pt>
                <c:pt idx="89">
                  <c:v>22.24</c:v>
                </c:pt>
                <c:pt idx="90">
                  <c:v>16.829999999999998</c:v>
                </c:pt>
                <c:pt idx="91">
                  <c:v>20.89</c:v>
                </c:pt>
                <c:pt idx="92">
                  <c:v>9.68</c:v>
                </c:pt>
                <c:pt idx="93">
                  <c:v>18.23</c:v>
                </c:pt>
                <c:pt idx="94">
                  <c:v>9.6</c:v>
                </c:pt>
                <c:pt idx="95">
                  <c:v>8.5</c:v>
                </c:pt>
                <c:pt idx="96">
                  <c:v>14.26</c:v>
                </c:pt>
                <c:pt idx="97">
                  <c:v>11.08</c:v>
                </c:pt>
                <c:pt idx="98">
                  <c:v>13.46</c:v>
                </c:pt>
                <c:pt idx="99">
                  <c:v>5.0990000000000002</c:v>
                </c:pt>
                <c:pt idx="100">
                  <c:v>15.48</c:v>
                </c:pt>
                <c:pt idx="101">
                  <c:v>10.97</c:v>
                </c:pt>
                <c:pt idx="102">
                  <c:v>4.2869999999999999</c:v>
                </c:pt>
                <c:pt idx="103">
                  <c:v>12.47</c:v>
                </c:pt>
                <c:pt idx="104">
                  <c:v>14.86</c:v>
                </c:pt>
                <c:pt idx="105">
                  <c:v>18.97</c:v>
                </c:pt>
                <c:pt idx="106">
                  <c:v>15.45</c:v>
                </c:pt>
                <c:pt idx="107">
                  <c:v>12.12</c:v>
                </c:pt>
                <c:pt idx="108">
                  <c:v>14.43</c:v>
                </c:pt>
                <c:pt idx="109">
                  <c:v>14.3</c:v>
                </c:pt>
                <c:pt idx="110">
                  <c:v>21.43</c:v>
                </c:pt>
                <c:pt idx="111">
                  <c:v>14.48</c:v>
                </c:pt>
                <c:pt idx="112">
                  <c:v>15.05</c:v>
                </c:pt>
                <c:pt idx="113">
                  <c:v>16.239999999999998</c:v>
                </c:pt>
                <c:pt idx="114">
                  <c:v>21.17</c:v>
                </c:pt>
                <c:pt idx="115">
                  <c:v>16.57</c:v>
                </c:pt>
                <c:pt idx="116">
                  <c:v>5.657</c:v>
                </c:pt>
                <c:pt idx="117">
                  <c:v>14.54</c:v>
                </c:pt>
                <c:pt idx="118">
                  <c:v>13.92</c:v>
                </c:pt>
                <c:pt idx="119">
                  <c:v>15.77</c:v>
                </c:pt>
                <c:pt idx="120">
                  <c:v>14.57</c:v>
                </c:pt>
                <c:pt idx="121">
                  <c:v>16.329999999999998</c:v>
                </c:pt>
                <c:pt idx="122">
                  <c:v>20.8</c:v>
                </c:pt>
                <c:pt idx="123">
                  <c:v>19.28</c:v>
                </c:pt>
                <c:pt idx="124">
                  <c:v>18.739999999999998</c:v>
                </c:pt>
                <c:pt idx="125">
                  <c:v>20.85</c:v>
                </c:pt>
                <c:pt idx="126">
                  <c:v>19.98</c:v>
                </c:pt>
                <c:pt idx="127">
                  <c:v>19.91</c:v>
                </c:pt>
                <c:pt idx="128">
                  <c:v>24.55</c:v>
                </c:pt>
                <c:pt idx="129">
                  <c:v>27.52</c:v>
                </c:pt>
                <c:pt idx="130">
                  <c:v>28.62</c:v>
                </c:pt>
                <c:pt idx="131">
                  <c:v>26.55</c:v>
                </c:pt>
                <c:pt idx="132">
                  <c:v>25.41</c:v>
                </c:pt>
                <c:pt idx="133">
                  <c:v>14.79</c:v>
                </c:pt>
                <c:pt idx="134">
                  <c:v>22.14</c:v>
                </c:pt>
                <c:pt idx="135">
                  <c:v>14.99</c:v>
                </c:pt>
                <c:pt idx="136">
                  <c:v>11.43</c:v>
                </c:pt>
                <c:pt idx="137">
                  <c:v>15.21</c:v>
                </c:pt>
                <c:pt idx="138">
                  <c:v>19.14</c:v>
                </c:pt>
                <c:pt idx="139">
                  <c:v>19.940000000000001</c:v>
                </c:pt>
                <c:pt idx="140">
                  <c:v>13.94</c:v>
                </c:pt>
                <c:pt idx="141">
                  <c:v>20.87</c:v>
                </c:pt>
                <c:pt idx="142">
                  <c:v>20.38</c:v>
                </c:pt>
                <c:pt idx="143">
                  <c:v>20.57</c:v>
                </c:pt>
                <c:pt idx="144">
                  <c:v>12.97</c:v>
                </c:pt>
                <c:pt idx="145">
                  <c:v>18.79</c:v>
                </c:pt>
                <c:pt idx="146">
                  <c:v>24.72</c:v>
                </c:pt>
                <c:pt idx="147">
                  <c:v>29.31</c:v>
                </c:pt>
                <c:pt idx="148">
                  <c:v>27.77</c:v>
                </c:pt>
                <c:pt idx="149">
                  <c:v>27.13</c:v>
                </c:pt>
                <c:pt idx="150">
                  <c:v>30.2</c:v>
                </c:pt>
                <c:pt idx="151">
                  <c:v>29.81</c:v>
                </c:pt>
                <c:pt idx="152">
                  <c:v>29.94</c:v>
                </c:pt>
                <c:pt idx="153">
                  <c:v>23.05</c:v>
                </c:pt>
                <c:pt idx="154">
                  <c:v>22.4</c:v>
                </c:pt>
                <c:pt idx="155">
                  <c:v>19.940000000000001</c:v>
                </c:pt>
                <c:pt idx="156">
                  <c:v>16.329999999999998</c:v>
                </c:pt>
                <c:pt idx="157">
                  <c:v>13.36</c:v>
                </c:pt>
                <c:pt idx="158">
                  <c:v>15.86</c:v>
                </c:pt>
                <c:pt idx="159">
                  <c:v>22.86</c:v>
                </c:pt>
                <c:pt idx="160">
                  <c:v>19.16</c:v>
                </c:pt>
                <c:pt idx="161">
                  <c:v>27.1</c:v>
                </c:pt>
                <c:pt idx="162">
                  <c:v>31.5</c:v>
                </c:pt>
                <c:pt idx="163">
                  <c:v>29.78</c:v>
                </c:pt>
                <c:pt idx="164">
                  <c:v>28.25</c:v>
                </c:pt>
                <c:pt idx="165">
                  <c:v>30</c:v>
                </c:pt>
                <c:pt idx="166">
                  <c:v>26.87</c:v>
                </c:pt>
                <c:pt idx="167">
                  <c:v>31.3</c:v>
                </c:pt>
                <c:pt idx="168">
                  <c:v>25.58</c:v>
                </c:pt>
                <c:pt idx="169">
                  <c:v>15.75</c:v>
                </c:pt>
                <c:pt idx="170">
                  <c:v>5.4729999999999999</c:v>
                </c:pt>
                <c:pt idx="171">
                  <c:v>20.94</c:v>
                </c:pt>
                <c:pt idx="172">
                  <c:v>22.63</c:v>
                </c:pt>
                <c:pt idx="173">
                  <c:v>20.2</c:v>
                </c:pt>
                <c:pt idx="174">
                  <c:v>18.600000000000001</c:v>
                </c:pt>
                <c:pt idx="175">
                  <c:v>18.93</c:v>
                </c:pt>
                <c:pt idx="176">
                  <c:v>25.75</c:v>
                </c:pt>
                <c:pt idx="177">
                  <c:v>19.649999999999999</c:v>
                </c:pt>
                <c:pt idx="178">
                  <c:v>21.84</c:v>
                </c:pt>
                <c:pt idx="179">
                  <c:v>20.2</c:v>
                </c:pt>
                <c:pt idx="180">
                  <c:v>25.1</c:v>
                </c:pt>
                <c:pt idx="181">
                  <c:v>28.4</c:v>
                </c:pt>
                <c:pt idx="182">
                  <c:v>21.43</c:v>
                </c:pt>
                <c:pt idx="183">
                  <c:v>26.43</c:v>
                </c:pt>
                <c:pt idx="184">
                  <c:v>21.04</c:v>
                </c:pt>
                <c:pt idx="185">
                  <c:v>23</c:v>
                </c:pt>
                <c:pt idx="186">
                  <c:v>23.44</c:v>
                </c:pt>
                <c:pt idx="187">
                  <c:v>22.01</c:v>
                </c:pt>
                <c:pt idx="188">
                  <c:v>23.78</c:v>
                </c:pt>
                <c:pt idx="189">
                  <c:v>26.98</c:v>
                </c:pt>
                <c:pt idx="190">
                  <c:v>24.18</c:v>
                </c:pt>
                <c:pt idx="191">
                  <c:v>26.96</c:v>
                </c:pt>
                <c:pt idx="192">
                  <c:v>27</c:v>
                </c:pt>
                <c:pt idx="193">
                  <c:v>27.32</c:v>
                </c:pt>
                <c:pt idx="194">
                  <c:v>24.25</c:v>
                </c:pt>
                <c:pt idx="195">
                  <c:v>25.38</c:v>
                </c:pt>
                <c:pt idx="196">
                  <c:v>27.79</c:v>
                </c:pt>
                <c:pt idx="197">
                  <c:v>18.059999999999999</c:v>
                </c:pt>
                <c:pt idx="198">
                  <c:v>16.95</c:v>
                </c:pt>
                <c:pt idx="199">
                  <c:v>20.329999999999998</c:v>
                </c:pt>
                <c:pt idx="200">
                  <c:v>22.97</c:v>
                </c:pt>
                <c:pt idx="201">
                  <c:v>31.94</c:v>
                </c:pt>
                <c:pt idx="202">
                  <c:v>32.46</c:v>
                </c:pt>
                <c:pt idx="203">
                  <c:v>30.6</c:v>
                </c:pt>
                <c:pt idx="204">
                  <c:v>20.82</c:v>
                </c:pt>
                <c:pt idx="205">
                  <c:v>27.43</c:v>
                </c:pt>
                <c:pt idx="206">
                  <c:v>32.67</c:v>
                </c:pt>
                <c:pt idx="207">
                  <c:v>24.28</c:v>
                </c:pt>
                <c:pt idx="208">
                  <c:v>28.28</c:v>
                </c:pt>
                <c:pt idx="209">
                  <c:v>30.73</c:v>
                </c:pt>
                <c:pt idx="210">
                  <c:v>27.41</c:v>
                </c:pt>
                <c:pt idx="211">
                  <c:v>29.88</c:v>
                </c:pt>
                <c:pt idx="212">
                  <c:v>31.4</c:v>
                </c:pt>
                <c:pt idx="213">
                  <c:v>27.33</c:v>
                </c:pt>
                <c:pt idx="214">
                  <c:v>25.1</c:v>
                </c:pt>
                <c:pt idx="215">
                  <c:v>27.85</c:v>
                </c:pt>
                <c:pt idx="216">
                  <c:v>33.9</c:v>
                </c:pt>
                <c:pt idx="217">
                  <c:v>34.71</c:v>
                </c:pt>
                <c:pt idx="218">
                  <c:v>34.01</c:v>
                </c:pt>
                <c:pt idx="219">
                  <c:v>33.72</c:v>
                </c:pt>
                <c:pt idx="220">
                  <c:v>32.049999999999997</c:v>
                </c:pt>
                <c:pt idx="221">
                  <c:v>24.21</c:v>
                </c:pt>
                <c:pt idx="222">
                  <c:v>15.68</c:v>
                </c:pt>
                <c:pt idx="223">
                  <c:v>27.28</c:v>
                </c:pt>
                <c:pt idx="224">
                  <c:v>24.23</c:v>
                </c:pt>
                <c:pt idx="225">
                  <c:v>27.56</c:v>
                </c:pt>
                <c:pt idx="226">
                  <c:v>28.46</c:v>
                </c:pt>
                <c:pt idx="227">
                  <c:v>19.5</c:v>
                </c:pt>
                <c:pt idx="228">
                  <c:v>23.55</c:v>
                </c:pt>
                <c:pt idx="229">
                  <c:v>29.34</c:v>
                </c:pt>
                <c:pt idx="230">
                  <c:v>29.24</c:v>
                </c:pt>
                <c:pt idx="231">
                  <c:v>31.6</c:v>
                </c:pt>
                <c:pt idx="232">
                  <c:v>27.29</c:v>
                </c:pt>
                <c:pt idx="233">
                  <c:v>25.72</c:v>
                </c:pt>
                <c:pt idx="234">
                  <c:v>17.670000000000002</c:v>
                </c:pt>
                <c:pt idx="235">
                  <c:v>22.94</c:v>
                </c:pt>
                <c:pt idx="236">
                  <c:v>19.72</c:v>
                </c:pt>
                <c:pt idx="237">
                  <c:v>24.63</c:v>
                </c:pt>
                <c:pt idx="238">
                  <c:v>31.53</c:v>
                </c:pt>
                <c:pt idx="239">
                  <c:v>30.89</c:v>
                </c:pt>
                <c:pt idx="240">
                  <c:v>32.049999999999997</c:v>
                </c:pt>
                <c:pt idx="241">
                  <c:v>31.07</c:v>
                </c:pt>
                <c:pt idx="242">
                  <c:v>27.82</c:v>
                </c:pt>
                <c:pt idx="243">
                  <c:v>27.64</c:v>
                </c:pt>
                <c:pt idx="244">
                  <c:v>26</c:v>
                </c:pt>
                <c:pt idx="245">
                  <c:v>32.25</c:v>
                </c:pt>
                <c:pt idx="246">
                  <c:v>29.18</c:v>
                </c:pt>
                <c:pt idx="247">
                  <c:v>32.01</c:v>
                </c:pt>
                <c:pt idx="248">
                  <c:v>30.73</c:v>
                </c:pt>
                <c:pt idx="249">
                  <c:v>27.33</c:v>
                </c:pt>
                <c:pt idx="250">
                  <c:v>15.59</c:v>
                </c:pt>
                <c:pt idx="251">
                  <c:v>21.69</c:v>
                </c:pt>
                <c:pt idx="252">
                  <c:v>19.22</c:v>
                </c:pt>
                <c:pt idx="253">
                  <c:v>21.66</c:v>
                </c:pt>
                <c:pt idx="254">
                  <c:v>22.24</c:v>
                </c:pt>
                <c:pt idx="255">
                  <c:v>17.48</c:v>
                </c:pt>
                <c:pt idx="256">
                  <c:v>14.83</c:v>
                </c:pt>
                <c:pt idx="257">
                  <c:v>9.2799999999999994</c:v>
                </c:pt>
                <c:pt idx="258">
                  <c:v>15.7</c:v>
                </c:pt>
                <c:pt idx="259">
                  <c:v>12.12</c:v>
                </c:pt>
                <c:pt idx="260">
                  <c:v>11.25</c:v>
                </c:pt>
                <c:pt idx="261">
                  <c:v>18.64</c:v>
                </c:pt>
                <c:pt idx="262">
                  <c:v>17.41</c:v>
                </c:pt>
                <c:pt idx="263">
                  <c:v>23.23</c:v>
                </c:pt>
                <c:pt idx="264">
                  <c:v>13.57</c:v>
                </c:pt>
                <c:pt idx="265">
                  <c:v>8.65</c:v>
                </c:pt>
                <c:pt idx="266">
                  <c:v>15.86</c:v>
                </c:pt>
                <c:pt idx="267">
                  <c:v>15.9</c:v>
                </c:pt>
                <c:pt idx="268">
                  <c:v>10.26</c:v>
                </c:pt>
                <c:pt idx="269">
                  <c:v>6.6550000000000002</c:v>
                </c:pt>
                <c:pt idx="270">
                  <c:v>4.5979999999999999</c:v>
                </c:pt>
                <c:pt idx="271">
                  <c:v>2.9239999999999999</c:v>
                </c:pt>
                <c:pt idx="272">
                  <c:v>8.02</c:v>
                </c:pt>
                <c:pt idx="273">
                  <c:v>18.64</c:v>
                </c:pt>
                <c:pt idx="274">
                  <c:v>9.2799999999999994</c:v>
                </c:pt>
                <c:pt idx="275">
                  <c:v>11.15</c:v>
                </c:pt>
                <c:pt idx="276">
                  <c:v>11.28</c:v>
                </c:pt>
                <c:pt idx="277">
                  <c:v>12.59</c:v>
                </c:pt>
                <c:pt idx="278">
                  <c:v>14.92</c:v>
                </c:pt>
                <c:pt idx="279">
                  <c:v>8.92</c:v>
                </c:pt>
                <c:pt idx="280">
                  <c:v>3.004</c:v>
                </c:pt>
                <c:pt idx="281">
                  <c:v>6.3380000000000001</c:v>
                </c:pt>
                <c:pt idx="282">
                  <c:v>13.48</c:v>
                </c:pt>
                <c:pt idx="283">
                  <c:v>12.57</c:v>
                </c:pt>
                <c:pt idx="284">
                  <c:v>12.18</c:v>
                </c:pt>
                <c:pt idx="285">
                  <c:v>3.2120000000000002</c:v>
                </c:pt>
                <c:pt idx="286">
                  <c:v>14.36</c:v>
                </c:pt>
                <c:pt idx="287">
                  <c:v>4.9480000000000004</c:v>
                </c:pt>
                <c:pt idx="288">
                  <c:v>11.71</c:v>
                </c:pt>
                <c:pt idx="289">
                  <c:v>12.77</c:v>
                </c:pt>
                <c:pt idx="290">
                  <c:v>8.92</c:v>
                </c:pt>
                <c:pt idx="291">
                  <c:v>7.76</c:v>
                </c:pt>
                <c:pt idx="292">
                  <c:v>3.4820000000000002</c:v>
                </c:pt>
                <c:pt idx="293">
                  <c:v>1.403</c:v>
                </c:pt>
                <c:pt idx="294">
                  <c:v>11.92</c:v>
                </c:pt>
                <c:pt idx="295">
                  <c:v>11.94</c:v>
                </c:pt>
                <c:pt idx="296">
                  <c:v>17.77</c:v>
                </c:pt>
                <c:pt idx="297">
                  <c:v>10.19</c:v>
                </c:pt>
                <c:pt idx="298">
                  <c:v>6.7160000000000002</c:v>
                </c:pt>
                <c:pt idx="299">
                  <c:v>9.17</c:v>
                </c:pt>
                <c:pt idx="300">
                  <c:v>3.6869999999999998</c:v>
                </c:pt>
                <c:pt idx="301">
                  <c:v>7.49</c:v>
                </c:pt>
                <c:pt idx="302">
                  <c:v>10.34</c:v>
                </c:pt>
                <c:pt idx="303">
                  <c:v>8.06</c:v>
                </c:pt>
                <c:pt idx="304">
                  <c:v>15.36</c:v>
                </c:pt>
                <c:pt idx="305">
                  <c:v>13.99</c:v>
                </c:pt>
                <c:pt idx="306">
                  <c:v>8.18</c:v>
                </c:pt>
                <c:pt idx="307">
                  <c:v>17.61</c:v>
                </c:pt>
                <c:pt idx="308">
                  <c:v>14.3</c:v>
                </c:pt>
                <c:pt idx="309">
                  <c:v>14.56</c:v>
                </c:pt>
                <c:pt idx="310">
                  <c:v>10.72</c:v>
                </c:pt>
                <c:pt idx="311">
                  <c:v>1.9550000000000001</c:v>
                </c:pt>
                <c:pt idx="312">
                  <c:v>6.9669999999999996</c:v>
                </c:pt>
                <c:pt idx="313">
                  <c:v>8.06</c:v>
                </c:pt>
                <c:pt idx="314">
                  <c:v>4.7640000000000002</c:v>
                </c:pt>
                <c:pt idx="315">
                  <c:v>2.0179999999999998</c:v>
                </c:pt>
                <c:pt idx="316">
                  <c:v>15.14</c:v>
                </c:pt>
                <c:pt idx="317">
                  <c:v>4.3689999999999998</c:v>
                </c:pt>
                <c:pt idx="318">
                  <c:v>4.66</c:v>
                </c:pt>
                <c:pt idx="319">
                  <c:v>0.436</c:v>
                </c:pt>
                <c:pt idx="320">
                  <c:v>6.508</c:v>
                </c:pt>
                <c:pt idx="321">
                  <c:v>3.766</c:v>
                </c:pt>
                <c:pt idx="322">
                  <c:v>-0.38700000000000001</c:v>
                </c:pt>
                <c:pt idx="323">
                  <c:v>6.4429999999999996</c:v>
                </c:pt>
                <c:pt idx="324">
                  <c:v>16.649999999999999</c:v>
                </c:pt>
                <c:pt idx="325">
                  <c:v>15.09</c:v>
                </c:pt>
                <c:pt idx="326">
                  <c:v>2.2240000000000002</c:v>
                </c:pt>
                <c:pt idx="327">
                  <c:v>7.2</c:v>
                </c:pt>
                <c:pt idx="328">
                  <c:v>1.3220000000000001</c:v>
                </c:pt>
                <c:pt idx="329">
                  <c:v>4.181</c:v>
                </c:pt>
                <c:pt idx="330">
                  <c:v>-3.8039999999999998</c:v>
                </c:pt>
                <c:pt idx="331">
                  <c:v>0.23100000000000001</c:v>
                </c:pt>
                <c:pt idx="332">
                  <c:v>-1.2689999999999999</c:v>
                </c:pt>
                <c:pt idx="333">
                  <c:v>6.2329999999999997</c:v>
                </c:pt>
                <c:pt idx="334">
                  <c:v>-6.7329999999999997</c:v>
                </c:pt>
                <c:pt idx="335">
                  <c:v>0.19</c:v>
                </c:pt>
                <c:pt idx="336">
                  <c:v>7.97</c:v>
                </c:pt>
                <c:pt idx="337">
                  <c:v>3.0249999999999999</c:v>
                </c:pt>
                <c:pt idx="338">
                  <c:v>3.6469999999999998</c:v>
                </c:pt>
                <c:pt idx="339">
                  <c:v>0.51500000000000001</c:v>
                </c:pt>
                <c:pt idx="340">
                  <c:v>1.0509999999999999</c:v>
                </c:pt>
                <c:pt idx="341">
                  <c:v>6.2549999999999999</c:v>
                </c:pt>
                <c:pt idx="342">
                  <c:v>7.01</c:v>
                </c:pt>
                <c:pt idx="343">
                  <c:v>3.7290000000000001</c:v>
                </c:pt>
                <c:pt idx="344">
                  <c:v>0.33200000000000002</c:v>
                </c:pt>
                <c:pt idx="345">
                  <c:v>0.72299999999999998</c:v>
                </c:pt>
                <c:pt idx="346">
                  <c:v>0.59799999999999998</c:v>
                </c:pt>
                <c:pt idx="347">
                  <c:v>-2.754</c:v>
                </c:pt>
                <c:pt idx="348">
                  <c:v>3.8119999999999998</c:v>
                </c:pt>
                <c:pt idx="349">
                  <c:v>-7.95</c:v>
                </c:pt>
                <c:pt idx="350">
                  <c:v>-5.1550000000000002</c:v>
                </c:pt>
                <c:pt idx="351">
                  <c:v>-5.0709999999999997</c:v>
                </c:pt>
                <c:pt idx="352">
                  <c:v>-3.8889999999999998</c:v>
                </c:pt>
                <c:pt idx="353">
                  <c:v>0.35</c:v>
                </c:pt>
                <c:pt idx="354">
                  <c:v>0.76200000000000001</c:v>
                </c:pt>
                <c:pt idx="355">
                  <c:v>-1.8480000000000001</c:v>
                </c:pt>
                <c:pt idx="356">
                  <c:v>8.92</c:v>
                </c:pt>
                <c:pt idx="357">
                  <c:v>4.1840000000000002</c:v>
                </c:pt>
                <c:pt idx="358">
                  <c:v>8.69</c:v>
                </c:pt>
                <c:pt idx="359">
                  <c:v>4.1440000000000001</c:v>
                </c:pt>
                <c:pt idx="360">
                  <c:v>-3.5990000000000002</c:v>
                </c:pt>
                <c:pt idx="361">
                  <c:v>-3.3290000000000002</c:v>
                </c:pt>
                <c:pt idx="362">
                  <c:v>4.843</c:v>
                </c:pt>
                <c:pt idx="363">
                  <c:v>-3.2669999999999999</c:v>
                </c:pt>
                <c:pt idx="364">
                  <c:v>-1.518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-9.56</c:v>
                </c:pt>
                <c:pt idx="1">
                  <c:v>-9.3800000000000008</c:v>
                </c:pt>
                <c:pt idx="2">
                  <c:v>-7.71</c:v>
                </c:pt>
                <c:pt idx="3">
                  <c:v>-11.56</c:v>
                </c:pt>
                <c:pt idx="4">
                  <c:v>-10.63</c:v>
                </c:pt>
                <c:pt idx="5">
                  <c:v>-17.02</c:v>
                </c:pt>
                <c:pt idx="6">
                  <c:v>-20.45</c:v>
                </c:pt>
                <c:pt idx="7">
                  <c:v>-22.54</c:v>
                </c:pt>
                <c:pt idx="8">
                  <c:v>-7.05</c:v>
                </c:pt>
                <c:pt idx="9">
                  <c:v>-3.5790000000000002</c:v>
                </c:pt>
                <c:pt idx="10">
                  <c:v>-4.2439999999999998</c:v>
                </c:pt>
                <c:pt idx="11">
                  <c:v>-10.199999999999999</c:v>
                </c:pt>
                <c:pt idx="12">
                  <c:v>-13.66</c:v>
                </c:pt>
                <c:pt idx="13">
                  <c:v>-17.899999999999999</c:v>
                </c:pt>
                <c:pt idx="14">
                  <c:v>-15.58</c:v>
                </c:pt>
                <c:pt idx="15">
                  <c:v>-9.4700000000000006</c:v>
                </c:pt>
                <c:pt idx="16">
                  <c:v>-4.1189999999999998</c:v>
                </c:pt>
                <c:pt idx="17">
                  <c:v>-6.5419999999999998</c:v>
                </c:pt>
                <c:pt idx="18">
                  <c:v>-10.74</c:v>
                </c:pt>
                <c:pt idx="19">
                  <c:v>-15.91</c:v>
                </c:pt>
                <c:pt idx="20">
                  <c:v>-18.690000000000001</c:v>
                </c:pt>
                <c:pt idx="21">
                  <c:v>-16.989999999999998</c:v>
                </c:pt>
                <c:pt idx="22">
                  <c:v>-11.26</c:v>
                </c:pt>
                <c:pt idx="23">
                  <c:v>-12.16</c:v>
                </c:pt>
                <c:pt idx="24">
                  <c:v>-11.35</c:v>
                </c:pt>
                <c:pt idx="25">
                  <c:v>-9.5399999999999991</c:v>
                </c:pt>
                <c:pt idx="26">
                  <c:v>-13.73</c:v>
                </c:pt>
                <c:pt idx="27">
                  <c:v>-19.88</c:v>
                </c:pt>
                <c:pt idx="28">
                  <c:v>-22.93</c:v>
                </c:pt>
                <c:pt idx="29">
                  <c:v>-17.62</c:v>
                </c:pt>
                <c:pt idx="30">
                  <c:v>-6.3730000000000002</c:v>
                </c:pt>
                <c:pt idx="31">
                  <c:v>-4.49</c:v>
                </c:pt>
                <c:pt idx="32">
                  <c:v>-13.49</c:v>
                </c:pt>
                <c:pt idx="33">
                  <c:v>-22.15</c:v>
                </c:pt>
                <c:pt idx="34">
                  <c:v>-27.03</c:v>
                </c:pt>
                <c:pt idx="35">
                  <c:v>-32.99</c:v>
                </c:pt>
                <c:pt idx="36">
                  <c:v>-27.42</c:v>
                </c:pt>
                <c:pt idx="37">
                  <c:v>-27.66</c:v>
                </c:pt>
                <c:pt idx="38">
                  <c:v>-16.36</c:v>
                </c:pt>
                <c:pt idx="39">
                  <c:v>-20.3</c:v>
                </c:pt>
                <c:pt idx="40">
                  <c:v>-29.79</c:v>
                </c:pt>
                <c:pt idx="41">
                  <c:v>-30.31</c:v>
                </c:pt>
                <c:pt idx="42">
                  <c:v>-20.149999999999999</c:v>
                </c:pt>
                <c:pt idx="43">
                  <c:v>-21.28</c:v>
                </c:pt>
                <c:pt idx="44">
                  <c:v>-16.91</c:v>
                </c:pt>
                <c:pt idx="45">
                  <c:v>-8.9</c:v>
                </c:pt>
                <c:pt idx="46">
                  <c:v>-12.14</c:v>
                </c:pt>
                <c:pt idx="47">
                  <c:v>-15.73</c:v>
                </c:pt>
                <c:pt idx="48">
                  <c:v>-22.6</c:v>
                </c:pt>
                <c:pt idx="49">
                  <c:v>-16.75</c:v>
                </c:pt>
                <c:pt idx="50">
                  <c:v>-9.49</c:v>
                </c:pt>
                <c:pt idx="51">
                  <c:v>-17.48</c:v>
                </c:pt>
                <c:pt idx="52">
                  <c:v>-17.21</c:v>
                </c:pt>
                <c:pt idx="53">
                  <c:v>-12.65</c:v>
                </c:pt>
                <c:pt idx="54">
                  <c:v>-14.49</c:v>
                </c:pt>
                <c:pt idx="55">
                  <c:v>-16.54</c:v>
                </c:pt>
                <c:pt idx="56">
                  <c:v>-26.42</c:v>
                </c:pt>
                <c:pt idx="57">
                  <c:v>-24.72</c:v>
                </c:pt>
                <c:pt idx="58">
                  <c:v>-9.76</c:v>
                </c:pt>
                <c:pt idx="59">
                  <c:v>-13.2</c:v>
                </c:pt>
                <c:pt idx="60">
                  <c:v>-23.61</c:v>
                </c:pt>
                <c:pt idx="61">
                  <c:v>-29.41</c:v>
                </c:pt>
                <c:pt idx="62">
                  <c:v>-31.55</c:v>
                </c:pt>
                <c:pt idx="63">
                  <c:v>-23.71</c:v>
                </c:pt>
                <c:pt idx="64">
                  <c:v>-6.5430000000000001</c:v>
                </c:pt>
                <c:pt idx="65">
                  <c:v>-13.98</c:v>
                </c:pt>
                <c:pt idx="66">
                  <c:v>-24.76</c:v>
                </c:pt>
                <c:pt idx="67">
                  <c:v>-20</c:v>
                </c:pt>
                <c:pt idx="68">
                  <c:v>-23.89</c:v>
                </c:pt>
                <c:pt idx="69">
                  <c:v>-13.54</c:v>
                </c:pt>
                <c:pt idx="70">
                  <c:v>-14.91</c:v>
                </c:pt>
                <c:pt idx="71">
                  <c:v>-17.46</c:v>
                </c:pt>
                <c:pt idx="72">
                  <c:v>-18.54</c:v>
                </c:pt>
                <c:pt idx="73">
                  <c:v>-9.5399999999999991</c:v>
                </c:pt>
                <c:pt idx="74">
                  <c:v>-10.14</c:v>
                </c:pt>
                <c:pt idx="75">
                  <c:v>-12.23</c:v>
                </c:pt>
                <c:pt idx="76">
                  <c:v>-10.220000000000001</c:v>
                </c:pt>
                <c:pt idx="77">
                  <c:v>-10.18</c:v>
                </c:pt>
                <c:pt idx="78">
                  <c:v>-6.6479999999999997</c:v>
                </c:pt>
                <c:pt idx="79">
                  <c:v>-7.9</c:v>
                </c:pt>
                <c:pt idx="80">
                  <c:v>-6.899</c:v>
                </c:pt>
                <c:pt idx="81">
                  <c:v>-2.8330000000000002</c:v>
                </c:pt>
                <c:pt idx="82">
                  <c:v>-3.2050000000000001</c:v>
                </c:pt>
                <c:pt idx="83">
                  <c:v>6.6000000000000003E-2</c:v>
                </c:pt>
                <c:pt idx="84">
                  <c:v>-10.42</c:v>
                </c:pt>
                <c:pt idx="85">
                  <c:v>-14.29</c:v>
                </c:pt>
                <c:pt idx="86">
                  <c:v>-9.27</c:v>
                </c:pt>
                <c:pt idx="87">
                  <c:v>-10.62</c:v>
                </c:pt>
                <c:pt idx="88">
                  <c:v>-10.96</c:v>
                </c:pt>
                <c:pt idx="89">
                  <c:v>-6.0350000000000001</c:v>
                </c:pt>
                <c:pt idx="90">
                  <c:v>-10.54</c:v>
                </c:pt>
                <c:pt idx="91">
                  <c:v>-10.6</c:v>
                </c:pt>
                <c:pt idx="92">
                  <c:v>-4.01</c:v>
                </c:pt>
                <c:pt idx="93">
                  <c:v>-7.03</c:v>
                </c:pt>
                <c:pt idx="94">
                  <c:v>-0.94</c:v>
                </c:pt>
                <c:pt idx="95">
                  <c:v>-9.3800000000000008</c:v>
                </c:pt>
                <c:pt idx="96">
                  <c:v>-6.2249999999999996</c:v>
                </c:pt>
                <c:pt idx="97">
                  <c:v>-9.58</c:v>
                </c:pt>
                <c:pt idx="98">
                  <c:v>-1.373</c:v>
                </c:pt>
                <c:pt idx="99">
                  <c:v>-2.9990000000000001</c:v>
                </c:pt>
                <c:pt idx="100">
                  <c:v>-6.7309999999999999</c:v>
                </c:pt>
                <c:pt idx="101">
                  <c:v>-9.23</c:v>
                </c:pt>
                <c:pt idx="102">
                  <c:v>-6.9850000000000003</c:v>
                </c:pt>
                <c:pt idx="103">
                  <c:v>-4.49</c:v>
                </c:pt>
                <c:pt idx="104">
                  <c:v>-11.31</c:v>
                </c:pt>
                <c:pt idx="105">
                  <c:v>-11.83</c:v>
                </c:pt>
                <c:pt idx="106">
                  <c:v>0.21099999999999999</c:v>
                </c:pt>
                <c:pt idx="107">
                  <c:v>0.376</c:v>
                </c:pt>
                <c:pt idx="108">
                  <c:v>1.34</c:v>
                </c:pt>
                <c:pt idx="109">
                  <c:v>-6.5</c:v>
                </c:pt>
                <c:pt idx="110">
                  <c:v>-10.45</c:v>
                </c:pt>
                <c:pt idx="111">
                  <c:v>-5.8440000000000003</c:v>
                </c:pt>
                <c:pt idx="112">
                  <c:v>-3.3090000000000002</c:v>
                </c:pt>
                <c:pt idx="113">
                  <c:v>-6.056</c:v>
                </c:pt>
                <c:pt idx="114">
                  <c:v>-10.11</c:v>
                </c:pt>
                <c:pt idx="115">
                  <c:v>-3.5139999999999998</c:v>
                </c:pt>
                <c:pt idx="116">
                  <c:v>-3.2050000000000001</c:v>
                </c:pt>
                <c:pt idx="117">
                  <c:v>-7.22</c:v>
                </c:pt>
                <c:pt idx="118">
                  <c:v>-11.47</c:v>
                </c:pt>
                <c:pt idx="119">
                  <c:v>-12.49</c:v>
                </c:pt>
                <c:pt idx="120">
                  <c:v>-3.2669999999999999</c:v>
                </c:pt>
                <c:pt idx="121">
                  <c:v>-3.3290000000000002</c:v>
                </c:pt>
                <c:pt idx="122">
                  <c:v>-4.7779999999999996</c:v>
                </c:pt>
                <c:pt idx="123">
                  <c:v>-3.3479999999999999</c:v>
                </c:pt>
                <c:pt idx="124">
                  <c:v>-4.7990000000000004</c:v>
                </c:pt>
                <c:pt idx="125">
                  <c:v>-3.907</c:v>
                </c:pt>
                <c:pt idx="126">
                  <c:v>-3.06</c:v>
                </c:pt>
                <c:pt idx="127">
                  <c:v>-0.67300000000000004</c:v>
                </c:pt>
                <c:pt idx="128">
                  <c:v>-4.7149999999999999</c:v>
                </c:pt>
                <c:pt idx="129">
                  <c:v>-2.5219999999999998</c:v>
                </c:pt>
                <c:pt idx="130">
                  <c:v>-1.0640000000000001</c:v>
                </c:pt>
                <c:pt idx="131">
                  <c:v>1.113</c:v>
                </c:pt>
                <c:pt idx="132">
                  <c:v>-1.4530000000000001</c:v>
                </c:pt>
                <c:pt idx="133">
                  <c:v>-2.8730000000000002</c:v>
                </c:pt>
                <c:pt idx="134">
                  <c:v>-3.6789999999999998</c:v>
                </c:pt>
                <c:pt idx="135">
                  <c:v>5.3879999999999999</c:v>
                </c:pt>
                <c:pt idx="136">
                  <c:v>1.258</c:v>
                </c:pt>
                <c:pt idx="137">
                  <c:v>1.01</c:v>
                </c:pt>
                <c:pt idx="138">
                  <c:v>2.7</c:v>
                </c:pt>
                <c:pt idx="139">
                  <c:v>2.8450000000000002</c:v>
                </c:pt>
                <c:pt idx="140">
                  <c:v>2.2029999999999998</c:v>
                </c:pt>
                <c:pt idx="141">
                  <c:v>-2.2570000000000001</c:v>
                </c:pt>
                <c:pt idx="142">
                  <c:v>0.16900000000000001</c:v>
                </c:pt>
                <c:pt idx="143">
                  <c:v>-0.98099999999999998</c:v>
                </c:pt>
                <c:pt idx="144">
                  <c:v>3.585</c:v>
                </c:pt>
                <c:pt idx="145">
                  <c:v>1.895</c:v>
                </c:pt>
                <c:pt idx="146">
                  <c:v>-2.379</c:v>
                </c:pt>
                <c:pt idx="147">
                  <c:v>-1.843</c:v>
                </c:pt>
                <c:pt idx="148">
                  <c:v>0.33400000000000002</c:v>
                </c:pt>
                <c:pt idx="149">
                  <c:v>1.897</c:v>
                </c:pt>
                <c:pt idx="150">
                  <c:v>1.423</c:v>
                </c:pt>
                <c:pt idx="151">
                  <c:v>1.2170000000000001</c:v>
                </c:pt>
                <c:pt idx="152">
                  <c:v>0.72599999999999998</c:v>
                </c:pt>
                <c:pt idx="153">
                  <c:v>1.1140000000000001</c:v>
                </c:pt>
                <c:pt idx="154">
                  <c:v>-2.6659999999999999</c:v>
                </c:pt>
                <c:pt idx="155">
                  <c:v>3.7509999999999999</c:v>
                </c:pt>
                <c:pt idx="156">
                  <c:v>4.4999999999999998E-2</c:v>
                </c:pt>
                <c:pt idx="157">
                  <c:v>-3.472</c:v>
                </c:pt>
                <c:pt idx="158">
                  <c:v>-1.3720000000000001</c:v>
                </c:pt>
                <c:pt idx="159">
                  <c:v>-3.472</c:v>
                </c:pt>
                <c:pt idx="160">
                  <c:v>-1.1459999999999999</c:v>
                </c:pt>
                <c:pt idx="161">
                  <c:v>3.2770000000000001</c:v>
                </c:pt>
                <c:pt idx="162">
                  <c:v>1.2370000000000001</c:v>
                </c:pt>
                <c:pt idx="163">
                  <c:v>6.61</c:v>
                </c:pt>
                <c:pt idx="164">
                  <c:v>1.2789999999999999</c:v>
                </c:pt>
                <c:pt idx="165">
                  <c:v>3.9169999999999998</c:v>
                </c:pt>
                <c:pt idx="166">
                  <c:v>1.63</c:v>
                </c:pt>
                <c:pt idx="167">
                  <c:v>3.1720000000000002</c:v>
                </c:pt>
                <c:pt idx="168">
                  <c:v>4.2640000000000002</c:v>
                </c:pt>
                <c:pt idx="169">
                  <c:v>1.0509999999999999</c:v>
                </c:pt>
                <c:pt idx="170">
                  <c:v>0.90900000000000003</c:v>
                </c:pt>
                <c:pt idx="171">
                  <c:v>2.8029999999999999</c:v>
                </c:pt>
                <c:pt idx="172">
                  <c:v>1.5880000000000001</c:v>
                </c:pt>
                <c:pt idx="173">
                  <c:v>5.5129999999999999</c:v>
                </c:pt>
                <c:pt idx="174">
                  <c:v>1.8740000000000001</c:v>
                </c:pt>
                <c:pt idx="175">
                  <c:v>-0.67200000000000004</c:v>
                </c:pt>
                <c:pt idx="176">
                  <c:v>-1.0429999999999999</c:v>
                </c:pt>
                <c:pt idx="177">
                  <c:v>4.8680000000000003</c:v>
                </c:pt>
                <c:pt idx="178">
                  <c:v>0.745</c:v>
                </c:pt>
                <c:pt idx="179">
                  <c:v>-2.9969999999999999</c:v>
                </c:pt>
                <c:pt idx="180">
                  <c:v>-0.69199999999999995</c:v>
                </c:pt>
                <c:pt idx="181">
                  <c:v>-0.159</c:v>
                </c:pt>
                <c:pt idx="182">
                  <c:v>5.6139999999999999</c:v>
                </c:pt>
                <c:pt idx="183">
                  <c:v>-0.223</c:v>
                </c:pt>
                <c:pt idx="184">
                  <c:v>8.8800000000000008</c:v>
                </c:pt>
                <c:pt idx="185">
                  <c:v>5.9470000000000001</c:v>
                </c:pt>
                <c:pt idx="186">
                  <c:v>3.6259999999999999</c:v>
                </c:pt>
                <c:pt idx="187">
                  <c:v>2.9470000000000001</c:v>
                </c:pt>
                <c:pt idx="188">
                  <c:v>-0.2</c:v>
                </c:pt>
                <c:pt idx="189">
                  <c:v>0.60299999999999998</c:v>
                </c:pt>
                <c:pt idx="190">
                  <c:v>7.79</c:v>
                </c:pt>
                <c:pt idx="191">
                  <c:v>6.4850000000000003</c:v>
                </c:pt>
                <c:pt idx="192">
                  <c:v>3.8319999999999999</c:v>
                </c:pt>
                <c:pt idx="193">
                  <c:v>3.0710000000000002</c:v>
                </c:pt>
                <c:pt idx="194">
                  <c:v>4.2229999999999999</c:v>
                </c:pt>
                <c:pt idx="195">
                  <c:v>3.0089999999999999</c:v>
                </c:pt>
                <c:pt idx="196">
                  <c:v>1.506</c:v>
                </c:pt>
                <c:pt idx="197">
                  <c:v>7.03</c:v>
                </c:pt>
                <c:pt idx="198">
                  <c:v>2.78</c:v>
                </c:pt>
                <c:pt idx="199">
                  <c:v>0.86599999999999999</c:v>
                </c:pt>
                <c:pt idx="200">
                  <c:v>2.6989999999999998</c:v>
                </c:pt>
                <c:pt idx="201">
                  <c:v>-7.8E-2</c:v>
                </c:pt>
                <c:pt idx="202">
                  <c:v>2.3889999999999998</c:v>
                </c:pt>
                <c:pt idx="203">
                  <c:v>5.9260000000000002</c:v>
                </c:pt>
                <c:pt idx="204">
                  <c:v>0.498</c:v>
                </c:pt>
                <c:pt idx="205">
                  <c:v>-1.494</c:v>
                </c:pt>
                <c:pt idx="206">
                  <c:v>1.361</c:v>
                </c:pt>
                <c:pt idx="207">
                  <c:v>3.11</c:v>
                </c:pt>
                <c:pt idx="208">
                  <c:v>-0.34200000000000003</c:v>
                </c:pt>
                <c:pt idx="209">
                  <c:v>1.012</c:v>
                </c:pt>
                <c:pt idx="210">
                  <c:v>3.15</c:v>
                </c:pt>
                <c:pt idx="211">
                  <c:v>0.623</c:v>
                </c:pt>
                <c:pt idx="212">
                  <c:v>2.3479999999999999</c:v>
                </c:pt>
                <c:pt idx="213">
                  <c:v>6.5049999999999999</c:v>
                </c:pt>
                <c:pt idx="214">
                  <c:v>-0.50700000000000001</c:v>
                </c:pt>
                <c:pt idx="215">
                  <c:v>-1.1659999999999999</c:v>
                </c:pt>
                <c:pt idx="216">
                  <c:v>0.68500000000000005</c:v>
                </c:pt>
                <c:pt idx="217">
                  <c:v>2.6579999999999999</c:v>
                </c:pt>
                <c:pt idx="218">
                  <c:v>0.64400000000000002</c:v>
                </c:pt>
                <c:pt idx="219">
                  <c:v>4.0590000000000002</c:v>
                </c:pt>
                <c:pt idx="220">
                  <c:v>6.9249999999999998</c:v>
                </c:pt>
                <c:pt idx="221">
                  <c:v>9.94</c:v>
                </c:pt>
                <c:pt idx="222">
                  <c:v>7.83</c:v>
                </c:pt>
                <c:pt idx="223">
                  <c:v>6.57</c:v>
                </c:pt>
                <c:pt idx="224">
                  <c:v>1.65</c:v>
                </c:pt>
                <c:pt idx="225">
                  <c:v>2.8450000000000002</c:v>
                </c:pt>
                <c:pt idx="226">
                  <c:v>1.32</c:v>
                </c:pt>
                <c:pt idx="227">
                  <c:v>2.9689999999999999</c:v>
                </c:pt>
                <c:pt idx="228">
                  <c:v>1.835</c:v>
                </c:pt>
                <c:pt idx="229">
                  <c:v>-9.9000000000000005E-2</c:v>
                </c:pt>
                <c:pt idx="230">
                  <c:v>3.46</c:v>
                </c:pt>
                <c:pt idx="231">
                  <c:v>0.93100000000000005</c:v>
                </c:pt>
                <c:pt idx="232">
                  <c:v>3.8330000000000002</c:v>
                </c:pt>
                <c:pt idx="233">
                  <c:v>0.314</c:v>
                </c:pt>
                <c:pt idx="234">
                  <c:v>0.72699999999999998</c:v>
                </c:pt>
                <c:pt idx="235">
                  <c:v>0.623</c:v>
                </c:pt>
                <c:pt idx="236">
                  <c:v>1.2989999999999999</c:v>
                </c:pt>
                <c:pt idx="237">
                  <c:v>-1.4510000000000001</c:v>
                </c:pt>
                <c:pt idx="238">
                  <c:v>-1.657</c:v>
                </c:pt>
                <c:pt idx="239">
                  <c:v>1.1339999999999999</c:v>
                </c:pt>
                <c:pt idx="240">
                  <c:v>8.6999999999999994E-2</c:v>
                </c:pt>
                <c:pt idx="241">
                  <c:v>5.8209999999999997</c:v>
                </c:pt>
                <c:pt idx="242">
                  <c:v>7.32</c:v>
                </c:pt>
                <c:pt idx="243">
                  <c:v>4.2229999999999999</c:v>
                </c:pt>
                <c:pt idx="244">
                  <c:v>1.506</c:v>
                </c:pt>
                <c:pt idx="245">
                  <c:v>2.5000000000000001E-2</c:v>
                </c:pt>
                <c:pt idx="246">
                  <c:v>2.2029999999999998</c:v>
                </c:pt>
                <c:pt idx="247">
                  <c:v>8.6999999999999994E-2</c:v>
                </c:pt>
                <c:pt idx="248">
                  <c:v>5.5720000000000001</c:v>
                </c:pt>
                <c:pt idx="249">
                  <c:v>1.65</c:v>
                </c:pt>
                <c:pt idx="250">
                  <c:v>7.2</c:v>
                </c:pt>
                <c:pt idx="251">
                  <c:v>4.202</c:v>
                </c:pt>
                <c:pt idx="252">
                  <c:v>3.3980000000000001</c:v>
                </c:pt>
                <c:pt idx="253">
                  <c:v>4.3070000000000004</c:v>
                </c:pt>
                <c:pt idx="254">
                  <c:v>1.9770000000000001</c:v>
                </c:pt>
                <c:pt idx="255">
                  <c:v>5.0129999999999999</c:v>
                </c:pt>
                <c:pt idx="256">
                  <c:v>5.7590000000000003</c:v>
                </c:pt>
                <c:pt idx="257">
                  <c:v>4.8680000000000003</c:v>
                </c:pt>
                <c:pt idx="258">
                  <c:v>2.2440000000000002</c:v>
                </c:pt>
                <c:pt idx="259">
                  <c:v>2.7610000000000001</c:v>
                </c:pt>
                <c:pt idx="260">
                  <c:v>3.2109999999999999</c:v>
                </c:pt>
                <c:pt idx="261">
                  <c:v>-0.42899999999999999</c:v>
                </c:pt>
                <c:pt idx="262">
                  <c:v>-1.373</c:v>
                </c:pt>
                <c:pt idx="263">
                  <c:v>-2.5430000000000001</c:v>
                </c:pt>
                <c:pt idx="264">
                  <c:v>-0.81599999999999995</c:v>
                </c:pt>
                <c:pt idx="265">
                  <c:v>3.9529999999999998</c:v>
                </c:pt>
                <c:pt idx="266">
                  <c:v>-2.1739999999999999</c:v>
                </c:pt>
                <c:pt idx="267">
                  <c:v>-2.915</c:v>
                </c:pt>
                <c:pt idx="268">
                  <c:v>-0.67200000000000004</c:v>
                </c:pt>
                <c:pt idx="269">
                  <c:v>-1.1879999999999999</c:v>
                </c:pt>
                <c:pt idx="270">
                  <c:v>-2.73</c:v>
                </c:pt>
                <c:pt idx="271">
                  <c:v>-6.5629999999999997</c:v>
                </c:pt>
                <c:pt idx="272">
                  <c:v>-6.71</c:v>
                </c:pt>
                <c:pt idx="273">
                  <c:v>-8.68</c:v>
                </c:pt>
                <c:pt idx="274">
                  <c:v>-5.7220000000000004</c:v>
                </c:pt>
                <c:pt idx="275">
                  <c:v>-1.1879999999999999</c:v>
                </c:pt>
                <c:pt idx="276">
                  <c:v>-3.0190000000000001</c:v>
                </c:pt>
                <c:pt idx="277">
                  <c:v>-5.0919999999999996</c:v>
                </c:pt>
                <c:pt idx="278">
                  <c:v>-8.14</c:v>
                </c:pt>
                <c:pt idx="279">
                  <c:v>1.423</c:v>
                </c:pt>
                <c:pt idx="280">
                  <c:v>-6.6269999999999998</c:v>
                </c:pt>
                <c:pt idx="281">
                  <c:v>-13.83</c:v>
                </c:pt>
                <c:pt idx="282">
                  <c:v>-15.6</c:v>
                </c:pt>
                <c:pt idx="283">
                  <c:v>-12.42</c:v>
                </c:pt>
                <c:pt idx="284">
                  <c:v>-7.22</c:v>
                </c:pt>
                <c:pt idx="285">
                  <c:v>-0.53200000000000003</c:v>
                </c:pt>
                <c:pt idx="286">
                  <c:v>-3.7450000000000001</c:v>
                </c:pt>
                <c:pt idx="287">
                  <c:v>-3.4950000000000001</c:v>
                </c:pt>
                <c:pt idx="288">
                  <c:v>0.435</c:v>
                </c:pt>
                <c:pt idx="289">
                  <c:v>-0.61399999999999999</c:v>
                </c:pt>
                <c:pt idx="290">
                  <c:v>-2.2360000000000002</c:v>
                </c:pt>
                <c:pt idx="291">
                  <c:v>-7.33</c:v>
                </c:pt>
                <c:pt idx="292">
                  <c:v>-6.7720000000000002</c:v>
                </c:pt>
                <c:pt idx="293">
                  <c:v>-2.6920000000000002</c:v>
                </c:pt>
                <c:pt idx="294">
                  <c:v>-0.59199999999999997</c:v>
                </c:pt>
                <c:pt idx="295">
                  <c:v>-4.9269999999999996</c:v>
                </c:pt>
                <c:pt idx="296">
                  <c:v>-3.7629999999999999</c:v>
                </c:pt>
                <c:pt idx="297">
                  <c:v>-2.629</c:v>
                </c:pt>
                <c:pt idx="298">
                  <c:v>-7.67</c:v>
                </c:pt>
                <c:pt idx="299">
                  <c:v>-11.33</c:v>
                </c:pt>
                <c:pt idx="300">
                  <c:v>-15.68</c:v>
                </c:pt>
                <c:pt idx="301">
                  <c:v>-23.61</c:v>
                </c:pt>
                <c:pt idx="302">
                  <c:v>-16.48</c:v>
                </c:pt>
                <c:pt idx="303">
                  <c:v>-12.02</c:v>
                </c:pt>
                <c:pt idx="304">
                  <c:v>-15.5</c:v>
                </c:pt>
                <c:pt idx="305">
                  <c:v>-2.7120000000000002</c:v>
                </c:pt>
                <c:pt idx="306">
                  <c:v>-1.988</c:v>
                </c:pt>
                <c:pt idx="307">
                  <c:v>-4.9459999999999997</c:v>
                </c:pt>
                <c:pt idx="308">
                  <c:v>-6.9630000000000001</c:v>
                </c:pt>
                <c:pt idx="309">
                  <c:v>-7.8</c:v>
                </c:pt>
                <c:pt idx="310">
                  <c:v>-9.3800000000000008</c:v>
                </c:pt>
                <c:pt idx="311">
                  <c:v>-2.36</c:v>
                </c:pt>
                <c:pt idx="312">
                  <c:v>-0.94099999999999995</c:v>
                </c:pt>
                <c:pt idx="313">
                  <c:v>-9.6199999999999992</c:v>
                </c:pt>
                <c:pt idx="314">
                  <c:v>-11.63</c:v>
                </c:pt>
                <c:pt idx="315">
                  <c:v>-2.7530000000000001</c:v>
                </c:pt>
                <c:pt idx="316">
                  <c:v>-5.7640000000000002</c:v>
                </c:pt>
                <c:pt idx="317">
                  <c:v>-4.8029999999999999</c:v>
                </c:pt>
                <c:pt idx="318">
                  <c:v>-1.4350000000000001</c:v>
                </c:pt>
                <c:pt idx="319">
                  <c:v>-5.0090000000000003</c:v>
                </c:pt>
                <c:pt idx="320">
                  <c:v>-2.0710000000000002</c:v>
                </c:pt>
                <c:pt idx="321">
                  <c:v>-3.786</c:v>
                </c:pt>
                <c:pt idx="322">
                  <c:v>-4.8860000000000001</c:v>
                </c:pt>
                <c:pt idx="323">
                  <c:v>-13.61</c:v>
                </c:pt>
                <c:pt idx="324">
                  <c:v>-14.61</c:v>
                </c:pt>
                <c:pt idx="325">
                  <c:v>-13.73</c:v>
                </c:pt>
                <c:pt idx="326">
                  <c:v>-5.7640000000000002</c:v>
                </c:pt>
                <c:pt idx="327">
                  <c:v>-5.407</c:v>
                </c:pt>
                <c:pt idx="328">
                  <c:v>-16.100000000000001</c:v>
                </c:pt>
                <c:pt idx="329">
                  <c:v>-21.86</c:v>
                </c:pt>
                <c:pt idx="330">
                  <c:v>-16.309999999999999</c:v>
                </c:pt>
                <c:pt idx="331">
                  <c:v>-22.97</c:v>
                </c:pt>
                <c:pt idx="332">
                  <c:v>-24.51</c:v>
                </c:pt>
                <c:pt idx="333">
                  <c:v>-20.03</c:v>
                </c:pt>
                <c:pt idx="334">
                  <c:v>-14.66</c:v>
                </c:pt>
                <c:pt idx="335">
                  <c:v>-8.23</c:v>
                </c:pt>
                <c:pt idx="336">
                  <c:v>-2.3809999999999998</c:v>
                </c:pt>
                <c:pt idx="337">
                  <c:v>-11.08</c:v>
                </c:pt>
                <c:pt idx="338">
                  <c:v>-16.89</c:v>
                </c:pt>
                <c:pt idx="339">
                  <c:v>-3.4950000000000001</c:v>
                </c:pt>
                <c:pt idx="340">
                  <c:v>-2.1139999999999999</c:v>
                </c:pt>
                <c:pt idx="341">
                  <c:v>-11.77</c:v>
                </c:pt>
                <c:pt idx="342">
                  <c:v>-15.81</c:v>
                </c:pt>
                <c:pt idx="343">
                  <c:v>-13.25</c:v>
                </c:pt>
                <c:pt idx="344">
                  <c:v>-9.4</c:v>
                </c:pt>
                <c:pt idx="345">
                  <c:v>-10.72</c:v>
                </c:pt>
                <c:pt idx="346">
                  <c:v>-8.4700000000000006</c:v>
                </c:pt>
                <c:pt idx="347">
                  <c:v>-10.4</c:v>
                </c:pt>
                <c:pt idx="348">
                  <c:v>-18.63</c:v>
                </c:pt>
                <c:pt idx="349">
                  <c:v>-22.47</c:v>
                </c:pt>
                <c:pt idx="350">
                  <c:v>-8.57</c:v>
                </c:pt>
                <c:pt idx="351">
                  <c:v>-7.97</c:v>
                </c:pt>
                <c:pt idx="352">
                  <c:v>-8.23</c:v>
                </c:pt>
                <c:pt idx="353">
                  <c:v>-4.3860000000000001</c:v>
                </c:pt>
                <c:pt idx="354">
                  <c:v>-5.2190000000000003</c:v>
                </c:pt>
                <c:pt idx="355">
                  <c:v>-14.61</c:v>
                </c:pt>
                <c:pt idx="356">
                  <c:v>-10.85</c:v>
                </c:pt>
                <c:pt idx="357">
                  <c:v>-15.86</c:v>
                </c:pt>
                <c:pt idx="358">
                  <c:v>-21.63</c:v>
                </c:pt>
                <c:pt idx="359">
                  <c:v>-25.34</c:v>
                </c:pt>
                <c:pt idx="360">
                  <c:v>-14</c:v>
                </c:pt>
                <c:pt idx="361">
                  <c:v>-18.149999999999999</c:v>
                </c:pt>
                <c:pt idx="362">
                  <c:v>-10.51</c:v>
                </c:pt>
                <c:pt idx="363">
                  <c:v>-13.03</c:v>
                </c:pt>
                <c:pt idx="364">
                  <c:v>-6.3739999999999997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94592"/>
        <c:axId val="148496384"/>
      </c:lineChart>
      <c:catAx>
        <c:axId val="14849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96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96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9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114300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80961</xdr:colOff>
      <xdr:row>61</xdr:row>
      <xdr:rowOff>128586</xdr:rowOff>
    </xdr:from>
    <xdr:to>
      <xdr:col>18</xdr:col>
      <xdr:colOff>104774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18</xdr:col>
      <xdr:colOff>66675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95250</xdr:colOff>
      <xdr:row>145</xdr:row>
      <xdr:rowOff>38100</xdr:rowOff>
    </xdr:from>
    <xdr:to>
      <xdr:col>18</xdr:col>
      <xdr:colOff>19050</xdr:colOff>
      <xdr:row>164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164</xdr:row>
      <xdr:rowOff>85725</xdr:rowOff>
    </xdr:from>
    <xdr:to>
      <xdr:col>18</xdr:col>
      <xdr:colOff>47625</xdr:colOff>
      <xdr:row>183</xdr:row>
      <xdr:rowOff>104775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124</xdr:row>
      <xdr:rowOff>0</xdr:rowOff>
    </xdr:from>
    <xdr:to>
      <xdr:col>17</xdr:col>
      <xdr:colOff>519113</xdr:colOff>
      <xdr:row>144</xdr:row>
      <xdr:rowOff>90488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3" width="6.7109375" style="2" customWidth="1"/>
    <col min="34" max="40" width="6.7109375" style="1" customWidth="1"/>
    <col min="41" max="41" width="10.7109375" style="1" customWidth="1"/>
    <col min="42" max="48" width="6.7109375" style="1" customWidth="1"/>
    <col min="49" max="49" width="6.7109375" style="27" customWidth="1"/>
    <col min="50" max="80" width="6.7109375" style="1" customWidth="1"/>
    <col min="81" max="16384" width="9.140625" style="1"/>
  </cols>
  <sheetData>
    <row r="1" spans="1:80" x14ac:dyDescent="0.2">
      <c r="A1" s="1" t="s">
        <v>131</v>
      </c>
      <c r="G1" s="25" t="s">
        <v>41</v>
      </c>
      <c r="AE1" s="1"/>
      <c r="AF1" s="1"/>
      <c r="AG1" s="1"/>
      <c r="AP1" s="1">
        <v>2.4500000000000002</v>
      </c>
      <c r="AS1" s="1" t="s">
        <v>41</v>
      </c>
      <c r="AW1" s="2"/>
      <c r="AY1" s="1">
        <f>MAX(AY6:AY370)</f>
        <v>99.7</v>
      </c>
      <c r="AZ1" s="1">
        <v>0.97</v>
      </c>
      <c r="BA1" s="1" t="s">
        <v>73</v>
      </c>
      <c r="BE1" s="1" t="str">
        <f>A1</f>
        <v>Penticton Creek Site PK 2019, Daily data</v>
      </c>
    </row>
    <row r="2" spans="1:80" x14ac:dyDescent="0.2">
      <c r="A2" s="1" t="s">
        <v>140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M2" s="1" t="s">
        <v>114</v>
      </c>
      <c r="AQ2" s="1" t="s">
        <v>24</v>
      </c>
      <c r="AS2" s="1" t="s">
        <v>42</v>
      </c>
      <c r="AW2" s="29" t="s">
        <v>132</v>
      </c>
      <c r="AX2" s="29"/>
      <c r="AY2" s="1" t="s">
        <v>75</v>
      </c>
      <c r="AZ2" s="1">
        <v>-0.5</v>
      </c>
      <c r="BB2" s="1" t="s">
        <v>83</v>
      </c>
      <c r="BE2" s="1" t="s">
        <v>95</v>
      </c>
      <c r="CA2" s="1" t="s">
        <v>105</v>
      </c>
    </row>
    <row r="3" spans="1:80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4" t="s">
        <v>32</v>
      </c>
      <c r="AF3" s="4"/>
      <c r="AG3" s="4"/>
      <c r="AH3" s="4" t="s">
        <v>40</v>
      </c>
      <c r="AI3" s="4"/>
      <c r="AJ3" s="4" t="s">
        <v>37</v>
      </c>
      <c r="AK3" s="4" t="s">
        <v>111</v>
      </c>
      <c r="AL3" s="4" t="s">
        <v>40</v>
      </c>
      <c r="AM3" s="3" t="s">
        <v>22</v>
      </c>
      <c r="AN3" s="3" t="s">
        <v>23</v>
      </c>
      <c r="AO3" s="1" t="s">
        <v>6</v>
      </c>
      <c r="AP3" s="1" t="s">
        <v>28</v>
      </c>
      <c r="AQ3" s="4" t="s">
        <v>44</v>
      </c>
      <c r="AR3" s="1" t="s">
        <v>8</v>
      </c>
      <c r="AS3" s="1" t="s">
        <v>2</v>
      </c>
      <c r="AT3" s="1" t="s">
        <v>43</v>
      </c>
      <c r="AU3" s="1" t="s">
        <v>29</v>
      </c>
      <c r="AW3" s="29" t="s">
        <v>52</v>
      </c>
      <c r="AX3" s="29" t="s">
        <v>57</v>
      </c>
      <c r="AY3" s="3" t="s">
        <v>77</v>
      </c>
      <c r="AZ3" s="3" t="s">
        <v>76</v>
      </c>
      <c r="BA3" s="3" t="s">
        <v>74</v>
      </c>
      <c r="BB3" s="1" t="s">
        <v>72</v>
      </c>
      <c r="BC3" s="1" t="s">
        <v>84</v>
      </c>
      <c r="BE3" s="1" t="s">
        <v>2</v>
      </c>
      <c r="BF3" s="1" t="s">
        <v>30</v>
      </c>
      <c r="BG3" s="1" t="s">
        <v>85</v>
      </c>
      <c r="BH3" s="1" t="s">
        <v>86</v>
      </c>
      <c r="BI3" s="1" t="s">
        <v>87</v>
      </c>
      <c r="BJ3" s="1" t="s">
        <v>76</v>
      </c>
      <c r="BK3" s="1" t="s">
        <v>74</v>
      </c>
      <c r="BL3" s="1" t="s">
        <v>17</v>
      </c>
      <c r="BM3" s="1" t="s">
        <v>106</v>
      </c>
      <c r="BN3" s="1" t="s">
        <v>80</v>
      </c>
      <c r="BO3" s="1" t="s">
        <v>88</v>
      </c>
      <c r="BP3" s="1" t="s">
        <v>81</v>
      </c>
      <c r="BQ3" s="1" t="s">
        <v>108</v>
      </c>
      <c r="BR3" s="1" t="s">
        <v>109</v>
      </c>
      <c r="BS3" s="1" t="s">
        <v>110</v>
      </c>
      <c r="BT3" s="3" t="s">
        <v>107</v>
      </c>
      <c r="BU3" s="3" t="s">
        <v>139</v>
      </c>
      <c r="BV3" s="1" t="s">
        <v>13</v>
      </c>
      <c r="BW3" s="4" t="s">
        <v>111</v>
      </c>
      <c r="BX3" s="1" t="s">
        <v>72</v>
      </c>
      <c r="BY3" s="1" t="s">
        <v>84</v>
      </c>
      <c r="CA3" s="1" t="s">
        <v>86</v>
      </c>
      <c r="CB3" s="1" t="s">
        <v>87</v>
      </c>
    </row>
    <row r="4" spans="1:80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33</v>
      </c>
      <c r="AF4" s="1" t="s">
        <v>34</v>
      </c>
      <c r="AG4" s="1" t="s">
        <v>35</v>
      </c>
      <c r="AH4" s="1" t="s">
        <v>34</v>
      </c>
      <c r="AI4" s="1" t="s">
        <v>35</v>
      </c>
      <c r="AJ4" s="1" t="s">
        <v>36</v>
      </c>
      <c r="AK4" s="1" t="s">
        <v>112</v>
      </c>
      <c r="AL4" s="1" t="s">
        <v>115</v>
      </c>
      <c r="AM4" s="1" t="s">
        <v>39</v>
      </c>
      <c r="AN4" s="1" t="s">
        <v>39</v>
      </c>
      <c r="AP4" s="1" t="s">
        <v>26</v>
      </c>
      <c r="AQ4" s="3" t="s">
        <v>39</v>
      </c>
      <c r="AR4" s="1" t="s">
        <v>20</v>
      </c>
      <c r="AS4" s="1" t="s">
        <v>20</v>
      </c>
      <c r="AT4" s="1" t="s">
        <v>20</v>
      </c>
      <c r="AW4" s="29" t="s">
        <v>16</v>
      </c>
      <c r="AX4" s="29" t="s">
        <v>16</v>
      </c>
      <c r="AY4" s="1" t="s">
        <v>15</v>
      </c>
      <c r="AZ4" s="1" t="s">
        <v>15</v>
      </c>
      <c r="BA4" s="1" t="s">
        <v>15</v>
      </c>
      <c r="BB4" s="1" t="s">
        <v>71</v>
      </c>
      <c r="BC4" s="1" t="s">
        <v>71</v>
      </c>
      <c r="BE4" s="3" t="s">
        <v>20</v>
      </c>
      <c r="BF4" s="3" t="s">
        <v>20</v>
      </c>
      <c r="BG4" s="3" t="s">
        <v>39</v>
      </c>
      <c r="BH4" s="3" t="s">
        <v>39</v>
      </c>
      <c r="BI4" s="3" t="s">
        <v>39</v>
      </c>
      <c r="BJ4" s="3" t="s">
        <v>15</v>
      </c>
      <c r="BK4" s="3" t="s">
        <v>15</v>
      </c>
      <c r="BL4" s="3" t="s">
        <v>89</v>
      </c>
      <c r="BM4" s="3" t="s">
        <v>89</v>
      </c>
      <c r="BN4" s="3" t="s">
        <v>16</v>
      </c>
      <c r="BO4" s="3" t="s">
        <v>26</v>
      </c>
      <c r="BP4" s="3" t="s">
        <v>39</v>
      </c>
      <c r="BQ4" s="3" t="s">
        <v>39</v>
      </c>
      <c r="BR4" s="3" t="s">
        <v>39</v>
      </c>
      <c r="BS4" s="3" t="s">
        <v>39</v>
      </c>
      <c r="BT4" s="3" t="s">
        <v>39</v>
      </c>
      <c r="BU4" s="3" t="s">
        <v>39</v>
      </c>
      <c r="BV4" s="3" t="s">
        <v>39</v>
      </c>
      <c r="BW4" s="1" t="s">
        <v>112</v>
      </c>
      <c r="BX4" s="1" t="s">
        <v>71</v>
      </c>
      <c r="BY4" s="1" t="s">
        <v>71</v>
      </c>
      <c r="CA4" s="1" t="s">
        <v>39</v>
      </c>
      <c r="CB4" s="1" t="s">
        <v>39</v>
      </c>
    </row>
    <row r="5" spans="1:80" x14ac:dyDescent="0.2">
      <c r="AD5" s="1"/>
      <c r="AE5" s="1"/>
      <c r="AF5" s="1"/>
      <c r="AG5" s="1"/>
      <c r="AP5" s="1">
        <v>0.65600000000000003</v>
      </c>
      <c r="AR5" s="5"/>
      <c r="AS5" s="5"/>
      <c r="AT5" s="5"/>
      <c r="AU5" s="5"/>
      <c r="AV5" s="5"/>
      <c r="AW5"/>
      <c r="BO5"/>
    </row>
    <row r="6" spans="1:80" x14ac:dyDescent="0.2">
      <c r="A6" s="6">
        <v>43466</v>
      </c>
      <c r="B6" s="2">
        <v>1</v>
      </c>
      <c r="C6" s="2">
        <v>21</v>
      </c>
      <c r="D6" s="2">
        <v>13.14</v>
      </c>
      <c r="E6" s="2">
        <v>0.84499999999999997</v>
      </c>
      <c r="F6" s="2">
        <v>-9.56</v>
      </c>
      <c r="G6" s="2">
        <v>-5.774</v>
      </c>
      <c r="H6" s="2">
        <v>92.3</v>
      </c>
      <c r="I6" s="2">
        <v>-3.625</v>
      </c>
      <c r="J6" s="2">
        <v>-0.42899999999999999</v>
      </c>
      <c r="K6" s="2">
        <v>-0.40699999999999997</v>
      </c>
      <c r="L6" s="2">
        <v>1.145</v>
      </c>
      <c r="M6" s="2">
        <v>-0.7</v>
      </c>
      <c r="N6" s="2">
        <v>99.5</v>
      </c>
      <c r="O6" s="2">
        <v>-3.173</v>
      </c>
      <c r="P6" s="2">
        <v>4.2999999999999997E-2</v>
      </c>
      <c r="Q6" s="2">
        <v>5.3999999999999999E-2</v>
      </c>
      <c r="R6" s="2">
        <v>1.407</v>
      </c>
      <c r="S6" s="2">
        <v>-10.210000000000001</v>
      </c>
      <c r="T6" s="2">
        <v>80.599999999999994</v>
      </c>
      <c r="U6" s="2">
        <v>-3.887</v>
      </c>
      <c r="V6" s="2">
        <v>-0.57699999999999996</v>
      </c>
      <c r="W6" s="2">
        <v>-0.54900000000000004</v>
      </c>
      <c r="X6" s="2">
        <v>1.02</v>
      </c>
      <c r="Y6" s="2">
        <v>1.8080000000000001</v>
      </c>
      <c r="Z6" s="2">
        <v>0</v>
      </c>
      <c r="AA6" s="2">
        <v>1.202</v>
      </c>
      <c r="AB6" s="2">
        <v>1.8979999999999999</v>
      </c>
      <c r="AC6" s="2">
        <v>0.41799999999999998</v>
      </c>
      <c r="AD6" s="2">
        <v>2.9</v>
      </c>
      <c r="AE6" s="2">
        <v>-6.7539999999999996</v>
      </c>
      <c r="AF6" s="2">
        <v>-2.032</v>
      </c>
      <c r="AG6" s="2">
        <v>-17.25</v>
      </c>
      <c r="AH6" s="2">
        <v>-2.032</v>
      </c>
      <c r="AI6" s="2">
        <v>-17.25</v>
      </c>
      <c r="AJ6" s="2" t="s">
        <v>113</v>
      </c>
      <c r="AK6" s="2" t="s">
        <v>113</v>
      </c>
      <c r="AL6" s="2">
        <v>-5.5659999999999998</v>
      </c>
      <c r="AM6" s="2">
        <v>0.28999999999999998</v>
      </c>
      <c r="AN6" s="2">
        <v>-10.57</v>
      </c>
      <c r="AO6" s="2"/>
      <c r="AP6" s="1">
        <f t="shared" ref="AP6:AP69" si="0">AP$1-Y6</f>
        <v>0.64200000000000013</v>
      </c>
      <c r="AQ6" s="22">
        <f t="shared" ref="AQ6:AQ37" si="1">ROUND(AVERAGE(I6:K6),1)</f>
        <v>-1.5</v>
      </c>
      <c r="AR6" s="5">
        <v>5.14</v>
      </c>
      <c r="AS6" s="5">
        <v>2.04</v>
      </c>
      <c r="AT6" s="5">
        <v>1.89</v>
      </c>
      <c r="AU6" s="7">
        <f>IF(OR(AS6="NAN",AT6="NAN"),"NAN",ROUND(AT6/AS6,3))</f>
        <v>0.92600000000000005</v>
      </c>
      <c r="AV6" s="16"/>
      <c r="AW6" s="29">
        <v>0</v>
      </c>
      <c r="AX6" s="29">
        <v>638</v>
      </c>
      <c r="AY6" s="1">
        <f t="shared" ref="AY6:AY37" si="2">ROUND(AZ$1*N6+AZ$2,1)</f>
        <v>96</v>
      </c>
      <c r="AZ6" s="1">
        <f t="shared" ref="AZ6:AZ37" si="3">ROUND(H6*AZ$1+AZ$2,1)</f>
        <v>89</v>
      </c>
      <c r="BA6" s="1">
        <f t="shared" ref="BA6:BA37" si="4">ROUND(T6*AZ$1+AZ$2,1)</f>
        <v>77.7</v>
      </c>
      <c r="BB6" s="8">
        <f t="shared" ref="BB6:BB37" si="5">ROUND((0.6105*(EXP((17.273*M6)/(M6+237.3))))*BA6/100,3)</f>
        <v>0.45100000000000001</v>
      </c>
      <c r="BC6" s="8">
        <f t="shared" ref="BC6:BC37" si="6">ROUND(BB6/BA6*(100-BA6),3)</f>
        <v>0.129</v>
      </c>
      <c r="BE6" s="5">
        <f t="shared" ref="BE6:BE69" si="7">AS6</f>
        <v>2.04</v>
      </c>
      <c r="BF6" s="5">
        <f t="shared" ref="BF6:BF69" si="8">AT6</f>
        <v>1.89</v>
      </c>
      <c r="BG6" s="1">
        <f t="shared" ref="BG6:BG37" si="9">ROUND(G6,1)</f>
        <v>-5.8</v>
      </c>
      <c r="BH6" s="1">
        <f t="shared" ref="BH6:BH37" si="10">ROUND(M6,1)</f>
        <v>-0.7</v>
      </c>
      <c r="BI6" s="1">
        <f t="shared" ref="BI6:BI37" si="11">ROUND(S6,1)</f>
        <v>-10.199999999999999</v>
      </c>
      <c r="BJ6" s="1">
        <f t="shared" ref="BJ6:BJ69" si="12">AZ6</f>
        <v>89</v>
      </c>
      <c r="BK6" s="1">
        <f t="shared" ref="BK6:BK69" si="13">BA6</f>
        <v>77.7</v>
      </c>
      <c r="BL6" s="1">
        <f t="shared" ref="BL6" si="14">ROUND(AC6,1)</f>
        <v>0.4</v>
      </c>
      <c r="BM6" s="1">
        <f t="shared" ref="BM6" si="15">ROUND(AD6,1)</f>
        <v>2.9</v>
      </c>
      <c r="BN6" s="21">
        <f t="shared" ref="BN6:BN69" si="16">AW6</f>
        <v>0</v>
      </c>
      <c r="BO6" s="7">
        <f t="shared" ref="BO6:BO69" si="17">AP6</f>
        <v>0.64200000000000013</v>
      </c>
      <c r="BP6" s="21">
        <f t="shared" ref="BP6:BP37" si="18">IF(AQ6="","NAN",AQ6)</f>
        <v>-1.5</v>
      </c>
      <c r="BQ6" s="1">
        <f t="shared" ref="BQ6:BQ69" si="19">IF(AE6="NAN", "NAN", ROUND(AE6,1))</f>
        <v>-6.8</v>
      </c>
      <c r="BR6" s="1">
        <f t="shared" ref="BR6:BR69" si="20">IF(AF6="NAN", "NAN", ROUND(AF6,1))</f>
        <v>-2</v>
      </c>
      <c r="BS6" s="1">
        <f t="shared" ref="BS6:BS69" si="21">IF(AG6="NAN", "NAN", ROUND(AG6,1))</f>
        <v>-17.3</v>
      </c>
      <c r="BT6" s="1">
        <f t="shared" ref="BT6:BT37" si="22">ROUND(K6,1)</f>
        <v>-0.4</v>
      </c>
      <c r="BU6" s="1" t="s">
        <v>113</v>
      </c>
      <c r="BV6" s="1">
        <f t="shared" ref="BV6:BV37" si="23">ROUND(L6,1)</f>
        <v>1.1000000000000001</v>
      </c>
      <c r="BW6" s="1" t="str">
        <f>AK6</f>
        <v>NAN</v>
      </c>
      <c r="BX6" s="1">
        <f>BB6</f>
        <v>0.45100000000000001</v>
      </c>
      <c r="BY6" s="1">
        <f>BC6</f>
        <v>0.129</v>
      </c>
      <c r="CA6" s="1">
        <f t="shared" ref="CA6:CA69" si="24">IF(BR6="NAN","NAN",BR6-BH6)</f>
        <v>-1.3</v>
      </c>
      <c r="CB6" s="1">
        <f t="shared" ref="CB6:CB69" si="25">IF(BS6="NAN","NAN",BS6-BI6)</f>
        <v>-7.1000000000000014</v>
      </c>
    </row>
    <row r="7" spans="1:80" x14ac:dyDescent="0.2">
      <c r="A7" s="9">
        <f>A6+1</f>
        <v>43467</v>
      </c>
      <c r="B7" s="2">
        <v>2</v>
      </c>
      <c r="C7" s="2">
        <v>21</v>
      </c>
      <c r="D7" s="2">
        <v>13.11</v>
      </c>
      <c r="E7" s="2">
        <v>-6.8179999999999996</v>
      </c>
      <c r="F7" s="2">
        <v>-9.3800000000000008</v>
      </c>
      <c r="G7" s="2">
        <v>-8.4499999999999993</v>
      </c>
      <c r="H7" s="2">
        <v>97.4</v>
      </c>
      <c r="I7" s="2">
        <v>-3.31</v>
      </c>
      <c r="J7" s="2">
        <v>-0.44500000000000001</v>
      </c>
      <c r="K7" s="2">
        <v>-0.41899999999999998</v>
      </c>
      <c r="L7" s="2">
        <v>1.131</v>
      </c>
      <c r="M7" s="2">
        <v>-7.32</v>
      </c>
      <c r="N7" s="2">
        <v>99.1</v>
      </c>
      <c r="O7" s="2">
        <v>-3.0649999999999999</v>
      </c>
      <c r="P7" s="2">
        <v>-0.247</v>
      </c>
      <c r="Q7" s="2">
        <v>-0.224</v>
      </c>
      <c r="R7" s="2">
        <v>1.2529999999999999</v>
      </c>
      <c r="S7" s="2">
        <v>-10.130000000000001</v>
      </c>
      <c r="T7" s="2">
        <v>94.8</v>
      </c>
      <c r="U7" s="2">
        <v>-3.4159999999999999</v>
      </c>
      <c r="V7" s="2">
        <v>-0.55000000000000004</v>
      </c>
      <c r="W7" s="2">
        <v>-0.52700000000000002</v>
      </c>
      <c r="X7" s="2">
        <v>1.085</v>
      </c>
      <c r="Y7" s="2">
        <v>1.8260000000000001</v>
      </c>
      <c r="Z7" s="2">
        <v>0</v>
      </c>
      <c r="AA7" s="2">
        <v>0.91900000000000004</v>
      </c>
      <c r="AB7" s="2">
        <v>1.306</v>
      </c>
      <c r="AC7" s="2">
        <v>2.613</v>
      </c>
      <c r="AD7" s="2">
        <v>6.7939999999999996</v>
      </c>
      <c r="AE7" s="2">
        <v>-8.3800000000000008</v>
      </c>
      <c r="AF7" s="2">
        <v>-6.8390000000000004</v>
      </c>
      <c r="AG7" s="2">
        <v>-16.59</v>
      </c>
      <c r="AH7" s="2">
        <v>-6.8390000000000004</v>
      </c>
      <c r="AI7" s="2">
        <v>-16.59</v>
      </c>
      <c r="AJ7" s="2" t="s">
        <v>113</v>
      </c>
      <c r="AK7" s="2" t="s">
        <v>113</v>
      </c>
      <c r="AL7" s="2">
        <v>-8.41</v>
      </c>
      <c r="AM7" s="2">
        <v>-7.36</v>
      </c>
      <c r="AN7" s="2">
        <v>-10.48</v>
      </c>
      <c r="AO7" s="2"/>
      <c r="AP7" s="1">
        <f t="shared" si="0"/>
        <v>0.62400000000000011</v>
      </c>
      <c r="AQ7" s="22">
        <f t="shared" si="1"/>
        <v>-1.4</v>
      </c>
      <c r="AR7" s="5">
        <v>5.18</v>
      </c>
      <c r="AS7" s="5">
        <v>1.4</v>
      </c>
      <c r="AT7" s="5">
        <v>1.3</v>
      </c>
      <c r="AU7" s="7">
        <f t="shared" ref="AU7:AU70" si="26">IF(OR(AS7="NAN",AT7="NAN"),"NAN",ROUND(AT7/AS7,3))</f>
        <v>0.92900000000000005</v>
      </c>
      <c r="AV7" s="16"/>
      <c r="AW7" s="29">
        <v>0</v>
      </c>
      <c r="AX7" s="29">
        <v>620</v>
      </c>
      <c r="AY7" s="1">
        <f t="shared" si="2"/>
        <v>95.6</v>
      </c>
      <c r="AZ7" s="1">
        <f t="shared" si="3"/>
        <v>94</v>
      </c>
      <c r="BA7" s="1">
        <f t="shared" si="4"/>
        <v>91.5</v>
      </c>
      <c r="BB7" s="8">
        <f t="shared" si="5"/>
        <v>0.32200000000000001</v>
      </c>
      <c r="BC7" s="8">
        <f t="shared" si="6"/>
        <v>0.03</v>
      </c>
      <c r="BE7" s="5">
        <f t="shared" si="7"/>
        <v>1.4</v>
      </c>
      <c r="BF7" s="5">
        <f t="shared" si="8"/>
        <v>1.3</v>
      </c>
      <c r="BG7" s="1">
        <f t="shared" si="9"/>
        <v>-8.5</v>
      </c>
      <c r="BH7" s="1">
        <f t="shared" si="10"/>
        <v>-7.3</v>
      </c>
      <c r="BI7" s="1">
        <f t="shared" si="11"/>
        <v>-10.1</v>
      </c>
      <c r="BJ7" s="1">
        <f t="shared" si="12"/>
        <v>94</v>
      </c>
      <c r="BK7" s="1">
        <f t="shared" si="13"/>
        <v>91.5</v>
      </c>
      <c r="BL7" s="1">
        <f t="shared" ref="BL7:BL70" si="27">ROUND(AC7,1)</f>
        <v>2.6</v>
      </c>
      <c r="BM7" s="1">
        <f t="shared" ref="BM7:BM70" si="28">ROUND(AD7,1)</f>
        <v>6.8</v>
      </c>
      <c r="BN7" s="21">
        <f t="shared" si="16"/>
        <v>0</v>
      </c>
      <c r="BO7" s="7">
        <f t="shared" si="17"/>
        <v>0.62400000000000011</v>
      </c>
      <c r="BP7" s="21">
        <f t="shared" si="18"/>
        <v>-1.4</v>
      </c>
      <c r="BQ7" s="1">
        <f t="shared" si="19"/>
        <v>-8.4</v>
      </c>
      <c r="BR7" s="1">
        <f t="shared" si="20"/>
        <v>-6.8</v>
      </c>
      <c r="BS7" s="1">
        <f t="shared" si="21"/>
        <v>-16.600000000000001</v>
      </c>
      <c r="BT7" s="1">
        <f t="shared" si="22"/>
        <v>-0.4</v>
      </c>
      <c r="BU7" s="1" t="s">
        <v>113</v>
      </c>
      <c r="BV7" s="1">
        <f t="shared" si="23"/>
        <v>1.1000000000000001</v>
      </c>
      <c r="BW7" s="1" t="str">
        <f t="shared" ref="BW7:BW70" si="29">AK7</f>
        <v>NAN</v>
      </c>
      <c r="BX7" s="1">
        <f t="shared" ref="BX7:BX70" si="30">BB7</f>
        <v>0.32200000000000001</v>
      </c>
      <c r="BY7" s="1">
        <f t="shared" ref="BY7:BY70" si="31">BC7</f>
        <v>0.03</v>
      </c>
      <c r="CA7" s="1">
        <f t="shared" si="24"/>
        <v>0.5</v>
      </c>
      <c r="CB7" s="1">
        <f t="shared" si="25"/>
        <v>-6.5000000000000018</v>
      </c>
    </row>
    <row r="8" spans="1:80" x14ac:dyDescent="0.2">
      <c r="A8" s="9">
        <f t="shared" ref="A8:A71" si="32">A7+1</f>
        <v>43468</v>
      </c>
      <c r="B8" s="2">
        <v>3</v>
      </c>
      <c r="C8" s="2">
        <v>21</v>
      </c>
      <c r="D8" s="2">
        <v>13.16</v>
      </c>
      <c r="E8" s="2">
        <v>-0.67700000000000005</v>
      </c>
      <c r="F8" s="2">
        <v>-7.71</v>
      </c>
      <c r="G8" s="2">
        <v>-3.895</v>
      </c>
      <c r="H8" s="2">
        <v>99.9</v>
      </c>
      <c r="I8" s="2">
        <v>-3.1110000000000002</v>
      </c>
      <c r="J8" s="2">
        <v>-0.41499999999999998</v>
      </c>
      <c r="K8" s="2">
        <v>-0.39200000000000002</v>
      </c>
      <c r="L8" s="2">
        <v>1.113</v>
      </c>
      <c r="M8" s="2">
        <v>3.0000000000000001E-3</v>
      </c>
      <c r="N8" s="2">
        <v>102.1</v>
      </c>
      <c r="O8" s="2">
        <v>-2.69</v>
      </c>
      <c r="P8" s="2">
        <v>-0.29299999999999998</v>
      </c>
      <c r="Q8" s="2">
        <v>-0.28199999999999997</v>
      </c>
      <c r="R8" s="2">
        <v>1.2070000000000001</v>
      </c>
      <c r="S8" s="2">
        <v>-7.53</v>
      </c>
      <c r="T8" s="2">
        <v>97.6</v>
      </c>
      <c r="U8" s="2">
        <v>-3.3839999999999999</v>
      </c>
      <c r="V8" s="2">
        <v>-0.47899999999999998</v>
      </c>
      <c r="W8" s="2">
        <v>-0.45600000000000002</v>
      </c>
      <c r="X8" s="2">
        <v>1.0609999999999999</v>
      </c>
      <c r="Y8" s="2">
        <v>1.833</v>
      </c>
      <c r="Z8" s="2">
        <v>0</v>
      </c>
      <c r="AA8" s="2">
        <v>0.90100000000000002</v>
      </c>
      <c r="AB8" s="2">
        <v>1.2549999999999999</v>
      </c>
      <c r="AC8" s="2">
        <v>2.6560000000000001</v>
      </c>
      <c r="AD8" s="2">
        <v>6.1539999999999999</v>
      </c>
      <c r="AE8" s="2">
        <v>-3.9159999999999999</v>
      </c>
      <c r="AF8" s="2">
        <v>-0.41199999999999998</v>
      </c>
      <c r="AG8" s="2">
        <v>-7</v>
      </c>
      <c r="AH8" s="2">
        <v>-0.41199999999999998</v>
      </c>
      <c r="AI8" s="2">
        <v>-7</v>
      </c>
      <c r="AJ8" s="2" t="s">
        <v>113</v>
      </c>
      <c r="AK8" s="2" t="s">
        <v>113</v>
      </c>
      <c r="AL8" s="2">
        <v>-3.875</v>
      </c>
      <c r="AM8" s="2">
        <v>-0.126</v>
      </c>
      <c r="AN8" s="2">
        <v>-7.47</v>
      </c>
      <c r="AO8" s="2"/>
      <c r="AP8" s="1">
        <f t="shared" si="0"/>
        <v>0.61700000000000021</v>
      </c>
      <c r="AQ8" s="22">
        <f t="shared" si="1"/>
        <v>-1.3</v>
      </c>
      <c r="AR8" s="5">
        <v>5.22</v>
      </c>
      <c r="AS8" s="5">
        <v>1.35</v>
      </c>
      <c r="AT8" s="5">
        <v>1.25</v>
      </c>
      <c r="AU8" s="7">
        <f t="shared" si="26"/>
        <v>0.92600000000000005</v>
      </c>
      <c r="AV8" s="16"/>
      <c r="AW8" s="29">
        <v>2</v>
      </c>
      <c r="AX8" s="29">
        <v>613</v>
      </c>
      <c r="AY8" s="1">
        <f t="shared" si="2"/>
        <v>98.5</v>
      </c>
      <c r="AZ8" s="1">
        <f t="shared" si="3"/>
        <v>96.4</v>
      </c>
      <c r="BA8" s="1">
        <f t="shared" si="4"/>
        <v>94.2</v>
      </c>
      <c r="BB8" s="8">
        <f t="shared" si="5"/>
        <v>0.57499999999999996</v>
      </c>
      <c r="BC8" s="8">
        <f t="shared" si="6"/>
        <v>3.5000000000000003E-2</v>
      </c>
      <c r="BE8" s="5">
        <f t="shared" si="7"/>
        <v>1.35</v>
      </c>
      <c r="BF8" s="5">
        <f t="shared" si="8"/>
        <v>1.25</v>
      </c>
      <c r="BG8" s="1">
        <f t="shared" si="9"/>
        <v>-3.9</v>
      </c>
      <c r="BH8" s="1">
        <f t="shared" si="10"/>
        <v>0</v>
      </c>
      <c r="BI8" s="1">
        <f t="shared" si="11"/>
        <v>-7.5</v>
      </c>
      <c r="BJ8" s="1">
        <f t="shared" si="12"/>
        <v>96.4</v>
      </c>
      <c r="BK8" s="1">
        <f t="shared" si="13"/>
        <v>94.2</v>
      </c>
      <c r="BL8" s="1">
        <f t="shared" si="27"/>
        <v>2.7</v>
      </c>
      <c r="BM8" s="1">
        <f t="shared" si="28"/>
        <v>6.2</v>
      </c>
      <c r="BN8" s="21">
        <f t="shared" si="16"/>
        <v>2</v>
      </c>
      <c r="BO8" s="7">
        <f t="shared" si="17"/>
        <v>0.61700000000000021</v>
      </c>
      <c r="BP8" s="21">
        <f t="shared" si="18"/>
        <v>-1.3</v>
      </c>
      <c r="BQ8" s="1">
        <f t="shared" si="19"/>
        <v>-3.9</v>
      </c>
      <c r="BR8" s="1">
        <f t="shared" si="20"/>
        <v>-0.4</v>
      </c>
      <c r="BS8" s="1">
        <f t="shared" si="21"/>
        <v>-7</v>
      </c>
      <c r="BT8" s="1">
        <f t="shared" si="22"/>
        <v>-0.4</v>
      </c>
      <c r="BU8" s="1" t="s">
        <v>113</v>
      </c>
      <c r="BV8" s="1">
        <f t="shared" si="23"/>
        <v>1.1000000000000001</v>
      </c>
      <c r="BW8" s="1" t="str">
        <f t="shared" si="29"/>
        <v>NAN</v>
      </c>
      <c r="BX8" s="1">
        <f t="shared" si="30"/>
        <v>0.57499999999999996</v>
      </c>
      <c r="BY8" s="1">
        <f t="shared" si="31"/>
        <v>3.5000000000000003E-2</v>
      </c>
      <c r="CA8" s="1">
        <f t="shared" si="24"/>
        <v>-0.4</v>
      </c>
      <c r="CB8" s="1">
        <f t="shared" si="25"/>
        <v>0.5</v>
      </c>
    </row>
    <row r="9" spans="1:80" x14ac:dyDescent="0.2">
      <c r="A9" s="9">
        <f t="shared" si="32"/>
        <v>43469</v>
      </c>
      <c r="B9" s="2">
        <v>4</v>
      </c>
      <c r="C9" s="2">
        <v>21</v>
      </c>
      <c r="D9" s="2">
        <v>13.14</v>
      </c>
      <c r="E9" s="2">
        <v>7.55</v>
      </c>
      <c r="F9" s="2">
        <v>-11.56</v>
      </c>
      <c r="G9" s="2">
        <v>-3.5840000000000001</v>
      </c>
      <c r="H9" s="2">
        <v>98.3</v>
      </c>
      <c r="I9" s="2">
        <v>-2.5419999999999998</v>
      </c>
      <c r="J9" s="2">
        <v>-0.36499999999999999</v>
      </c>
      <c r="K9" s="2">
        <v>-0.34699999999999998</v>
      </c>
      <c r="L9" s="2">
        <v>1.1339999999999999</v>
      </c>
      <c r="M9" s="2">
        <v>1.3240000000000001</v>
      </c>
      <c r="N9" s="2">
        <v>102.1</v>
      </c>
      <c r="O9" s="2">
        <v>-1.1890000000000001</v>
      </c>
      <c r="P9" s="2">
        <v>0.746</v>
      </c>
      <c r="Q9" s="2">
        <v>0.752</v>
      </c>
      <c r="R9" s="2">
        <v>1.6870000000000001</v>
      </c>
      <c r="S9" s="2">
        <v>-11.45</v>
      </c>
      <c r="T9" s="2">
        <v>88.4</v>
      </c>
      <c r="U9" s="2">
        <v>-3.1179999999999999</v>
      </c>
      <c r="V9" s="2">
        <v>-0.59199999999999997</v>
      </c>
      <c r="W9" s="2">
        <v>-0.57499999999999996</v>
      </c>
      <c r="X9" s="2">
        <v>0.95599999999999996</v>
      </c>
      <c r="Y9" s="2">
        <v>1.8520000000000001</v>
      </c>
      <c r="Z9" s="2">
        <v>0</v>
      </c>
      <c r="AA9" s="2">
        <v>2.3420000000000001</v>
      </c>
      <c r="AB9" s="2">
        <v>2.9969999999999999</v>
      </c>
      <c r="AC9" s="2">
        <v>1.1220000000000001</v>
      </c>
      <c r="AD9" s="2">
        <v>4.8470000000000004</v>
      </c>
      <c r="AE9" s="2">
        <v>-10.68</v>
      </c>
      <c r="AF9" s="2">
        <v>-1.5920000000000001</v>
      </c>
      <c r="AG9" s="2">
        <v>-21.82</v>
      </c>
      <c r="AH9" s="2">
        <v>-1.5920000000000001</v>
      </c>
      <c r="AI9" s="2">
        <v>-21.82</v>
      </c>
      <c r="AJ9" s="2" t="s">
        <v>113</v>
      </c>
      <c r="AK9" s="2" t="s">
        <v>113</v>
      </c>
      <c r="AL9" s="2">
        <v>-3.9540000000000002</v>
      </c>
      <c r="AM9" s="2">
        <v>2.879</v>
      </c>
      <c r="AN9" s="2">
        <v>-12.62</v>
      </c>
      <c r="AO9" s="2"/>
      <c r="AP9" s="1">
        <f t="shared" si="0"/>
        <v>0.59800000000000009</v>
      </c>
      <c r="AQ9" s="22">
        <f t="shared" si="1"/>
        <v>-1.1000000000000001</v>
      </c>
      <c r="AR9" s="5">
        <v>5.27</v>
      </c>
      <c r="AS9" s="5">
        <v>3.2</v>
      </c>
      <c r="AT9" s="5">
        <v>2.97</v>
      </c>
      <c r="AU9" s="7">
        <f t="shared" si="26"/>
        <v>0.92800000000000005</v>
      </c>
      <c r="AV9" s="16"/>
      <c r="AW9" s="29">
        <v>0</v>
      </c>
      <c r="AX9" s="29">
        <v>594</v>
      </c>
      <c r="AY9" s="1">
        <f t="shared" si="2"/>
        <v>98.5</v>
      </c>
      <c r="AZ9" s="1">
        <f t="shared" si="3"/>
        <v>94.9</v>
      </c>
      <c r="BA9" s="1">
        <f t="shared" si="4"/>
        <v>85.2</v>
      </c>
      <c r="BB9" s="8">
        <f t="shared" si="5"/>
        <v>0.57199999999999995</v>
      </c>
      <c r="BC9" s="8">
        <f t="shared" si="6"/>
        <v>9.9000000000000005E-2</v>
      </c>
      <c r="BE9" s="5">
        <f t="shared" si="7"/>
        <v>3.2</v>
      </c>
      <c r="BF9" s="5">
        <f t="shared" si="8"/>
        <v>2.97</v>
      </c>
      <c r="BG9" s="1">
        <f t="shared" si="9"/>
        <v>-3.6</v>
      </c>
      <c r="BH9" s="1">
        <f t="shared" si="10"/>
        <v>1.3</v>
      </c>
      <c r="BI9" s="1">
        <f t="shared" si="11"/>
        <v>-11.5</v>
      </c>
      <c r="BJ9" s="1">
        <f t="shared" si="12"/>
        <v>94.9</v>
      </c>
      <c r="BK9" s="1">
        <f t="shared" si="13"/>
        <v>85.2</v>
      </c>
      <c r="BL9" s="1">
        <f t="shared" si="27"/>
        <v>1.1000000000000001</v>
      </c>
      <c r="BM9" s="1">
        <f t="shared" si="28"/>
        <v>4.8</v>
      </c>
      <c r="BN9" s="21">
        <f t="shared" si="16"/>
        <v>0</v>
      </c>
      <c r="BO9" s="7">
        <f t="shared" si="17"/>
        <v>0.59800000000000009</v>
      </c>
      <c r="BP9" s="21">
        <f t="shared" si="18"/>
        <v>-1.1000000000000001</v>
      </c>
      <c r="BQ9" s="1">
        <f t="shared" si="19"/>
        <v>-10.7</v>
      </c>
      <c r="BR9" s="1">
        <f t="shared" si="20"/>
        <v>-1.6</v>
      </c>
      <c r="BS9" s="1">
        <f t="shared" si="21"/>
        <v>-21.8</v>
      </c>
      <c r="BT9" s="1">
        <f t="shared" si="22"/>
        <v>-0.3</v>
      </c>
      <c r="BU9" s="1" t="s">
        <v>113</v>
      </c>
      <c r="BV9" s="1">
        <f t="shared" si="23"/>
        <v>1.1000000000000001</v>
      </c>
      <c r="BW9" s="1" t="str">
        <f t="shared" si="29"/>
        <v>NAN</v>
      </c>
      <c r="BX9" s="1">
        <f t="shared" si="30"/>
        <v>0.57199999999999995</v>
      </c>
      <c r="BY9" s="1">
        <f t="shared" si="31"/>
        <v>9.9000000000000005E-2</v>
      </c>
      <c r="CA9" s="1">
        <f t="shared" si="24"/>
        <v>-2.9000000000000004</v>
      </c>
      <c r="CB9" s="1">
        <f t="shared" si="25"/>
        <v>-10.3</v>
      </c>
    </row>
    <row r="10" spans="1:80" x14ac:dyDescent="0.2">
      <c r="A10" s="9">
        <f t="shared" si="32"/>
        <v>43470</v>
      </c>
      <c r="B10" s="2">
        <v>5</v>
      </c>
      <c r="C10" s="2">
        <v>21</v>
      </c>
      <c r="D10" s="2">
        <v>13.19</v>
      </c>
      <c r="E10" s="2">
        <v>2.6139999999999999</v>
      </c>
      <c r="F10" s="2">
        <v>-10.63</v>
      </c>
      <c r="G10" s="2">
        <v>-2.3740000000000001</v>
      </c>
      <c r="H10" s="2">
        <v>94.6</v>
      </c>
      <c r="I10" s="2">
        <v>-3.4260000000000002</v>
      </c>
      <c r="J10" s="2">
        <v>-0.39500000000000002</v>
      </c>
      <c r="K10" s="2">
        <v>-0.372</v>
      </c>
      <c r="L10" s="2">
        <v>1.099</v>
      </c>
      <c r="M10" s="2">
        <v>0.109</v>
      </c>
      <c r="N10" s="2">
        <v>101</v>
      </c>
      <c r="O10" s="2">
        <v>-2.9169999999999998</v>
      </c>
      <c r="P10" s="2">
        <v>-2.8000000000000001E-2</v>
      </c>
      <c r="Q10" s="2">
        <v>-5.0000000000000001E-3</v>
      </c>
      <c r="R10" s="2">
        <v>1.3029999999999999</v>
      </c>
      <c r="S10" s="2">
        <v>-4.734</v>
      </c>
      <c r="T10" s="2">
        <v>84.4</v>
      </c>
      <c r="U10" s="2">
        <v>-3.83</v>
      </c>
      <c r="V10" s="2">
        <v>-0.56999999999999995</v>
      </c>
      <c r="W10" s="2">
        <v>-0.53600000000000003</v>
      </c>
      <c r="X10" s="2">
        <v>0.93</v>
      </c>
      <c r="Y10" s="2">
        <v>1.859</v>
      </c>
      <c r="Z10" s="2">
        <v>0</v>
      </c>
      <c r="AA10" s="2">
        <v>1.9359999999999999</v>
      </c>
      <c r="AB10" s="2">
        <v>1.98</v>
      </c>
      <c r="AC10" s="2">
        <v>2.42</v>
      </c>
      <c r="AD10" s="2">
        <v>6.3140000000000001</v>
      </c>
      <c r="AE10" s="2">
        <v>-4.7350000000000003</v>
      </c>
      <c r="AF10" s="2">
        <v>-1.659</v>
      </c>
      <c r="AG10" s="2">
        <v>-8.5399999999999991</v>
      </c>
      <c r="AH10" s="2">
        <v>-1.659</v>
      </c>
      <c r="AI10" s="2">
        <v>-8.5399999999999991</v>
      </c>
      <c r="AJ10" s="2" t="s">
        <v>113</v>
      </c>
      <c r="AK10" s="2" t="s">
        <v>113</v>
      </c>
      <c r="AL10" s="2">
        <v>-2.5459999999999998</v>
      </c>
      <c r="AM10" s="2">
        <v>1.6859999999999999</v>
      </c>
      <c r="AN10" s="2">
        <v>-6.3049999999999997</v>
      </c>
      <c r="AO10" s="2"/>
      <c r="AP10" s="1">
        <f t="shared" si="0"/>
        <v>0.59100000000000019</v>
      </c>
      <c r="AQ10" s="22">
        <f t="shared" si="1"/>
        <v>-1.4</v>
      </c>
      <c r="AR10" s="5">
        <v>5.32</v>
      </c>
      <c r="AS10" s="5">
        <v>2.1</v>
      </c>
      <c r="AT10" s="5">
        <v>1.91</v>
      </c>
      <c r="AU10" s="7">
        <f t="shared" si="26"/>
        <v>0.91</v>
      </c>
      <c r="AV10" s="16"/>
      <c r="AW10" s="29">
        <v>0</v>
      </c>
      <c r="AX10" s="29">
        <v>587</v>
      </c>
      <c r="AY10" s="1">
        <f t="shared" si="2"/>
        <v>97.5</v>
      </c>
      <c r="AZ10" s="1">
        <f t="shared" si="3"/>
        <v>91.3</v>
      </c>
      <c r="BA10" s="1">
        <f t="shared" si="4"/>
        <v>81.400000000000006</v>
      </c>
      <c r="BB10" s="8">
        <f t="shared" si="5"/>
        <v>0.501</v>
      </c>
      <c r="BC10" s="8">
        <f t="shared" si="6"/>
        <v>0.114</v>
      </c>
      <c r="BE10" s="5">
        <f t="shared" si="7"/>
        <v>2.1</v>
      </c>
      <c r="BF10" s="5">
        <f t="shared" si="8"/>
        <v>1.91</v>
      </c>
      <c r="BG10" s="1">
        <f t="shared" si="9"/>
        <v>-2.4</v>
      </c>
      <c r="BH10" s="1">
        <f t="shared" si="10"/>
        <v>0.1</v>
      </c>
      <c r="BI10" s="1">
        <f t="shared" si="11"/>
        <v>-4.7</v>
      </c>
      <c r="BJ10" s="1">
        <f t="shared" si="12"/>
        <v>91.3</v>
      </c>
      <c r="BK10" s="1">
        <f t="shared" si="13"/>
        <v>81.400000000000006</v>
      </c>
      <c r="BL10" s="1">
        <f t="shared" si="27"/>
        <v>2.4</v>
      </c>
      <c r="BM10" s="1">
        <f t="shared" si="28"/>
        <v>6.3</v>
      </c>
      <c r="BN10" s="21">
        <f t="shared" si="16"/>
        <v>0</v>
      </c>
      <c r="BO10" s="7">
        <f t="shared" si="17"/>
        <v>0.59100000000000019</v>
      </c>
      <c r="BP10" s="21">
        <f t="shared" si="18"/>
        <v>-1.4</v>
      </c>
      <c r="BQ10" s="1">
        <f t="shared" si="19"/>
        <v>-4.7</v>
      </c>
      <c r="BR10" s="1">
        <f t="shared" si="20"/>
        <v>-1.7</v>
      </c>
      <c r="BS10" s="1">
        <f t="shared" si="21"/>
        <v>-8.5</v>
      </c>
      <c r="BT10" s="1">
        <f t="shared" si="22"/>
        <v>-0.4</v>
      </c>
      <c r="BU10" s="1" t="s">
        <v>113</v>
      </c>
      <c r="BV10" s="1">
        <f t="shared" si="23"/>
        <v>1.1000000000000001</v>
      </c>
      <c r="BW10" s="1" t="str">
        <f t="shared" si="29"/>
        <v>NAN</v>
      </c>
      <c r="BX10" s="1">
        <f t="shared" si="30"/>
        <v>0.501</v>
      </c>
      <c r="BY10" s="1">
        <f t="shared" si="31"/>
        <v>0.114</v>
      </c>
      <c r="CA10" s="1">
        <f t="shared" si="24"/>
        <v>-1.8</v>
      </c>
      <c r="CB10" s="1">
        <f t="shared" si="25"/>
        <v>-3.8</v>
      </c>
    </row>
    <row r="11" spans="1:80" x14ac:dyDescent="0.2">
      <c r="A11" s="9">
        <f t="shared" si="32"/>
        <v>43471</v>
      </c>
      <c r="B11" s="2">
        <v>6</v>
      </c>
      <c r="C11" s="2">
        <v>21</v>
      </c>
      <c r="D11" s="2">
        <v>13.08</v>
      </c>
      <c r="E11" s="2">
        <v>4.3259999999999996</v>
      </c>
      <c r="F11" s="2">
        <v>-17.02</v>
      </c>
      <c r="G11" s="2">
        <v>-5.7750000000000004</v>
      </c>
      <c r="H11" s="2">
        <v>89.5</v>
      </c>
      <c r="I11" s="2">
        <v>-2.8039999999999998</v>
      </c>
      <c r="J11" s="2">
        <v>-0.438</v>
      </c>
      <c r="K11" s="2">
        <v>-0.41399999999999998</v>
      </c>
      <c r="L11" s="2">
        <v>1.1040000000000001</v>
      </c>
      <c r="M11" s="2">
        <v>-0.59299999999999997</v>
      </c>
      <c r="N11" s="2">
        <v>101</v>
      </c>
      <c r="O11" s="2">
        <v>-1.8280000000000001</v>
      </c>
      <c r="P11" s="2">
        <v>0.36399999999999999</v>
      </c>
      <c r="Q11" s="2">
        <v>0.38700000000000001</v>
      </c>
      <c r="R11" s="2">
        <v>1.546</v>
      </c>
      <c r="S11" s="2">
        <v>-16.05</v>
      </c>
      <c r="T11" s="2">
        <v>61.1</v>
      </c>
      <c r="U11" s="2">
        <v>-3.3029999999999999</v>
      </c>
      <c r="V11" s="2">
        <v>-0.67500000000000004</v>
      </c>
      <c r="W11" s="2">
        <v>-0.64800000000000002</v>
      </c>
      <c r="X11" s="2">
        <v>0.83099999999999996</v>
      </c>
      <c r="Y11" s="2">
        <v>1.8720000000000001</v>
      </c>
      <c r="Z11" s="2">
        <v>0</v>
      </c>
      <c r="AA11" s="2">
        <v>3.202</v>
      </c>
      <c r="AB11" s="2">
        <v>2.9340000000000002</v>
      </c>
      <c r="AC11" s="2">
        <v>1.607</v>
      </c>
      <c r="AD11" s="2">
        <v>5.4870000000000001</v>
      </c>
      <c r="AE11" s="2">
        <v>-10.9</v>
      </c>
      <c r="AF11" s="2">
        <v>-2.6760000000000002</v>
      </c>
      <c r="AG11" s="2">
        <v>-25.97</v>
      </c>
      <c r="AH11" s="2">
        <v>-2.6760000000000002</v>
      </c>
      <c r="AI11" s="2">
        <v>-25.97</v>
      </c>
      <c r="AJ11" s="2" t="s">
        <v>113</v>
      </c>
      <c r="AK11" s="2" t="s">
        <v>113</v>
      </c>
      <c r="AL11" s="2">
        <v>-6.1369999999999996</v>
      </c>
      <c r="AM11" s="2">
        <v>-0.13700000000000001</v>
      </c>
      <c r="AN11" s="2">
        <v>-17.88</v>
      </c>
      <c r="AO11" s="2"/>
      <c r="AP11" s="1">
        <f t="shared" si="0"/>
        <v>0.57800000000000007</v>
      </c>
      <c r="AQ11" s="22">
        <f t="shared" si="1"/>
        <v>-1.2</v>
      </c>
      <c r="AR11" s="5">
        <v>5.37</v>
      </c>
      <c r="AS11" s="5">
        <v>3.36</v>
      </c>
      <c r="AT11" s="5">
        <v>2.93</v>
      </c>
      <c r="AU11" s="7">
        <f t="shared" si="26"/>
        <v>0.872</v>
      </c>
      <c r="AV11" s="16"/>
      <c r="AW11" s="29">
        <v>0</v>
      </c>
      <c r="AX11" s="29">
        <v>574</v>
      </c>
      <c r="AY11" s="1">
        <f t="shared" si="2"/>
        <v>97.5</v>
      </c>
      <c r="AZ11" s="1">
        <f t="shared" si="3"/>
        <v>86.3</v>
      </c>
      <c r="BA11" s="1">
        <f t="shared" si="4"/>
        <v>58.8</v>
      </c>
      <c r="BB11" s="8">
        <f t="shared" si="5"/>
        <v>0.34399999999999997</v>
      </c>
      <c r="BC11" s="8">
        <f t="shared" si="6"/>
        <v>0.24099999999999999</v>
      </c>
      <c r="BE11" s="5">
        <f t="shared" si="7"/>
        <v>3.36</v>
      </c>
      <c r="BF11" s="5">
        <f t="shared" si="8"/>
        <v>2.93</v>
      </c>
      <c r="BG11" s="1">
        <f t="shared" si="9"/>
        <v>-5.8</v>
      </c>
      <c r="BH11" s="1">
        <f t="shared" si="10"/>
        <v>-0.6</v>
      </c>
      <c r="BI11" s="1">
        <f t="shared" si="11"/>
        <v>-16.100000000000001</v>
      </c>
      <c r="BJ11" s="1">
        <f t="shared" si="12"/>
        <v>86.3</v>
      </c>
      <c r="BK11" s="1">
        <f t="shared" si="13"/>
        <v>58.8</v>
      </c>
      <c r="BL11" s="1">
        <f t="shared" si="27"/>
        <v>1.6</v>
      </c>
      <c r="BM11" s="1">
        <f t="shared" si="28"/>
        <v>5.5</v>
      </c>
      <c r="BN11" s="21">
        <f t="shared" si="16"/>
        <v>0</v>
      </c>
      <c r="BO11" s="7">
        <f t="shared" si="17"/>
        <v>0.57800000000000007</v>
      </c>
      <c r="BP11" s="21">
        <f t="shared" si="18"/>
        <v>-1.2</v>
      </c>
      <c r="BQ11" s="1">
        <f t="shared" si="19"/>
        <v>-10.9</v>
      </c>
      <c r="BR11" s="1">
        <f t="shared" si="20"/>
        <v>-2.7</v>
      </c>
      <c r="BS11" s="1">
        <f t="shared" si="21"/>
        <v>-26</v>
      </c>
      <c r="BT11" s="1">
        <f t="shared" si="22"/>
        <v>-0.4</v>
      </c>
      <c r="BU11" s="1" t="s">
        <v>113</v>
      </c>
      <c r="BV11" s="1">
        <f t="shared" si="23"/>
        <v>1.1000000000000001</v>
      </c>
      <c r="BW11" s="1" t="str">
        <f t="shared" si="29"/>
        <v>NAN</v>
      </c>
      <c r="BX11" s="1">
        <f t="shared" si="30"/>
        <v>0.34399999999999997</v>
      </c>
      <c r="BY11" s="1">
        <f t="shared" si="31"/>
        <v>0.24099999999999999</v>
      </c>
      <c r="CA11" s="1">
        <f t="shared" si="24"/>
        <v>-2.1</v>
      </c>
      <c r="CB11" s="1">
        <f t="shared" si="25"/>
        <v>-9.8999999999999986</v>
      </c>
    </row>
    <row r="12" spans="1:80" x14ac:dyDescent="0.2">
      <c r="A12" s="9">
        <f t="shared" si="32"/>
        <v>43472</v>
      </c>
      <c r="B12" s="2">
        <v>7</v>
      </c>
      <c r="C12" s="2">
        <v>21</v>
      </c>
      <c r="D12" s="2">
        <v>13.06</v>
      </c>
      <c r="E12" s="2">
        <v>0.70199999999999996</v>
      </c>
      <c r="F12" s="2">
        <v>-20.45</v>
      </c>
      <c r="G12" s="2">
        <v>-10.25</v>
      </c>
      <c r="H12" s="2">
        <v>84.9</v>
      </c>
      <c r="I12" s="2">
        <v>-4.4160000000000004</v>
      </c>
      <c r="J12" s="2">
        <v>-0.39500000000000002</v>
      </c>
      <c r="K12" s="2">
        <v>-0.36199999999999999</v>
      </c>
      <c r="L12" s="2">
        <v>1.111</v>
      </c>
      <c r="M12" s="2">
        <v>-4.2699999999999996</v>
      </c>
      <c r="N12" s="2">
        <v>100.1</v>
      </c>
      <c r="O12" s="2">
        <v>-3.28</v>
      </c>
      <c r="P12" s="2">
        <v>0.45100000000000001</v>
      </c>
      <c r="Q12" s="2">
        <v>0.46200000000000002</v>
      </c>
      <c r="R12" s="2">
        <v>1.4810000000000001</v>
      </c>
      <c r="S12" s="2">
        <v>-20.55</v>
      </c>
      <c r="T12" s="2">
        <v>56.76</v>
      </c>
      <c r="U12" s="2">
        <v>-5.0469999999999997</v>
      </c>
      <c r="V12" s="2">
        <v>-0.70599999999999996</v>
      </c>
      <c r="W12" s="2">
        <v>-0.67200000000000004</v>
      </c>
      <c r="X12" s="2">
        <v>0.77200000000000002</v>
      </c>
      <c r="Y12" s="2">
        <v>1.8740000000000001</v>
      </c>
      <c r="Z12" s="2">
        <v>0</v>
      </c>
      <c r="AA12" s="2">
        <v>2.6859999999999999</v>
      </c>
      <c r="AB12" s="2">
        <v>3.6349999999999998</v>
      </c>
      <c r="AC12" s="2">
        <v>1.488</v>
      </c>
      <c r="AD12" s="2">
        <v>7.91</v>
      </c>
      <c r="AE12" s="2">
        <v>-16.149999999999999</v>
      </c>
      <c r="AF12" s="2">
        <v>-8.02</v>
      </c>
      <c r="AG12" s="2">
        <v>-31.46</v>
      </c>
      <c r="AH12" s="2">
        <v>-8.02</v>
      </c>
      <c r="AI12" s="2">
        <v>-31.46</v>
      </c>
      <c r="AJ12" s="2" t="s">
        <v>113</v>
      </c>
      <c r="AK12" s="2" t="s">
        <v>113</v>
      </c>
      <c r="AL12" s="2">
        <v>-10.84</v>
      </c>
      <c r="AM12" s="2">
        <v>-3.5419999999999998</v>
      </c>
      <c r="AN12" s="2">
        <v>-21.9</v>
      </c>
      <c r="AO12" s="2"/>
      <c r="AP12" s="1">
        <f t="shared" si="0"/>
        <v>0.57600000000000007</v>
      </c>
      <c r="AQ12" s="22">
        <f t="shared" si="1"/>
        <v>-1.7</v>
      </c>
      <c r="AR12" s="5">
        <v>5.43</v>
      </c>
      <c r="AS12" s="5">
        <v>3.94</v>
      </c>
      <c r="AT12" s="5">
        <v>3.62</v>
      </c>
      <c r="AU12" s="7">
        <f t="shared" si="26"/>
        <v>0.91900000000000004</v>
      </c>
      <c r="AV12" s="16"/>
      <c r="AW12" s="29">
        <v>0.99</v>
      </c>
      <c r="AX12" s="29">
        <v>572</v>
      </c>
      <c r="AY12" s="1">
        <f t="shared" si="2"/>
        <v>96.6</v>
      </c>
      <c r="AZ12" s="1">
        <f t="shared" si="3"/>
        <v>81.900000000000006</v>
      </c>
      <c r="BA12" s="1">
        <f t="shared" si="4"/>
        <v>54.6</v>
      </c>
      <c r="BB12" s="8">
        <f t="shared" si="5"/>
        <v>0.24299999999999999</v>
      </c>
      <c r="BC12" s="8">
        <f t="shared" si="6"/>
        <v>0.20200000000000001</v>
      </c>
      <c r="BE12" s="5">
        <f t="shared" si="7"/>
        <v>3.94</v>
      </c>
      <c r="BF12" s="5">
        <f t="shared" si="8"/>
        <v>3.62</v>
      </c>
      <c r="BG12" s="1">
        <f t="shared" si="9"/>
        <v>-10.3</v>
      </c>
      <c r="BH12" s="1">
        <f t="shared" si="10"/>
        <v>-4.3</v>
      </c>
      <c r="BI12" s="1">
        <f t="shared" si="11"/>
        <v>-20.6</v>
      </c>
      <c r="BJ12" s="1">
        <f t="shared" si="12"/>
        <v>81.900000000000006</v>
      </c>
      <c r="BK12" s="1">
        <f t="shared" si="13"/>
        <v>54.6</v>
      </c>
      <c r="BL12" s="1">
        <f t="shared" si="27"/>
        <v>1.5</v>
      </c>
      <c r="BM12" s="1">
        <f t="shared" si="28"/>
        <v>7.9</v>
      </c>
      <c r="BN12" s="21">
        <f t="shared" si="16"/>
        <v>0.99</v>
      </c>
      <c r="BO12" s="7">
        <f t="shared" si="17"/>
        <v>0.57600000000000007</v>
      </c>
      <c r="BP12" s="21">
        <f t="shared" si="18"/>
        <v>-1.7</v>
      </c>
      <c r="BQ12" s="1">
        <f t="shared" si="19"/>
        <v>-16.2</v>
      </c>
      <c r="BR12" s="1">
        <f t="shared" si="20"/>
        <v>-8</v>
      </c>
      <c r="BS12" s="1">
        <f t="shared" si="21"/>
        <v>-31.5</v>
      </c>
      <c r="BT12" s="1">
        <f t="shared" si="22"/>
        <v>-0.4</v>
      </c>
      <c r="BU12" s="1" t="s">
        <v>113</v>
      </c>
      <c r="BV12" s="1">
        <f t="shared" si="23"/>
        <v>1.1000000000000001</v>
      </c>
      <c r="BW12" s="1" t="str">
        <f t="shared" si="29"/>
        <v>NAN</v>
      </c>
      <c r="BX12" s="1">
        <f t="shared" si="30"/>
        <v>0.24299999999999999</v>
      </c>
      <c r="BY12" s="1">
        <f t="shared" si="31"/>
        <v>0.20200000000000001</v>
      </c>
      <c r="CA12" s="1">
        <f t="shared" si="24"/>
        <v>-3.7</v>
      </c>
      <c r="CB12" s="1">
        <f t="shared" si="25"/>
        <v>-10.899999999999999</v>
      </c>
    </row>
    <row r="13" spans="1:80" x14ac:dyDescent="0.2">
      <c r="A13" s="9">
        <f t="shared" si="32"/>
        <v>43473</v>
      </c>
      <c r="B13" s="2">
        <v>8</v>
      </c>
      <c r="C13" s="2">
        <v>21</v>
      </c>
      <c r="D13" s="2">
        <v>13.13</v>
      </c>
      <c r="E13" s="2">
        <v>-7.05</v>
      </c>
      <c r="F13" s="2">
        <v>-22.54</v>
      </c>
      <c r="G13" s="2">
        <v>-11.05</v>
      </c>
      <c r="H13" s="2">
        <v>82.8</v>
      </c>
      <c r="I13" s="2">
        <v>-6.0629999999999997</v>
      </c>
      <c r="J13" s="2">
        <v>-0.48399999999999999</v>
      </c>
      <c r="K13" s="2">
        <v>-0.433</v>
      </c>
      <c r="L13" s="2">
        <v>1.0669999999999999</v>
      </c>
      <c r="M13" s="2">
        <v>-6.367</v>
      </c>
      <c r="N13" s="2">
        <v>97.7</v>
      </c>
      <c r="O13" s="2">
        <v>-5.024</v>
      </c>
      <c r="P13" s="2">
        <v>-0.23400000000000001</v>
      </c>
      <c r="Q13" s="2">
        <v>-0.186</v>
      </c>
      <c r="R13" s="2">
        <v>1.24</v>
      </c>
      <c r="S13" s="2">
        <v>-20.9</v>
      </c>
      <c r="T13" s="2">
        <v>38.56</v>
      </c>
      <c r="U13" s="2">
        <v>-6.585</v>
      </c>
      <c r="V13" s="2">
        <v>-0.74099999999999999</v>
      </c>
      <c r="W13" s="2">
        <v>-0.69599999999999995</v>
      </c>
      <c r="X13" s="2">
        <v>0.874</v>
      </c>
      <c r="Y13" s="2">
        <v>1.833</v>
      </c>
      <c r="Z13" s="2">
        <v>0</v>
      </c>
      <c r="AA13" s="2">
        <v>1.9510000000000001</v>
      </c>
      <c r="AB13" s="2">
        <v>1.7170000000000001</v>
      </c>
      <c r="AC13" s="2">
        <v>2.1880000000000002</v>
      </c>
      <c r="AD13" s="2">
        <v>6.0739999999999998</v>
      </c>
      <c r="AE13" s="2">
        <v>-14.78</v>
      </c>
      <c r="AF13" s="2">
        <v>-6.4269999999999996</v>
      </c>
      <c r="AG13" s="2">
        <v>-32.369999999999997</v>
      </c>
      <c r="AH13" s="2">
        <v>-6.4269999999999996</v>
      </c>
      <c r="AI13" s="2">
        <v>-32.369999999999997</v>
      </c>
      <c r="AJ13" s="2" t="s">
        <v>113</v>
      </c>
      <c r="AK13" s="2" t="s">
        <v>113</v>
      </c>
      <c r="AL13" s="2">
        <v>-11.63</v>
      </c>
      <c r="AM13" s="2">
        <v>-6.5469999999999997</v>
      </c>
      <c r="AN13" s="2">
        <v>-22.35</v>
      </c>
      <c r="AO13" s="2"/>
      <c r="AP13" s="1">
        <f t="shared" si="0"/>
        <v>0.61700000000000021</v>
      </c>
      <c r="AQ13" s="22">
        <f t="shared" si="1"/>
        <v>-2.2999999999999998</v>
      </c>
      <c r="AR13" s="5">
        <v>5.49</v>
      </c>
      <c r="AS13" s="5">
        <v>2.0499999999999998</v>
      </c>
      <c r="AT13" s="5">
        <v>1.71</v>
      </c>
      <c r="AU13" s="7">
        <f t="shared" si="26"/>
        <v>0.83399999999999996</v>
      </c>
      <c r="AV13" s="16"/>
      <c r="AW13" s="29">
        <v>3.96</v>
      </c>
      <c r="AX13" s="29">
        <v>613</v>
      </c>
      <c r="AY13" s="1">
        <f t="shared" si="2"/>
        <v>94.3</v>
      </c>
      <c r="AZ13" s="1">
        <f t="shared" si="3"/>
        <v>79.8</v>
      </c>
      <c r="BA13" s="1">
        <f t="shared" si="4"/>
        <v>36.9</v>
      </c>
      <c r="BB13" s="8">
        <f t="shared" si="5"/>
        <v>0.14000000000000001</v>
      </c>
      <c r="BC13" s="8">
        <f t="shared" si="6"/>
        <v>0.23899999999999999</v>
      </c>
      <c r="BE13" s="5">
        <f t="shared" si="7"/>
        <v>2.0499999999999998</v>
      </c>
      <c r="BF13" s="5">
        <f t="shared" si="8"/>
        <v>1.71</v>
      </c>
      <c r="BG13" s="1">
        <f t="shared" si="9"/>
        <v>-11.1</v>
      </c>
      <c r="BH13" s="1">
        <f t="shared" si="10"/>
        <v>-6.4</v>
      </c>
      <c r="BI13" s="1">
        <f t="shared" si="11"/>
        <v>-20.9</v>
      </c>
      <c r="BJ13" s="1">
        <f t="shared" si="12"/>
        <v>79.8</v>
      </c>
      <c r="BK13" s="1">
        <f t="shared" si="13"/>
        <v>36.9</v>
      </c>
      <c r="BL13" s="1">
        <f t="shared" si="27"/>
        <v>2.2000000000000002</v>
      </c>
      <c r="BM13" s="1">
        <f t="shared" si="28"/>
        <v>6.1</v>
      </c>
      <c r="BN13" s="21">
        <f t="shared" si="16"/>
        <v>3.96</v>
      </c>
      <c r="BO13" s="7">
        <f t="shared" si="17"/>
        <v>0.61700000000000021</v>
      </c>
      <c r="BP13" s="21">
        <f t="shared" si="18"/>
        <v>-2.2999999999999998</v>
      </c>
      <c r="BQ13" s="1">
        <f t="shared" si="19"/>
        <v>-14.8</v>
      </c>
      <c r="BR13" s="1">
        <f t="shared" si="20"/>
        <v>-6.4</v>
      </c>
      <c r="BS13" s="1">
        <f t="shared" si="21"/>
        <v>-32.4</v>
      </c>
      <c r="BT13" s="1">
        <f t="shared" si="22"/>
        <v>-0.4</v>
      </c>
      <c r="BU13" s="1" t="s">
        <v>113</v>
      </c>
      <c r="BV13" s="1">
        <f t="shared" si="23"/>
        <v>1.1000000000000001</v>
      </c>
      <c r="BW13" s="1" t="str">
        <f t="shared" si="29"/>
        <v>NAN</v>
      </c>
      <c r="BX13" s="1">
        <f t="shared" si="30"/>
        <v>0.14000000000000001</v>
      </c>
      <c r="BY13" s="1">
        <f t="shared" si="31"/>
        <v>0.23899999999999999</v>
      </c>
      <c r="CA13" s="1">
        <f t="shared" si="24"/>
        <v>0</v>
      </c>
      <c r="CB13" s="1">
        <f t="shared" si="25"/>
        <v>-11.5</v>
      </c>
    </row>
    <row r="14" spans="1:80" x14ac:dyDescent="0.2">
      <c r="A14" s="9">
        <f t="shared" si="32"/>
        <v>43474</v>
      </c>
      <c r="B14" s="2">
        <v>9</v>
      </c>
      <c r="C14" s="2">
        <v>21</v>
      </c>
      <c r="D14" s="2">
        <v>13.18</v>
      </c>
      <c r="E14" s="2">
        <v>8.3000000000000004E-2</v>
      </c>
      <c r="F14" s="2">
        <v>-7.05</v>
      </c>
      <c r="G14" s="2">
        <v>-2.4689999999999999</v>
      </c>
      <c r="H14" s="2">
        <v>98.1</v>
      </c>
      <c r="I14" s="2">
        <v>-5.0659999999999998</v>
      </c>
      <c r="J14" s="2">
        <v>-0.47399999999999998</v>
      </c>
      <c r="K14" s="2">
        <v>-0.42699999999999999</v>
      </c>
      <c r="L14" s="2">
        <v>1.0780000000000001</v>
      </c>
      <c r="M14" s="2">
        <v>0.47</v>
      </c>
      <c r="N14" s="2">
        <v>101.6</v>
      </c>
      <c r="O14" s="2">
        <v>-3.9820000000000002</v>
      </c>
      <c r="P14" s="2">
        <v>-0.27300000000000002</v>
      </c>
      <c r="Q14" s="2">
        <v>-0.23899999999999999</v>
      </c>
      <c r="R14" s="2">
        <v>1.2270000000000001</v>
      </c>
      <c r="S14" s="2">
        <v>-6.4160000000000004</v>
      </c>
      <c r="T14" s="2">
        <v>90.2</v>
      </c>
      <c r="U14" s="2">
        <v>-6.0910000000000002</v>
      </c>
      <c r="V14" s="2">
        <v>-0.56699999999999995</v>
      </c>
      <c r="W14" s="2">
        <v>-0.52400000000000002</v>
      </c>
      <c r="X14" s="2">
        <v>1.012</v>
      </c>
      <c r="Y14" s="2">
        <v>1.8440000000000001</v>
      </c>
      <c r="Z14" s="2">
        <v>0</v>
      </c>
      <c r="AA14" s="2">
        <v>1.3660000000000001</v>
      </c>
      <c r="AB14" s="2">
        <v>1.21</v>
      </c>
      <c r="AC14" s="2">
        <v>2.2679999999999998</v>
      </c>
      <c r="AD14" s="2">
        <v>5.2469999999999999</v>
      </c>
      <c r="AE14" s="2">
        <v>-3.1059999999999999</v>
      </c>
      <c r="AF14" s="2">
        <v>-0.74199999999999999</v>
      </c>
      <c r="AG14" s="2">
        <v>-6.5</v>
      </c>
      <c r="AH14" s="2">
        <v>-0.74199999999999999</v>
      </c>
      <c r="AI14" s="2">
        <v>-6.5</v>
      </c>
      <c r="AJ14" s="2" t="s">
        <v>113</v>
      </c>
      <c r="AK14" s="2" t="s">
        <v>113</v>
      </c>
      <c r="AL14" s="2">
        <v>-2.4409999999999998</v>
      </c>
      <c r="AM14" s="2">
        <v>0.36199999999999999</v>
      </c>
      <c r="AN14" s="2">
        <v>-6.5469999999999997</v>
      </c>
      <c r="AO14" s="2"/>
      <c r="AP14" s="1">
        <f t="shared" si="0"/>
        <v>0.60600000000000009</v>
      </c>
      <c r="AQ14" s="22">
        <f t="shared" si="1"/>
        <v>-2</v>
      </c>
      <c r="AR14" s="5">
        <v>5.56</v>
      </c>
      <c r="AS14" s="5">
        <v>1.43</v>
      </c>
      <c r="AT14" s="5">
        <v>1.2</v>
      </c>
      <c r="AU14" s="7">
        <f t="shared" si="26"/>
        <v>0.83899999999999997</v>
      </c>
      <c r="AV14" s="16"/>
      <c r="AW14" s="29">
        <v>0</v>
      </c>
      <c r="AX14" s="29">
        <v>602</v>
      </c>
      <c r="AY14" s="1">
        <f t="shared" si="2"/>
        <v>98.1</v>
      </c>
      <c r="AZ14" s="1">
        <f t="shared" si="3"/>
        <v>94.7</v>
      </c>
      <c r="BA14" s="1">
        <f t="shared" si="4"/>
        <v>87</v>
      </c>
      <c r="BB14" s="8">
        <f t="shared" si="5"/>
        <v>0.55000000000000004</v>
      </c>
      <c r="BC14" s="8">
        <f t="shared" si="6"/>
        <v>8.2000000000000003E-2</v>
      </c>
      <c r="BE14" s="5">
        <f t="shared" si="7"/>
        <v>1.43</v>
      </c>
      <c r="BF14" s="5">
        <f t="shared" si="8"/>
        <v>1.2</v>
      </c>
      <c r="BG14" s="1">
        <f t="shared" si="9"/>
        <v>-2.5</v>
      </c>
      <c r="BH14" s="1">
        <f t="shared" si="10"/>
        <v>0.5</v>
      </c>
      <c r="BI14" s="1">
        <f t="shared" si="11"/>
        <v>-6.4</v>
      </c>
      <c r="BJ14" s="1">
        <f t="shared" si="12"/>
        <v>94.7</v>
      </c>
      <c r="BK14" s="1">
        <f t="shared" si="13"/>
        <v>87</v>
      </c>
      <c r="BL14" s="1">
        <f t="shared" si="27"/>
        <v>2.2999999999999998</v>
      </c>
      <c r="BM14" s="1">
        <f t="shared" si="28"/>
        <v>5.2</v>
      </c>
      <c r="BN14" s="21">
        <f t="shared" si="16"/>
        <v>0</v>
      </c>
      <c r="BO14" s="7">
        <f t="shared" si="17"/>
        <v>0.60600000000000009</v>
      </c>
      <c r="BP14" s="21">
        <f t="shared" si="18"/>
        <v>-2</v>
      </c>
      <c r="BQ14" s="1">
        <f t="shared" si="19"/>
        <v>-3.1</v>
      </c>
      <c r="BR14" s="1">
        <f t="shared" si="20"/>
        <v>-0.7</v>
      </c>
      <c r="BS14" s="1">
        <f t="shared" si="21"/>
        <v>-6.5</v>
      </c>
      <c r="BT14" s="1">
        <f t="shared" si="22"/>
        <v>-0.4</v>
      </c>
      <c r="BU14" s="1" t="s">
        <v>113</v>
      </c>
      <c r="BV14" s="1">
        <f t="shared" si="23"/>
        <v>1.1000000000000001</v>
      </c>
      <c r="BW14" s="1" t="str">
        <f t="shared" si="29"/>
        <v>NAN</v>
      </c>
      <c r="BX14" s="1">
        <f t="shared" si="30"/>
        <v>0.55000000000000004</v>
      </c>
      <c r="BY14" s="1">
        <f t="shared" si="31"/>
        <v>8.2000000000000003E-2</v>
      </c>
      <c r="CA14" s="1">
        <f t="shared" si="24"/>
        <v>-1.2</v>
      </c>
      <c r="CB14" s="1">
        <f t="shared" si="25"/>
        <v>-9.9999999999999645E-2</v>
      </c>
    </row>
    <row r="15" spans="1:80" x14ac:dyDescent="0.2">
      <c r="A15" s="9">
        <f t="shared" si="32"/>
        <v>43475</v>
      </c>
      <c r="B15" s="2">
        <v>10</v>
      </c>
      <c r="C15" s="2">
        <v>21</v>
      </c>
      <c r="D15" s="2">
        <v>13.17</v>
      </c>
      <c r="E15" s="2">
        <v>10.16</v>
      </c>
      <c r="F15" s="2">
        <v>-3.5790000000000002</v>
      </c>
      <c r="G15" s="2">
        <v>-1.7689999999999999</v>
      </c>
      <c r="H15" s="2">
        <v>100.9</v>
      </c>
      <c r="I15" s="2">
        <v>-3.073</v>
      </c>
      <c r="J15" s="2">
        <v>-0.44900000000000001</v>
      </c>
      <c r="K15" s="2">
        <v>-0.42499999999999999</v>
      </c>
      <c r="L15" s="2">
        <v>1.079</v>
      </c>
      <c r="M15" s="2">
        <v>1.2150000000000001</v>
      </c>
      <c r="N15" s="2">
        <v>101.8</v>
      </c>
      <c r="O15" s="2">
        <v>-2.2930000000000001</v>
      </c>
      <c r="P15" s="2">
        <v>0.185</v>
      </c>
      <c r="Q15" s="2">
        <v>0.19600000000000001</v>
      </c>
      <c r="R15" s="2">
        <v>1.429</v>
      </c>
      <c r="S15" s="2">
        <v>-3.9350000000000001</v>
      </c>
      <c r="T15" s="2">
        <v>97.1</v>
      </c>
      <c r="U15" s="2">
        <v>-4.0060000000000002</v>
      </c>
      <c r="V15" s="2">
        <v>-0.83199999999999996</v>
      </c>
      <c r="W15" s="2">
        <v>-0.79600000000000004</v>
      </c>
      <c r="X15" s="2">
        <v>0.61799999999999999</v>
      </c>
      <c r="Y15" s="2">
        <v>1.857</v>
      </c>
      <c r="Z15" s="2">
        <v>0</v>
      </c>
      <c r="AA15" s="2">
        <v>3.44</v>
      </c>
      <c r="AB15" s="2">
        <v>3.157</v>
      </c>
      <c r="AC15" s="2">
        <v>1.9219999999999999</v>
      </c>
      <c r="AD15" s="2">
        <v>4.0469999999999997</v>
      </c>
      <c r="AE15" s="2">
        <v>-3.9620000000000002</v>
      </c>
      <c r="AF15" s="2">
        <v>-0.995</v>
      </c>
      <c r="AG15" s="2">
        <v>-12.28</v>
      </c>
      <c r="AH15" s="2">
        <v>-0.995</v>
      </c>
      <c r="AI15" s="2">
        <v>-12.28</v>
      </c>
      <c r="AJ15" s="2" t="s">
        <v>113</v>
      </c>
      <c r="AK15" s="2" t="s">
        <v>113</v>
      </c>
      <c r="AL15" s="2">
        <v>-1.4490000000000001</v>
      </c>
      <c r="AM15" s="2">
        <v>5.617</v>
      </c>
      <c r="AN15" s="2">
        <v>-4.0430000000000001</v>
      </c>
      <c r="AO15" s="2"/>
      <c r="AP15" s="1">
        <f t="shared" si="0"/>
        <v>0.59300000000000019</v>
      </c>
      <c r="AQ15" s="22">
        <f t="shared" si="1"/>
        <v>-1.3</v>
      </c>
      <c r="AR15" s="5">
        <v>5.63</v>
      </c>
      <c r="AS15" s="5">
        <v>3.61</v>
      </c>
      <c r="AT15" s="5">
        <v>3.15</v>
      </c>
      <c r="AU15" s="7">
        <f t="shared" si="26"/>
        <v>0.873</v>
      </c>
      <c r="AV15" s="16"/>
      <c r="AW15" s="29">
        <v>0</v>
      </c>
      <c r="AX15" s="29">
        <v>589</v>
      </c>
      <c r="AY15" s="1">
        <f t="shared" si="2"/>
        <v>98.2</v>
      </c>
      <c r="AZ15" s="1">
        <f t="shared" si="3"/>
        <v>97.4</v>
      </c>
      <c r="BA15" s="1">
        <f t="shared" si="4"/>
        <v>93.7</v>
      </c>
      <c r="BB15" s="8">
        <f t="shared" si="5"/>
        <v>0.625</v>
      </c>
      <c r="BC15" s="8">
        <f t="shared" si="6"/>
        <v>4.2000000000000003E-2</v>
      </c>
      <c r="BE15" s="5">
        <f t="shared" si="7"/>
        <v>3.61</v>
      </c>
      <c r="BF15" s="5">
        <f t="shared" si="8"/>
        <v>3.15</v>
      </c>
      <c r="BG15" s="1">
        <f t="shared" si="9"/>
        <v>-1.8</v>
      </c>
      <c r="BH15" s="1">
        <f t="shared" si="10"/>
        <v>1.2</v>
      </c>
      <c r="BI15" s="1">
        <f t="shared" si="11"/>
        <v>-3.9</v>
      </c>
      <c r="BJ15" s="1">
        <f t="shared" si="12"/>
        <v>97.4</v>
      </c>
      <c r="BK15" s="1">
        <f t="shared" si="13"/>
        <v>93.7</v>
      </c>
      <c r="BL15" s="1">
        <f t="shared" si="27"/>
        <v>1.9</v>
      </c>
      <c r="BM15" s="1">
        <f t="shared" si="28"/>
        <v>4</v>
      </c>
      <c r="BN15" s="21">
        <f t="shared" si="16"/>
        <v>0</v>
      </c>
      <c r="BO15" s="7">
        <f t="shared" si="17"/>
        <v>0.59300000000000019</v>
      </c>
      <c r="BP15" s="21">
        <f t="shared" si="18"/>
        <v>-1.3</v>
      </c>
      <c r="BQ15" s="1">
        <f t="shared" si="19"/>
        <v>-4</v>
      </c>
      <c r="BR15" s="1">
        <f t="shared" si="20"/>
        <v>-1</v>
      </c>
      <c r="BS15" s="1">
        <f t="shared" si="21"/>
        <v>-12.3</v>
      </c>
      <c r="BT15" s="1">
        <f t="shared" si="22"/>
        <v>-0.4</v>
      </c>
      <c r="BU15" s="1" t="s">
        <v>113</v>
      </c>
      <c r="BV15" s="1">
        <f t="shared" si="23"/>
        <v>1.1000000000000001</v>
      </c>
      <c r="BW15" s="1" t="str">
        <f t="shared" si="29"/>
        <v>NAN</v>
      </c>
      <c r="BX15" s="1">
        <f t="shared" si="30"/>
        <v>0.625</v>
      </c>
      <c r="BY15" s="1">
        <f t="shared" si="31"/>
        <v>4.2000000000000003E-2</v>
      </c>
      <c r="CA15" s="1">
        <f t="shared" si="24"/>
        <v>-2.2000000000000002</v>
      </c>
      <c r="CB15" s="1">
        <f t="shared" si="25"/>
        <v>-8.4</v>
      </c>
    </row>
    <row r="16" spans="1:80" x14ac:dyDescent="0.2">
      <c r="A16" s="9">
        <f t="shared" si="32"/>
        <v>43476</v>
      </c>
      <c r="B16" s="2">
        <v>11</v>
      </c>
      <c r="C16" s="2">
        <v>21</v>
      </c>
      <c r="D16" s="2">
        <v>13.18</v>
      </c>
      <c r="E16" s="2">
        <v>2.859</v>
      </c>
      <c r="F16" s="2">
        <v>-4.2439999999999998</v>
      </c>
      <c r="G16" s="2">
        <v>-2.2869999999999999</v>
      </c>
      <c r="H16" s="2">
        <v>99.4</v>
      </c>
      <c r="I16" s="2">
        <v>-2.6669999999999998</v>
      </c>
      <c r="J16" s="2">
        <v>-0.42399999999999999</v>
      </c>
      <c r="K16" s="2">
        <v>-0.40400000000000003</v>
      </c>
      <c r="L16" s="2">
        <v>1.06</v>
      </c>
      <c r="M16" s="2">
        <v>-0.23499999999999999</v>
      </c>
      <c r="N16" s="2">
        <v>101.7</v>
      </c>
      <c r="O16" s="2">
        <v>-2.1869999999999998</v>
      </c>
      <c r="P16" s="2">
        <v>0.108</v>
      </c>
      <c r="Q16" s="2">
        <v>0.11799999999999999</v>
      </c>
      <c r="R16" s="2">
        <v>1.363</v>
      </c>
      <c r="S16" s="2">
        <v>-3.62</v>
      </c>
      <c r="T16" s="2">
        <v>92.2</v>
      </c>
      <c r="U16" s="2">
        <v>-2.831</v>
      </c>
      <c r="V16" s="2">
        <v>-0.54900000000000004</v>
      </c>
      <c r="W16" s="2">
        <v>-0.52700000000000002</v>
      </c>
      <c r="X16" s="2">
        <v>0.97299999999999998</v>
      </c>
      <c r="Y16" s="2">
        <v>1.857</v>
      </c>
      <c r="Z16" s="2">
        <v>0</v>
      </c>
      <c r="AA16" s="2">
        <v>2.4630000000000001</v>
      </c>
      <c r="AB16" s="2">
        <v>2.927</v>
      </c>
      <c r="AC16" s="2">
        <v>2.1549999999999998</v>
      </c>
      <c r="AD16" s="2">
        <v>4.9000000000000004</v>
      </c>
      <c r="AE16" s="2">
        <v>-5.7240000000000002</v>
      </c>
      <c r="AF16" s="2">
        <v>-1.4930000000000001</v>
      </c>
      <c r="AG16" s="2">
        <v>-12.39</v>
      </c>
      <c r="AH16" s="2">
        <v>-1.4930000000000001</v>
      </c>
      <c r="AI16" s="2">
        <v>-12.39</v>
      </c>
      <c r="AJ16" s="2" t="s">
        <v>113</v>
      </c>
      <c r="AK16" s="2" t="s">
        <v>113</v>
      </c>
      <c r="AL16" s="2">
        <v>-2.4129999999999998</v>
      </c>
      <c r="AM16" s="2">
        <v>1.8029999999999999</v>
      </c>
      <c r="AN16" s="2">
        <v>-4.0250000000000004</v>
      </c>
      <c r="AO16" s="2"/>
      <c r="AP16" s="1">
        <f t="shared" si="0"/>
        <v>0.59300000000000019</v>
      </c>
      <c r="AQ16" s="22">
        <f t="shared" si="1"/>
        <v>-1.2</v>
      </c>
      <c r="AR16" s="5">
        <v>5.7</v>
      </c>
      <c r="AS16" s="5">
        <v>3.15</v>
      </c>
      <c r="AT16" s="5">
        <v>2.92</v>
      </c>
      <c r="AU16" s="7">
        <f t="shared" si="26"/>
        <v>0.92700000000000005</v>
      </c>
      <c r="AV16" s="16"/>
      <c r="AW16" s="29">
        <v>0</v>
      </c>
      <c r="AX16" s="29">
        <v>589</v>
      </c>
      <c r="AY16" s="1">
        <f t="shared" si="2"/>
        <v>98.1</v>
      </c>
      <c r="AZ16" s="1">
        <f t="shared" si="3"/>
        <v>95.9</v>
      </c>
      <c r="BA16" s="1">
        <f t="shared" si="4"/>
        <v>88.9</v>
      </c>
      <c r="BB16" s="8">
        <f t="shared" si="5"/>
        <v>0.53400000000000003</v>
      </c>
      <c r="BC16" s="8">
        <f t="shared" si="6"/>
        <v>6.7000000000000004E-2</v>
      </c>
      <c r="BE16" s="5">
        <f t="shared" si="7"/>
        <v>3.15</v>
      </c>
      <c r="BF16" s="5">
        <f t="shared" si="8"/>
        <v>2.92</v>
      </c>
      <c r="BG16" s="1">
        <f t="shared" si="9"/>
        <v>-2.2999999999999998</v>
      </c>
      <c r="BH16" s="1">
        <f t="shared" si="10"/>
        <v>-0.2</v>
      </c>
      <c r="BI16" s="1">
        <f t="shared" si="11"/>
        <v>-3.6</v>
      </c>
      <c r="BJ16" s="1">
        <f t="shared" si="12"/>
        <v>95.9</v>
      </c>
      <c r="BK16" s="1">
        <f t="shared" si="13"/>
        <v>88.9</v>
      </c>
      <c r="BL16" s="1">
        <f t="shared" si="27"/>
        <v>2.2000000000000002</v>
      </c>
      <c r="BM16" s="1">
        <f t="shared" si="28"/>
        <v>4.9000000000000004</v>
      </c>
      <c r="BN16" s="21">
        <f t="shared" si="16"/>
        <v>0</v>
      </c>
      <c r="BO16" s="7">
        <f t="shared" si="17"/>
        <v>0.59300000000000019</v>
      </c>
      <c r="BP16" s="21">
        <f t="shared" si="18"/>
        <v>-1.2</v>
      </c>
      <c r="BQ16" s="1">
        <f t="shared" si="19"/>
        <v>-5.7</v>
      </c>
      <c r="BR16" s="1">
        <f t="shared" si="20"/>
        <v>-1.5</v>
      </c>
      <c r="BS16" s="1">
        <f t="shared" si="21"/>
        <v>-12.4</v>
      </c>
      <c r="BT16" s="1">
        <f t="shared" si="22"/>
        <v>-0.4</v>
      </c>
      <c r="BU16" s="1" t="s">
        <v>113</v>
      </c>
      <c r="BV16" s="1">
        <f t="shared" si="23"/>
        <v>1.1000000000000001</v>
      </c>
      <c r="BW16" s="1" t="str">
        <f t="shared" si="29"/>
        <v>NAN</v>
      </c>
      <c r="BX16" s="1">
        <f t="shared" si="30"/>
        <v>0.53400000000000003</v>
      </c>
      <c r="BY16" s="1">
        <f t="shared" si="31"/>
        <v>6.7000000000000004E-2</v>
      </c>
      <c r="CA16" s="1">
        <f t="shared" si="24"/>
        <v>-1.3</v>
      </c>
      <c r="CB16" s="1">
        <f t="shared" si="25"/>
        <v>-8.8000000000000007</v>
      </c>
    </row>
    <row r="17" spans="1:80" x14ac:dyDescent="0.2">
      <c r="A17" s="9">
        <f t="shared" si="32"/>
        <v>43477</v>
      </c>
      <c r="B17" s="2">
        <v>12</v>
      </c>
      <c r="C17" s="2">
        <v>21</v>
      </c>
      <c r="D17" s="2">
        <v>13.14</v>
      </c>
      <c r="E17" s="2">
        <v>5.3209999999999997</v>
      </c>
      <c r="F17" s="2">
        <v>-10.199999999999999</v>
      </c>
      <c r="G17" s="2">
        <v>-3.32</v>
      </c>
      <c r="H17" s="2">
        <v>90.8</v>
      </c>
      <c r="I17" s="2">
        <v>-2.8860000000000001</v>
      </c>
      <c r="J17" s="2">
        <v>-0.40100000000000002</v>
      </c>
      <c r="K17" s="2">
        <v>-0.376</v>
      </c>
      <c r="L17" s="2">
        <v>1.0569999999999999</v>
      </c>
      <c r="M17" s="2">
        <v>0.60399999999999998</v>
      </c>
      <c r="N17" s="2">
        <v>101.4</v>
      </c>
      <c r="O17" s="2">
        <v>-2.1349999999999998</v>
      </c>
      <c r="P17" s="2">
        <v>0.44</v>
      </c>
      <c r="Q17" s="2">
        <v>0.45200000000000001</v>
      </c>
      <c r="R17" s="2">
        <v>1.4690000000000001</v>
      </c>
      <c r="S17" s="2">
        <v>-9.7799999999999994</v>
      </c>
      <c r="T17" s="2">
        <v>77.900000000000006</v>
      </c>
      <c r="U17" s="2">
        <v>-3.2789999999999999</v>
      </c>
      <c r="V17" s="2">
        <v>-0.626</v>
      </c>
      <c r="W17" s="2">
        <v>-0.59799999999999998</v>
      </c>
      <c r="X17" s="2">
        <v>0.81200000000000006</v>
      </c>
      <c r="Y17" s="2">
        <v>1.86</v>
      </c>
      <c r="Z17" s="2">
        <v>0.254</v>
      </c>
      <c r="AA17" s="2">
        <v>3.8479999999999999</v>
      </c>
      <c r="AB17" s="2">
        <v>3.5139999999999998</v>
      </c>
      <c r="AC17" s="2">
        <v>2.0150000000000001</v>
      </c>
      <c r="AD17" s="2">
        <v>5.0869999999999997</v>
      </c>
      <c r="AE17" s="2">
        <v>-9.9</v>
      </c>
      <c r="AF17" s="2">
        <v>-3.7240000000000002</v>
      </c>
      <c r="AG17" s="2">
        <v>-18.7</v>
      </c>
      <c r="AH17" s="2">
        <v>-3.7240000000000002</v>
      </c>
      <c r="AI17" s="2">
        <v>-18.7</v>
      </c>
      <c r="AJ17" s="2" t="s">
        <v>113</v>
      </c>
      <c r="AK17" s="2" t="s">
        <v>113</v>
      </c>
      <c r="AL17" s="2">
        <v>-3.625</v>
      </c>
      <c r="AM17" s="2">
        <v>2.383</v>
      </c>
      <c r="AN17" s="2">
        <v>-10.46</v>
      </c>
      <c r="AO17" s="2"/>
      <c r="AP17" s="1">
        <f t="shared" si="0"/>
        <v>0.59000000000000008</v>
      </c>
      <c r="AQ17" s="22">
        <f t="shared" si="1"/>
        <v>-1.2</v>
      </c>
      <c r="AR17" s="5">
        <v>5.77</v>
      </c>
      <c r="AS17" s="5">
        <v>4.05</v>
      </c>
      <c r="AT17" s="5">
        <v>3.5</v>
      </c>
      <c r="AU17" s="7">
        <f t="shared" si="26"/>
        <v>0.86399999999999999</v>
      </c>
      <c r="AV17" s="16"/>
      <c r="AW17" s="29">
        <v>0</v>
      </c>
      <c r="AX17" s="29">
        <v>586</v>
      </c>
      <c r="AY17" s="1">
        <f t="shared" si="2"/>
        <v>97.9</v>
      </c>
      <c r="AZ17" s="1">
        <f t="shared" si="3"/>
        <v>87.6</v>
      </c>
      <c r="BA17" s="1">
        <f t="shared" si="4"/>
        <v>75.099999999999994</v>
      </c>
      <c r="BB17" s="8">
        <f t="shared" si="5"/>
        <v>0.47899999999999998</v>
      </c>
      <c r="BC17" s="8">
        <f t="shared" si="6"/>
        <v>0.159</v>
      </c>
      <c r="BE17" s="5">
        <f t="shared" si="7"/>
        <v>4.05</v>
      </c>
      <c r="BF17" s="5">
        <f t="shared" si="8"/>
        <v>3.5</v>
      </c>
      <c r="BG17" s="1">
        <f t="shared" si="9"/>
        <v>-3.3</v>
      </c>
      <c r="BH17" s="1">
        <f t="shared" si="10"/>
        <v>0.6</v>
      </c>
      <c r="BI17" s="1">
        <f t="shared" si="11"/>
        <v>-9.8000000000000007</v>
      </c>
      <c r="BJ17" s="1">
        <f t="shared" si="12"/>
        <v>87.6</v>
      </c>
      <c r="BK17" s="1">
        <f t="shared" si="13"/>
        <v>75.099999999999994</v>
      </c>
      <c r="BL17" s="1">
        <f t="shared" si="27"/>
        <v>2</v>
      </c>
      <c r="BM17" s="1">
        <f t="shared" si="28"/>
        <v>5.0999999999999996</v>
      </c>
      <c r="BN17" s="21">
        <f t="shared" si="16"/>
        <v>0</v>
      </c>
      <c r="BO17" s="7">
        <f t="shared" si="17"/>
        <v>0.59000000000000008</v>
      </c>
      <c r="BP17" s="21">
        <f t="shared" si="18"/>
        <v>-1.2</v>
      </c>
      <c r="BQ17" s="1">
        <f t="shared" si="19"/>
        <v>-9.9</v>
      </c>
      <c r="BR17" s="1">
        <f t="shared" si="20"/>
        <v>-3.7</v>
      </c>
      <c r="BS17" s="1">
        <f t="shared" si="21"/>
        <v>-18.7</v>
      </c>
      <c r="BT17" s="1">
        <f t="shared" si="22"/>
        <v>-0.4</v>
      </c>
      <c r="BU17" s="1" t="s">
        <v>113</v>
      </c>
      <c r="BV17" s="1">
        <f t="shared" si="23"/>
        <v>1.1000000000000001</v>
      </c>
      <c r="BW17" s="1" t="str">
        <f t="shared" si="29"/>
        <v>NAN</v>
      </c>
      <c r="BX17" s="1">
        <f t="shared" si="30"/>
        <v>0.47899999999999998</v>
      </c>
      <c r="BY17" s="1">
        <f t="shared" si="31"/>
        <v>0.159</v>
      </c>
      <c r="CA17" s="1">
        <f t="shared" si="24"/>
        <v>-4.3</v>
      </c>
      <c r="CB17" s="1">
        <f t="shared" si="25"/>
        <v>-8.8999999999999986</v>
      </c>
    </row>
    <row r="18" spans="1:80" x14ac:dyDescent="0.2">
      <c r="A18" s="9">
        <f t="shared" si="32"/>
        <v>43478</v>
      </c>
      <c r="B18" s="2">
        <v>13</v>
      </c>
      <c r="C18" s="2">
        <v>21</v>
      </c>
      <c r="D18" s="2">
        <v>13.11</v>
      </c>
      <c r="E18" s="2">
        <v>12.91</v>
      </c>
      <c r="F18" s="2">
        <v>-13.66</v>
      </c>
      <c r="G18" s="2">
        <v>-6.4530000000000003</v>
      </c>
      <c r="H18" s="2">
        <v>90.7</v>
      </c>
      <c r="I18" s="2">
        <v>-4.0919999999999996</v>
      </c>
      <c r="J18" s="2">
        <v>-0.377</v>
      </c>
      <c r="K18" s="2">
        <v>-0.34100000000000003</v>
      </c>
      <c r="L18" s="2">
        <v>1.0720000000000001</v>
      </c>
      <c r="M18" s="2">
        <v>3.085</v>
      </c>
      <c r="N18" s="2">
        <v>100.2</v>
      </c>
      <c r="O18" s="2">
        <v>-2.8559999999999999</v>
      </c>
      <c r="P18" s="2">
        <v>0.90500000000000003</v>
      </c>
      <c r="Q18" s="2">
        <v>0.91600000000000004</v>
      </c>
      <c r="R18" s="2">
        <v>1.744</v>
      </c>
      <c r="S18" s="2">
        <v>-12.01</v>
      </c>
      <c r="T18" s="2">
        <v>60.95</v>
      </c>
      <c r="U18" s="2">
        <v>-4.9850000000000003</v>
      </c>
      <c r="V18" s="2">
        <v>-0.84699999999999998</v>
      </c>
      <c r="W18" s="2">
        <v>-0.79300000000000004</v>
      </c>
      <c r="X18" s="2">
        <v>0.54200000000000004</v>
      </c>
      <c r="Y18" s="2">
        <v>1.8720000000000001</v>
      </c>
      <c r="Z18" s="2">
        <v>0</v>
      </c>
      <c r="AA18" s="2">
        <v>4.8970000000000002</v>
      </c>
      <c r="AB18" s="2">
        <v>4.4889999999999999</v>
      </c>
      <c r="AC18" s="2">
        <v>0.77100000000000002</v>
      </c>
      <c r="AD18" s="2">
        <v>3.6739999999999999</v>
      </c>
      <c r="AE18" s="2">
        <v>-16.190000000000001</v>
      </c>
      <c r="AF18" s="2">
        <v>-4.2729999999999997</v>
      </c>
      <c r="AG18" s="2">
        <v>-23.91</v>
      </c>
      <c r="AH18" s="2">
        <v>-4.2729999999999997</v>
      </c>
      <c r="AI18" s="2">
        <v>-23.91</v>
      </c>
      <c r="AJ18" s="2" t="s">
        <v>113</v>
      </c>
      <c r="AK18" s="2" t="s">
        <v>113</v>
      </c>
      <c r="AL18" s="2">
        <v>-6.883</v>
      </c>
      <c r="AM18" s="2">
        <v>6.468</v>
      </c>
      <c r="AN18" s="2">
        <v>-13.46</v>
      </c>
      <c r="AO18" s="2"/>
      <c r="AP18" s="1">
        <f t="shared" si="0"/>
        <v>0.57800000000000007</v>
      </c>
      <c r="AQ18" s="22">
        <f t="shared" si="1"/>
        <v>-1.6</v>
      </c>
      <c r="AR18" s="5">
        <v>5.85</v>
      </c>
      <c r="AS18" s="5">
        <v>5.17</v>
      </c>
      <c r="AT18" s="5">
        <v>4.3600000000000003</v>
      </c>
      <c r="AU18" s="7">
        <f t="shared" si="26"/>
        <v>0.84299999999999997</v>
      </c>
      <c r="AV18" s="16"/>
      <c r="AW18" s="29">
        <v>0</v>
      </c>
      <c r="AX18" s="29">
        <v>574</v>
      </c>
      <c r="AY18" s="1">
        <f t="shared" si="2"/>
        <v>96.7</v>
      </c>
      <c r="AZ18" s="1">
        <f t="shared" si="3"/>
        <v>87.5</v>
      </c>
      <c r="BA18" s="1">
        <f t="shared" si="4"/>
        <v>58.6</v>
      </c>
      <c r="BB18" s="8">
        <f t="shared" si="5"/>
        <v>0.44700000000000001</v>
      </c>
      <c r="BC18" s="8">
        <f t="shared" si="6"/>
        <v>0.316</v>
      </c>
      <c r="BE18" s="5">
        <f t="shared" si="7"/>
        <v>5.17</v>
      </c>
      <c r="BF18" s="5">
        <f t="shared" si="8"/>
        <v>4.3600000000000003</v>
      </c>
      <c r="BG18" s="1">
        <f t="shared" si="9"/>
        <v>-6.5</v>
      </c>
      <c r="BH18" s="1">
        <f t="shared" si="10"/>
        <v>3.1</v>
      </c>
      <c r="BI18" s="1">
        <f t="shared" si="11"/>
        <v>-12</v>
      </c>
      <c r="BJ18" s="1">
        <f t="shared" si="12"/>
        <v>87.5</v>
      </c>
      <c r="BK18" s="1">
        <f t="shared" si="13"/>
        <v>58.6</v>
      </c>
      <c r="BL18" s="1">
        <f t="shared" si="27"/>
        <v>0.8</v>
      </c>
      <c r="BM18" s="1">
        <f t="shared" si="28"/>
        <v>3.7</v>
      </c>
      <c r="BN18" s="21">
        <f t="shared" si="16"/>
        <v>0</v>
      </c>
      <c r="BO18" s="7">
        <f t="shared" si="17"/>
        <v>0.57800000000000007</v>
      </c>
      <c r="BP18" s="21">
        <f t="shared" si="18"/>
        <v>-1.6</v>
      </c>
      <c r="BQ18" s="1">
        <f t="shared" si="19"/>
        <v>-16.2</v>
      </c>
      <c r="BR18" s="1">
        <f t="shared" si="20"/>
        <v>-4.3</v>
      </c>
      <c r="BS18" s="1">
        <f t="shared" si="21"/>
        <v>-23.9</v>
      </c>
      <c r="BT18" s="1">
        <f t="shared" si="22"/>
        <v>-0.3</v>
      </c>
      <c r="BU18" s="1" t="s">
        <v>113</v>
      </c>
      <c r="BV18" s="1">
        <f t="shared" si="23"/>
        <v>1.1000000000000001</v>
      </c>
      <c r="BW18" s="1" t="str">
        <f t="shared" si="29"/>
        <v>NAN</v>
      </c>
      <c r="BX18" s="1">
        <f t="shared" si="30"/>
        <v>0.44700000000000001</v>
      </c>
      <c r="BY18" s="1">
        <f t="shared" si="31"/>
        <v>0.316</v>
      </c>
      <c r="CA18" s="1">
        <f t="shared" si="24"/>
        <v>-7.4</v>
      </c>
      <c r="CB18" s="1">
        <f t="shared" si="25"/>
        <v>-11.899999999999999</v>
      </c>
    </row>
    <row r="19" spans="1:80" x14ac:dyDescent="0.2">
      <c r="A19" s="9">
        <f t="shared" si="32"/>
        <v>43479</v>
      </c>
      <c r="B19" s="2">
        <v>14</v>
      </c>
      <c r="C19" s="2">
        <v>21</v>
      </c>
      <c r="D19" s="2">
        <v>13.1</v>
      </c>
      <c r="E19" s="2">
        <v>15.92</v>
      </c>
      <c r="F19" s="2">
        <v>-17.899999999999999</v>
      </c>
      <c r="G19" s="2">
        <v>-7.95</v>
      </c>
      <c r="H19" s="2">
        <v>81.400000000000006</v>
      </c>
      <c r="I19" s="2">
        <v>-6.02</v>
      </c>
      <c r="J19" s="2">
        <v>-0.39200000000000002</v>
      </c>
      <c r="K19" s="2">
        <v>-0.33800000000000002</v>
      </c>
      <c r="L19" s="2">
        <v>1.0549999999999999</v>
      </c>
      <c r="M19" s="2">
        <v>5.51</v>
      </c>
      <c r="N19" s="2">
        <v>99.1</v>
      </c>
      <c r="O19" s="2">
        <v>-4.4269999999999996</v>
      </c>
      <c r="P19" s="2">
        <v>1.2989999999999999</v>
      </c>
      <c r="Q19" s="2">
        <v>1.31</v>
      </c>
      <c r="R19" s="2">
        <v>1.8879999999999999</v>
      </c>
      <c r="S19" s="2">
        <v>-14.82</v>
      </c>
      <c r="T19" s="2">
        <v>39.020000000000003</v>
      </c>
      <c r="U19" s="2">
        <v>-7.24</v>
      </c>
      <c r="V19" s="2">
        <v>-0.99</v>
      </c>
      <c r="W19" s="2">
        <v>-0.92300000000000004</v>
      </c>
      <c r="X19" s="2">
        <v>0.41099999999999998</v>
      </c>
      <c r="Y19" s="2">
        <v>1.8759999999999999</v>
      </c>
      <c r="Z19" s="2">
        <v>1.778</v>
      </c>
      <c r="AA19" s="2">
        <v>4.6989999999999998</v>
      </c>
      <c r="AB19" s="2">
        <v>4.6449999999999996</v>
      </c>
      <c r="AC19" s="2">
        <v>0.57099999999999995</v>
      </c>
      <c r="AD19" s="2">
        <v>2.6339999999999999</v>
      </c>
      <c r="AE19" s="2">
        <v>-20.96</v>
      </c>
      <c r="AF19" s="2">
        <v>-6.3070000000000004</v>
      </c>
      <c r="AG19" s="2">
        <v>-28.07</v>
      </c>
      <c r="AH19" s="2">
        <v>-6.3070000000000004</v>
      </c>
      <c r="AI19" s="2">
        <v>-28.07</v>
      </c>
      <c r="AJ19" s="2" t="s">
        <v>113</v>
      </c>
      <c r="AK19" s="2" t="s">
        <v>113</v>
      </c>
      <c r="AL19" s="2">
        <v>-8.85</v>
      </c>
      <c r="AM19" s="2">
        <v>9.43</v>
      </c>
      <c r="AN19" s="2">
        <v>-17.04</v>
      </c>
      <c r="AO19" s="2"/>
      <c r="AP19" s="1">
        <f t="shared" si="0"/>
        <v>0.57400000000000029</v>
      </c>
      <c r="AQ19" s="22">
        <f t="shared" si="1"/>
        <v>-2.2999999999999998</v>
      </c>
      <c r="AR19" s="5">
        <v>5.93</v>
      </c>
      <c r="AS19" s="5">
        <v>5.18</v>
      </c>
      <c r="AT19" s="5">
        <v>4.58</v>
      </c>
      <c r="AU19" s="7">
        <f t="shared" si="26"/>
        <v>0.88400000000000001</v>
      </c>
      <c r="AV19" s="16"/>
      <c r="AW19" s="29">
        <v>0</v>
      </c>
      <c r="AX19" s="29">
        <v>570</v>
      </c>
      <c r="AY19" s="1">
        <f t="shared" si="2"/>
        <v>95.6</v>
      </c>
      <c r="AZ19" s="1">
        <f t="shared" si="3"/>
        <v>78.5</v>
      </c>
      <c r="BA19" s="1">
        <f t="shared" si="4"/>
        <v>37.299999999999997</v>
      </c>
      <c r="BB19" s="8">
        <f t="shared" si="5"/>
        <v>0.33700000000000002</v>
      </c>
      <c r="BC19" s="8">
        <f t="shared" si="6"/>
        <v>0.56599999999999995</v>
      </c>
      <c r="BE19" s="5">
        <f t="shared" si="7"/>
        <v>5.18</v>
      </c>
      <c r="BF19" s="5">
        <f t="shared" si="8"/>
        <v>4.58</v>
      </c>
      <c r="BG19" s="1">
        <f t="shared" si="9"/>
        <v>-8</v>
      </c>
      <c r="BH19" s="1">
        <f t="shared" si="10"/>
        <v>5.5</v>
      </c>
      <c r="BI19" s="1">
        <f t="shared" si="11"/>
        <v>-14.8</v>
      </c>
      <c r="BJ19" s="1">
        <f t="shared" si="12"/>
        <v>78.5</v>
      </c>
      <c r="BK19" s="1">
        <f t="shared" si="13"/>
        <v>37.299999999999997</v>
      </c>
      <c r="BL19" s="1">
        <f t="shared" si="27"/>
        <v>0.6</v>
      </c>
      <c r="BM19" s="1">
        <f t="shared" si="28"/>
        <v>2.6</v>
      </c>
      <c r="BN19" s="21">
        <f t="shared" si="16"/>
        <v>0</v>
      </c>
      <c r="BO19" s="7">
        <f t="shared" si="17"/>
        <v>0.57400000000000029</v>
      </c>
      <c r="BP19" s="21">
        <f t="shared" si="18"/>
        <v>-2.2999999999999998</v>
      </c>
      <c r="BQ19" s="1">
        <f t="shared" si="19"/>
        <v>-21</v>
      </c>
      <c r="BR19" s="1">
        <f t="shared" si="20"/>
        <v>-6.3</v>
      </c>
      <c r="BS19" s="1">
        <f t="shared" si="21"/>
        <v>-28.1</v>
      </c>
      <c r="BT19" s="1">
        <f t="shared" si="22"/>
        <v>-0.3</v>
      </c>
      <c r="BU19" s="1" t="s">
        <v>113</v>
      </c>
      <c r="BV19" s="1">
        <f t="shared" si="23"/>
        <v>1.1000000000000001</v>
      </c>
      <c r="BW19" s="1" t="str">
        <f t="shared" si="29"/>
        <v>NAN</v>
      </c>
      <c r="BX19" s="1">
        <f t="shared" si="30"/>
        <v>0.33700000000000002</v>
      </c>
      <c r="BY19" s="1">
        <f t="shared" si="31"/>
        <v>0.56599999999999995</v>
      </c>
      <c r="CA19" s="1">
        <f t="shared" si="24"/>
        <v>-11.8</v>
      </c>
      <c r="CB19" s="1">
        <f t="shared" si="25"/>
        <v>-13.3</v>
      </c>
    </row>
    <row r="20" spans="1:80" x14ac:dyDescent="0.2">
      <c r="A20" s="9">
        <f t="shared" si="32"/>
        <v>43480</v>
      </c>
      <c r="B20" s="2">
        <v>15</v>
      </c>
      <c r="C20" s="2">
        <v>21</v>
      </c>
      <c r="D20" s="2">
        <v>13.12</v>
      </c>
      <c r="E20" s="2">
        <v>7.59</v>
      </c>
      <c r="F20" s="2">
        <v>-15.58</v>
      </c>
      <c r="G20" s="2">
        <v>-7.35</v>
      </c>
      <c r="H20" s="2">
        <v>75.599999999999994</v>
      </c>
      <c r="I20" s="2">
        <v>-7.3</v>
      </c>
      <c r="J20" s="2">
        <v>-0.46700000000000003</v>
      </c>
      <c r="K20" s="2">
        <v>-0.39800000000000002</v>
      </c>
      <c r="L20" s="2">
        <v>1.0680000000000001</v>
      </c>
      <c r="M20" s="2">
        <v>0.109</v>
      </c>
      <c r="N20" s="2">
        <v>97</v>
      </c>
      <c r="O20" s="2">
        <v>-6.3170000000000002</v>
      </c>
      <c r="P20" s="2">
        <v>0.76200000000000001</v>
      </c>
      <c r="Q20" s="2">
        <v>0.80700000000000005</v>
      </c>
      <c r="R20" s="2">
        <v>1.6970000000000001</v>
      </c>
      <c r="S20" s="2">
        <v>-13.22</v>
      </c>
      <c r="T20" s="2">
        <v>51.69</v>
      </c>
      <c r="U20" s="2">
        <v>-7.97</v>
      </c>
      <c r="V20" s="2">
        <v>-0.84199999999999997</v>
      </c>
      <c r="W20" s="2">
        <v>-0.76</v>
      </c>
      <c r="X20" s="2">
        <v>0.67200000000000004</v>
      </c>
      <c r="Y20" s="2">
        <v>1.873</v>
      </c>
      <c r="Z20" s="2">
        <v>0</v>
      </c>
      <c r="AA20" s="2">
        <v>5.0510000000000002</v>
      </c>
      <c r="AB20" s="2">
        <v>4.5359999999999996</v>
      </c>
      <c r="AC20" s="2">
        <v>1.419</v>
      </c>
      <c r="AD20" s="2">
        <v>5.194</v>
      </c>
      <c r="AE20" s="2">
        <v>-17.350000000000001</v>
      </c>
      <c r="AF20" s="2">
        <v>-6.1390000000000002</v>
      </c>
      <c r="AG20" s="2">
        <v>-25.25</v>
      </c>
      <c r="AH20" s="2">
        <v>-6.1390000000000002</v>
      </c>
      <c r="AI20" s="2">
        <v>-25.25</v>
      </c>
      <c r="AJ20" s="2" t="s">
        <v>113</v>
      </c>
      <c r="AK20" s="2" t="s">
        <v>113</v>
      </c>
      <c r="AL20" s="2">
        <v>-8.09</v>
      </c>
      <c r="AM20" s="2">
        <v>3.0619999999999998</v>
      </c>
      <c r="AN20" s="2">
        <v>-14.38</v>
      </c>
      <c r="AO20" s="2"/>
      <c r="AP20" s="1">
        <f t="shared" si="0"/>
        <v>0.57700000000000018</v>
      </c>
      <c r="AQ20" s="22">
        <f t="shared" si="1"/>
        <v>-2.7</v>
      </c>
      <c r="AR20" s="5">
        <v>6.02</v>
      </c>
      <c r="AS20" s="5">
        <v>5.3</v>
      </c>
      <c r="AT20" s="5">
        <v>4.51</v>
      </c>
      <c r="AU20" s="7">
        <f t="shared" si="26"/>
        <v>0.85099999999999998</v>
      </c>
      <c r="AV20" s="16"/>
      <c r="AW20" s="29">
        <v>0</v>
      </c>
      <c r="AX20" s="29">
        <v>573</v>
      </c>
      <c r="AY20" s="1">
        <f t="shared" si="2"/>
        <v>93.6</v>
      </c>
      <c r="AZ20" s="1">
        <f t="shared" si="3"/>
        <v>72.8</v>
      </c>
      <c r="BA20" s="1">
        <f t="shared" si="4"/>
        <v>49.6</v>
      </c>
      <c r="BB20" s="8">
        <f t="shared" si="5"/>
        <v>0.30499999999999999</v>
      </c>
      <c r="BC20" s="8">
        <f t="shared" si="6"/>
        <v>0.31</v>
      </c>
      <c r="BE20" s="5">
        <f t="shared" si="7"/>
        <v>5.3</v>
      </c>
      <c r="BF20" s="5">
        <f t="shared" si="8"/>
        <v>4.51</v>
      </c>
      <c r="BG20" s="1">
        <f t="shared" si="9"/>
        <v>-7.4</v>
      </c>
      <c r="BH20" s="1">
        <f t="shared" si="10"/>
        <v>0.1</v>
      </c>
      <c r="BI20" s="1">
        <f t="shared" si="11"/>
        <v>-13.2</v>
      </c>
      <c r="BJ20" s="1">
        <f t="shared" si="12"/>
        <v>72.8</v>
      </c>
      <c r="BK20" s="1">
        <f t="shared" si="13"/>
        <v>49.6</v>
      </c>
      <c r="BL20" s="1">
        <f t="shared" si="27"/>
        <v>1.4</v>
      </c>
      <c r="BM20" s="1">
        <f t="shared" si="28"/>
        <v>5.2</v>
      </c>
      <c r="BN20" s="21">
        <f t="shared" si="16"/>
        <v>0</v>
      </c>
      <c r="BO20" s="7">
        <f t="shared" si="17"/>
        <v>0.57700000000000018</v>
      </c>
      <c r="BP20" s="21">
        <f t="shared" si="18"/>
        <v>-2.7</v>
      </c>
      <c r="BQ20" s="1">
        <f t="shared" si="19"/>
        <v>-17.399999999999999</v>
      </c>
      <c r="BR20" s="1">
        <f t="shared" si="20"/>
        <v>-6.1</v>
      </c>
      <c r="BS20" s="1">
        <f t="shared" si="21"/>
        <v>-25.3</v>
      </c>
      <c r="BT20" s="1">
        <f t="shared" si="22"/>
        <v>-0.4</v>
      </c>
      <c r="BU20" s="1" t="s">
        <v>113</v>
      </c>
      <c r="BV20" s="1">
        <f t="shared" si="23"/>
        <v>1.1000000000000001</v>
      </c>
      <c r="BW20" s="1" t="str">
        <f t="shared" si="29"/>
        <v>NAN</v>
      </c>
      <c r="BX20" s="1">
        <f t="shared" si="30"/>
        <v>0.30499999999999999</v>
      </c>
      <c r="BY20" s="1">
        <f t="shared" si="31"/>
        <v>0.31</v>
      </c>
      <c r="CA20" s="1">
        <f t="shared" si="24"/>
        <v>-6.1999999999999993</v>
      </c>
      <c r="CB20" s="1">
        <f t="shared" si="25"/>
        <v>-12.100000000000001</v>
      </c>
    </row>
    <row r="21" spans="1:80" x14ac:dyDescent="0.2">
      <c r="A21" s="9">
        <f t="shared" si="32"/>
        <v>43481</v>
      </c>
      <c r="B21" s="2">
        <v>16</v>
      </c>
      <c r="C21" s="2">
        <v>21</v>
      </c>
      <c r="D21" s="2">
        <v>13.18</v>
      </c>
      <c r="E21" s="2">
        <v>1.2989999999999999</v>
      </c>
      <c r="F21" s="2">
        <v>-9.4700000000000006</v>
      </c>
      <c r="G21" s="2">
        <v>-3.899</v>
      </c>
      <c r="H21" s="2">
        <v>84.5</v>
      </c>
      <c r="I21" s="2">
        <v>-6.4669999999999996</v>
      </c>
      <c r="J21" s="2">
        <v>-0.53700000000000003</v>
      </c>
      <c r="K21" s="2">
        <v>-0.47799999999999998</v>
      </c>
      <c r="L21" s="2">
        <v>1.0369999999999999</v>
      </c>
      <c r="M21" s="2">
        <v>-0.39600000000000002</v>
      </c>
      <c r="N21" s="2">
        <v>90.1</v>
      </c>
      <c r="O21" s="2">
        <v>-5.1289999999999996</v>
      </c>
      <c r="P21" s="2">
        <v>0.107</v>
      </c>
      <c r="Q21" s="2">
        <v>0.152</v>
      </c>
      <c r="R21" s="2">
        <v>1.4139999999999999</v>
      </c>
      <c r="S21" s="2">
        <v>-8.0500000000000007</v>
      </c>
      <c r="T21" s="2">
        <v>71.900000000000006</v>
      </c>
      <c r="U21" s="2">
        <v>-7.42</v>
      </c>
      <c r="V21" s="2">
        <v>-0.68799999999999994</v>
      </c>
      <c r="W21" s="2">
        <v>-0.61899999999999999</v>
      </c>
      <c r="X21" s="2">
        <v>0.90500000000000003</v>
      </c>
      <c r="Y21" s="2">
        <v>1.875</v>
      </c>
      <c r="Z21" s="2">
        <v>0</v>
      </c>
      <c r="AA21" s="2">
        <v>2.548</v>
      </c>
      <c r="AB21" s="2">
        <v>2.2029999999999998</v>
      </c>
      <c r="AC21" s="2">
        <v>2.3069999999999999</v>
      </c>
      <c r="AD21" s="2">
        <v>5.38</v>
      </c>
      <c r="AE21" s="2">
        <v>-5.9790000000000001</v>
      </c>
      <c r="AF21" s="2">
        <v>-2.8359999999999999</v>
      </c>
      <c r="AG21" s="2">
        <v>-17.04</v>
      </c>
      <c r="AH21" s="2">
        <v>-2.8359999999999999</v>
      </c>
      <c r="AI21" s="2">
        <v>-17.04</v>
      </c>
      <c r="AJ21" s="2" t="s">
        <v>113</v>
      </c>
      <c r="AK21" s="2" t="s">
        <v>113</v>
      </c>
      <c r="AL21" s="2">
        <v>-3.9430000000000001</v>
      </c>
      <c r="AM21" s="2">
        <v>0.77</v>
      </c>
      <c r="AN21" s="2">
        <v>-8.7799999999999994</v>
      </c>
      <c r="AO21" s="2"/>
      <c r="AP21" s="1">
        <f t="shared" si="0"/>
        <v>0.57500000000000018</v>
      </c>
      <c r="AQ21" s="22">
        <f t="shared" si="1"/>
        <v>-2.5</v>
      </c>
      <c r="AR21" s="5">
        <v>6.11</v>
      </c>
      <c r="AS21" s="5">
        <v>2.68</v>
      </c>
      <c r="AT21" s="5">
        <v>2.2000000000000002</v>
      </c>
      <c r="AU21" s="7">
        <f t="shared" si="26"/>
        <v>0.82099999999999995</v>
      </c>
      <c r="AV21" s="16"/>
      <c r="AW21" s="29">
        <v>0</v>
      </c>
      <c r="AX21" s="29">
        <v>571</v>
      </c>
      <c r="AY21" s="1">
        <f t="shared" si="2"/>
        <v>86.9</v>
      </c>
      <c r="AZ21" s="1">
        <f t="shared" si="3"/>
        <v>81.5</v>
      </c>
      <c r="BA21" s="1">
        <f t="shared" si="4"/>
        <v>69.2</v>
      </c>
      <c r="BB21" s="8">
        <f t="shared" si="5"/>
        <v>0.41</v>
      </c>
      <c r="BC21" s="8">
        <f t="shared" si="6"/>
        <v>0.182</v>
      </c>
      <c r="BE21" s="5">
        <f t="shared" si="7"/>
        <v>2.68</v>
      </c>
      <c r="BF21" s="5">
        <f t="shared" si="8"/>
        <v>2.2000000000000002</v>
      </c>
      <c r="BG21" s="1">
        <f t="shared" si="9"/>
        <v>-3.9</v>
      </c>
      <c r="BH21" s="1">
        <f t="shared" si="10"/>
        <v>-0.4</v>
      </c>
      <c r="BI21" s="1">
        <f t="shared" si="11"/>
        <v>-8.1</v>
      </c>
      <c r="BJ21" s="1">
        <f t="shared" si="12"/>
        <v>81.5</v>
      </c>
      <c r="BK21" s="1">
        <f t="shared" si="13"/>
        <v>69.2</v>
      </c>
      <c r="BL21" s="1">
        <f t="shared" si="27"/>
        <v>2.2999999999999998</v>
      </c>
      <c r="BM21" s="1">
        <f t="shared" si="28"/>
        <v>5.4</v>
      </c>
      <c r="BN21" s="21">
        <f t="shared" si="16"/>
        <v>0</v>
      </c>
      <c r="BO21" s="7">
        <f t="shared" si="17"/>
        <v>0.57500000000000018</v>
      </c>
      <c r="BP21" s="21">
        <f t="shared" si="18"/>
        <v>-2.5</v>
      </c>
      <c r="BQ21" s="1">
        <f t="shared" si="19"/>
        <v>-6</v>
      </c>
      <c r="BR21" s="1">
        <f t="shared" si="20"/>
        <v>-2.8</v>
      </c>
      <c r="BS21" s="1">
        <f t="shared" si="21"/>
        <v>-17</v>
      </c>
      <c r="BT21" s="1">
        <f t="shared" si="22"/>
        <v>-0.5</v>
      </c>
      <c r="BU21" s="1" t="s">
        <v>113</v>
      </c>
      <c r="BV21" s="1">
        <f t="shared" si="23"/>
        <v>1</v>
      </c>
      <c r="BW21" s="1" t="str">
        <f t="shared" si="29"/>
        <v>NAN</v>
      </c>
      <c r="BX21" s="1">
        <f t="shared" si="30"/>
        <v>0.41</v>
      </c>
      <c r="BY21" s="1">
        <f t="shared" si="31"/>
        <v>0.182</v>
      </c>
      <c r="CA21" s="1">
        <f t="shared" si="24"/>
        <v>-2.4</v>
      </c>
      <c r="CB21" s="1">
        <f t="shared" si="25"/>
        <v>-8.9</v>
      </c>
    </row>
    <row r="22" spans="1:80" x14ac:dyDescent="0.2">
      <c r="A22" s="9">
        <f t="shared" si="32"/>
        <v>43482</v>
      </c>
      <c r="B22" s="2">
        <v>17</v>
      </c>
      <c r="C22" s="2">
        <v>21</v>
      </c>
      <c r="D22" s="2">
        <v>13.18</v>
      </c>
      <c r="E22" s="2">
        <v>0.14499999999999999</v>
      </c>
      <c r="F22" s="2">
        <v>-4.1189999999999998</v>
      </c>
      <c r="G22" s="2">
        <v>-2.3650000000000002</v>
      </c>
      <c r="H22" s="2">
        <v>95</v>
      </c>
      <c r="I22" s="2">
        <v>-4.1509999999999998</v>
      </c>
      <c r="J22" s="2">
        <v>-0.52800000000000002</v>
      </c>
      <c r="K22" s="2">
        <v>-0.49399999999999999</v>
      </c>
      <c r="L22" s="2">
        <v>1.0209999999999999</v>
      </c>
      <c r="M22" s="2">
        <v>-0.309</v>
      </c>
      <c r="N22" s="2">
        <v>100.5</v>
      </c>
      <c r="O22" s="2">
        <v>-3.3860000000000001</v>
      </c>
      <c r="P22" s="2">
        <v>-0.41699999999999998</v>
      </c>
      <c r="Q22" s="2">
        <v>-0.39300000000000002</v>
      </c>
      <c r="R22" s="2">
        <v>1.091</v>
      </c>
      <c r="S22" s="2">
        <v>-3.859</v>
      </c>
      <c r="T22" s="2">
        <v>85.6</v>
      </c>
      <c r="U22" s="2">
        <v>-5.1829999999999998</v>
      </c>
      <c r="V22" s="2">
        <v>-0.63</v>
      </c>
      <c r="W22" s="2">
        <v>-0.57799999999999996</v>
      </c>
      <c r="X22" s="2">
        <v>0.97</v>
      </c>
      <c r="Y22" s="2">
        <v>1.8560000000000001</v>
      </c>
      <c r="Z22" s="2">
        <v>0</v>
      </c>
      <c r="AA22" s="2">
        <v>0.82699999999999996</v>
      </c>
      <c r="AB22" s="2">
        <v>1.583</v>
      </c>
      <c r="AC22" s="2">
        <v>2.069</v>
      </c>
      <c r="AD22" s="2">
        <v>6.18</v>
      </c>
      <c r="AE22" s="2">
        <v>-4.407</v>
      </c>
      <c r="AF22" s="2">
        <v>-2.2610000000000001</v>
      </c>
      <c r="AG22" s="2">
        <v>-10.24</v>
      </c>
      <c r="AH22" s="2">
        <v>-2.2610000000000001</v>
      </c>
      <c r="AI22" s="2">
        <v>-10.24</v>
      </c>
      <c r="AJ22" s="2" t="s">
        <v>113</v>
      </c>
      <c r="AK22" s="2" t="s">
        <v>113</v>
      </c>
      <c r="AL22" s="2">
        <v>-2.4460000000000002</v>
      </c>
      <c r="AM22" s="2">
        <v>-0.17399999999999999</v>
      </c>
      <c r="AN22" s="2">
        <v>-4.2750000000000004</v>
      </c>
      <c r="AO22" s="2"/>
      <c r="AP22" s="1">
        <f t="shared" si="0"/>
        <v>0.59400000000000008</v>
      </c>
      <c r="AQ22" s="22">
        <f t="shared" si="1"/>
        <v>-1.7</v>
      </c>
      <c r="AR22" s="5">
        <v>6.2</v>
      </c>
      <c r="AS22" s="5">
        <v>1.69</v>
      </c>
      <c r="AT22" s="5">
        <v>1.54</v>
      </c>
      <c r="AU22" s="7">
        <f t="shared" si="26"/>
        <v>0.91100000000000003</v>
      </c>
      <c r="AV22" s="16"/>
      <c r="AW22" s="29">
        <v>3.74</v>
      </c>
      <c r="AX22" s="29">
        <v>590</v>
      </c>
      <c r="AY22" s="1">
        <f t="shared" si="2"/>
        <v>97</v>
      </c>
      <c r="AZ22" s="1">
        <f t="shared" si="3"/>
        <v>91.7</v>
      </c>
      <c r="BA22" s="1">
        <f t="shared" si="4"/>
        <v>82.5</v>
      </c>
      <c r="BB22" s="8">
        <f t="shared" si="5"/>
        <v>0.49199999999999999</v>
      </c>
      <c r="BC22" s="8">
        <f t="shared" si="6"/>
        <v>0.104</v>
      </c>
      <c r="BE22" s="5">
        <f t="shared" si="7"/>
        <v>1.69</v>
      </c>
      <c r="BF22" s="5">
        <f t="shared" si="8"/>
        <v>1.54</v>
      </c>
      <c r="BG22" s="1">
        <f t="shared" si="9"/>
        <v>-2.4</v>
      </c>
      <c r="BH22" s="1">
        <f t="shared" si="10"/>
        <v>-0.3</v>
      </c>
      <c r="BI22" s="1">
        <f t="shared" si="11"/>
        <v>-3.9</v>
      </c>
      <c r="BJ22" s="1">
        <f t="shared" si="12"/>
        <v>91.7</v>
      </c>
      <c r="BK22" s="1">
        <f t="shared" si="13"/>
        <v>82.5</v>
      </c>
      <c r="BL22" s="1">
        <f t="shared" si="27"/>
        <v>2.1</v>
      </c>
      <c r="BM22" s="1">
        <f t="shared" si="28"/>
        <v>6.2</v>
      </c>
      <c r="BN22" s="21">
        <f t="shared" si="16"/>
        <v>3.74</v>
      </c>
      <c r="BO22" s="7">
        <f t="shared" si="17"/>
        <v>0.59400000000000008</v>
      </c>
      <c r="BP22" s="21">
        <f t="shared" si="18"/>
        <v>-1.7</v>
      </c>
      <c r="BQ22" s="1">
        <f t="shared" si="19"/>
        <v>-4.4000000000000004</v>
      </c>
      <c r="BR22" s="1">
        <f t="shared" si="20"/>
        <v>-2.2999999999999998</v>
      </c>
      <c r="BS22" s="1">
        <f t="shared" si="21"/>
        <v>-10.199999999999999</v>
      </c>
      <c r="BT22" s="1">
        <f t="shared" si="22"/>
        <v>-0.5</v>
      </c>
      <c r="BU22" s="1" t="s">
        <v>113</v>
      </c>
      <c r="BV22" s="1">
        <f t="shared" si="23"/>
        <v>1</v>
      </c>
      <c r="BW22" s="1" t="str">
        <f t="shared" si="29"/>
        <v>NAN</v>
      </c>
      <c r="BX22" s="1">
        <f t="shared" si="30"/>
        <v>0.49199999999999999</v>
      </c>
      <c r="BY22" s="1">
        <f t="shared" si="31"/>
        <v>0.104</v>
      </c>
      <c r="CA22" s="1">
        <f t="shared" si="24"/>
        <v>-1.9999999999999998</v>
      </c>
      <c r="CB22" s="1">
        <f t="shared" si="25"/>
        <v>-6.2999999999999989</v>
      </c>
    </row>
    <row r="23" spans="1:80" x14ac:dyDescent="0.2">
      <c r="A23" s="9">
        <f t="shared" si="32"/>
        <v>43483</v>
      </c>
      <c r="B23" s="2">
        <v>18</v>
      </c>
      <c r="C23" s="2">
        <v>21</v>
      </c>
      <c r="D23" s="2">
        <v>13.17</v>
      </c>
      <c r="E23" s="2">
        <v>1.5209999999999999</v>
      </c>
      <c r="F23" s="2">
        <v>-6.5419999999999998</v>
      </c>
      <c r="G23" s="2">
        <v>-3.863</v>
      </c>
      <c r="H23" s="2">
        <v>97.2</v>
      </c>
      <c r="I23" s="2">
        <v>-3.3090000000000002</v>
      </c>
      <c r="J23" s="2">
        <v>-0.46500000000000002</v>
      </c>
      <c r="K23" s="2">
        <v>-0.441</v>
      </c>
      <c r="L23" s="2">
        <v>1.0149999999999999</v>
      </c>
      <c r="M23" s="2">
        <v>-0.94699999999999995</v>
      </c>
      <c r="N23" s="2">
        <v>100.9</v>
      </c>
      <c r="O23" s="2">
        <v>-2.8290000000000002</v>
      </c>
      <c r="P23" s="2">
        <v>-1.4E-2</v>
      </c>
      <c r="Q23" s="2">
        <v>8.9999999999999993E-3</v>
      </c>
      <c r="R23" s="2">
        <v>1.2370000000000001</v>
      </c>
      <c r="S23" s="2">
        <v>-6.8390000000000004</v>
      </c>
      <c r="T23" s="2">
        <v>89.6</v>
      </c>
      <c r="U23" s="2">
        <v>-3.4990000000000001</v>
      </c>
      <c r="V23" s="2">
        <v>-0.621</v>
      </c>
      <c r="W23" s="2">
        <v>-0.58799999999999997</v>
      </c>
      <c r="X23" s="2">
        <v>0.90800000000000003</v>
      </c>
      <c r="Y23" s="2">
        <v>1.841</v>
      </c>
      <c r="Z23" s="2">
        <v>0</v>
      </c>
      <c r="AA23" s="2">
        <v>1.3480000000000001</v>
      </c>
      <c r="AB23" s="2">
        <v>2.7050000000000001</v>
      </c>
      <c r="AC23" s="2">
        <v>1.3260000000000001</v>
      </c>
      <c r="AD23" s="2">
        <v>5.86</v>
      </c>
      <c r="AE23" s="2">
        <v>-7.05</v>
      </c>
      <c r="AF23" s="2">
        <v>-3.98</v>
      </c>
      <c r="AG23" s="2">
        <v>-14.27</v>
      </c>
      <c r="AH23" s="2">
        <v>-3.98</v>
      </c>
      <c r="AI23" s="2">
        <v>-14.27</v>
      </c>
      <c r="AJ23" s="2" t="s">
        <v>113</v>
      </c>
      <c r="AK23" s="2" t="s">
        <v>113</v>
      </c>
      <c r="AL23" s="2">
        <v>-3.9239999999999999</v>
      </c>
      <c r="AM23" s="2">
        <v>7.9000000000000001E-2</v>
      </c>
      <c r="AN23" s="2">
        <v>-6.9950000000000001</v>
      </c>
      <c r="AO23" s="2"/>
      <c r="AP23" s="1">
        <f t="shared" si="0"/>
        <v>0.60900000000000021</v>
      </c>
      <c r="AQ23" s="22">
        <f t="shared" si="1"/>
        <v>-1.4</v>
      </c>
      <c r="AR23" s="5">
        <v>6.3</v>
      </c>
      <c r="AS23" s="5">
        <v>2.9</v>
      </c>
      <c r="AT23" s="5">
        <v>2.7</v>
      </c>
      <c r="AU23" s="7">
        <f t="shared" si="26"/>
        <v>0.93100000000000005</v>
      </c>
      <c r="AV23" s="16"/>
      <c r="AW23" s="29">
        <v>2.2000000000000002</v>
      </c>
      <c r="AX23" s="29">
        <v>605</v>
      </c>
      <c r="AY23" s="1">
        <f t="shared" si="2"/>
        <v>97.4</v>
      </c>
      <c r="AZ23" s="1">
        <f t="shared" si="3"/>
        <v>93.8</v>
      </c>
      <c r="BA23" s="1">
        <f t="shared" si="4"/>
        <v>86.4</v>
      </c>
      <c r="BB23" s="8">
        <f t="shared" si="5"/>
        <v>0.49199999999999999</v>
      </c>
      <c r="BC23" s="8">
        <f t="shared" si="6"/>
        <v>7.6999999999999999E-2</v>
      </c>
      <c r="BE23" s="5">
        <f t="shared" si="7"/>
        <v>2.9</v>
      </c>
      <c r="BF23" s="5">
        <f t="shared" si="8"/>
        <v>2.7</v>
      </c>
      <c r="BG23" s="1">
        <f t="shared" si="9"/>
        <v>-3.9</v>
      </c>
      <c r="BH23" s="1">
        <f t="shared" si="10"/>
        <v>-0.9</v>
      </c>
      <c r="BI23" s="1">
        <f t="shared" si="11"/>
        <v>-6.8</v>
      </c>
      <c r="BJ23" s="1">
        <f t="shared" si="12"/>
        <v>93.8</v>
      </c>
      <c r="BK23" s="1">
        <f t="shared" si="13"/>
        <v>86.4</v>
      </c>
      <c r="BL23" s="1">
        <f t="shared" si="27"/>
        <v>1.3</v>
      </c>
      <c r="BM23" s="1">
        <f t="shared" si="28"/>
        <v>5.9</v>
      </c>
      <c r="BN23" s="21">
        <f t="shared" si="16"/>
        <v>2.2000000000000002</v>
      </c>
      <c r="BO23" s="7">
        <f t="shared" si="17"/>
        <v>0.60900000000000021</v>
      </c>
      <c r="BP23" s="21">
        <f t="shared" si="18"/>
        <v>-1.4</v>
      </c>
      <c r="BQ23" s="1">
        <f t="shared" si="19"/>
        <v>-7.1</v>
      </c>
      <c r="BR23" s="1">
        <f t="shared" si="20"/>
        <v>-4</v>
      </c>
      <c r="BS23" s="1">
        <f t="shared" si="21"/>
        <v>-14.3</v>
      </c>
      <c r="BT23" s="1">
        <f t="shared" si="22"/>
        <v>-0.4</v>
      </c>
      <c r="BU23" s="1" t="s">
        <v>113</v>
      </c>
      <c r="BV23" s="1">
        <f t="shared" si="23"/>
        <v>1</v>
      </c>
      <c r="BW23" s="1" t="str">
        <f t="shared" si="29"/>
        <v>NAN</v>
      </c>
      <c r="BX23" s="1">
        <f t="shared" si="30"/>
        <v>0.49199999999999999</v>
      </c>
      <c r="BY23" s="1">
        <f t="shared" si="31"/>
        <v>7.6999999999999999E-2</v>
      </c>
      <c r="CA23" s="1">
        <f t="shared" si="24"/>
        <v>-3.1</v>
      </c>
      <c r="CB23" s="1">
        <f t="shared" si="25"/>
        <v>-7.5000000000000009</v>
      </c>
    </row>
    <row r="24" spans="1:80" x14ac:dyDescent="0.2">
      <c r="A24" s="9">
        <f t="shared" si="32"/>
        <v>43484</v>
      </c>
      <c r="B24" s="2">
        <v>19</v>
      </c>
      <c r="C24" s="2">
        <v>21</v>
      </c>
      <c r="D24" s="2">
        <v>13.15</v>
      </c>
      <c r="E24" s="2">
        <v>9.11</v>
      </c>
      <c r="F24" s="2">
        <v>-10.74</v>
      </c>
      <c r="G24" s="2">
        <v>-3.577</v>
      </c>
      <c r="H24" s="2">
        <v>91.6</v>
      </c>
      <c r="I24" s="2">
        <v>-2.883</v>
      </c>
      <c r="J24" s="2">
        <v>-0.374</v>
      </c>
      <c r="K24" s="2">
        <v>-0.34899999999999998</v>
      </c>
      <c r="L24" s="2">
        <v>1.0620000000000001</v>
      </c>
      <c r="M24" s="2">
        <v>2.1150000000000002</v>
      </c>
      <c r="N24" s="2">
        <v>101.5</v>
      </c>
      <c r="O24" s="2">
        <v>-1.778</v>
      </c>
      <c r="P24" s="2">
        <v>0.79300000000000004</v>
      </c>
      <c r="Q24" s="2">
        <v>0.80400000000000005</v>
      </c>
      <c r="R24" s="2">
        <v>1.718</v>
      </c>
      <c r="S24" s="2">
        <v>-10.82</v>
      </c>
      <c r="T24" s="2">
        <v>64.38</v>
      </c>
      <c r="U24" s="2">
        <v>-3.2970000000000002</v>
      </c>
      <c r="V24" s="2">
        <v>-0.747</v>
      </c>
      <c r="W24" s="2">
        <v>-0.72399999999999998</v>
      </c>
      <c r="X24" s="2">
        <v>0.8</v>
      </c>
      <c r="Y24" s="2">
        <v>1.8320000000000001</v>
      </c>
      <c r="Z24" s="2">
        <v>0.76200000000000001</v>
      </c>
      <c r="AA24" s="2">
        <v>5.319</v>
      </c>
      <c r="AB24" s="2">
        <v>5.1719999999999997</v>
      </c>
      <c r="AC24" s="2">
        <v>1.502</v>
      </c>
      <c r="AD24" s="2">
        <v>5.194</v>
      </c>
      <c r="AE24" s="2">
        <v>-8.91</v>
      </c>
      <c r="AF24" s="2">
        <v>-1.837</v>
      </c>
      <c r="AG24" s="2">
        <v>-20.99</v>
      </c>
      <c r="AH24" s="2">
        <v>-1.837</v>
      </c>
      <c r="AI24" s="2">
        <v>-20.99</v>
      </c>
      <c r="AJ24" s="2" t="s">
        <v>113</v>
      </c>
      <c r="AK24" s="2" t="s">
        <v>113</v>
      </c>
      <c r="AL24" s="2">
        <v>-3.7410000000000001</v>
      </c>
      <c r="AM24" s="2">
        <v>2.7930000000000001</v>
      </c>
      <c r="AN24" s="2">
        <v>-11.54</v>
      </c>
      <c r="AO24" s="2"/>
      <c r="AP24" s="1">
        <f t="shared" si="0"/>
        <v>0.6180000000000001</v>
      </c>
      <c r="AQ24" s="22">
        <f t="shared" si="1"/>
        <v>-1.2</v>
      </c>
      <c r="AR24" s="5">
        <v>6.4</v>
      </c>
      <c r="AS24" s="5">
        <v>5.85</v>
      </c>
      <c r="AT24" s="5">
        <v>5.16</v>
      </c>
      <c r="AU24" s="7">
        <f t="shared" si="26"/>
        <v>0.88200000000000001</v>
      </c>
      <c r="AV24" s="16"/>
      <c r="AW24" s="29">
        <v>2.42</v>
      </c>
      <c r="AX24" s="29">
        <v>614</v>
      </c>
      <c r="AY24" s="1">
        <f t="shared" si="2"/>
        <v>98</v>
      </c>
      <c r="AZ24" s="1">
        <f t="shared" si="3"/>
        <v>88.4</v>
      </c>
      <c r="BA24" s="1">
        <f t="shared" si="4"/>
        <v>61.9</v>
      </c>
      <c r="BB24" s="8">
        <f t="shared" si="5"/>
        <v>0.44</v>
      </c>
      <c r="BC24" s="8">
        <f t="shared" si="6"/>
        <v>0.27100000000000002</v>
      </c>
      <c r="BE24" s="5">
        <f t="shared" si="7"/>
        <v>5.85</v>
      </c>
      <c r="BF24" s="5">
        <f t="shared" si="8"/>
        <v>5.16</v>
      </c>
      <c r="BG24" s="1">
        <f t="shared" si="9"/>
        <v>-3.6</v>
      </c>
      <c r="BH24" s="1">
        <f t="shared" si="10"/>
        <v>2.1</v>
      </c>
      <c r="BI24" s="1">
        <f t="shared" si="11"/>
        <v>-10.8</v>
      </c>
      <c r="BJ24" s="1">
        <f t="shared" si="12"/>
        <v>88.4</v>
      </c>
      <c r="BK24" s="1">
        <f t="shared" si="13"/>
        <v>61.9</v>
      </c>
      <c r="BL24" s="1">
        <f t="shared" si="27"/>
        <v>1.5</v>
      </c>
      <c r="BM24" s="1">
        <f t="shared" si="28"/>
        <v>5.2</v>
      </c>
      <c r="BN24" s="21">
        <f t="shared" si="16"/>
        <v>2.42</v>
      </c>
      <c r="BO24" s="7">
        <f t="shared" si="17"/>
        <v>0.6180000000000001</v>
      </c>
      <c r="BP24" s="21">
        <f t="shared" si="18"/>
        <v>-1.2</v>
      </c>
      <c r="BQ24" s="1">
        <f t="shared" si="19"/>
        <v>-8.9</v>
      </c>
      <c r="BR24" s="1">
        <f t="shared" si="20"/>
        <v>-1.8</v>
      </c>
      <c r="BS24" s="1">
        <f t="shared" si="21"/>
        <v>-21</v>
      </c>
      <c r="BT24" s="1">
        <f t="shared" si="22"/>
        <v>-0.3</v>
      </c>
      <c r="BU24" s="1" t="s">
        <v>113</v>
      </c>
      <c r="BV24" s="1">
        <f t="shared" si="23"/>
        <v>1.1000000000000001</v>
      </c>
      <c r="BW24" s="1" t="str">
        <f t="shared" si="29"/>
        <v>NAN</v>
      </c>
      <c r="BX24" s="1">
        <f t="shared" si="30"/>
        <v>0.44</v>
      </c>
      <c r="BY24" s="1">
        <f t="shared" si="31"/>
        <v>0.27100000000000002</v>
      </c>
      <c r="CA24" s="1">
        <f t="shared" si="24"/>
        <v>-3.9000000000000004</v>
      </c>
      <c r="CB24" s="1">
        <f t="shared" si="25"/>
        <v>-10.199999999999999</v>
      </c>
    </row>
    <row r="25" spans="1:80" x14ac:dyDescent="0.2">
      <c r="A25" s="9">
        <f t="shared" si="32"/>
        <v>43485</v>
      </c>
      <c r="B25" s="2">
        <v>20</v>
      </c>
      <c r="C25" s="2">
        <v>21</v>
      </c>
      <c r="D25" s="2">
        <v>13.11</v>
      </c>
      <c r="E25" s="2">
        <v>-2.2770000000000001</v>
      </c>
      <c r="F25" s="2">
        <v>-15.91</v>
      </c>
      <c r="G25" s="2">
        <v>-8.85</v>
      </c>
      <c r="H25" s="2">
        <v>94.2</v>
      </c>
      <c r="I25" s="2">
        <v>-3.7919999999999998</v>
      </c>
      <c r="J25" s="2">
        <v>-0.45</v>
      </c>
      <c r="K25" s="2">
        <v>-0.41499999999999998</v>
      </c>
      <c r="L25" s="2">
        <v>1.014</v>
      </c>
      <c r="M25" s="2">
        <v>-2.9689999999999999</v>
      </c>
      <c r="N25" s="2">
        <v>99.6</v>
      </c>
      <c r="O25" s="2">
        <v>-2.9649999999999999</v>
      </c>
      <c r="P25" s="2">
        <v>-8.0000000000000002E-3</v>
      </c>
      <c r="Q25" s="2">
        <v>8.9999999999999993E-3</v>
      </c>
      <c r="R25" s="2">
        <v>1.2549999999999999</v>
      </c>
      <c r="S25" s="2">
        <v>-14.03</v>
      </c>
      <c r="T25" s="2">
        <v>77.599999999999994</v>
      </c>
      <c r="U25" s="2">
        <v>-4.4580000000000002</v>
      </c>
      <c r="V25" s="2">
        <v>-0.64100000000000001</v>
      </c>
      <c r="W25" s="2">
        <v>-0.59599999999999997</v>
      </c>
      <c r="X25" s="2">
        <v>0.90800000000000003</v>
      </c>
      <c r="Y25" s="2">
        <v>1.853</v>
      </c>
      <c r="Z25" s="2">
        <v>0</v>
      </c>
      <c r="AA25" s="2">
        <v>3.2610000000000001</v>
      </c>
      <c r="AB25" s="2">
        <v>2.98</v>
      </c>
      <c r="AC25" s="2">
        <v>1.1539999999999999</v>
      </c>
      <c r="AD25" s="2">
        <v>5.5940000000000003</v>
      </c>
      <c r="AE25" s="2">
        <v>-15.58</v>
      </c>
      <c r="AF25" s="2">
        <v>-7.28</v>
      </c>
      <c r="AG25" s="2">
        <v>-24.02</v>
      </c>
      <c r="AH25" s="2">
        <v>-7.28</v>
      </c>
      <c r="AI25" s="2">
        <v>-24.02</v>
      </c>
      <c r="AJ25" s="2" t="s">
        <v>113</v>
      </c>
      <c r="AK25" s="2" t="s">
        <v>113</v>
      </c>
      <c r="AL25" s="2">
        <v>-9.6300000000000008</v>
      </c>
      <c r="AM25" s="2">
        <v>-2.6779999999999999</v>
      </c>
      <c r="AN25" s="2">
        <v>-15.66</v>
      </c>
      <c r="AO25" s="2"/>
      <c r="AP25" s="1">
        <f t="shared" si="0"/>
        <v>0.5970000000000002</v>
      </c>
      <c r="AQ25" s="22">
        <f t="shared" si="1"/>
        <v>-1.6</v>
      </c>
      <c r="AR25" s="5">
        <v>6.51</v>
      </c>
      <c r="AS25" s="5">
        <v>3.42</v>
      </c>
      <c r="AT25" s="5">
        <v>2.96</v>
      </c>
      <c r="AU25" s="7">
        <f t="shared" si="26"/>
        <v>0.86499999999999999</v>
      </c>
      <c r="AV25" s="16"/>
      <c r="AW25" s="29">
        <v>0</v>
      </c>
      <c r="AX25" s="29">
        <v>603</v>
      </c>
      <c r="AY25" s="1">
        <f t="shared" si="2"/>
        <v>96.1</v>
      </c>
      <c r="AZ25" s="1">
        <f t="shared" si="3"/>
        <v>90.9</v>
      </c>
      <c r="BA25" s="1">
        <f t="shared" si="4"/>
        <v>74.8</v>
      </c>
      <c r="BB25" s="8">
        <f t="shared" si="5"/>
        <v>0.36699999999999999</v>
      </c>
      <c r="BC25" s="8">
        <f t="shared" si="6"/>
        <v>0.124</v>
      </c>
      <c r="BE25" s="5">
        <f t="shared" si="7"/>
        <v>3.42</v>
      </c>
      <c r="BF25" s="5">
        <f t="shared" si="8"/>
        <v>2.96</v>
      </c>
      <c r="BG25" s="1">
        <f t="shared" si="9"/>
        <v>-8.9</v>
      </c>
      <c r="BH25" s="1">
        <f t="shared" si="10"/>
        <v>-3</v>
      </c>
      <c r="BI25" s="1">
        <f t="shared" si="11"/>
        <v>-14</v>
      </c>
      <c r="BJ25" s="1">
        <f t="shared" si="12"/>
        <v>90.9</v>
      </c>
      <c r="BK25" s="1">
        <f t="shared" si="13"/>
        <v>74.8</v>
      </c>
      <c r="BL25" s="1">
        <f t="shared" si="27"/>
        <v>1.2</v>
      </c>
      <c r="BM25" s="1">
        <f t="shared" si="28"/>
        <v>5.6</v>
      </c>
      <c r="BN25" s="21">
        <f t="shared" si="16"/>
        <v>0</v>
      </c>
      <c r="BO25" s="7">
        <f t="shared" si="17"/>
        <v>0.5970000000000002</v>
      </c>
      <c r="BP25" s="21">
        <f t="shared" si="18"/>
        <v>-1.6</v>
      </c>
      <c r="BQ25" s="1">
        <f t="shared" si="19"/>
        <v>-15.6</v>
      </c>
      <c r="BR25" s="1">
        <f t="shared" si="20"/>
        <v>-7.3</v>
      </c>
      <c r="BS25" s="1">
        <f t="shared" si="21"/>
        <v>-24</v>
      </c>
      <c r="BT25" s="1">
        <f t="shared" si="22"/>
        <v>-0.4</v>
      </c>
      <c r="BU25" s="1" t="s">
        <v>113</v>
      </c>
      <c r="BV25" s="1">
        <f t="shared" si="23"/>
        <v>1</v>
      </c>
      <c r="BW25" s="1" t="str">
        <f t="shared" si="29"/>
        <v>NAN</v>
      </c>
      <c r="BX25" s="1">
        <f t="shared" si="30"/>
        <v>0.36699999999999999</v>
      </c>
      <c r="BY25" s="1">
        <f t="shared" si="31"/>
        <v>0.124</v>
      </c>
      <c r="CA25" s="1">
        <f t="shared" si="24"/>
        <v>-4.3</v>
      </c>
      <c r="CB25" s="1">
        <f t="shared" si="25"/>
        <v>-10</v>
      </c>
    </row>
    <row r="26" spans="1:80" x14ac:dyDescent="0.2">
      <c r="A26" s="9">
        <f t="shared" si="32"/>
        <v>43486</v>
      </c>
      <c r="B26" s="2">
        <v>21</v>
      </c>
      <c r="C26" s="2">
        <v>21</v>
      </c>
      <c r="D26" s="2">
        <v>13.06</v>
      </c>
      <c r="E26" s="2">
        <v>-4.3449999999999998</v>
      </c>
      <c r="F26" s="2">
        <v>-18.690000000000001</v>
      </c>
      <c r="G26" s="2">
        <v>-10.38</v>
      </c>
      <c r="H26" s="2">
        <v>91.1</v>
      </c>
      <c r="I26" s="2">
        <v>-5.0350000000000001</v>
      </c>
      <c r="J26" s="2">
        <v>-0.52500000000000002</v>
      </c>
      <c r="K26" s="2">
        <v>-0.47299999999999998</v>
      </c>
      <c r="L26" s="2">
        <v>0.97899999999999998</v>
      </c>
      <c r="M26" s="2">
        <v>-5.0259999999999998</v>
      </c>
      <c r="N26" s="2">
        <v>100.2</v>
      </c>
      <c r="O26" s="2">
        <v>-4.3620000000000001</v>
      </c>
      <c r="P26" s="2">
        <v>-0.27300000000000002</v>
      </c>
      <c r="Q26" s="2">
        <v>-0.22800000000000001</v>
      </c>
      <c r="R26" s="2">
        <v>1.1259999999999999</v>
      </c>
      <c r="S26" s="2">
        <v>-17.75</v>
      </c>
      <c r="T26" s="2">
        <v>81.2</v>
      </c>
      <c r="U26" s="2">
        <v>-5.6710000000000003</v>
      </c>
      <c r="V26" s="2">
        <v>-0.82599999999999996</v>
      </c>
      <c r="W26" s="2">
        <v>-0.76300000000000001</v>
      </c>
      <c r="X26" s="2">
        <v>0.69499999999999995</v>
      </c>
      <c r="Y26" s="2">
        <v>1.8440000000000001</v>
      </c>
      <c r="Z26" s="2">
        <v>0</v>
      </c>
      <c r="AA26" s="2">
        <v>1.3779999999999999</v>
      </c>
      <c r="AB26" s="2">
        <v>1.2969999999999999</v>
      </c>
      <c r="AC26" s="2">
        <v>1.1279999999999999</v>
      </c>
      <c r="AD26" s="2">
        <v>5.14</v>
      </c>
      <c r="AE26" s="2">
        <v>-18.64</v>
      </c>
      <c r="AF26" s="2">
        <v>-7.23</v>
      </c>
      <c r="AG26" s="2">
        <v>-28.34</v>
      </c>
      <c r="AH26" s="2">
        <v>-7.23</v>
      </c>
      <c r="AI26" s="2">
        <v>-28.34</v>
      </c>
      <c r="AJ26" s="2" t="s">
        <v>113</v>
      </c>
      <c r="AK26" s="2" t="s">
        <v>113</v>
      </c>
      <c r="AL26" s="2">
        <v>-11.4</v>
      </c>
      <c r="AM26" s="2">
        <v>-5.0380000000000003</v>
      </c>
      <c r="AN26" s="2">
        <v>-19.2</v>
      </c>
      <c r="AO26" s="2"/>
      <c r="AP26" s="1">
        <f t="shared" si="0"/>
        <v>0.60600000000000009</v>
      </c>
      <c r="AQ26" s="22">
        <f t="shared" si="1"/>
        <v>-2</v>
      </c>
      <c r="AR26" s="5">
        <v>6.61</v>
      </c>
      <c r="AS26" s="5">
        <v>1.46</v>
      </c>
      <c r="AT26" s="5">
        <v>1.27</v>
      </c>
      <c r="AU26" s="7">
        <f t="shared" si="26"/>
        <v>0.87</v>
      </c>
      <c r="AV26" s="16"/>
      <c r="AW26" s="29">
        <v>0</v>
      </c>
      <c r="AX26" s="29">
        <v>602</v>
      </c>
      <c r="AY26" s="1">
        <f t="shared" si="2"/>
        <v>96.7</v>
      </c>
      <c r="AZ26" s="1">
        <f t="shared" si="3"/>
        <v>87.9</v>
      </c>
      <c r="BA26" s="1">
        <f t="shared" si="4"/>
        <v>78.3</v>
      </c>
      <c r="BB26" s="8">
        <f t="shared" si="5"/>
        <v>0.32900000000000001</v>
      </c>
      <c r="BC26" s="8">
        <f t="shared" si="6"/>
        <v>9.0999999999999998E-2</v>
      </c>
      <c r="BE26" s="5">
        <f t="shared" si="7"/>
        <v>1.46</v>
      </c>
      <c r="BF26" s="5">
        <f t="shared" si="8"/>
        <v>1.27</v>
      </c>
      <c r="BG26" s="1">
        <f t="shared" si="9"/>
        <v>-10.4</v>
      </c>
      <c r="BH26" s="1">
        <f t="shared" si="10"/>
        <v>-5</v>
      </c>
      <c r="BI26" s="1">
        <f t="shared" si="11"/>
        <v>-17.8</v>
      </c>
      <c r="BJ26" s="1">
        <f t="shared" si="12"/>
        <v>87.9</v>
      </c>
      <c r="BK26" s="1">
        <f t="shared" si="13"/>
        <v>78.3</v>
      </c>
      <c r="BL26" s="1">
        <f t="shared" si="27"/>
        <v>1.1000000000000001</v>
      </c>
      <c r="BM26" s="1">
        <f t="shared" si="28"/>
        <v>5.0999999999999996</v>
      </c>
      <c r="BN26" s="21">
        <f t="shared" si="16"/>
        <v>0</v>
      </c>
      <c r="BO26" s="7">
        <f t="shared" si="17"/>
        <v>0.60600000000000009</v>
      </c>
      <c r="BP26" s="21">
        <f t="shared" si="18"/>
        <v>-2</v>
      </c>
      <c r="BQ26" s="1">
        <f t="shared" si="19"/>
        <v>-18.600000000000001</v>
      </c>
      <c r="BR26" s="1">
        <f t="shared" si="20"/>
        <v>-7.2</v>
      </c>
      <c r="BS26" s="1">
        <f t="shared" si="21"/>
        <v>-28.3</v>
      </c>
      <c r="BT26" s="1">
        <f t="shared" si="22"/>
        <v>-0.5</v>
      </c>
      <c r="BU26" s="1" t="s">
        <v>113</v>
      </c>
      <c r="BV26" s="1">
        <f t="shared" si="23"/>
        <v>1</v>
      </c>
      <c r="BW26" s="1" t="str">
        <f t="shared" si="29"/>
        <v>NAN</v>
      </c>
      <c r="BX26" s="1">
        <f t="shared" si="30"/>
        <v>0.32900000000000001</v>
      </c>
      <c r="BY26" s="1">
        <f t="shared" si="31"/>
        <v>9.0999999999999998E-2</v>
      </c>
      <c r="CA26" s="1">
        <f t="shared" si="24"/>
        <v>-2.2000000000000002</v>
      </c>
      <c r="CB26" s="1">
        <f t="shared" si="25"/>
        <v>-10.5</v>
      </c>
    </row>
    <row r="27" spans="1:80" x14ac:dyDescent="0.2">
      <c r="A27" s="9">
        <f t="shared" si="32"/>
        <v>43487</v>
      </c>
      <c r="B27" s="2">
        <v>22</v>
      </c>
      <c r="C27" s="2">
        <v>21</v>
      </c>
      <c r="D27" s="2">
        <v>13.14</v>
      </c>
      <c r="E27" s="2">
        <v>-5.7009999999999996</v>
      </c>
      <c r="F27" s="2">
        <v>-16.989999999999998</v>
      </c>
      <c r="G27" s="2">
        <v>-7.95</v>
      </c>
      <c r="H27" s="2">
        <v>97.5</v>
      </c>
      <c r="I27" s="2">
        <v>-5.7569999999999997</v>
      </c>
      <c r="J27" s="2">
        <v>-0.47499999999999998</v>
      </c>
      <c r="K27" s="2">
        <v>-0.41499999999999998</v>
      </c>
      <c r="L27" s="2">
        <v>0.999</v>
      </c>
      <c r="M27" s="2">
        <v>-6.5330000000000004</v>
      </c>
      <c r="N27" s="2">
        <v>98.7</v>
      </c>
      <c r="O27" s="2">
        <v>-5.3319999999999999</v>
      </c>
      <c r="P27" s="2">
        <v>-0.34300000000000003</v>
      </c>
      <c r="Q27" s="2">
        <v>-0.28499999999999998</v>
      </c>
      <c r="R27" s="2">
        <v>1.091</v>
      </c>
      <c r="S27" s="2">
        <v>-13.45</v>
      </c>
      <c r="T27" s="2">
        <v>92.7</v>
      </c>
      <c r="U27" s="2">
        <v>-6.0679999999999996</v>
      </c>
      <c r="V27" s="2">
        <v>-0.56599999999999995</v>
      </c>
      <c r="W27" s="2">
        <v>-0.50900000000000001</v>
      </c>
      <c r="X27" s="2">
        <v>0.93</v>
      </c>
      <c r="Y27" s="2">
        <v>1.752</v>
      </c>
      <c r="Z27" s="2">
        <v>0</v>
      </c>
      <c r="AA27" s="2">
        <v>0.501</v>
      </c>
      <c r="AB27" s="2">
        <v>1.4830000000000001</v>
      </c>
      <c r="AC27" s="2">
        <v>1.3149999999999999</v>
      </c>
      <c r="AD27" s="2">
        <v>4.1539999999999999</v>
      </c>
      <c r="AE27" s="2">
        <v>-8.4700000000000006</v>
      </c>
      <c r="AF27" s="2">
        <v>-6.6</v>
      </c>
      <c r="AG27" s="2">
        <v>-17.100000000000001</v>
      </c>
      <c r="AH27" s="2">
        <v>-6.6</v>
      </c>
      <c r="AI27" s="2">
        <v>-17.100000000000001</v>
      </c>
      <c r="AJ27" s="2" t="s">
        <v>113</v>
      </c>
      <c r="AK27" s="2" t="s">
        <v>113</v>
      </c>
      <c r="AL27" s="2">
        <v>-8.02</v>
      </c>
      <c r="AM27" s="2">
        <v>-6.1529999999999996</v>
      </c>
      <c r="AN27" s="2">
        <v>-14.81</v>
      </c>
      <c r="AO27" s="2"/>
      <c r="AP27" s="1">
        <f t="shared" si="0"/>
        <v>0.69800000000000018</v>
      </c>
      <c r="AQ27" s="22">
        <f t="shared" si="1"/>
        <v>-2.2000000000000002</v>
      </c>
      <c r="AR27" s="5">
        <v>6.73</v>
      </c>
      <c r="AS27" s="5">
        <v>1.59</v>
      </c>
      <c r="AT27" s="5">
        <v>1.48</v>
      </c>
      <c r="AU27" s="7">
        <f t="shared" si="26"/>
        <v>0.93100000000000005</v>
      </c>
      <c r="AV27" s="16"/>
      <c r="AW27" s="29">
        <v>9.9</v>
      </c>
      <c r="AX27" s="29">
        <v>694</v>
      </c>
      <c r="AY27" s="1">
        <f t="shared" si="2"/>
        <v>95.2</v>
      </c>
      <c r="AZ27" s="1">
        <f t="shared" si="3"/>
        <v>94.1</v>
      </c>
      <c r="BA27" s="1">
        <f t="shared" si="4"/>
        <v>89.4</v>
      </c>
      <c r="BB27" s="8">
        <f t="shared" si="5"/>
        <v>0.33500000000000002</v>
      </c>
      <c r="BC27" s="8">
        <f t="shared" si="6"/>
        <v>0.04</v>
      </c>
      <c r="BE27" s="5">
        <f t="shared" si="7"/>
        <v>1.59</v>
      </c>
      <c r="BF27" s="5">
        <f t="shared" si="8"/>
        <v>1.48</v>
      </c>
      <c r="BG27" s="1">
        <f t="shared" si="9"/>
        <v>-8</v>
      </c>
      <c r="BH27" s="1">
        <f t="shared" si="10"/>
        <v>-6.5</v>
      </c>
      <c r="BI27" s="1">
        <f t="shared" si="11"/>
        <v>-13.5</v>
      </c>
      <c r="BJ27" s="1">
        <f t="shared" si="12"/>
        <v>94.1</v>
      </c>
      <c r="BK27" s="1">
        <f t="shared" si="13"/>
        <v>89.4</v>
      </c>
      <c r="BL27" s="1">
        <f t="shared" si="27"/>
        <v>1.3</v>
      </c>
      <c r="BM27" s="1">
        <f t="shared" si="28"/>
        <v>4.2</v>
      </c>
      <c r="BN27" s="21">
        <f t="shared" si="16"/>
        <v>9.9</v>
      </c>
      <c r="BO27" s="7">
        <f t="shared" si="17"/>
        <v>0.69800000000000018</v>
      </c>
      <c r="BP27" s="21">
        <f t="shared" si="18"/>
        <v>-2.2000000000000002</v>
      </c>
      <c r="BQ27" s="1">
        <f t="shared" si="19"/>
        <v>-8.5</v>
      </c>
      <c r="BR27" s="1">
        <f t="shared" si="20"/>
        <v>-6.6</v>
      </c>
      <c r="BS27" s="1">
        <f t="shared" si="21"/>
        <v>-17.100000000000001</v>
      </c>
      <c r="BT27" s="1">
        <f t="shared" si="22"/>
        <v>-0.4</v>
      </c>
      <c r="BU27" s="1" t="s">
        <v>113</v>
      </c>
      <c r="BV27" s="1">
        <f t="shared" si="23"/>
        <v>1</v>
      </c>
      <c r="BW27" s="1" t="str">
        <f t="shared" si="29"/>
        <v>NAN</v>
      </c>
      <c r="BX27" s="1">
        <f t="shared" si="30"/>
        <v>0.33500000000000002</v>
      </c>
      <c r="BY27" s="1">
        <f t="shared" si="31"/>
        <v>0.04</v>
      </c>
      <c r="CA27" s="1">
        <f t="shared" si="24"/>
        <v>-9.9999999999999645E-2</v>
      </c>
      <c r="CB27" s="1">
        <f t="shared" si="25"/>
        <v>-3.6000000000000014</v>
      </c>
    </row>
    <row r="28" spans="1:80" x14ac:dyDescent="0.2">
      <c r="A28" s="9">
        <f t="shared" si="32"/>
        <v>43488</v>
      </c>
      <c r="B28" s="2">
        <v>23</v>
      </c>
      <c r="C28" s="2">
        <v>21</v>
      </c>
      <c r="D28" s="2">
        <v>13.14</v>
      </c>
      <c r="E28" s="2">
        <v>3.375</v>
      </c>
      <c r="F28" s="2">
        <v>-11.26</v>
      </c>
      <c r="G28" s="2">
        <v>-6.2389999999999999</v>
      </c>
      <c r="H28" s="2">
        <v>98.3</v>
      </c>
      <c r="I28" s="2">
        <v>-4.7089999999999996</v>
      </c>
      <c r="J28" s="2">
        <v>-0.503</v>
      </c>
      <c r="K28" s="2">
        <v>-0.45200000000000001</v>
      </c>
      <c r="L28" s="2">
        <v>0.98899999999999999</v>
      </c>
      <c r="M28" s="2">
        <v>-2.8690000000000002</v>
      </c>
      <c r="N28" s="2">
        <v>100.4</v>
      </c>
      <c r="O28" s="2">
        <v>-4.0890000000000004</v>
      </c>
      <c r="P28" s="2">
        <v>-2.1999999999999999E-2</v>
      </c>
      <c r="Q28" s="2">
        <v>2.1000000000000001E-2</v>
      </c>
      <c r="R28" s="2">
        <v>1.2170000000000001</v>
      </c>
      <c r="S28" s="2">
        <v>-12.38</v>
      </c>
      <c r="T28" s="2">
        <v>94.7</v>
      </c>
      <c r="U28" s="2">
        <v>-5.3630000000000004</v>
      </c>
      <c r="V28" s="2">
        <v>-0.72699999999999998</v>
      </c>
      <c r="W28" s="2">
        <v>-0.68</v>
      </c>
      <c r="X28" s="2">
        <v>0.79500000000000004</v>
      </c>
      <c r="Y28" s="2">
        <v>1.694</v>
      </c>
      <c r="Z28" s="2">
        <v>0</v>
      </c>
      <c r="AA28" s="2">
        <v>2.0219999999999998</v>
      </c>
      <c r="AB28" s="2">
        <v>3.9569999999999999</v>
      </c>
      <c r="AC28" s="2">
        <v>1.5249999999999999</v>
      </c>
      <c r="AD28" s="2">
        <v>5.94</v>
      </c>
      <c r="AE28" s="2">
        <v>-10.68</v>
      </c>
      <c r="AF28" s="2">
        <v>-3.298</v>
      </c>
      <c r="AG28" s="2">
        <v>-23.34</v>
      </c>
      <c r="AH28" s="2">
        <v>-3.298</v>
      </c>
      <c r="AI28" s="2">
        <v>-23.34</v>
      </c>
      <c r="AJ28" s="2" t="s">
        <v>113</v>
      </c>
      <c r="AK28" s="2" t="s">
        <v>113</v>
      </c>
      <c r="AL28" s="2">
        <v>-6.2240000000000002</v>
      </c>
      <c r="AM28" s="2">
        <v>-0.254</v>
      </c>
      <c r="AN28" s="2">
        <v>-13.23</v>
      </c>
      <c r="AO28" s="2"/>
      <c r="AP28" s="1">
        <f t="shared" si="0"/>
        <v>0.75600000000000023</v>
      </c>
      <c r="AQ28" s="22">
        <f t="shared" si="1"/>
        <v>-1.9</v>
      </c>
      <c r="AR28" s="5">
        <v>6.84</v>
      </c>
      <c r="AS28" s="5">
        <v>4.0199999999999996</v>
      </c>
      <c r="AT28" s="5">
        <v>3.72</v>
      </c>
      <c r="AU28" s="7">
        <f t="shared" si="26"/>
        <v>0.92500000000000004</v>
      </c>
      <c r="AV28" s="16"/>
      <c r="AW28" s="29">
        <v>8.69</v>
      </c>
      <c r="AX28" s="29">
        <v>752</v>
      </c>
      <c r="AY28" s="1">
        <f t="shared" si="2"/>
        <v>96.9</v>
      </c>
      <c r="AZ28" s="1">
        <f t="shared" si="3"/>
        <v>94.9</v>
      </c>
      <c r="BA28" s="1">
        <f t="shared" si="4"/>
        <v>91.4</v>
      </c>
      <c r="BB28" s="8">
        <f t="shared" si="5"/>
        <v>0.45200000000000001</v>
      </c>
      <c r="BC28" s="8">
        <f t="shared" si="6"/>
        <v>4.2999999999999997E-2</v>
      </c>
      <c r="BE28" s="5">
        <f t="shared" si="7"/>
        <v>4.0199999999999996</v>
      </c>
      <c r="BF28" s="5">
        <f t="shared" si="8"/>
        <v>3.72</v>
      </c>
      <c r="BG28" s="1">
        <f t="shared" si="9"/>
        <v>-6.2</v>
      </c>
      <c r="BH28" s="1">
        <f t="shared" si="10"/>
        <v>-2.9</v>
      </c>
      <c r="BI28" s="1">
        <f t="shared" si="11"/>
        <v>-12.4</v>
      </c>
      <c r="BJ28" s="1">
        <f t="shared" si="12"/>
        <v>94.9</v>
      </c>
      <c r="BK28" s="1">
        <f t="shared" si="13"/>
        <v>91.4</v>
      </c>
      <c r="BL28" s="1">
        <f t="shared" si="27"/>
        <v>1.5</v>
      </c>
      <c r="BM28" s="1">
        <f t="shared" si="28"/>
        <v>5.9</v>
      </c>
      <c r="BN28" s="21">
        <f t="shared" si="16"/>
        <v>8.69</v>
      </c>
      <c r="BO28" s="7">
        <f t="shared" si="17"/>
        <v>0.75600000000000023</v>
      </c>
      <c r="BP28" s="21">
        <f t="shared" si="18"/>
        <v>-1.9</v>
      </c>
      <c r="BQ28" s="1">
        <f t="shared" si="19"/>
        <v>-10.7</v>
      </c>
      <c r="BR28" s="1">
        <f t="shared" si="20"/>
        <v>-3.3</v>
      </c>
      <c r="BS28" s="1">
        <f t="shared" si="21"/>
        <v>-23.3</v>
      </c>
      <c r="BT28" s="1">
        <f t="shared" si="22"/>
        <v>-0.5</v>
      </c>
      <c r="BU28" s="1" t="s">
        <v>113</v>
      </c>
      <c r="BV28" s="1">
        <f t="shared" si="23"/>
        <v>1</v>
      </c>
      <c r="BW28" s="1" t="str">
        <f t="shared" si="29"/>
        <v>NAN</v>
      </c>
      <c r="BX28" s="1">
        <f t="shared" si="30"/>
        <v>0.45200000000000001</v>
      </c>
      <c r="BY28" s="1">
        <f t="shared" si="31"/>
        <v>4.2999999999999997E-2</v>
      </c>
      <c r="CA28" s="1">
        <f t="shared" si="24"/>
        <v>-0.39999999999999991</v>
      </c>
      <c r="CB28" s="1">
        <f t="shared" si="25"/>
        <v>-10.9</v>
      </c>
    </row>
    <row r="29" spans="1:80" x14ac:dyDescent="0.2">
      <c r="A29" s="9">
        <f t="shared" si="32"/>
        <v>43489</v>
      </c>
      <c r="B29" s="2">
        <v>24</v>
      </c>
      <c r="C29" s="2">
        <v>21</v>
      </c>
      <c r="D29" s="2">
        <v>13.17</v>
      </c>
      <c r="E29" s="2">
        <v>11.98</v>
      </c>
      <c r="F29" s="2">
        <v>-12.16</v>
      </c>
      <c r="G29" s="2">
        <v>-4.3079999999999998</v>
      </c>
      <c r="H29" s="2">
        <v>88.8</v>
      </c>
      <c r="I29" s="2">
        <v>-3.93</v>
      </c>
      <c r="J29" s="2">
        <v>-0.36399999999999999</v>
      </c>
      <c r="K29" s="2">
        <v>-0.32700000000000001</v>
      </c>
      <c r="L29" s="2">
        <v>1.0229999999999999</v>
      </c>
      <c r="M29" s="2">
        <v>1.962</v>
      </c>
      <c r="N29" s="2">
        <v>101</v>
      </c>
      <c r="O29" s="2">
        <v>-2.766</v>
      </c>
      <c r="P29" s="2">
        <v>0.86599999999999999</v>
      </c>
      <c r="Q29" s="2">
        <v>0.88900000000000001</v>
      </c>
      <c r="R29" s="2">
        <v>1.599</v>
      </c>
      <c r="S29" s="2">
        <v>-11.85</v>
      </c>
      <c r="T29" s="2">
        <v>47.27</v>
      </c>
      <c r="U29" s="2">
        <v>-4.3419999999999996</v>
      </c>
      <c r="V29" s="2">
        <v>-0.80500000000000005</v>
      </c>
      <c r="W29" s="2">
        <v>-0.76</v>
      </c>
      <c r="X29" s="2">
        <v>0.64600000000000002</v>
      </c>
      <c r="Y29" s="2">
        <v>1.7150000000000001</v>
      </c>
      <c r="Z29" s="2">
        <v>0</v>
      </c>
      <c r="AA29" s="2">
        <v>5.5439999999999996</v>
      </c>
      <c r="AB29" s="2">
        <v>5.2050000000000001</v>
      </c>
      <c r="AC29" s="2">
        <v>0.83899999999999997</v>
      </c>
      <c r="AD29" s="2">
        <v>4.26</v>
      </c>
      <c r="AE29" s="2">
        <v>-11.03</v>
      </c>
      <c r="AF29" s="2">
        <v>-4.9859999999999998</v>
      </c>
      <c r="AG29" s="2">
        <v>-22.66</v>
      </c>
      <c r="AH29" s="2">
        <v>-4.9859999999999998</v>
      </c>
      <c r="AI29" s="2">
        <v>-22.66</v>
      </c>
      <c r="AJ29" s="2" t="s">
        <v>113</v>
      </c>
      <c r="AK29" s="2" t="s">
        <v>113</v>
      </c>
      <c r="AL29" s="2">
        <v>-4.4370000000000003</v>
      </c>
      <c r="AM29" s="2">
        <v>4.3890000000000002</v>
      </c>
      <c r="AN29" s="2">
        <v>-13.09</v>
      </c>
      <c r="AO29" s="2"/>
      <c r="AP29" s="1">
        <f t="shared" si="0"/>
        <v>0.7350000000000001</v>
      </c>
      <c r="AQ29" s="22">
        <f t="shared" si="1"/>
        <v>-1.5</v>
      </c>
      <c r="AR29" s="5">
        <v>6.96</v>
      </c>
      <c r="AS29" s="5">
        <v>5.91</v>
      </c>
      <c r="AT29" s="5">
        <v>5.19</v>
      </c>
      <c r="AU29" s="7">
        <f t="shared" si="26"/>
        <v>0.878</v>
      </c>
      <c r="AV29" s="16"/>
      <c r="AW29" s="29">
        <v>0</v>
      </c>
      <c r="AX29" s="29">
        <v>731</v>
      </c>
      <c r="AY29" s="1">
        <f t="shared" si="2"/>
        <v>97.5</v>
      </c>
      <c r="AZ29" s="1">
        <f t="shared" si="3"/>
        <v>85.6</v>
      </c>
      <c r="BA29" s="1">
        <f t="shared" si="4"/>
        <v>45.4</v>
      </c>
      <c r="BB29" s="8">
        <f t="shared" si="5"/>
        <v>0.31900000000000001</v>
      </c>
      <c r="BC29" s="8">
        <f t="shared" si="6"/>
        <v>0.38400000000000001</v>
      </c>
      <c r="BE29" s="5">
        <f t="shared" si="7"/>
        <v>5.91</v>
      </c>
      <c r="BF29" s="5">
        <f t="shared" si="8"/>
        <v>5.19</v>
      </c>
      <c r="BG29" s="1">
        <f t="shared" si="9"/>
        <v>-4.3</v>
      </c>
      <c r="BH29" s="1">
        <f t="shared" si="10"/>
        <v>2</v>
      </c>
      <c r="BI29" s="1">
        <f t="shared" si="11"/>
        <v>-11.9</v>
      </c>
      <c r="BJ29" s="1">
        <f t="shared" si="12"/>
        <v>85.6</v>
      </c>
      <c r="BK29" s="1">
        <f t="shared" si="13"/>
        <v>45.4</v>
      </c>
      <c r="BL29" s="1">
        <f t="shared" si="27"/>
        <v>0.8</v>
      </c>
      <c r="BM29" s="1">
        <f t="shared" si="28"/>
        <v>4.3</v>
      </c>
      <c r="BN29" s="21">
        <f t="shared" si="16"/>
        <v>0</v>
      </c>
      <c r="BO29" s="7">
        <f t="shared" si="17"/>
        <v>0.7350000000000001</v>
      </c>
      <c r="BP29" s="21">
        <f t="shared" si="18"/>
        <v>-1.5</v>
      </c>
      <c r="BQ29" s="1">
        <f t="shared" si="19"/>
        <v>-11</v>
      </c>
      <c r="BR29" s="1">
        <f t="shared" si="20"/>
        <v>-5</v>
      </c>
      <c r="BS29" s="1">
        <f t="shared" si="21"/>
        <v>-22.7</v>
      </c>
      <c r="BT29" s="1">
        <f t="shared" si="22"/>
        <v>-0.3</v>
      </c>
      <c r="BU29" s="1" t="s">
        <v>113</v>
      </c>
      <c r="BV29" s="1">
        <f t="shared" si="23"/>
        <v>1</v>
      </c>
      <c r="BW29" s="1" t="str">
        <f t="shared" si="29"/>
        <v>NAN</v>
      </c>
      <c r="BX29" s="1">
        <f t="shared" si="30"/>
        <v>0.31900000000000001</v>
      </c>
      <c r="BY29" s="1">
        <f t="shared" si="31"/>
        <v>0.38400000000000001</v>
      </c>
      <c r="CA29" s="1">
        <f t="shared" si="24"/>
        <v>-7</v>
      </c>
      <c r="CB29" s="1">
        <f t="shared" si="25"/>
        <v>-10.799999999999999</v>
      </c>
    </row>
    <row r="30" spans="1:80" x14ac:dyDescent="0.2">
      <c r="A30" s="9">
        <f t="shared" si="32"/>
        <v>43490</v>
      </c>
      <c r="B30" s="2">
        <v>25</v>
      </c>
      <c r="C30" s="2">
        <v>21</v>
      </c>
      <c r="D30" s="2">
        <v>13.2</v>
      </c>
      <c r="E30" s="2">
        <v>12.67</v>
      </c>
      <c r="F30" s="2">
        <v>-11.35</v>
      </c>
      <c r="G30" s="2">
        <v>-2.2799999999999998</v>
      </c>
      <c r="H30" s="2">
        <v>83.1</v>
      </c>
      <c r="I30" s="2">
        <v>-3.6360000000000001</v>
      </c>
      <c r="J30" s="2">
        <v>-0.32600000000000001</v>
      </c>
      <c r="K30" s="2">
        <v>-0.29299999999999998</v>
      </c>
      <c r="L30" s="2">
        <v>1.0629999999999999</v>
      </c>
      <c r="M30" s="2">
        <v>3.3359999999999999</v>
      </c>
      <c r="N30" s="2">
        <v>101.1</v>
      </c>
      <c r="O30" s="2">
        <v>-2.5299999999999998</v>
      </c>
      <c r="P30" s="2">
        <v>0.84599999999999997</v>
      </c>
      <c r="Q30" s="2">
        <v>0.85899999999999999</v>
      </c>
      <c r="R30" s="2">
        <v>1.6359999999999999</v>
      </c>
      <c r="S30" s="2">
        <v>-10.72</v>
      </c>
      <c r="T30" s="2">
        <v>57.59</v>
      </c>
      <c r="U30" s="2">
        <v>-4.1449999999999996</v>
      </c>
      <c r="V30" s="2">
        <v>-0.72299999999999998</v>
      </c>
      <c r="W30" s="2">
        <v>-0.67800000000000005</v>
      </c>
      <c r="X30" s="2">
        <v>0.749</v>
      </c>
      <c r="Y30" s="2">
        <v>1.7330000000000001</v>
      </c>
      <c r="Z30" s="2">
        <v>0</v>
      </c>
      <c r="AA30" s="2">
        <v>5.6660000000000004</v>
      </c>
      <c r="AB30" s="2">
        <v>5.2469999999999999</v>
      </c>
      <c r="AC30" s="2">
        <v>1.266</v>
      </c>
      <c r="AD30" s="2">
        <v>6.0469999999999997</v>
      </c>
      <c r="AE30" s="2">
        <v>-7.93</v>
      </c>
      <c r="AF30" s="2">
        <v>-0.96699999999999997</v>
      </c>
      <c r="AG30" s="2">
        <v>-20.86</v>
      </c>
      <c r="AH30" s="2">
        <v>-0.96699999999999997</v>
      </c>
      <c r="AI30" s="2">
        <v>-20.86</v>
      </c>
      <c r="AJ30" s="2" t="s">
        <v>113</v>
      </c>
      <c r="AK30" s="2" t="s">
        <v>113</v>
      </c>
      <c r="AL30" s="2">
        <v>-2.4390000000000001</v>
      </c>
      <c r="AM30" s="2">
        <v>5.9989999999999997</v>
      </c>
      <c r="AN30" s="2">
        <v>-11.78</v>
      </c>
      <c r="AO30" s="2"/>
      <c r="AP30" s="1">
        <f t="shared" si="0"/>
        <v>0.71700000000000008</v>
      </c>
      <c r="AQ30" s="22">
        <f t="shared" si="1"/>
        <v>-1.4</v>
      </c>
      <c r="AR30" s="5">
        <v>7.09</v>
      </c>
      <c r="AS30" s="5">
        <v>5.95</v>
      </c>
      <c r="AT30" s="5">
        <v>5.2</v>
      </c>
      <c r="AU30" s="7">
        <f t="shared" si="26"/>
        <v>0.874</v>
      </c>
      <c r="AV30" s="16"/>
      <c r="AW30" s="29">
        <v>0</v>
      </c>
      <c r="AX30" s="29">
        <v>713</v>
      </c>
      <c r="AY30" s="1">
        <f t="shared" si="2"/>
        <v>97.6</v>
      </c>
      <c r="AZ30" s="1">
        <f t="shared" si="3"/>
        <v>80.099999999999994</v>
      </c>
      <c r="BA30" s="1">
        <f t="shared" si="4"/>
        <v>55.4</v>
      </c>
      <c r="BB30" s="8">
        <f t="shared" si="5"/>
        <v>0.43</v>
      </c>
      <c r="BC30" s="8">
        <f t="shared" si="6"/>
        <v>0.34599999999999997</v>
      </c>
      <c r="BE30" s="5">
        <f t="shared" si="7"/>
        <v>5.95</v>
      </c>
      <c r="BF30" s="5">
        <f t="shared" si="8"/>
        <v>5.2</v>
      </c>
      <c r="BG30" s="1">
        <f t="shared" si="9"/>
        <v>-2.2999999999999998</v>
      </c>
      <c r="BH30" s="1">
        <f t="shared" si="10"/>
        <v>3.3</v>
      </c>
      <c r="BI30" s="1">
        <f t="shared" si="11"/>
        <v>-10.7</v>
      </c>
      <c r="BJ30" s="1">
        <f t="shared" si="12"/>
        <v>80.099999999999994</v>
      </c>
      <c r="BK30" s="1">
        <f t="shared" si="13"/>
        <v>55.4</v>
      </c>
      <c r="BL30" s="1">
        <f t="shared" si="27"/>
        <v>1.3</v>
      </c>
      <c r="BM30" s="1">
        <f t="shared" si="28"/>
        <v>6</v>
      </c>
      <c r="BN30" s="21">
        <f t="shared" si="16"/>
        <v>0</v>
      </c>
      <c r="BO30" s="7">
        <f t="shared" si="17"/>
        <v>0.71700000000000008</v>
      </c>
      <c r="BP30" s="21">
        <f t="shared" si="18"/>
        <v>-1.4</v>
      </c>
      <c r="BQ30" s="1">
        <f t="shared" si="19"/>
        <v>-7.9</v>
      </c>
      <c r="BR30" s="1">
        <f t="shared" si="20"/>
        <v>-1</v>
      </c>
      <c r="BS30" s="1">
        <f t="shared" si="21"/>
        <v>-20.9</v>
      </c>
      <c r="BT30" s="1">
        <f t="shared" si="22"/>
        <v>-0.3</v>
      </c>
      <c r="BU30" s="1" t="s">
        <v>113</v>
      </c>
      <c r="BV30" s="1">
        <f t="shared" si="23"/>
        <v>1.1000000000000001</v>
      </c>
      <c r="BW30" s="1" t="str">
        <f t="shared" si="29"/>
        <v>NAN</v>
      </c>
      <c r="BX30" s="1">
        <f t="shared" si="30"/>
        <v>0.43</v>
      </c>
      <c r="BY30" s="1">
        <f t="shared" si="31"/>
        <v>0.34599999999999997</v>
      </c>
      <c r="CA30" s="1">
        <f t="shared" si="24"/>
        <v>-4.3</v>
      </c>
      <c r="CB30" s="1">
        <f t="shared" si="25"/>
        <v>-10.199999999999999</v>
      </c>
    </row>
    <row r="31" spans="1:80" x14ac:dyDescent="0.2">
      <c r="A31" s="9">
        <f t="shared" si="32"/>
        <v>43491</v>
      </c>
      <c r="B31" s="2">
        <v>26</v>
      </c>
      <c r="C31" s="2">
        <v>21</v>
      </c>
      <c r="D31" s="2">
        <v>13.2</v>
      </c>
      <c r="E31" s="2">
        <v>20.6</v>
      </c>
      <c r="F31" s="2">
        <v>-9.5399999999999991</v>
      </c>
      <c r="G31" s="2">
        <v>-0.47799999999999998</v>
      </c>
      <c r="H31" s="2">
        <v>84.2</v>
      </c>
      <c r="I31" s="2">
        <v>-3.1850000000000001</v>
      </c>
      <c r="J31" s="2">
        <v>-0.312</v>
      </c>
      <c r="K31" s="2">
        <v>-0.28299999999999997</v>
      </c>
      <c r="L31" s="2">
        <v>1.054</v>
      </c>
      <c r="M31" s="2">
        <v>12.9</v>
      </c>
      <c r="N31" s="2">
        <v>101.5</v>
      </c>
      <c r="O31" s="2">
        <v>-1.573</v>
      </c>
      <c r="P31" s="2">
        <v>1.339</v>
      </c>
      <c r="Q31" s="2">
        <v>1.35</v>
      </c>
      <c r="R31" s="2">
        <v>1.823</v>
      </c>
      <c r="S31" s="2">
        <v>-8.14</v>
      </c>
      <c r="T31" s="2">
        <v>39.64</v>
      </c>
      <c r="U31" s="2">
        <v>-3.7360000000000002</v>
      </c>
      <c r="V31" s="2">
        <v>-0.84099999999999997</v>
      </c>
      <c r="W31" s="2">
        <v>-0.79600000000000004</v>
      </c>
      <c r="X31" s="2">
        <v>0.433</v>
      </c>
      <c r="Y31" s="2">
        <v>1.7470000000000001</v>
      </c>
      <c r="Z31" s="2">
        <v>0</v>
      </c>
      <c r="AA31" s="2">
        <v>5.923</v>
      </c>
      <c r="AB31" s="2">
        <v>5.431</v>
      </c>
      <c r="AC31" s="2">
        <v>0.67900000000000005</v>
      </c>
      <c r="AD31" s="2">
        <v>4.9000000000000004</v>
      </c>
      <c r="AE31" s="2">
        <v>-9.82</v>
      </c>
      <c r="AF31" s="2">
        <v>0.57799999999999996</v>
      </c>
      <c r="AG31" s="2">
        <v>-16.690000000000001</v>
      </c>
      <c r="AH31" s="2">
        <v>0.57799999999999996</v>
      </c>
      <c r="AI31" s="2">
        <v>-16.690000000000001</v>
      </c>
      <c r="AJ31" s="2" t="s">
        <v>113</v>
      </c>
      <c r="AK31" s="2" t="s">
        <v>113</v>
      </c>
      <c r="AL31" s="2">
        <v>-1.048</v>
      </c>
      <c r="AM31" s="2">
        <v>13.92</v>
      </c>
      <c r="AN31" s="2">
        <v>-8.7899999999999991</v>
      </c>
      <c r="AO31" s="2"/>
      <c r="AP31" s="1">
        <f t="shared" si="0"/>
        <v>0.70300000000000007</v>
      </c>
      <c r="AQ31" s="22">
        <f t="shared" si="1"/>
        <v>-1.3</v>
      </c>
      <c r="AR31" s="5">
        <v>7.21</v>
      </c>
      <c r="AS31" s="5">
        <v>6.22</v>
      </c>
      <c r="AT31" s="5">
        <v>5.4</v>
      </c>
      <c r="AU31" s="7">
        <f t="shared" si="26"/>
        <v>0.86799999999999999</v>
      </c>
      <c r="AV31" s="16"/>
      <c r="AW31" s="29">
        <v>0</v>
      </c>
      <c r="AX31" s="29">
        <v>699</v>
      </c>
      <c r="AY31" s="1">
        <f t="shared" si="2"/>
        <v>98</v>
      </c>
      <c r="AZ31" s="1">
        <f t="shared" si="3"/>
        <v>81.2</v>
      </c>
      <c r="BA31" s="1">
        <f t="shared" si="4"/>
        <v>38</v>
      </c>
      <c r="BB31" s="8">
        <f t="shared" si="5"/>
        <v>0.56499999999999995</v>
      </c>
      <c r="BC31" s="8">
        <f t="shared" si="6"/>
        <v>0.92200000000000004</v>
      </c>
      <c r="BE31" s="5">
        <f t="shared" si="7"/>
        <v>6.22</v>
      </c>
      <c r="BF31" s="5">
        <f t="shared" si="8"/>
        <v>5.4</v>
      </c>
      <c r="BG31" s="1">
        <f t="shared" si="9"/>
        <v>-0.5</v>
      </c>
      <c r="BH31" s="1">
        <f t="shared" si="10"/>
        <v>12.9</v>
      </c>
      <c r="BI31" s="1">
        <f t="shared" si="11"/>
        <v>-8.1</v>
      </c>
      <c r="BJ31" s="1">
        <f t="shared" si="12"/>
        <v>81.2</v>
      </c>
      <c r="BK31" s="1">
        <f t="shared" si="13"/>
        <v>38</v>
      </c>
      <c r="BL31" s="1">
        <f t="shared" si="27"/>
        <v>0.7</v>
      </c>
      <c r="BM31" s="1">
        <f t="shared" si="28"/>
        <v>4.9000000000000004</v>
      </c>
      <c r="BN31" s="21">
        <f t="shared" si="16"/>
        <v>0</v>
      </c>
      <c r="BO31" s="7">
        <f t="shared" si="17"/>
        <v>0.70300000000000007</v>
      </c>
      <c r="BP31" s="21">
        <f t="shared" si="18"/>
        <v>-1.3</v>
      </c>
      <c r="BQ31" s="1">
        <f t="shared" si="19"/>
        <v>-9.8000000000000007</v>
      </c>
      <c r="BR31" s="1">
        <f t="shared" si="20"/>
        <v>0.6</v>
      </c>
      <c r="BS31" s="1">
        <f t="shared" si="21"/>
        <v>-16.7</v>
      </c>
      <c r="BT31" s="1">
        <f t="shared" si="22"/>
        <v>-0.3</v>
      </c>
      <c r="BU31" s="1" t="s">
        <v>113</v>
      </c>
      <c r="BV31" s="1">
        <f t="shared" si="23"/>
        <v>1.1000000000000001</v>
      </c>
      <c r="BW31" s="1" t="str">
        <f t="shared" si="29"/>
        <v>NAN</v>
      </c>
      <c r="BX31" s="1">
        <f t="shared" si="30"/>
        <v>0.56499999999999995</v>
      </c>
      <c r="BY31" s="1">
        <f t="shared" si="31"/>
        <v>0.92200000000000004</v>
      </c>
      <c r="CA31" s="1">
        <f t="shared" si="24"/>
        <v>-12.3</v>
      </c>
      <c r="CB31" s="1">
        <f t="shared" si="25"/>
        <v>-8.6</v>
      </c>
    </row>
    <row r="32" spans="1:80" x14ac:dyDescent="0.2">
      <c r="A32" s="9">
        <f t="shared" si="32"/>
        <v>43492</v>
      </c>
      <c r="B32" s="2">
        <v>27</v>
      </c>
      <c r="C32" s="2">
        <v>21</v>
      </c>
      <c r="D32" s="2">
        <v>13.14</v>
      </c>
      <c r="E32" s="2">
        <v>10.34</v>
      </c>
      <c r="F32" s="2">
        <v>-13.73</v>
      </c>
      <c r="G32" s="2">
        <v>-1.155</v>
      </c>
      <c r="H32" s="2">
        <v>67.25</v>
      </c>
      <c r="I32" s="2">
        <v>-2.8809999999999998</v>
      </c>
      <c r="J32" s="2">
        <v>-0.32700000000000001</v>
      </c>
      <c r="K32" s="2">
        <v>-0.29599999999999999</v>
      </c>
      <c r="L32" s="2">
        <v>1.0529999999999999</v>
      </c>
      <c r="M32" s="2">
        <v>4.9450000000000003</v>
      </c>
      <c r="N32" s="2">
        <v>98.7</v>
      </c>
      <c r="O32" s="2">
        <v>-1.859</v>
      </c>
      <c r="P32" s="2">
        <v>0.79400000000000004</v>
      </c>
      <c r="Q32" s="2">
        <v>0.80700000000000005</v>
      </c>
      <c r="R32" s="2">
        <v>1.6020000000000001</v>
      </c>
      <c r="S32" s="2">
        <v>-14.8</v>
      </c>
      <c r="T32" s="2">
        <v>48.4</v>
      </c>
      <c r="U32" s="2">
        <v>-3.2949999999999999</v>
      </c>
      <c r="V32" s="2">
        <v>-0.68899999999999995</v>
      </c>
      <c r="W32" s="2">
        <v>-0.65200000000000002</v>
      </c>
      <c r="X32" s="2">
        <v>0.77900000000000003</v>
      </c>
      <c r="Y32" s="2">
        <v>1.758</v>
      </c>
      <c r="Z32" s="2">
        <v>0.254</v>
      </c>
      <c r="AA32" s="2">
        <v>6.4870000000000001</v>
      </c>
      <c r="AB32" s="2">
        <v>5.99</v>
      </c>
      <c r="AC32" s="2">
        <v>2.6509999999999998</v>
      </c>
      <c r="AD32" s="2">
        <v>7.35</v>
      </c>
      <c r="AE32" s="2">
        <v>-8.6</v>
      </c>
      <c r="AF32" s="2">
        <v>-0.437</v>
      </c>
      <c r="AG32" s="2">
        <v>-26.8</v>
      </c>
      <c r="AH32" s="2">
        <v>-0.437</v>
      </c>
      <c r="AI32" s="2">
        <v>-26.8</v>
      </c>
      <c r="AJ32" s="2" t="s">
        <v>113</v>
      </c>
      <c r="AK32" s="2" t="s">
        <v>113</v>
      </c>
      <c r="AL32" s="2">
        <v>-1.335</v>
      </c>
      <c r="AM32" s="2">
        <v>4.2279999999999998</v>
      </c>
      <c r="AN32" s="2">
        <v>-16.079999999999998</v>
      </c>
      <c r="AO32" s="2"/>
      <c r="AP32" s="1">
        <f t="shared" si="0"/>
        <v>0.69200000000000017</v>
      </c>
      <c r="AQ32" s="22">
        <f t="shared" si="1"/>
        <v>-1.2</v>
      </c>
      <c r="AR32" s="5">
        <v>7.34</v>
      </c>
      <c r="AS32" s="5">
        <v>6.81</v>
      </c>
      <c r="AT32" s="5">
        <v>5.89</v>
      </c>
      <c r="AU32" s="7">
        <f t="shared" si="26"/>
        <v>0.86499999999999999</v>
      </c>
      <c r="AV32" s="16"/>
      <c r="AW32" s="29">
        <v>0</v>
      </c>
      <c r="AX32" s="29">
        <v>688</v>
      </c>
      <c r="AY32" s="1">
        <f t="shared" si="2"/>
        <v>95.2</v>
      </c>
      <c r="AZ32" s="1">
        <f t="shared" si="3"/>
        <v>64.7</v>
      </c>
      <c r="BA32" s="1">
        <f t="shared" si="4"/>
        <v>46.4</v>
      </c>
      <c r="BB32" s="8">
        <f t="shared" si="5"/>
        <v>0.40300000000000002</v>
      </c>
      <c r="BC32" s="8">
        <f t="shared" si="6"/>
        <v>0.46600000000000003</v>
      </c>
      <c r="BE32" s="5">
        <f t="shared" si="7"/>
        <v>6.81</v>
      </c>
      <c r="BF32" s="5">
        <f t="shared" si="8"/>
        <v>5.89</v>
      </c>
      <c r="BG32" s="1">
        <f t="shared" si="9"/>
        <v>-1.2</v>
      </c>
      <c r="BH32" s="1">
        <f t="shared" si="10"/>
        <v>4.9000000000000004</v>
      </c>
      <c r="BI32" s="1">
        <f t="shared" si="11"/>
        <v>-14.8</v>
      </c>
      <c r="BJ32" s="1">
        <f t="shared" si="12"/>
        <v>64.7</v>
      </c>
      <c r="BK32" s="1">
        <f t="shared" si="13"/>
        <v>46.4</v>
      </c>
      <c r="BL32" s="1">
        <f t="shared" si="27"/>
        <v>2.7</v>
      </c>
      <c r="BM32" s="1">
        <f t="shared" si="28"/>
        <v>7.4</v>
      </c>
      <c r="BN32" s="21">
        <f t="shared" si="16"/>
        <v>0</v>
      </c>
      <c r="BO32" s="7">
        <f t="shared" si="17"/>
        <v>0.69200000000000017</v>
      </c>
      <c r="BP32" s="21">
        <f t="shared" si="18"/>
        <v>-1.2</v>
      </c>
      <c r="BQ32" s="1">
        <f t="shared" si="19"/>
        <v>-8.6</v>
      </c>
      <c r="BR32" s="1">
        <f t="shared" si="20"/>
        <v>-0.4</v>
      </c>
      <c r="BS32" s="1">
        <f t="shared" si="21"/>
        <v>-26.8</v>
      </c>
      <c r="BT32" s="1">
        <f t="shared" si="22"/>
        <v>-0.3</v>
      </c>
      <c r="BU32" s="1" t="s">
        <v>113</v>
      </c>
      <c r="BV32" s="1">
        <f t="shared" si="23"/>
        <v>1.1000000000000001</v>
      </c>
      <c r="BW32" s="1" t="str">
        <f t="shared" si="29"/>
        <v>NAN</v>
      </c>
      <c r="BX32" s="1">
        <f t="shared" si="30"/>
        <v>0.40300000000000002</v>
      </c>
      <c r="BY32" s="1">
        <f t="shared" si="31"/>
        <v>0.46600000000000003</v>
      </c>
      <c r="CA32" s="1">
        <f t="shared" si="24"/>
        <v>-5.3000000000000007</v>
      </c>
      <c r="CB32" s="1">
        <f t="shared" si="25"/>
        <v>-12</v>
      </c>
    </row>
    <row r="33" spans="1:80" x14ac:dyDescent="0.2">
      <c r="A33" s="9">
        <f t="shared" si="32"/>
        <v>43493</v>
      </c>
      <c r="B33" s="2">
        <v>28</v>
      </c>
      <c r="C33" s="2">
        <v>21</v>
      </c>
      <c r="D33" s="2">
        <v>13.07</v>
      </c>
      <c r="E33" s="2">
        <v>5.468</v>
      </c>
      <c r="F33" s="2">
        <v>-19.88</v>
      </c>
      <c r="G33" s="2">
        <v>-11.36</v>
      </c>
      <c r="H33" s="2">
        <v>83.6</v>
      </c>
      <c r="I33" s="2">
        <v>-3.2370000000000001</v>
      </c>
      <c r="J33" s="2">
        <v>-0.43</v>
      </c>
      <c r="K33" s="2">
        <v>-0.39200000000000002</v>
      </c>
      <c r="L33" s="2">
        <v>0.98799999999999999</v>
      </c>
      <c r="M33" s="2">
        <v>-0.15</v>
      </c>
      <c r="N33" s="2">
        <v>99.3</v>
      </c>
      <c r="O33" s="2">
        <v>-1.752</v>
      </c>
      <c r="P33" s="2">
        <v>1.004</v>
      </c>
      <c r="Q33" s="2">
        <v>1.0149999999999999</v>
      </c>
      <c r="R33" s="2">
        <v>1.621</v>
      </c>
      <c r="S33" s="2">
        <v>-17.72</v>
      </c>
      <c r="T33" s="2">
        <v>43.37</v>
      </c>
      <c r="U33" s="2">
        <v>-4.0819999999999999</v>
      </c>
      <c r="V33" s="2">
        <v>-0.91400000000000003</v>
      </c>
      <c r="W33" s="2">
        <v>-0.86499999999999999</v>
      </c>
      <c r="X33" s="2">
        <v>0.51500000000000001</v>
      </c>
      <c r="Y33" s="2">
        <v>1.7729999999999999</v>
      </c>
      <c r="Z33" s="2">
        <v>0</v>
      </c>
      <c r="AA33" s="2">
        <v>4.9829999999999997</v>
      </c>
      <c r="AB33" s="2">
        <v>4.6689999999999996</v>
      </c>
      <c r="AC33" s="2">
        <v>0.48199999999999998</v>
      </c>
      <c r="AD33" s="2">
        <v>3.4870000000000001</v>
      </c>
      <c r="AE33" s="2">
        <v>-21.58</v>
      </c>
      <c r="AF33" s="2">
        <v>-7.68</v>
      </c>
      <c r="AG33" s="2">
        <v>-29.95</v>
      </c>
      <c r="AH33" s="2">
        <v>-7.68</v>
      </c>
      <c r="AI33" s="2">
        <v>-29.95</v>
      </c>
      <c r="AJ33" s="2" t="s">
        <v>113</v>
      </c>
      <c r="AK33" s="2" t="s">
        <v>113</v>
      </c>
      <c r="AL33" s="2">
        <v>-12.17</v>
      </c>
      <c r="AM33" s="2">
        <v>1.736</v>
      </c>
      <c r="AN33" s="2">
        <v>-19.3</v>
      </c>
      <c r="AO33" s="2"/>
      <c r="AP33" s="1">
        <f t="shared" si="0"/>
        <v>0.67700000000000027</v>
      </c>
      <c r="AQ33" s="22">
        <f t="shared" si="1"/>
        <v>-1.4</v>
      </c>
      <c r="AR33" s="5">
        <v>7.47</v>
      </c>
      <c r="AS33" s="5">
        <v>5.25</v>
      </c>
      <c r="AT33" s="5">
        <v>4.63</v>
      </c>
      <c r="AU33" s="7">
        <f t="shared" si="26"/>
        <v>0.88200000000000001</v>
      </c>
      <c r="AV33" s="16"/>
      <c r="AW33" s="29">
        <v>0</v>
      </c>
      <c r="AX33" s="29">
        <v>673</v>
      </c>
      <c r="AY33" s="1">
        <f t="shared" si="2"/>
        <v>95.8</v>
      </c>
      <c r="AZ33" s="1">
        <f t="shared" si="3"/>
        <v>80.599999999999994</v>
      </c>
      <c r="BA33" s="1">
        <f t="shared" si="4"/>
        <v>41.6</v>
      </c>
      <c r="BB33" s="8">
        <f t="shared" si="5"/>
        <v>0.251</v>
      </c>
      <c r="BC33" s="8">
        <f t="shared" si="6"/>
        <v>0.35199999999999998</v>
      </c>
      <c r="BE33" s="5">
        <f t="shared" si="7"/>
        <v>5.25</v>
      </c>
      <c r="BF33" s="5">
        <f t="shared" si="8"/>
        <v>4.63</v>
      </c>
      <c r="BG33" s="1">
        <f t="shared" si="9"/>
        <v>-11.4</v>
      </c>
      <c r="BH33" s="1">
        <f t="shared" si="10"/>
        <v>-0.2</v>
      </c>
      <c r="BI33" s="1">
        <f t="shared" si="11"/>
        <v>-17.7</v>
      </c>
      <c r="BJ33" s="1">
        <f t="shared" si="12"/>
        <v>80.599999999999994</v>
      </c>
      <c r="BK33" s="1">
        <f t="shared" si="13"/>
        <v>41.6</v>
      </c>
      <c r="BL33" s="1">
        <f t="shared" si="27"/>
        <v>0.5</v>
      </c>
      <c r="BM33" s="1">
        <f t="shared" si="28"/>
        <v>3.5</v>
      </c>
      <c r="BN33" s="21">
        <f t="shared" si="16"/>
        <v>0</v>
      </c>
      <c r="BO33" s="7">
        <f t="shared" si="17"/>
        <v>0.67700000000000027</v>
      </c>
      <c r="BP33" s="21">
        <f t="shared" si="18"/>
        <v>-1.4</v>
      </c>
      <c r="BQ33" s="1">
        <f t="shared" si="19"/>
        <v>-21.6</v>
      </c>
      <c r="BR33" s="1">
        <f t="shared" si="20"/>
        <v>-7.7</v>
      </c>
      <c r="BS33" s="1">
        <f t="shared" si="21"/>
        <v>-30</v>
      </c>
      <c r="BT33" s="1">
        <f t="shared" si="22"/>
        <v>-0.4</v>
      </c>
      <c r="BU33" s="1" t="s">
        <v>113</v>
      </c>
      <c r="BV33" s="1">
        <f t="shared" si="23"/>
        <v>1</v>
      </c>
      <c r="BW33" s="1" t="str">
        <f t="shared" si="29"/>
        <v>NAN</v>
      </c>
      <c r="BX33" s="1">
        <f t="shared" si="30"/>
        <v>0.251</v>
      </c>
      <c r="BY33" s="1">
        <f t="shared" si="31"/>
        <v>0.35199999999999998</v>
      </c>
      <c r="CA33" s="1">
        <f t="shared" si="24"/>
        <v>-7.5</v>
      </c>
      <c r="CB33" s="1">
        <f t="shared" si="25"/>
        <v>-12.3</v>
      </c>
    </row>
    <row r="34" spans="1:80" x14ac:dyDescent="0.2">
      <c r="A34" s="9">
        <f t="shared" si="32"/>
        <v>43494</v>
      </c>
      <c r="B34" s="2">
        <v>29</v>
      </c>
      <c r="C34" s="2">
        <v>21</v>
      </c>
      <c r="D34" s="2">
        <v>13.08</v>
      </c>
      <c r="E34" s="2">
        <v>15.47</v>
      </c>
      <c r="F34" s="2">
        <v>-22.93</v>
      </c>
      <c r="G34" s="2">
        <v>-10.81</v>
      </c>
      <c r="H34" s="2">
        <v>70.2</v>
      </c>
      <c r="I34" s="2">
        <v>-4.5750000000000002</v>
      </c>
      <c r="J34" s="2">
        <v>-0.38600000000000001</v>
      </c>
      <c r="K34" s="2">
        <v>-0.33600000000000002</v>
      </c>
      <c r="L34" s="2">
        <v>0.96599999999999997</v>
      </c>
      <c r="M34" s="2">
        <v>5.7309999999999999</v>
      </c>
      <c r="N34" s="2">
        <v>97.4</v>
      </c>
      <c r="O34" s="2">
        <v>-2.8220000000000001</v>
      </c>
      <c r="P34" s="2">
        <v>1.355</v>
      </c>
      <c r="Q34" s="2">
        <v>1.3779999999999999</v>
      </c>
      <c r="R34" s="2">
        <v>1.708</v>
      </c>
      <c r="S34" s="2">
        <v>-19.899999999999999</v>
      </c>
      <c r="T34" s="2">
        <v>13.32</v>
      </c>
      <c r="U34" s="2">
        <v>-5.6429999999999998</v>
      </c>
      <c r="V34" s="2">
        <v>-1.0389999999999999</v>
      </c>
      <c r="W34" s="2">
        <v>-0.97099999999999997</v>
      </c>
      <c r="X34" s="2">
        <v>0.38400000000000001</v>
      </c>
      <c r="Y34" s="2">
        <v>1.7689999999999999</v>
      </c>
      <c r="Z34" s="2">
        <v>0</v>
      </c>
      <c r="AA34" s="2">
        <v>6.7359999999999998</v>
      </c>
      <c r="AB34" s="2">
        <v>6.2969999999999997</v>
      </c>
      <c r="AC34" s="2">
        <v>0.42399999999999999</v>
      </c>
      <c r="AD34" s="2">
        <v>3.3540000000000001</v>
      </c>
      <c r="AE34" s="2">
        <v>-23.51</v>
      </c>
      <c r="AF34" s="2">
        <v>-7.75</v>
      </c>
      <c r="AG34" s="2">
        <v>-31.24</v>
      </c>
      <c r="AH34" s="2">
        <v>-7.75</v>
      </c>
      <c r="AI34" s="2">
        <v>-31.24</v>
      </c>
      <c r="AJ34" s="2" t="s">
        <v>113</v>
      </c>
      <c r="AK34" s="2" t="s">
        <v>113</v>
      </c>
      <c r="AL34" s="2">
        <v>-11.87</v>
      </c>
      <c r="AM34" s="2">
        <v>7.95</v>
      </c>
      <c r="AN34" s="2">
        <v>-22.04</v>
      </c>
      <c r="AO34" s="2"/>
      <c r="AP34" s="1">
        <f t="shared" si="0"/>
        <v>0.68100000000000027</v>
      </c>
      <c r="AQ34" s="22">
        <f t="shared" si="1"/>
        <v>-1.8</v>
      </c>
      <c r="AR34" s="5">
        <v>7.61</v>
      </c>
      <c r="AS34" s="5">
        <v>7.08</v>
      </c>
      <c r="AT34" s="5">
        <v>6.2</v>
      </c>
      <c r="AU34" s="7">
        <f t="shared" si="26"/>
        <v>0.876</v>
      </c>
      <c r="AV34" s="16"/>
      <c r="AW34" s="29">
        <v>0</v>
      </c>
      <c r="AX34" s="29">
        <v>677</v>
      </c>
      <c r="AY34" s="1">
        <f t="shared" si="2"/>
        <v>94</v>
      </c>
      <c r="AZ34" s="1">
        <f t="shared" si="3"/>
        <v>67.599999999999994</v>
      </c>
      <c r="BA34" s="1">
        <f t="shared" si="4"/>
        <v>12.4</v>
      </c>
      <c r="BB34" s="8">
        <f t="shared" si="5"/>
        <v>0.114</v>
      </c>
      <c r="BC34" s="8">
        <f t="shared" si="6"/>
        <v>0.80500000000000005</v>
      </c>
      <c r="BE34" s="5">
        <f t="shared" si="7"/>
        <v>7.08</v>
      </c>
      <c r="BF34" s="5">
        <f t="shared" si="8"/>
        <v>6.2</v>
      </c>
      <c r="BG34" s="1">
        <f t="shared" si="9"/>
        <v>-10.8</v>
      </c>
      <c r="BH34" s="1">
        <f t="shared" si="10"/>
        <v>5.7</v>
      </c>
      <c r="BI34" s="1">
        <f t="shared" si="11"/>
        <v>-19.899999999999999</v>
      </c>
      <c r="BJ34" s="1">
        <f t="shared" si="12"/>
        <v>67.599999999999994</v>
      </c>
      <c r="BK34" s="1">
        <f t="shared" si="13"/>
        <v>12.4</v>
      </c>
      <c r="BL34" s="1">
        <f t="shared" si="27"/>
        <v>0.4</v>
      </c>
      <c r="BM34" s="1">
        <f t="shared" si="28"/>
        <v>3.4</v>
      </c>
      <c r="BN34" s="21">
        <f t="shared" si="16"/>
        <v>0</v>
      </c>
      <c r="BO34" s="7">
        <f t="shared" si="17"/>
        <v>0.68100000000000027</v>
      </c>
      <c r="BP34" s="21">
        <f t="shared" si="18"/>
        <v>-1.8</v>
      </c>
      <c r="BQ34" s="1">
        <f t="shared" si="19"/>
        <v>-23.5</v>
      </c>
      <c r="BR34" s="1">
        <f t="shared" si="20"/>
        <v>-7.8</v>
      </c>
      <c r="BS34" s="1">
        <f t="shared" si="21"/>
        <v>-31.2</v>
      </c>
      <c r="BT34" s="1">
        <f t="shared" si="22"/>
        <v>-0.3</v>
      </c>
      <c r="BU34" s="1" t="s">
        <v>113</v>
      </c>
      <c r="BV34" s="1">
        <f t="shared" si="23"/>
        <v>1</v>
      </c>
      <c r="BW34" s="1" t="str">
        <f t="shared" si="29"/>
        <v>NAN</v>
      </c>
      <c r="BX34" s="1">
        <f t="shared" si="30"/>
        <v>0.114</v>
      </c>
      <c r="BY34" s="1">
        <f t="shared" si="31"/>
        <v>0.80500000000000005</v>
      </c>
      <c r="CA34" s="1">
        <f t="shared" si="24"/>
        <v>-13.5</v>
      </c>
      <c r="CB34" s="1">
        <f t="shared" si="25"/>
        <v>-11.3</v>
      </c>
    </row>
    <row r="35" spans="1:80" x14ac:dyDescent="0.2">
      <c r="A35" s="9">
        <f t="shared" si="32"/>
        <v>43495</v>
      </c>
      <c r="B35" s="2">
        <v>30</v>
      </c>
      <c r="C35" s="2">
        <v>21</v>
      </c>
      <c r="D35" s="2">
        <v>13.19</v>
      </c>
      <c r="E35" s="2">
        <v>8.1999999999999993</v>
      </c>
      <c r="F35" s="2">
        <v>-17.62</v>
      </c>
      <c r="G35" s="2">
        <v>-4.9329999999999998</v>
      </c>
      <c r="H35" s="2">
        <v>70.7</v>
      </c>
      <c r="I35" s="2">
        <v>-5.39</v>
      </c>
      <c r="J35" s="2">
        <v>-0.41899999999999998</v>
      </c>
      <c r="K35" s="2">
        <v>-0.36199999999999999</v>
      </c>
      <c r="L35" s="2">
        <v>0.98799999999999999</v>
      </c>
      <c r="M35" s="2">
        <v>5.2759999999999998</v>
      </c>
      <c r="N35" s="2">
        <v>93.8</v>
      </c>
      <c r="O35" s="2">
        <v>-5.032</v>
      </c>
      <c r="P35" s="2">
        <v>8.6999999999999994E-2</v>
      </c>
      <c r="Q35" s="2">
        <v>0.123</v>
      </c>
      <c r="R35" s="2">
        <v>1.266</v>
      </c>
      <c r="S35" s="2">
        <v>-15.8</v>
      </c>
      <c r="T35" s="2">
        <v>32.630000000000003</v>
      </c>
      <c r="U35" s="2">
        <v>-6.0039999999999996</v>
      </c>
      <c r="V35" s="2">
        <v>-0.873</v>
      </c>
      <c r="W35" s="2">
        <v>-0.8</v>
      </c>
      <c r="X35" s="2">
        <v>0.501</v>
      </c>
      <c r="Y35" s="2">
        <v>1.7709999999999999</v>
      </c>
      <c r="Z35" s="2">
        <v>0</v>
      </c>
      <c r="AA35" s="2">
        <v>3.9489999999999998</v>
      </c>
      <c r="AB35" s="2">
        <v>3.4060000000000001</v>
      </c>
      <c r="AC35" s="2">
        <v>0.35799999999999998</v>
      </c>
      <c r="AD35" s="2">
        <v>2.42</v>
      </c>
      <c r="AE35" s="2">
        <v>-8.69</v>
      </c>
      <c r="AF35" s="2">
        <v>-1.381</v>
      </c>
      <c r="AG35" s="2">
        <v>-25.78</v>
      </c>
      <c r="AH35" s="2">
        <v>-1.381</v>
      </c>
      <c r="AI35" s="2">
        <v>-25.78</v>
      </c>
      <c r="AJ35" s="2" t="s">
        <v>113</v>
      </c>
      <c r="AK35" s="2" t="s">
        <v>113</v>
      </c>
      <c r="AL35" s="2">
        <v>-5.0330000000000004</v>
      </c>
      <c r="AM35" s="2">
        <v>5.9980000000000002</v>
      </c>
      <c r="AN35" s="2">
        <v>-17.309999999999999</v>
      </c>
      <c r="AO35" s="2"/>
      <c r="AP35" s="1">
        <f t="shared" si="0"/>
        <v>0.67900000000000027</v>
      </c>
      <c r="AQ35" s="22">
        <f t="shared" si="1"/>
        <v>-2.1</v>
      </c>
      <c r="AR35" s="5">
        <v>7.75</v>
      </c>
      <c r="AS35" s="5">
        <v>4.1500000000000004</v>
      </c>
      <c r="AT35" s="5">
        <v>3.4</v>
      </c>
      <c r="AU35" s="7">
        <f t="shared" si="26"/>
        <v>0.81899999999999995</v>
      </c>
      <c r="AV35" s="16"/>
      <c r="AW35" s="29">
        <v>0</v>
      </c>
      <c r="AX35" s="29">
        <v>675</v>
      </c>
      <c r="AY35" s="1">
        <f t="shared" si="2"/>
        <v>90.5</v>
      </c>
      <c r="AZ35" s="1">
        <f t="shared" si="3"/>
        <v>68.099999999999994</v>
      </c>
      <c r="BA35" s="1">
        <f t="shared" si="4"/>
        <v>31.2</v>
      </c>
      <c r="BB35" s="8">
        <f t="shared" si="5"/>
        <v>0.27700000000000002</v>
      </c>
      <c r="BC35" s="8">
        <f t="shared" si="6"/>
        <v>0.61099999999999999</v>
      </c>
      <c r="BE35" s="5">
        <f t="shared" si="7"/>
        <v>4.1500000000000004</v>
      </c>
      <c r="BF35" s="5">
        <f t="shared" si="8"/>
        <v>3.4</v>
      </c>
      <c r="BG35" s="1">
        <f t="shared" si="9"/>
        <v>-4.9000000000000004</v>
      </c>
      <c r="BH35" s="1">
        <f t="shared" si="10"/>
        <v>5.3</v>
      </c>
      <c r="BI35" s="1">
        <f t="shared" si="11"/>
        <v>-15.8</v>
      </c>
      <c r="BJ35" s="1">
        <f t="shared" si="12"/>
        <v>68.099999999999994</v>
      </c>
      <c r="BK35" s="1">
        <f t="shared" si="13"/>
        <v>31.2</v>
      </c>
      <c r="BL35" s="1">
        <f t="shared" si="27"/>
        <v>0.4</v>
      </c>
      <c r="BM35" s="1">
        <f t="shared" si="28"/>
        <v>2.4</v>
      </c>
      <c r="BN35" s="21">
        <f t="shared" si="16"/>
        <v>0</v>
      </c>
      <c r="BO35" s="7">
        <f t="shared" si="17"/>
        <v>0.67900000000000027</v>
      </c>
      <c r="BP35" s="21">
        <f t="shared" si="18"/>
        <v>-2.1</v>
      </c>
      <c r="BQ35" s="1">
        <f t="shared" si="19"/>
        <v>-8.6999999999999993</v>
      </c>
      <c r="BR35" s="1">
        <f t="shared" si="20"/>
        <v>-1.4</v>
      </c>
      <c r="BS35" s="1">
        <f t="shared" si="21"/>
        <v>-25.8</v>
      </c>
      <c r="BT35" s="1">
        <f t="shared" si="22"/>
        <v>-0.4</v>
      </c>
      <c r="BU35" s="1" t="s">
        <v>113</v>
      </c>
      <c r="BV35" s="1">
        <f t="shared" si="23"/>
        <v>1</v>
      </c>
      <c r="BW35" s="1" t="str">
        <f t="shared" si="29"/>
        <v>NAN</v>
      </c>
      <c r="BX35" s="1">
        <f t="shared" si="30"/>
        <v>0.27700000000000002</v>
      </c>
      <c r="BY35" s="1">
        <f t="shared" si="31"/>
        <v>0.61099999999999999</v>
      </c>
      <c r="CA35" s="1">
        <f t="shared" si="24"/>
        <v>-6.6999999999999993</v>
      </c>
      <c r="CB35" s="1">
        <f t="shared" si="25"/>
        <v>-10</v>
      </c>
    </row>
    <row r="36" spans="1:80" x14ac:dyDescent="0.2">
      <c r="A36" s="9">
        <f t="shared" si="32"/>
        <v>43496</v>
      </c>
      <c r="B36" s="2">
        <v>31</v>
      </c>
      <c r="C36" s="2">
        <v>21</v>
      </c>
      <c r="D36" s="2">
        <v>13.16</v>
      </c>
      <c r="E36" s="2">
        <v>3.1920000000000002</v>
      </c>
      <c r="F36" s="2">
        <v>-6.3730000000000002</v>
      </c>
      <c r="G36" s="2">
        <v>-3.2930000000000001</v>
      </c>
      <c r="H36" s="2">
        <v>81.8</v>
      </c>
      <c r="I36" s="2">
        <v>-4.4930000000000003</v>
      </c>
      <c r="J36" s="2">
        <v>-0.499</v>
      </c>
      <c r="K36" s="2">
        <v>-0.44900000000000001</v>
      </c>
      <c r="L36" s="2">
        <v>0.96099999999999997</v>
      </c>
      <c r="M36" s="2">
        <v>2.617</v>
      </c>
      <c r="N36" s="2">
        <v>95.7</v>
      </c>
      <c r="O36" s="2">
        <v>-3.91</v>
      </c>
      <c r="P36" s="2">
        <v>-0.11</v>
      </c>
      <c r="Q36" s="2">
        <v>-7.1999999999999995E-2</v>
      </c>
      <c r="R36" s="2">
        <v>1.19</v>
      </c>
      <c r="S36" s="2">
        <v>-6.1440000000000001</v>
      </c>
      <c r="T36" s="2">
        <v>58.01</v>
      </c>
      <c r="U36" s="2">
        <v>-5.2530000000000001</v>
      </c>
      <c r="V36" s="2">
        <v>-0.66400000000000003</v>
      </c>
      <c r="W36" s="2">
        <v>-0.60199999999999998</v>
      </c>
      <c r="X36" s="2">
        <v>0.86399999999999999</v>
      </c>
      <c r="Y36" s="2">
        <v>1.776</v>
      </c>
      <c r="Z36" s="2">
        <v>0</v>
      </c>
      <c r="AA36" s="2">
        <v>2.629</v>
      </c>
      <c r="AB36" s="2">
        <v>2.2450000000000001</v>
      </c>
      <c r="AC36" s="2">
        <v>0.94399999999999995</v>
      </c>
      <c r="AD36" s="2">
        <v>5.22</v>
      </c>
      <c r="AE36" s="2">
        <v>-5.74</v>
      </c>
      <c r="AF36" s="2">
        <v>-1.216</v>
      </c>
      <c r="AG36" s="2">
        <v>-11.59</v>
      </c>
      <c r="AH36" s="2">
        <v>-1.216</v>
      </c>
      <c r="AI36" s="2">
        <v>-11.59</v>
      </c>
      <c r="AJ36" s="2" t="s">
        <v>113</v>
      </c>
      <c r="AK36" s="2" t="s">
        <v>113</v>
      </c>
      <c r="AL36" s="2">
        <v>-3.2589999999999999</v>
      </c>
      <c r="AM36" s="2">
        <v>3.1909999999999998</v>
      </c>
      <c r="AN36" s="2">
        <v>-6.4610000000000003</v>
      </c>
      <c r="AO36" s="2"/>
      <c r="AP36" s="1">
        <f t="shared" si="0"/>
        <v>0.67400000000000015</v>
      </c>
      <c r="AQ36" s="22">
        <f t="shared" si="1"/>
        <v>-1.8</v>
      </c>
      <c r="AR36" s="5">
        <v>7.9</v>
      </c>
      <c r="AS36" s="5">
        <v>2.76</v>
      </c>
      <c r="AT36" s="5">
        <v>2.25</v>
      </c>
      <c r="AU36" s="7">
        <f t="shared" si="26"/>
        <v>0.81499999999999995</v>
      </c>
      <c r="AV36" s="16"/>
      <c r="AW36" s="29">
        <v>0</v>
      </c>
      <c r="AX36" s="29">
        <v>670</v>
      </c>
      <c r="AY36" s="1">
        <f t="shared" si="2"/>
        <v>92.3</v>
      </c>
      <c r="AZ36" s="1">
        <f t="shared" si="3"/>
        <v>78.8</v>
      </c>
      <c r="BA36" s="1">
        <f t="shared" si="4"/>
        <v>55.8</v>
      </c>
      <c r="BB36" s="8">
        <f t="shared" si="5"/>
        <v>0.41099999999999998</v>
      </c>
      <c r="BC36" s="8">
        <f t="shared" si="6"/>
        <v>0.32600000000000001</v>
      </c>
      <c r="BE36" s="5">
        <f t="shared" si="7"/>
        <v>2.76</v>
      </c>
      <c r="BF36" s="5">
        <f t="shared" si="8"/>
        <v>2.25</v>
      </c>
      <c r="BG36" s="1">
        <f t="shared" si="9"/>
        <v>-3.3</v>
      </c>
      <c r="BH36" s="1">
        <f t="shared" si="10"/>
        <v>2.6</v>
      </c>
      <c r="BI36" s="1">
        <f t="shared" si="11"/>
        <v>-6.1</v>
      </c>
      <c r="BJ36" s="1">
        <f t="shared" si="12"/>
        <v>78.8</v>
      </c>
      <c r="BK36" s="1">
        <f t="shared" si="13"/>
        <v>55.8</v>
      </c>
      <c r="BL36" s="1">
        <f t="shared" si="27"/>
        <v>0.9</v>
      </c>
      <c r="BM36" s="1">
        <f t="shared" si="28"/>
        <v>5.2</v>
      </c>
      <c r="BN36" s="21">
        <f t="shared" si="16"/>
        <v>0</v>
      </c>
      <c r="BO36" s="7">
        <f t="shared" si="17"/>
        <v>0.67400000000000015</v>
      </c>
      <c r="BP36" s="21">
        <f t="shared" si="18"/>
        <v>-1.8</v>
      </c>
      <c r="BQ36" s="1">
        <f t="shared" si="19"/>
        <v>-5.7</v>
      </c>
      <c r="BR36" s="1">
        <f t="shared" si="20"/>
        <v>-1.2</v>
      </c>
      <c r="BS36" s="1">
        <f t="shared" si="21"/>
        <v>-11.6</v>
      </c>
      <c r="BT36" s="1">
        <f t="shared" si="22"/>
        <v>-0.4</v>
      </c>
      <c r="BU36" s="1" t="s">
        <v>113</v>
      </c>
      <c r="BV36" s="1">
        <f t="shared" si="23"/>
        <v>1</v>
      </c>
      <c r="BW36" s="1" t="str">
        <f t="shared" si="29"/>
        <v>NAN</v>
      </c>
      <c r="BX36" s="1">
        <f t="shared" si="30"/>
        <v>0.41099999999999998</v>
      </c>
      <c r="BY36" s="1">
        <f t="shared" si="31"/>
        <v>0.32600000000000001</v>
      </c>
      <c r="CA36" s="1">
        <f t="shared" si="24"/>
        <v>-3.8</v>
      </c>
      <c r="CB36" s="1">
        <f t="shared" si="25"/>
        <v>-5.5</v>
      </c>
    </row>
    <row r="37" spans="1:80" x14ac:dyDescent="0.2">
      <c r="A37" s="9">
        <f t="shared" si="32"/>
        <v>43497</v>
      </c>
      <c r="B37" s="2">
        <v>32</v>
      </c>
      <c r="C37" s="2">
        <v>21</v>
      </c>
      <c r="D37" s="2">
        <v>13.18</v>
      </c>
      <c r="E37" s="2">
        <v>2.1829999999999998</v>
      </c>
      <c r="F37" s="2">
        <v>-4.49</v>
      </c>
      <c r="G37" s="2">
        <v>-2.7690000000000001</v>
      </c>
      <c r="H37" s="2">
        <v>93.6</v>
      </c>
      <c r="I37" s="2">
        <v>-3.4209999999999998</v>
      </c>
      <c r="J37" s="2">
        <v>-0.47</v>
      </c>
      <c r="K37" s="2">
        <v>-0.435</v>
      </c>
      <c r="L37" s="2">
        <v>0.94099999999999995</v>
      </c>
      <c r="M37" s="2">
        <v>-0.56799999999999995</v>
      </c>
      <c r="N37" s="2">
        <v>101.4</v>
      </c>
      <c r="O37" s="2">
        <v>-2.9049999999999998</v>
      </c>
      <c r="P37" s="2">
        <v>-0.11799999999999999</v>
      </c>
      <c r="Q37" s="2">
        <v>-8.4000000000000005E-2</v>
      </c>
      <c r="R37" s="2">
        <v>1.133</v>
      </c>
      <c r="S37" s="2">
        <v>-4.5430000000000001</v>
      </c>
      <c r="T37" s="2">
        <v>81.599999999999994</v>
      </c>
      <c r="U37" s="2">
        <v>-3.931</v>
      </c>
      <c r="V37" s="2">
        <v>-0.56399999999999995</v>
      </c>
      <c r="W37" s="2">
        <v>-0.52300000000000002</v>
      </c>
      <c r="X37" s="2">
        <v>0.85299999999999998</v>
      </c>
      <c r="Y37" s="2">
        <v>1.7829999999999999</v>
      </c>
      <c r="Z37" s="2">
        <v>0</v>
      </c>
      <c r="AA37" s="2">
        <v>4.1630000000000003</v>
      </c>
      <c r="AB37" s="2">
        <v>3.5939999999999999</v>
      </c>
      <c r="AC37" s="2">
        <v>2.137</v>
      </c>
      <c r="AD37" s="2">
        <v>6.42</v>
      </c>
      <c r="AE37" s="2">
        <v>-4.2839999999999998</v>
      </c>
      <c r="AF37" s="2">
        <v>-1.8939999999999999</v>
      </c>
      <c r="AG37" s="2">
        <v>-6.4610000000000003</v>
      </c>
      <c r="AH37" s="2">
        <v>-1.8939999999999999</v>
      </c>
      <c r="AI37" s="2">
        <v>-6.4610000000000003</v>
      </c>
      <c r="AJ37" s="2" t="s">
        <v>113</v>
      </c>
      <c r="AK37" s="2" t="s">
        <v>113</v>
      </c>
      <c r="AL37" s="2">
        <v>-2.6110000000000002</v>
      </c>
      <c r="AM37" s="2">
        <v>1.0369999999999999</v>
      </c>
      <c r="AN37" s="2">
        <v>-4.6509999999999998</v>
      </c>
      <c r="AO37" s="2"/>
      <c r="AP37" s="1">
        <f t="shared" si="0"/>
        <v>0.66700000000000026</v>
      </c>
      <c r="AQ37" s="22">
        <f t="shared" si="1"/>
        <v>-1.4</v>
      </c>
      <c r="AR37" s="5">
        <v>8.0399999999999991</v>
      </c>
      <c r="AS37" s="5">
        <v>4.37</v>
      </c>
      <c r="AT37" s="5">
        <v>3.58</v>
      </c>
      <c r="AU37" s="7">
        <f t="shared" si="26"/>
        <v>0.81899999999999995</v>
      </c>
      <c r="AV37" s="16"/>
      <c r="AW37" s="29">
        <v>0</v>
      </c>
      <c r="AX37" s="29">
        <v>663</v>
      </c>
      <c r="AY37" s="1">
        <f t="shared" si="2"/>
        <v>97.9</v>
      </c>
      <c r="AZ37" s="1">
        <f t="shared" si="3"/>
        <v>90.3</v>
      </c>
      <c r="BA37" s="1">
        <f t="shared" si="4"/>
        <v>78.7</v>
      </c>
      <c r="BB37" s="8">
        <f t="shared" si="5"/>
        <v>0.46100000000000002</v>
      </c>
      <c r="BC37" s="8">
        <f t="shared" si="6"/>
        <v>0.125</v>
      </c>
      <c r="BE37" s="5">
        <f t="shared" si="7"/>
        <v>4.37</v>
      </c>
      <c r="BF37" s="5">
        <f t="shared" si="8"/>
        <v>3.58</v>
      </c>
      <c r="BG37" s="1">
        <f t="shared" si="9"/>
        <v>-2.8</v>
      </c>
      <c r="BH37" s="1">
        <f t="shared" si="10"/>
        <v>-0.6</v>
      </c>
      <c r="BI37" s="1">
        <f t="shared" si="11"/>
        <v>-4.5</v>
      </c>
      <c r="BJ37" s="1">
        <f t="shared" si="12"/>
        <v>90.3</v>
      </c>
      <c r="BK37" s="1">
        <f t="shared" si="13"/>
        <v>78.7</v>
      </c>
      <c r="BL37" s="1">
        <f t="shared" si="27"/>
        <v>2.1</v>
      </c>
      <c r="BM37" s="1">
        <f t="shared" si="28"/>
        <v>6.4</v>
      </c>
      <c r="BN37" s="21">
        <f t="shared" si="16"/>
        <v>0</v>
      </c>
      <c r="BO37" s="7">
        <f t="shared" si="17"/>
        <v>0.66700000000000026</v>
      </c>
      <c r="BP37" s="21">
        <f t="shared" si="18"/>
        <v>-1.4</v>
      </c>
      <c r="BQ37" s="1">
        <f t="shared" si="19"/>
        <v>-4.3</v>
      </c>
      <c r="BR37" s="1">
        <f t="shared" si="20"/>
        <v>-1.9</v>
      </c>
      <c r="BS37" s="1">
        <f t="shared" si="21"/>
        <v>-6.5</v>
      </c>
      <c r="BT37" s="1">
        <f t="shared" si="22"/>
        <v>-0.4</v>
      </c>
      <c r="BU37" s="1" t="s">
        <v>113</v>
      </c>
      <c r="BV37" s="1">
        <f t="shared" si="23"/>
        <v>0.9</v>
      </c>
      <c r="BW37" s="1" t="str">
        <f t="shared" si="29"/>
        <v>NAN</v>
      </c>
      <c r="BX37" s="1">
        <f t="shared" si="30"/>
        <v>0.46100000000000002</v>
      </c>
      <c r="BY37" s="1">
        <f t="shared" si="31"/>
        <v>0.125</v>
      </c>
      <c r="CA37" s="1">
        <f t="shared" si="24"/>
        <v>-1.2999999999999998</v>
      </c>
      <c r="CB37" s="1">
        <f t="shared" si="25"/>
        <v>-2</v>
      </c>
    </row>
    <row r="38" spans="1:80" x14ac:dyDescent="0.2">
      <c r="A38" s="9">
        <f t="shared" si="32"/>
        <v>43498</v>
      </c>
      <c r="B38" s="2">
        <v>33</v>
      </c>
      <c r="C38" s="2">
        <v>21</v>
      </c>
      <c r="D38" s="2">
        <v>13.12</v>
      </c>
      <c r="E38" s="2">
        <v>8.5399999999999991</v>
      </c>
      <c r="F38" s="2">
        <v>-13.49</v>
      </c>
      <c r="G38" s="2">
        <v>-4.1920000000000002</v>
      </c>
      <c r="H38" s="2">
        <v>84.4</v>
      </c>
      <c r="I38" s="2">
        <v>-2.5680000000000001</v>
      </c>
      <c r="J38" s="2">
        <v>-0.35199999999999998</v>
      </c>
      <c r="K38" s="2">
        <v>-0.32400000000000001</v>
      </c>
      <c r="L38" s="2">
        <v>1.0169999999999999</v>
      </c>
      <c r="M38" s="2">
        <v>1.8</v>
      </c>
      <c r="N38" s="2">
        <v>101.5</v>
      </c>
      <c r="O38" s="2">
        <v>-1.524</v>
      </c>
      <c r="P38" s="2">
        <v>0.63200000000000001</v>
      </c>
      <c r="Q38" s="2">
        <v>0.64300000000000002</v>
      </c>
      <c r="R38" s="2">
        <v>1.4570000000000001</v>
      </c>
      <c r="S38" s="2">
        <v>-13.65</v>
      </c>
      <c r="T38" s="2">
        <v>53.38</v>
      </c>
      <c r="U38" s="2">
        <v>-3.0009999999999999</v>
      </c>
      <c r="V38" s="2">
        <v>-0.65300000000000002</v>
      </c>
      <c r="W38" s="2">
        <v>-0.63</v>
      </c>
      <c r="X38" s="2">
        <v>0.81299999999999994</v>
      </c>
      <c r="Y38" s="2">
        <v>1.762</v>
      </c>
      <c r="Z38" s="2">
        <v>0</v>
      </c>
      <c r="AA38" s="2">
        <v>5.8029999999999999</v>
      </c>
      <c r="AB38" s="2">
        <v>5.4589999999999996</v>
      </c>
      <c r="AC38" s="2">
        <v>1.653</v>
      </c>
      <c r="AD38" s="2">
        <v>5.6740000000000004</v>
      </c>
      <c r="AE38" s="2">
        <v>-10.37</v>
      </c>
      <c r="AF38" s="2">
        <v>-2.4900000000000002</v>
      </c>
      <c r="AG38" s="2">
        <v>-22.86</v>
      </c>
      <c r="AH38" s="2">
        <v>-2.4900000000000002</v>
      </c>
      <c r="AI38" s="2">
        <v>-22.86</v>
      </c>
      <c r="AJ38" s="2" t="s">
        <v>113</v>
      </c>
      <c r="AK38" s="2" t="s">
        <v>113</v>
      </c>
      <c r="AL38" s="2">
        <v>-4.6029999999999998</v>
      </c>
      <c r="AM38" s="2">
        <v>2.7440000000000002</v>
      </c>
      <c r="AN38" s="2">
        <v>-14.65</v>
      </c>
      <c r="AO38" s="2"/>
      <c r="AP38" s="1">
        <f t="shared" si="0"/>
        <v>0.68800000000000017</v>
      </c>
      <c r="AQ38" s="22">
        <f t="shared" ref="AQ38:AQ69" si="33">ROUND(AVERAGE(I38:K38),1)</f>
        <v>-1.1000000000000001</v>
      </c>
      <c r="AR38" s="5">
        <v>8.1999999999999993</v>
      </c>
      <c r="AS38" s="5">
        <v>6.1</v>
      </c>
      <c r="AT38" s="5">
        <v>5.43</v>
      </c>
      <c r="AU38" s="7">
        <f t="shared" si="26"/>
        <v>0.89</v>
      </c>
      <c r="AV38" s="16"/>
      <c r="AW38" s="29">
        <v>3.08</v>
      </c>
      <c r="AX38" s="29">
        <v>684</v>
      </c>
      <c r="AY38" s="1">
        <f t="shared" ref="AY38:AY61" si="34">ROUND(AZ$1*N38+AZ$2,1)</f>
        <v>98</v>
      </c>
      <c r="AZ38" s="1">
        <f t="shared" ref="AZ38:AZ61" si="35">ROUND(H38*AZ$1+AZ$2,1)</f>
        <v>81.400000000000006</v>
      </c>
      <c r="BA38" s="1">
        <f t="shared" ref="BA38:BA61" si="36">ROUND(T38*AZ$1+AZ$2,1)</f>
        <v>51.3</v>
      </c>
      <c r="BB38" s="8">
        <f t="shared" ref="BB38:BB61" si="37">ROUND((0.6105*(EXP((17.273*M38)/(M38+237.3))))*BA38/100,3)</f>
        <v>0.35699999999999998</v>
      </c>
      <c r="BC38" s="8">
        <f t="shared" ref="BC38:BC61" si="38">ROUND(BB38/BA38*(100-BA38),3)</f>
        <v>0.33900000000000002</v>
      </c>
      <c r="BE38" s="5">
        <f t="shared" si="7"/>
        <v>6.1</v>
      </c>
      <c r="BF38" s="5">
        <f t="shared" si="8"/>
        <v>5.43</v>
      </c>
      <c r="BG38" s="1">
        <f t="shared" ref="BG38:BG61" si="39">ROUND(G38,1)</f>
        <v>-4.2</v>
      </c>
      <c r="BH38" s="1">
        <f t="shared" ref="BH38:BH61" si="40">ROUND(M38,1)</f>
        <v>1.8</v>
      </c>
      <c r="BI38" s="1">
        <f t="shared" ref="BI38:BI61" si="41">ROUND(S38,1)</f>
        <v>-13.7</v>
      </c>
      <c r="BJ38" s="1">
        <f t="shared" si="12"/>
        <v>81.400000000000006</v>
      </c>
      <c r="BK38" s="1">
        <f t="shared" si="13"/>
        <v>51.3</v>
      </c>
      <c r="BL38" s="1">
        <f t="shared" si="27"/>
        <v>1.7</v>
      </c>
      <c r="BM38" s="1">
        <f t="shared" si="28"/>
        <v>5.7</v>
      </c>
      <c r="BN38" s="21">
        <f t="shared" si="16"/>
        <v>3.08</v>
      </c>
      <c r="BO38" s="7">
        <f t="shared" si="17"/>
        <v>0.68800000000000017</v>
      </c>
      <c r="BP38" s="21">
        <f t="shared" ref="BP38:BP101" si="42">IF(AQ38="","NAN",AQ38)</f>
        <v>-1.1000000000000001</v>
      </c>
      <c r="BQ38" s="1">
        <f t="shared" si="19"/>
        <v>-10.4</v>
      </c>
      <c r="BR38" s="1">
        <f t="shared" si="20"/>
        <v>-2.5</v>
      </c>
      <c r="BS38" s="1">
        <f t="shared" si="21"/>
        <v>-22.9</v>
      </c>
      <c r="BT38" s="1">
        <f t="shared" ref="BT38:BT61" si="43">ROUND(K38,1)</f>
        <v>-0.3</v>
      </c>
      <c r="BU38" s="1" t="s">
        <v>113</v>
      </c>
      <c r="BV38" s="1">
        <f t="shared" ref="BV38:BV61" si="44">ROUND(L38,1)</f>
        <v>1</v>
      </c>
      <c r="BW38" s="1" t="str">
        <f t="shared" si="29"/>
        <v>NAN</v>
      </c>
      <c r="BX38" s="1">
        <f t="shared" si="30"/>
        <v>0.35699999999999998</v>
      </c>
      <c r="BY38" s="1">
        <f t="shared" si="31"/>
        <v>0.33900000000000002</v>
      </c>
      <c r="CA38" s="1">
        <f t="shared" si="24"/>
        <v>-4.3</v>
      </c>
      <c r="CB38" s="1">
        <f t="shared" si="25"/>
        <v>-9.1999999999999993</v>
      </c>
    </row>
    <row r="39" spans="1:80" x14ac:dyDescent="0.2">
      <c r="A39" s="9">
        <f t="shared" si="32"/>
        <v>43499</v>
      </c>
      <c r="B39" s="2">
        <v>34</v>
      </c>
      <c r="C39" s="2">
        <v>21</v>
      </c>
      <c r="D39" s="2">
        <v>13.04</v>
      </c>
      <c r="E39" s="2">
        <v>-1.228</v>
      </c>
      <c r="F39" s="2">
        <v>-22.15</v>
      </c>
      <c r="G39" s="2">
        <v>-15.19</v>
      </c>
      <c r="H39" s="2">
        <v>83.6</v>
      </c>
      <c r="I39" s="2">
        <v>-2.835</v>
      </c>
      <c r="J39" s="2">
        <v>-0.41199999999999998</v>
      </c>
      <c r="K39" s="2">
        <v>-0.377</v>
      </c>
      <c r="L39" s="2">
        <v>0.97599999999999998</v>
      </c>
      <c r="M39" s="2">
        <v>-8.4700000000000006</v>
      </c>
      <c r="N39" s="2">
        <v>97.9</v>
      </c>
      <c r="O39" s="2">
        <v>-1.802</v>
      </c>
      <c r="P39" s="2">
        <v>0.57099999999999995</v>
      </c>
      <c r="Q39" s="2">
        <v>0.58199999999999996</v>
      </c>
      <c r="R39" s="2">
        <v>1.4390000000000001</v>
      </c>
      <c r="S39" s="2">
        <v>-24.15</v>
      </c>
      <c r="T39" s="2">
        <v>52.43</v>
      </c>
      <c r="U39" s="2">
        <v>-3.3439999999999999</v>
      </c>
      <c r="V39" s="2">
        <v>-0.76</v>
      </c>
      <c r="W39" s="2">
        <v>-0.71499999999999997</v>
      </c>
      <c r="X39" s="2">
        <v>0.61</v>
      </c>
      <c r="Y39" s="2">
        <v>1.7709999999999999</v>
      </c>
      <c r="Z39" s="2">
        <v>0</v>
      </c>
      <c r="AA39" s="2">
        <v>5.1849999999999996</v>
      </c>
      <c r="AB39" s="2">
        <v>4.7080000000000002</v>
      </c>
      <c r="AC39" s="2">
        <v>1.4710000000000001</v>
      </c>
      <c r="AD39" s="2">
        <v>4.7670000000000003</v>
      </c>
      <c r="AE39" s="2">
        <v>-14.46</v>
      </c>
      <c r="AF39" s="2">
        <v>-9.1999999999999993</v>
      </c>
      <c r="AG39" s="2">
        <v>-22.39</v>
      </c>
      <c r="AH39" s="2">
        <v>-9.1999999999999993</v>
      </c>
      <c r="AI39" s="2">
        <v>-22.39</v>
      </c>
      <c r="AJ39" s="2" t="s">
        <v>113</v>
      </c>
      <c r="AK39" s="2" t="s">
        <v>113</v>
      </c>
      <c r="AL39" s="2">
        <v>-14.89</v>
      </c>
      <c r="AM39" s="2">
        <v>-8.0500000000000007</v>
      </c>
      <c r="AN39" s="2">
        <v>-23.85</v>
      </c>
      <c r="AO39" s="2"/>
      <c r="AP39" s="1">
        <f t="shared" si="0"/>
        <v>0.67900000000000027</v>
      </c>
      <c r="AQ39" s="22">
        <f t="shared" si="33"/>
        <v>-1.2</v>
      </c>
      <c r="AR39" s="5">
        <v>8.35</v>
      </c>
      <c r="AS39" s="5">
        <v>5.44</v>
      </c>
      <c r="AT39" s="5">
        <v>4.71</v>
      </c>
      <c r="AU39" s="7">
        <f t="shared" si="26"/>
        <v>0.86599999999999999</v>
      </c>
      <c r="AV39" s="16"/>
      <c r="AW39" s="29">
        <v>0</v>
      </c>
      <c r="AX39" s="29">
        <v>675</v>
      </c>
      <c r="AY39" s="1">
        <f t="shared" si="34"/>
        <v>94.5</v>
      </c>
      <c r="AZ39" s="1">
        <f t="shared" si="35"/>
        <v>80.599999999999994</v>
      </c>
      <c r="BA39" s="1">
        <f t="shared" si="36"/>
        <v>50.4</v>
      </c>
      <c r="BB39" s="8">
        <f t="shared" si="37"/>
        <v>0.16200000000000001</v>
      </c>
      <c r="BC39" s="8">
        <f t="shared" si="38"/>
        <v>0.159</v>
      </c>
      <c r="BE39" s="5">
        <f t="shared" si="7"/>
        <v>5.44</v>
      </c>
      <c r="BF39" s="5">
        <f t="shared" si="8"/>
        <v>4.71</v>
      </c>
      <c r="BG39" s="1">
        <f t="shared" si="39"/>
        <v>-15.2</v>
      </c>
      <c r="BH39" s="1">
        <f t="shared" si="40"/>
        <v>-8.5</v>
      </c>
      <c r="BI39" s="1">
        <f t="shared" si="41"/>
        <v>-24.2</v>
      </c>
      <c r="BJ39" s="1">
        <f t="shared" si="12"/>
        <v>80.599999999999994</v>
      </c>
      <c r="BK39" s="1">
        <f t="shared" si="13"/>
        <v>50.4</v>
      </c>
      <c r="BL39" s="1">
        <f t="shared" si="27"/>
        <v>1.5</v>
      </c>
      <c r="BM39" s="1">
        <f t="shared" si="28"/>
        <v>4.8</v>
      </c>
      <c r="BN39" s="21">
        <f t="shared" si="16"/>
        <v>0</v>
      </c>
      <c r="BO39" s="7">
        <f t="shared" si="17"/>
        <v>0.67900000000000027</v>
      </c>
      <c r="BP39" s="21">
        <f t="shared" si="42"/>
        <v>-1.2</v>
      </c>
      <c r="BQ39" s="1">
        <f t="shared" si="19"/>
        <v>-14.5</v>
      </c>
      <c r="BR39" s="1">
        <f t="shared" si="20"/>
        <v>-9.1999999999999993</v>
      </c>
      <c r="BS39" s="1">
        <f t="shared" si="21"/>
        <v>-22.4</v>
      </c>
      <c r="BT39" s="1">
        <f t="shared" si="43"/>
        <v>-0.4</v>
      </c>
      <c r="BU39" s="1" t="s">
        <v>113</v>
      </c>
      <c r="BV39" s="1">
        <f t="shared" si="44"/>
        <v>1</v>
      </c>
      <c r="BW39" s="1" t="str">
        <f t="shared" si="29"/>
        <v>NAN</v>
      </c>
      <c r="BX39" s="1">
        <f t="shared" si="30"/>
        <v>0.16200000000000001</v>
      </c>
      <c r="BY39" s="1">
        <f t="shared" si="31"/>
        <v>0.159</v>
      </c>
      <c r="CA39" s="1">
        <f t="shared" si="24"/>
        <v>-0.69999999999999929</v>
      </c>
      <c r="CB39" s="1">
        <f t="shared" si="25"/>
        <v>1.8000000000000007</v>
      </c>
    </row>
    <row r="40" spans="1:80" x14ac:dyDescent="0.2">
      <c r="A40" s="9">
        <f t="shared" si="32"/>
        <v>43500</v>
      </c>
      <c r="B40" s="2">
        <v>35</v>
      </c>
      <c r="C40" s="2">
        <v>21</v>
      </c>
      <c r="D40" s="2">
        <v>13.01</v>
      </c>
      <c r="E40" s="2">
        <v>-13.17</v>
      </c>
      <c r="F40" s="2">
        <v>-27.03</v>
      </c>
      <c r="G40" s="2">
        <v>-23.25</v>
      </c>
      <c r="H40" s="2">
        <v>79.2</v>
      </c>
      <c r="I40" s="2">
        <v>-3.6970000000000001</v>
      </c>
      <c r="J40" s="2">
        <v>-0.55600000000000005</v>
      </c>
      <c r="K40" s="2">
        <v>-0.505</v>
      </c>
      <c r="L40" s="2">
        <v>0.82899999999999996</v>
      </c>
      <c r="M40" s="2">
        <v>-18.93</v>
      </c>
      <c r="N40" s="2">
        <v>90</v>
      </c>
      <c r="O40" s="2">
        <v>-2.617</v>
      </c>
      <c r="P40" s="2">
        <v>0.47099999999999997</v>
      </c>
      <c r="Q40" s="2">
        <v>0.499</v>
      </c>
      <c r="R40" s="2">
        <v>1.407</v>
      </c>
      <c r="S40" s="2">
        <v>-27.16</v>
      </c>
      <c r="T40" s="2">
        <v>70.5</v>
      </c>
      <c r="U40" s="2">
        <v>-4.6280000000000001</v>
      </c>
      <c r="V40" s="2">
        <v>-0.90300000000000002</v>
      </c>
      <c r="W40" s="2">
        <v>-0.83499999999999996</v>
      </c>
      <c r="X40" s="2">
        <v>0.60199999999999998</v>
      </c>
      <c r="Y40" s="2">
        <v>1.7789999999999999</v>
      </c>
      <c r="Z40" s="2">
        <v>0</v>
      </c>
      <c r="AA40" s="2">
        <v>6.4189999999999996</v>
      </c>
      <c r="AB40" s="2">
        <v>6.0540000000000003</v>
      </c>
      <c r="AC40" s="2">
        <v>3.343</v>
      </c>
      <c r="AD40" s="2">
        <v>7.35</v>
      </c>
      <c r="AE40" s="2">
        <v>-24.95</v>
      </c>
      <c r="AF40" s="2">
        <v>-19.690000000000001</v>
      </c>
      <c r="AG40" s="2">
        <v>-35.06</v>
      </c>
      <c r="AH40" s="2">
        <v>-19.690000000000001</v>
      </c>
      <c r="AI40" s="2">
        <v>-35.06</v>
      </c>
      <c r="AJ40" s="2" t="s">
        <v>113</v>
      </c>
      <c r="AK40" s="2" t="s">
        <v>113</v>
      </c>
      <c r="AL40" s="2">
        <v>-23.03</v>
      </c>
      <c r="AM40" s="2">
        <v>-17.82</v>
      </c>
      <c r="AN40" s="2">
        <v>-27.36</v>
      </c>
      <c r="AO40" s="2"/>
      <c r="AP40" s="1">
        <f t="shared" si="0"/>
        <v>0.67100000000000026</v>
      </c>
      <c r="AQ40" s="22">
        <f t="shared" si="33"/>
        <v>-1.6</v>
      </c>
      <c r="AR40" s="5">
        <v>8.52</v>
      </c>
      <c r="AS40" s="5">
        <v>6.75</v>
      </c>
      <c r="AT40" s="5">
        <v>6.04</v>
      </c>
      <c r="AU40" s="7">
        <f t="shared" si="26"/>
        <v>0.89500000000000002</v>
      </c>
      <c r="AV40" s="16"/>
      <c r="AW40" s="29">
        <v>0</v>
      </c>
      <c r="AX40" s="29">
        <v>667</v>
      </c>
      <c r="AY40" s="1">
        <f t="shared" si="34"/>
        <v>86.8</v>
      </c>
      <c r="AZ40" s="1">
        <f t="shared" si="35"/>
        <v>76.3</v>
      </c>
      <c r="BA40" s="1">
        <f t="shared" si="36"/>
        <v>67.900000000000006</v>
      </c>
      <c r="BB40" s="8">
        <f t="shared" si="37"/>
        <v>9.2999999999999999E-2</v>
      </c>
      <c r="BC40" s="8">
        <f t="shared" si="38"/>
        <v>4.3999999999999997E-2</v>
      </c>
      <c r="BE40" s="5">
        <f t="shared" si="7"/>
        <v>6.75</v>
      </c>
      <c r="BF40" s="5">
        <f t="shared" si="8"/>
        <v>6.04</v>
      </c>
      <c r="BG40" s="1">
        <f t="shared" si="39"/>
        <v>-23.3</v>
      </c>
      <c r="BH40" s="1">
        <f t="shared" si="40"/>
        <v>-18.899999999999999</v>
      </c>
      <c r="BI40" s="1">
        <f t="shared" si="41"/>
        <v>-27.2</v>
      </c>
      <c r="BJ40" s="1">
        <f t="shared" si="12"/>
        <v>76.3</v>
      </c>
      <c r="BK40" s="1">
        <f t="shared" si="13"/>
        <v>67.900000000000006</v>
      </c>
      <c r="BL40" s="1">
        <f t="shared" si="27"/>
        <v>3.3</v>
      </c>
      <c r="BM40" s="1">
        <f t="shared" si="28"/>
        <v>7.4</v>
      </c>
      <c r="BN40" s="21">
        <f t="shared" si="16"/>
        <v>0</v>
      </c>
      <c r="BO40" s="7">
        <f t="shared" si="17"/>
        <v>0.67100000000000026</v>
      </c>
      <c r="BP40" s="21">
        <f t="shared" si="42"/>
        <v>-1.6</v>
      </c>
      <c r="BQ40" s="1">
        <f t="shared" si="19"/>
        <v>-25</v>
      </c>
      <c r="BR40" s="1">
        <f t="shared" si="20"/>
        <v>-19.7</v>
      </c>
      <c r="BS40" s="1">
        <f t="shared" si="21"/>
        <v>-35.1</v>
      </c>
      <c r="BT40" s="1">
        <f t="shared" si="43"/>
        <v>-0.5</v>
      </c>
      <c r="BU40" s="1" t="s">
        <v>113</v>
      </c>
      <c r="BV40" s="1">
        <f t="shared" si="44"/>
        <v>0.8</v>
      </c>
      <c r="BW40" s="1" t="str">
        <f t="shared" si="29"/>
        <v>NAN</v>
      </c>
      <c r="BX40" s="1">
        <f t="shared" si="30"/>
        <v>9.2999999999999999E-2</v>
      </c>
      <c r="BY40" s="1">
        <f t="shared" si="31"/>
        <v>4.3999999999999997E-2</v>
      </c>
      <c r="CA40" s="1">
        <f t="shared" si="24"/>
        <v>-0.80000000000000071</v>
      </c>
      <c r="CB40" s="1">
        <f t="shared" si="25"/>
        <v>-7.9000000000000021</v>
      </c>
    </row>
    <row r="41" spans="1:80" x14ac:dyDescent="0.2">
      <c r="A41" s="9">
        <f t="shared" si="32"/>
        <v>43501</v>
      </c>
      <c r="B41" s="2">
        <v>36</v>
      </c>
      <c r="C41" s="2">
        <v>21</v>
      </c>
      <c r="D41" s="2">
        <v>13.04</v>
      </c>
      <c r="E41" s="2">
        <v>-6.8129999999999997</v>
      </c>
      <c r="F41" s="2">
        <v>-32.99</v>
      </c>
      <c r="G41" s="2">
        <v>-21.81</v>
      </c>
      <c r="H41" s="2">
        <v>73.2</v>
      </c>
      <c r="I41" s="2">
        <v>-5.4429999999999996</v>
      </c>
      <c r="J41" s="2">
        <v>-0.52400000000000002</v>
      </c>
      <c r="K41" s="2">
        <v>-0.46100000000000002</v>
      </c>
      <c r="L41" s="2">
        <v>0.85699999999999998</v>
      </c>
      <c r="M41" s="2">
        <v>-13.75</v>
      </c>
      <c r="N41" s="2">
        <v>89.6</v>
      </c>
      <c r="O41" s="2">
        <v>-3.9289999999999998</v>
      </c>
      <c r="P41" s="2">
        <v>0.82</v>
      </c>
      <c r="Q41" s="2">
        <v>0.84299999999999997</v>
      </c>
      <c r="R41" s="2">
        <v>1.6060000000000001</v>
      </c>
      <c r="S41" s="2">
        <v>-30.33</v>
      </c>
      <c r="T41" s="2">
        <v>41.35</v>
      </c>
      <c r="U41" s="2">
        <v>-6.5359999999999996</v>
      </c>
      <c r="V41" s="2">
        <v>-0.94899999999999995</v>
      </c>
      <c r="W41" s="2">
        <v>-0.88100000000000001</v>
      </c>
      <c r="X41" s="2">
        <v>0.57299999999999995</v>
      </c>
      <c r="Y41" s="2">
        <v>1.7769999999999999</v>
      </c>
      <c r="Z41" s="2">
        <v>0</v>
      </c>
      <c r="AA41" s="2">
        <v>6.9610000000000003</v>
      </c>
      <c r="AB41" s="2">
        <v>6.38</v>
      </c>
      <c r="AC41" s="2">
        <v>1.627</v>
      </c>
      <c r="AD41" s="2">
        <v>7.01</v>
      </c>
      <c r="AE41" s="2">
        <v>-28.39</v>
      </c>
      <c r="AF41" s="2">
        <v>-17.05</v>
      </c>
      <c r="AG41" s="2">
        <v>-43.05</v>
      </c>
      <c r="AH41" s="2">
        <v>-17.05</v>
      </c>
      <c r="AI41" s="2">
        <v>-43.05</v>
      </c>
      <c r="AJ41" s="2" t="s">
        <v>113</v>
      </c>
      <c r="AK41" s="2" t="s">
        <v>113</v>
      </c>
      <c r="AL41" s="2">
        <v>-22.25</v>
      </c>
      <c r="AM41" s="2">
        <v>-13.23</v>
      </c>
      <c r="AN41" s="2">
        <v>-31.54</v>
      </c>
      <c r="AO41" s="2"/>
      <c r="AP41" s="1">
        <f t="shared" si="0"/>
        <v>0.67300000000000026</v>
      </c>
      <c r="AQ41" s="22">
        <f t="shared" si="33"/>
        <v>-2.1</v>
      </c>
      <c r="AR41" s="5">
        <v>8.68</v>
      </c>
      <c r="AS41" s="5">
        <v>7.31</v>
      </c>
      <c r="AT41" s="5">
        <v>6.38</v>
      </c>
      <c r="AU41" s="7">
        <f t="shared" si="26"/>
        <v>0.873</v>
      </c>
      <c r="AV41" s="16"/>
      <c r="AW41" s="29">
        <v>0</v>
      </c>
      <c r="AX41" s="29">
        <v>669</v>
      </c>
      <c r="AY41" s="1">
        <f t="shared" si="34"/>
        <v>86.4</v>
      </c>
      <c r="AZ41" s="1">
        <f t="shared" si="35"/>
        <v>70.5</v>
      </c>
      <c r="BA41" s="1">
        <f t="shared" si="36"/>
        <v>39.6</v>
      </c>
      <c r="BB41" s="8">
        <f t="shared" si="37"/>
        <v>8.4000000000000005E-2</v>
      </c>
      <c r="BC41" s="8">
        <f t="shared" si="38"/>
        <v>0.128</v>
      </c>
      <c r="BE41" s="5">
        <f t="shared" si="7"/>
        <v>7.31</v>
      </c>
      <c r="BF41" s="5">
        <f t="shared" si="8"/>
        <v>6.38</v>
      </c>
      <c r="BG41" s="1">
        <f t="shared" si="39"/>
        <v>-21.8</v>
      </c>
      <c r="BH41" s="1">
        <f t="shared" si="40"/>
        <v>-13.8</v>
      </c>
      <c r="BI41" s="1">
        <f t="shared" si="41"/>
        <v>-30.3</v>
      </c>
      <c r="BJ41" s="1">
        <f t="shared" si="12"/>
        <v>70.5</v>
      </c>
      <c r="BK41" s="1">
        <f t="shared" si="13"/>
        <v>39.6</v>
      </c>
      <c r="BL41" s="1">
        <f t="shared" si="27"/>
        <v>1.6</v>
      </c>
      <c r="BM41" s="1">
        <f t="shared" si="28"/>
        <v>7</v>
      </c>
      <c r="BN41" s="21">
        <f t="shared" si="16"/>
        <v>0</v>
      </c>
      <c r="BO41" s="7">
        <f t="shared" si="17"/>
        <v>0.67300000000000026</v>
      </c>
      <c r="BP41" s="21">
        <f t="shared" si="42"/>
        <v>-2.1</v>
      </c>
      <c r="BQ41" s="1">
        <f t="shared" si="19"/>
        <v>-28.4</v>
      </c>
      <c r="BR41" s="1">
        <f t="shared" si="20"/>
        <v>-17.100000000000001</v>
      </c>
      <c r="BS41" s="1">
        <f t="shared" si="21"/>
        <v>-43.1</v>
      </c>
      <c r="BT41" s="1">
        <f t="shared" si="43"/>
        <v>-0.5</v>
      </c>
      <c r="BU41" s="1" t="s">
        <v>113</v>
      </c>
      <c r="BV41" s="1">
        <f t="shared" si="44"/>
        <v>0.9</v>
      </c>
      <c r="BW41" s="1" t="str">
        <f t="shared" si="29"/>
        <v>NAN</v>
      </c>
      <c r="BX41" s="1">
        <f t="shared" si="30"/>
        <v>8.4000000000000005E-2</v>
      </c>
      <c r="BY41" s="1">
        <f t="shared" si="31"/>
        <v>0.128</v>
      </c>
      <c r="CA41" s="1">
        <f t="shared" si="24"/>
        <v>-3.3000000000000007</v>
      </c>
      <c r="CB41" s="1">
        <f t="shared" si="25"/>
        <v>-12.8</v>
      </c>
    </row>
    <row r="42" spans="1:80" x14ac:dyDescent="0.2">
      <c r="A42" s="9">
        <f t="shared" si="32"/>
        <v>43502</v>
      </c>
      <c r="B42" s="2">
        <v>37</v>
      </c>
      <c r="C42" s="2">
        <v>21</v>
      </c>
      <c r="D42" s="2">
        <v>13</v>
      </c>
      <c r="E42" s="2">
        <v>-5.3849999999999998</v>
      </c>
      <c r="F42" s="2">
        <v>-27.42</v>
      </c>
      <c r="G42" s="2">
        <v>-20.58</v>
      </c>
      <c r="H42" s="2">
        <v>78.3</v>
      </c>
      <c r="I42" s="2">
        <v>-6.9489999999999998</v>
      </c>
      <c r="J42" s="2">
        <v>-0.61899999999999999</v>
      </c>
      <c r="K42" s="2">
        <v>-0.53700000000000003</v>
      </c>
      <c r="L42" s="2">
        <v>0.83099999999999996</v>
      </c>
      <c r="M42" s="2">
        <v>-13.44</v>
      </c>
      <c r="N42" s="2">
        <v>93.1</v>
      </c>
      <c r="O42" s="2">
        <v>-5.8970000000000002</v>
      </c>
      <c r="P42" s="2">
        <v>0.43099999999999999</v>
      </c>
      <c r="Q42" s="2">
        <v>0.499</v>
      </c>
      <c r="R42" s="2">
        <v>1.4650000000000001</v>
      </c>
      <c r="S42" s="2">
        <v>-25.99</v>
      </c>
      <c r="T42" s="2">
        <v>56.34</v>
      </c>
      <c r="U42" s="2">
        <v>-7.7</v>
      </c>
      <c r="V42" s="2">
        <v>-1.0249999999999999</v>
      </c>
      <c r="W42" s="2">
        <v>-0.93200000000000005</v>
      </c>
      <c r="X42" s="2">
        <v>0.46</v>
      </c>
      <c r="Y42" s="2">
        <v>1.7829999999999999</v>
      </c>
      <c r="Z42" s="2">
        <v>0</v>
      </c>
      <c r="AA42" s="2">
        <v>8.17</v>
      </c>
      <c r="AB42" s="2">
        <v>7.64</v>
      </c>
      <c r="AC42" s="2">
        <v>1.5229999999999999</v>
      </c>
      <c r="AD42" s="2">
        <v>5.6470000000000002</v>
      </c>
      <c r="AE42" s="2">
        <v>-28.9</v>
      </c>
      <c r="AF42" s="2">
        <v>-17.53</v>
      </c>
      <c r="AG42" s="2">
        <v>-35.99</v>
      </c>
      <c r="AH42" s="2">
        <v>-17.53</v>
      </c>
      <c r="AI42" s="2">
        <v>-35.99</v>
      </c>
      <c r="AJ42" s="2" t="s">
        <v>113</v>
      </c>
      <c r="AK42" s="2" t="s">
        <v>113</v>
      </c>
      <c r="AL42" s="2">
        <v>-20.9</v>
      </c>
      <c r="AM42" s="2">
        <v>-11.72</v>
      </c>
      <c r="AN42" s="2">
        <v>-27.12</v>
      </c>
      <c r="AO42" s="2"/>
      <c r="AP42" s="1">
        <f t="shared" si="0"/>
        <v>0.66700000000000026</v>
      </c>
      <c r="AQ42" s="22">
        <f t="shared" si="33"/>
        <v>-2.7</v>
      </c>
      <c r="AR42" s="5">
        <v>8.85</v>
      </c>
      <c r="AS42" s="5">
        <v>8.58</v>
      </c>
      <c r="AT42" s="5">
        <v>7.5</v>
      </c>
      <c r="AU42" s="7">
        <f t="shared" si="26"/>
        <v>0.874</v>
      </c>
      <c r="AV42" s="16"/>
      <c r="AW42" s="29">
        <v>0</v>
      </c>
      <c r="AX42" s="29">
        <v>663</v>
      </c>
      <c r="AY42" s="1">
        <f t="shared" si="34"/>
        <v>89.8</v>
      </c>
      <c r="AZ42" s="1">
        <f t="shared" si="35"/>
        <v>75.5</v>
      </c>
      <c r="BA42" s="1">
        <f t="shared" si="36"/>
        <v>54.1</v>
      </c>
      <c r="BB42" s="8">
        <f t="shared" si="37"/>
        <v>0.11700000000000001</v>
      </c>
      <c r="BC42" s="8">
        <f t="shared" si="38"/>
        <v>9.9000000000000005E-2</v>
      </c>
      <c r="BE42" s="5">
        <f t="shared" si="7"/>
        <v>8.58</v>
      </c>
      <c r="BF42" s="5">
        <f t="shared" si="8"/>
        <v>7.5</v>
      </c>
      <c r="BG42" s="1">
        <f t="shared" si="39"/>
        <v>-20.6</v>
      </c>
      <c r="BH42" s="1">
        <f t="shared" si="40"/>
        <v>-13.4</v>
      </c>
      <c r="BI42" s="1">
        <f t="shared" si="41"/>
        <v>-26</v>
      </c>
      <c r="BJ42" s="1">
        <f t="shared" si="12"/>
        <v>75.5</v>
      </c>
      <c r="BK42" s="1">
        <f t="shared" si="13"/>
        <v>54.1</v>
      </c>
      <c r="BL42" s="1">
        <f t="shared" si="27"/>
        <v>1.5</v>
      </c>
      <c r="BM42" s="1">
        <f t="shared" si="28"/>
        <v>5.6</v>
      </c>
      <c r="BN42" s="21">
        <f t="shared" si="16"/>
        <v>0</v>
      </c>
      <c r="BO42" s="7">
        <f t="shared" si="17"/>
        <v>0.66700000000000026</v>
      </c>
      <c r="BP42" s="21">
        <f t="shared" si="42"/>
        <v>-2.7</v>
      </c>
      <c r="BQ42" s="1">
        <f t="shared" si="19"/>
        <v>-28.9</v>
      </c>
      <c r="BR42" s="1">
        <f t="shared" si="20"/>
        <v>-17.5</v>
      </c>
      <c r="BS42" s="1">
        <f t="shared" si="21"/>
        <v>-36</v>
      </c>
      <c r="BT42" s="1">
        <f t="shared" si="43"/>
        <v>-0.5</v>
      </c>
      <c r="BU42" s="1" t="s">
        <v>113</v>
      </c>
      <c r="BV42" s="1">
        <f t="shared" si="44"/>
        <v>0.8</v>
      </c>
      <c r="BW42" s="1" t="str">
        <f t="shared" si="29"/>
        <v>NAN</v>
      </c>
      <c r="BX42" s="1">
        <f t="shared" si="30"/>
        <v>0.11700000000000001</v>
      </c>
      <c r="BY42" s="1">
        <f t="shared" si="31"/>
        <v>9.9000000000000005E-2</v>
      </c>
      <c r="CA42" s="1">
        <f t="shared" si="24"/>
        <v>-4.0999999999999996</v>
      </c>
      <c r="CB42" s="1">
        <f t="shared" si="25"/>
        <v>-10</v>
      </c>
    </row>
    <row r="43" spans="1:80" x14ac:dyDescent="0.2">
      <c r="A43" s="9">
        <f t="shared" si="32"/>
        <v>43503</v>
      </c>
      <c r="B43" s="2">
        <v>38</v>
      </c>
      <c r="C43" s="2">
        <v>21</v>
      </c>
      <c r="D43" s="2">
        <v>13.09</v>
      </c>
      <c r="E43" s="2">
        <v>-4.2389999999999999</v>
      </c>
      <c r="F43" s="2">
        <v>-27.66</v>
      </c>
      <c r="G43" s="2">
        <v>-14.78</v>
      </c>
      <c r="H43" s="2">
        <v>78.900000000000006</v>
      </c>
      <c r="I43" s="2">
        <v>-7.88</v>
      </c>
      <c r="J43" s="2">
        <v>-0.64400000000000002</v>
      </c>
      <c r="K43" s="2">
        <v>-0.56299999999999994</v>
      </c>
      <c r="L43" s="2">
        <v>0.86099999999999999</v>
      </c>
      <c r="M43" s="2">
        <v>-7.3</v>
      </c>
      <c r="N43" s="2">
        <v>96.1</v>
      </c>
      <c r="O43" s="2">
        <v>-7.48</v>
      </c>
      <c r="P43" s="2">
        <v>-0.14899999999999999</v>
      </c>
      <c r="Q43" s="2">
        <v>-8.1000000000000003E-2</v>
      </c>
      <c r="R43" s="2">
        <v>1.1830000000000001</v>
      </c>
      <c r="S43" s="2">
        <v>-25.04</v>
      </c>
      <c r="T43" s="2">
        <v>41.92</v>
      </c>
      <c r="U43" s="2">
        <v>-8.2200000000000006</v>
      </c>
      <c r="V43" s="2">
        <v>-1.028</v>
      </c>
      <c r="W43" s="2">
        <v>-0.93700000000000006</v>
      </c>
      <c r="X43" s="2">
        <v>0.54900000000000004</v>
      </c>
      <c r="Y43" s="2">
        <v>1.7589999999999999</v>
      </c>
      <c r="Z43" s="2">
        <v>0</v>
      </c>
      <c r="AA43" s="2">
        <v>4.0119999999999996</v>
      </c>
      <c r="AB43" s="2">
        <v>3.468</v>
      </c>
      <c r="AC43" s="2">
        <v>0.435</v>
      </c>
      <c r="AD43" s="2">
        <v>3.0870000000000002</v>
      </c>
      <c r="AE43" s="2">
        <v>-17.489999999999998</v>
      </c>
      <c r="AF43" s="2">
        <v>-9.67</v>
      </c>
      <c r="AG43" s="2">
        <v>-35.33</v>
      </c>
      <c r="AH43" s="2">
        <v>-9.67</v>
      </c>
      <c r="AI43" s="2">
        <v>-35.33</v>
      </c>
      <c r="AJ43" s="2" t="s">
        <v>113</v>
      </c>
      <c r="AK43" s="2" t="s">
        <v>113</v>
      </c>
      <c r="AL43" s="2">
        <v>-15.01</v>
      </c>
      <c r="AM43" s="2">
        <v>-5.4720000000000004</v>
      </c>
      <c r="AN43" s="2">
        <v>-26.82</v>
      </c>
      <c r="AO43" s="2"/>
      <c r="AP43" s="1">
        <f t="shared" si="0"/>
        <v>0.69100000000000028</v>
      </c>
      <c r="AQ43" s="22">
        <f t="shared" si="33"/>
        <v>-3</v>
      </c>
      <c r="AR43" s="5">
        <v>9.02</v>
      </c>
      <c r="AS43" s="5">
        <v>4.21</v>
      </c>
      <c r="AT43" s="5">
        <v>3.47</v>
      </c>
      <c r="AU43" s="7">
        <f t="shared" si="26"/>
        <v>0.82399999999999995</v>
      </c>
      <c r="AV43" s="16"/>
      <c r="AW43" s="29">
        <v>2.09</v>
      </c>
      <c r="AX43" s="29">
        <v>687</v>
      </c>
      <c r="AY43" s="1">
        <f t="shared" si="34"/>
        <v>92.7</v>
      </c>
      <c r="AZ43" s="1">
        <f t="shared" si="35"/>
        <v>76</v>
      </c>
      <c r="BA43" s="1">
        <f t="shared" si="36"/>
        <v>40.200000000000003</v>
      </c>
      <c r="BB43" s="8">
        <f t="shared" si="37"/>
        <v>0.14199999999999999</v>
      </c>
      <c r="BC43" s="8">
        <f t="shared" si="38"/>
        <v>0.21099999999999999</v>
      </c>
      <c r="BE43" s="5">
        <f t="shared" si="7"/>
        <v>4.21</v>
      </c>
      <c r="BF43" s="5">
        <f t="shared" si="8"/>
        <v>3.47</v>
      </c>
      <c r="BG43" s="1">
        <f t="shared" si="39"/>
        <v>-14.8</v>
      </c>
      <c r="BH43" s="1">
        <f t="shared" si="40"/>
        <v>-7.3</v>
      </c>
      <c r="BI43" s="1">
        <f t="shared" si="41"/>
        <v>-25</v>
      </c>
      <c r="BJ43" s="1">
        <f t="shared" si="12"/>
        <v>76</v>
      </c>
      <c r="BK43" s="1">
        <f t="shared" si="13"/>
        <v>40.200000000000003</v>
      </c>
      <c r="BL43" s="1">
        <f t="shared" si="27"/>
        <v>0.4</v>
      </c>
      <c r="BM43" s="1">
        <f t="shared" si="28"/>
        <v>3.1</v>
      </c>
      <c r="BN43" s="21">
        <f t="shared" si="16"/>
        <v>2.09</v>
      </c>
      <c r="BO43" s="7">
        <f t="shared" si="17"/>
        <v>0.69100000000000028</v>
      </c>
      <c r="BP43" s="21">
        <f t="shared" si="42"/>
        <v>-3</v>
      </c>
      <c r="BQ43" s="1">
        <f t="shared" si="19"/>
        <v>-17.5</v>
      </c>
      <c r="BR43" s="1">
        <f t="shared" si="20"/>
        <v>-9.6999999999999993</v>
      </c>
      <c r="BS43" s="1">
        <f t="shared" si="21"/>
        <v>-35.299999999999997</v>
      </c>
      <c r="BT43" s="1">
        <f t="shared" si="43"/>
        <v>-0.6</v>
      </c>
      <c r="BU43" s="1" t="s">
        <v>113</v>
      </c>
      <c r="BV43" s="1">
        <f t="shared" si="44"/>
        <v>0.9</v>
      </c>
      <c r="BW43" s="1" t="str">
        <f t="shared" si="29"/>
        <v>NAN</v>
      </c>
      <c r="BX43" s="1">
        <f t="shared" si="30"/>
        <v>0.14199999999999999</v>
      </c>
      <c r="BY43" s="1">
        <f t="shared" si="31"/>
        <v>0.21099999999999999</v>
      </c>
      <c r="CA43" s="1">
        <f t="shared" si="24"/>
        <v>-2.3999999999999995</v>
      </c>
      <c r="CB43" s="1">
        <f t="shared" si="25"/>
        <v>-10.299999999999997</v>
      </c>
    </row>
    <row r="44" spans="1:80" x14ac:dyDescent="0.2">
      <c r="A44" s="9">
        <f t="shared" si="32"/>
        <v>43504</v>
      </c>
      <c r="B44" s="2">
        <v>39</v>
      </c>
      <c r="C44" s="2">
        <v>21</v>
      </c>
      <c r="D44" s="2">
        <v>13.08</v>
      </c>
      <c r="E44" s="2">
        <v>-7.2</v>
      </c>
      <c r="F44" s="2">
        <v>-16.36</v>
      </c>
      <c r="G44" s="2">
        <v>-13.95</v>
      </c>
      <c r="H44" s="2">
        <v>89.2</v>
      </c>
      <c r="I44" s="2">
        <v>-6.9770000000000003</v>
      </c>
      <c r="J44" s="2">
        <v>-0.61199999999999999</v>
      </c>
      <c r="K44" s="2">
        <v>-0.54300000000000004</v>
      </c>
      <c r="L44" s="2">
        <v>0.92800000000000005</v>
      </c>
      <c r="M44" s="2">
        <v>-11.57</v>
      </c>
      <c r="N44" s="2">
        <v>95.5</v>
      </c>
      <c r="O44" s="2">
        <v>-6.3780000000000001</v>
      </c>
      <c r="P44" s="2">
        <v>-0.27900000000000003</v>
      </c>
      <c r="Q44" s="2">
        <v>-0.223</v>
      </c>
      <c r="R44" s="2">
        <v>1.1060000000000001</v>
      </c>
      <c r="S44" s="2">
        <v>-16.78</v>
      </c>
      <c r="T44" s="2">
        <v>84.4</v>
      </c>
      <c r="U44" s="2">
        <v>-7.72</v>
      </c>
      <c r="V44" s="2">
        <v>-0.74299999999999999</v>
      </c>
      <c r="W44" s="2">
        <v>-0.67900000000000005</v>
      </c>
      <c r="X44" s="2">
        <v>0.78</v>
      </c>
      <c r="Y44" s="2">
        <v>1.7170000000000001</v>
      </c>
      <c r="Z44" s="2">
        <v>0</v>
      </c>
      <c r="AA44" s="2">
        <v>1.506</v>
      </c>
      <c r="AB44" s="2">
        <v>4.7050000000000001</v>
      </c>
      <c r="AC44" s="2">
        <v>2.0750000000000002</v>
      </c>
      <c r="AD44" s="2">
        <v>6.6870000000000003</v>
      </c>
      <c r="AE44" s="2">
        <v>-15.07</v>
      </c>
      <c r="AF44" s="2">
        <v>-12.03</v>
      </c>
      <c r="AG44" s="2">
        <v>-19.02</v>
      </c>
      <c r="AH44" s="2">
        <v>-12.03</v>
      </c>
      <c r="AI44" s="2">
        <v>-19.02</v>
      </c>
      <c r="AJ44" s="2" t="s">
        <v>113</v>
      </c>
      <c r="AK44" s="2" t="s">
        <v>113</v>
      </c>
      <c r="AL44" s="2">
        <v>-13.72</v>
      </c>
      <c r="AM44" s="2">
        <v>-11.1</v>
      </c>
      <c r="AN44" s="2">
        <v>-16.940000000000001</v>
      </c>
      <c r="AO44" s="2"/>
      <c r="AP44" s="1">
        <f t="shared" si="0"/>
        <v>0.7330000000000001</v>
      </c>
      <c r="AQ44" s="22">
        <f t="shared" si="33"/>
        <v>-2.7</v>
      </c>
      <c r="AR44" s="5">
        <v>9.19</v>
      </c>
      <c r="AS44" s="5">
        <v>5.0599999999999996</v>
      </c>
      <c r="AT44" s="5">
        <v>4.7</v>
      </c>
      <c r="AU44" s="7">
        <f t="shared" si="26"/>
        <v>0.92900000000000005</v>
      </c>
      <c r="AV44" s="16"/>
      <c r="AW44" s="29">
        <v>5.94</v>
      </c>
      <c r="AX44" s="29">
        <v>739</v>
      </c>
      <c r="AY44" s="1">
        <f t="shared" si="34"/>
        <v>92.1</v>
      </c>
      <c r="AZ44" s="1">
        <f t="shared" si="35"/>
        <v>86</v>
      </c>
      <c r="BA44" s="1">
        <f t="shared" si="36"/>
        <v>81.400000000000006</v>
      </c>
      <c r="BB44" s="8">
        <f t="shared" si="37"/>
        <v>0.20499999999999999</v>
      </c>
      <c r="BC44" s="8">
        <f t="shared" si="38"/>
        <v>4.7E-2</v>
      </c>
      <c r="BE44" s="5">
        <f t="shared" si="7"/>
        <v>5.0599999999999996</v>
      </c>
      <c r="BF44" s="5">
        <f t="shared" si="8"/>
        <v>4.7</v>
      </c>
      <c r="BG44" s="1">
        <f t="shared" si="39"/>
        <v>-14</v>
      </c>
      <c r="BH44" s="1">
        <f t="shared" si="40"/>
        <v>-11.6</v>
      </c>
      <c r="BI44" s="1">
        <f t="shared" si="41"/>
        <v>-16.8</v>
      </c>
      <c r="BJ44" s="1">
        <f t="shared" si="12"/>
        <v>86</v>
      </c>
      <c r="BK44" s="1">
        <f t="shared" si="13"/>
        <v>81.400000000000006</v>
      </c>
      <c r="BL44" s="1">
        <f t="shared" si="27"/>
        <v>2.1</v>
      </c>
      <c r="BM44" s="1">
        <f t="shared" si="28"/>
        <v>6.7</v>
      </c>
      <c r="BN44" s="21">
        <f t="shared" si="16"/>
        <v>5.94</v>
      </c>
      <c r="BO44" s="7">
        <f t="shared" si="17"/>
        <v>0.7330000000000001</v>
      </c>
      <c r="BP44" s="21">
        <f t="shared" si="42"/>
        <v>-2.7</v>
      </c>
      <c r="BQ44" s="1">
        <f t="shared" si="19"/>
        <v>-15.1</v>
      </c>
      <c r="BR44" s="1">
        <f t="shared" si="20"/>
        <v>-12</v>
      </c>
      <c r="BS44" s="1">
        <f t="shared" si="21"/>
        <v>-19</v>
      </c>
      <c r="BT44" s="1">
        <f t="shared" si="43"/>
        <v>-0.5</v>
      </c>
      <c r="BU44" s="1" t="s">
        <v>113</v>
      </c>
      <c r="BV44" s="1">
        <f t="shared" si="44"/>
        <v>0.9</v>
      </c>
      <c r="BW44" s="1" t="str">
        <f t="shared" si="29"/>
        <v>NAN</v>
      </c>
      <c r="BX44" s="1">
        <f t="shared" si="30"/>
        <v>0.20499999999999999</v>
      </c>
      <c r="BY44" s="1">
        <f t="shared" si="31"/>
        <v>4.7E-2</v>
      </c>
      <c r="CA44" s="1">
        <f t="shared" si="24"/>
        <v>-0.40000000000000036</v>
      </c>
      <c r="CB44" s="1">
        <f t="shared" si="25"/>
        <v>-2.1999999999999993</v>
      </c>
    </row>
    <row r="45" spans="1:80" x14ac:dyDescent="0.2">
      <c r="A45" s="9">
        <f t="shared" si="32"/>
        <v>43505</v>
      </c>
      <c r="B45" s="2">
        <v>40</v>
      </c>
      <c r="C45" s="2">
        <v>21</v>
      </c>
      <c r="D45" s="2">
        <v>13.06</v>
      </c>
      <c r="E45" s="2">
        <v>-9.7799999999999994</v>
      </c>
      <c r="F45" s="2">
        <v>-20.3</v>
      </c>
      <c r="G45" s="2">
        <v>-17.989999999999998</v>
      </c>
      <c r="H45" s="2">
        <v>84.3</v>
      </c>
      <c r="I45" s="2">
        <v>-5.8789999999999996</v>
      </c>
      <c r="J45" s="2">
        <v>-0.61699999999999999</v>
      </c>
      <c r="K45" s="2">
        <v>-0.56599999999999995</v>
      </c>
      <c r="L45" s="2">
        <v>0.88300000000000001</v>
      </c>
      <c r="M45" s="2">
        <v>-16.22</v>
      </c>
      <c r="N45" s="2">
        <v>88.5</v>
      </c>
      <c r="O45" s="2">
        <v>-5.0650000000000004</v>
      </c>
      <c r="P45" s="2">
        <v>2.1999999999999999E-2</v>
      </c>
      <c r="Q45" s="2">
        <v>6.0999999999999999E-2</v>
      </c>
      <c r="R45" s="2">
        <v>1.216</v>
      </c>
      <c r="S45" s="2">
        <v>-19.89</v>
      </c>
      <c r="T45" s="2">
        <v>79</v>
      </c>
      <c r="U45" s="2">
        <v>-6.415</v>
      </c>
      <c r="V45" s="2">
        <v>-0.83199999999999996</v>
      </c>
      <c r="W45" s="2">
        <v>-0.77900000000000003</v>
      </c>
      <c r="X45" s="2">
        <v>0.627</v>
      </c>
      <c r="Y45" s="2">
        <v>1.752</v>
      </c>
      <c r="Z45" s="2">
        <v>0</v>
      </c>
      <c r="AA45" s="2">
        <v>6.6840000000000002</v>
      </c>
      <c r="AB45" s="2">
        <v>6.1479999999999997</v>
      </c>
      <c r="AC45" s="2">
        <v>3.8969999999999998</v>
      </c>
      <c r="AD45" s="2">
        <v>9.11</v>
      </c>
      <c r="AE45" s="2">
        <v>-20.079999999999998</v>
      </c>
      <c r="AF45" s="2">
        <v>-15.63</v>
      </c>
      <c r="AG45" s="2">
        <v>-27.63</v>
      </c>
      <c r="AH45" s="2">
        <v>-15.63</v>
      </c>
      <c r="AI45" s="2">
        <v>-27.63</v>
      </c>
      <c r="AJ45" s="2" t="s">
        <v>113</v>
      </c>
      <c r="AK45" s="2" t="s">
        <v>113</v>
      </c>
      <c r="AL45" s="2">
        <v>-17.88</v>
      </c>
      <c r="AM45" s="2">
        <v>-14.98</v>
      </c>
      <c r="AN45" s="2">
        <v>-20.38</v>
      </c>
      <c r="AO45" s="2"/>
      <c r="AP45" s="1">
        <f t="shared" si="0"/>
        <v>0.69800000000000018</v>
      </c>
      <c r="AQ45" s="22">
        <f t="shared" si="33"/>
        <v>-2.4</v>
      </c>
      <c r="AR45" s="5">
        <v>9.3699999999999992</v>
      </c>
      <c r="AS45" s="5">
        <v>7.02</v>
      </c>
      <c r="AT45" s="5">
        <v>5.96</v>
      </c>
      <c r="AU45" s="7">
        <f t="shared" si="26"/>
        <v>0.84899999999999998</v>
      </c>
      <c r="AV45" s="16"/>
      <c r="AW45" s="29">
        <v>0</v>
      </c>
      <c r="AX45" s="29">
        <v>694</v>
      </c>
      <c r="AY45" s="1">
        <f t="shared" si="34"/>
        <v>85.3</v>
      </c>
      <c r="AZ45" s="1">
        <f t="shared" si="35"/>
        <v>81.3</v>
      </c>
      <c r="BA45" s="1">
        <f t="shared" si="36"/>
        <v>76.099999999999994</v>
      </c>
      <c r="BB45" s="8">
        <f t="shared" si="37"/>
        <v>0.13100000000000001</v>
      </c>
      <c r="BC45" s="8">
        <f t="shared" si="38"/>
        <v>4.1000000000000002E-2</v>
      </c>
      <c r="BE45" s="5">
        <f t="shared" si="7"/>
        <v>7.02</v>
      </c>
      <c r="BF45" s="5">
        <f t="shared" si="8"/>
        <v>5.96</v>
      </c>
      <c r="BG45" s="1">
        <f t="shared" si="39"/>
        <v>-18</v>
      </c>
      <c r="BH45" s="1">
        <f t="shared" si="40"/>
        <v>-16.2</v>
      </c>
      <c r="BI45" s="1">
        <f t="shared" si="41"/>
        <v>-19.899999999999999</v>
      </c>
      <c r="BJ45" s="1">
        <f t="shared" si="12"/>
        <v>81.3</v>
      </c>
      <c r="BK45" s="1">
        <f t="shared" si="13"/>
        <v>76.099999999999994</v>
      </c>
      <c r="BL45" s="1">
        <f t="shared" si="27"/>
        <v>3.9</v>
      </c>
      <c r="BM45" s="1">
        <f t="shared" si="28"/>
        <v>9.1</v>
      </c>
      <c r="BN45" s="21">
        <f t="shared" si="16"/>
        <v>0</v>
      </c>
      <c r="BO45" s="7">
        <f t="shared" si="17"/>
        <v>0.69800000000000018</v>
      </c>
      <c r="BP45" s="21">
        <f t="shared" si="42"/>
        <v>-2.4</v>
      </c>
      <c r="BQ45" s="1">
        <f t="shared" si="19"/>
        <v>-20.100000000000001</v>
      </c>
      <c r="BR45" s="1">
        <f t="shared" si="20"/>
        <v>-15.6</v>
      </c>
      <c r="BS45" s="1">
        <f t="shared" si="21"/>
        <v>-27.6</v>
      </c>
      <c r="BT45" s="1">
        <f t="shared" si="43"/>
        <v>-0.6</v>
      </c>
      <c r="BU45" s="1" t="s">
        <v>113</v>
      </c>
      <c r="BV45" s="1">
        <f t="shared" si="44"/>
        <v>0.9</v>
      </c>
      <c r="BW45" s="1" t="str">
        <f t="shared" si="29"/>
        <v>NAN</v>
      </c>
      <c r="BX45" s="1">
        <f t="shared" si="30"/>
        <v>0.13100000000000001</v>
      </c>
      <c r="BY45" s="1">
        <f t="shared" si="31"/>
        <v>4.1000000000000002E-2</v>
      </c>
      <c r="CA45" s="1">
        <f t="shared" si="24"/>
        <v>0.59999999999999964</v>
      </c>
      <c r="CB45" s="1">
        <f t="shared" si="25"/>
        <v>-7.7000000000000028</v>
      </c>
    </row>
    <row r="46" spans="1:80" x14ac:dyDescent="0.2">
      <c r="A46" s="9">
        <f t="shared" si="32"/>
        <v>43506</v>
      </c>
      <c r="B46" s="2">
        <v>41</v>
      </c>
      <c r="C46" s="2">
        <v>21</v>
      </c>
      <c r="D46" s="2">
        <v>13.06</v>
      </c>
      <c r="E46" s="2">
        <v>1.8520000000000001</v>
      </c>
      <c r="F46" s="2">
        <v>-29.79</v>
      </c>
      <c r="G46" s="2">
        <v>-19.149999999999999</v>
      </c>
      <c r="H46" s="2">
        <v>78.5</v>
      </c>
      <c r="I46" s="2">
        <v>-5.968</v>
      </c>
      <c r="J46" s="2">
        <v>-0.55300000000000005</v>
      </c>
      <c r="K46" s="2">
        <v>-0.51100000000000001</v>
      </c>
      <c r="L46" s="2">
        <v>0.85</v>
      </c>
      <c r="M46" s="2">
        <v>-8.99</v>
      </c>
      <c r="N46" s="2">
        <v>97.6</v>
      </c>
      <c r="O46" s="2">
        <v>-4.3819999999999997</v>
      </c>
      <c r="P46" s="2">
        <v>0.95199999999999996</v>
      </c>
      <c r="Q46" s="2">
        <v>0.96799999999999997</v>
      </c>
      <c r="R46" s="2">
        <v>1.726</v>
      </c>
      <c r="S46" s="2">
        <v>-28.93</v>
      </c>
      <c r="T46" s="2">
        <v>47.04</v>
      </c>
      <c r="U46" s="2">
        <v>-6.5860000000000003</v>
      </c>
      <c r="V46" s="2">
        <v>-1.08</v>
      </c>
      <c r="W46" s="2">
        <v>-1.0229999999999999</v>
      </c>
      <c r="X46" s="2">
        <v>0.36699999999999999</v>
      </c>
      <c r="Y46" s="2">
        <v>1.7450000000000001</v>
      </c>
      <c r="Z46" s="2">
        <v>0</v>
      </c>
      <c r="AA46" s="2">
        <v>7.26</v>
      </c>
      <c r="AB46" s="2">
        <v>6.9329999999999998</v>
      </c>
      <c r="AC46" s="2">
        <v>0.89900000000000002</v>
      </c>
      <c r="AD46" s="2">
        <v>5.5140000000000002</v>
      </c>
      <c r="AE46" s="2">
        <v>-24.4</v>
      </c>
      <c r="AF46" s="2">
        <v>-14.1</v>
      </c>
      <c r="AG46" s="2">
        <v>-37.340000000000003</v>
      </c>
      <c r="AH46" s="2">
        <v>-14.1</v>
      </c>
      <c r="AI46" s="2">
        <v>-37.340000000000003</v>
      </c>
      <c r="AJ46" s="2" t="s">
        <v>113</v>
      </c>
      <c r="AK46" s="2" t="s">
        <v>113</v>
      </c>
      <c r="AL46" s="2">
        <v>-19.2</v>
      </c>
      <c r="AM46" s="2">
        <v>-7.23</v>
      </c>
      <c r="AN46" s="2">
        <v>-29.9</v>
      </c>
      <c r="AO46" s="2"/>
      <c r="AP46" s="1">
        <f t="shared" si="0"/>
        <v>0.70500000000000007</v>
      </c>
      <c r="AQ46" s="22">
        <f t="shared" si="33"/>
        <v>-2.2999999999999998</v>
      </c>
      <c r="AR46" s="5">
        <v>9.5500000000000007</v>
      </c>
      <c r="AS46" s="5">
        <v>7.66</v>
      </c>
      <c r="AT46" s="5">
        <v>6.93</v>
      </c>
      <c r="AU46" s="7">
        <f t="shared" si="26"/>
        <v>0.90500000000000003</v>
      </c>
      <c r="AV46" s="16"/>
      <c r="AW46" s="29">
        <v>0.55000000000000004</v>
      </c>
      <c r="AX46" s="29">
        <v>701</v>
      </c>
      <c r="AY46" s="1">
        <f t="shared" si="34"/>
        <v>94.2</v>
      </c>
      <c r="AZ46" s="1">
        <f t="shared" si="35"/>
        <v>75.599999999999994</v>
      </c>
      <c r="BA46" s="1">
        <f t="shared" si="36"/>
        <v>45.1</v>
      </c>
      <c r="BB46" s="8">
        <f t="shared" si="37"/>
        <v>0.13900000000000001</v>
      </c>
      <c r="BC46" s="8">
        <f t="shared" si="38"/>
        <v>0.16900000000000001</v>
      </c>
      <c r="BE46" s="5">
        <f t="shared" si="7"/>
        <v>7.66</v>
      </c>
      <c r="BF46" s="5">
        <f t="shared" si="8"/>
        <v>6.93</v>
      </c>
      <c r="BG46" s="1">
        <f t="shared" si="39"/>
        <v>-19.2</v>
      </c>
      <c r="BH46" s="1">
        <f t="shared" si="40"/>
        <v>-9</v>
      </c>
      <c r="BI46" s="1">
        <f t="shared" si="41"/>
        <v>-28.9</v>
      </c>
      <c r="BJ46" s="1">
        <f t="shared" si="12"/>
        <v>75.599999999999994</v>
      </c>
      <c r="BK46" s="1">
        <f t="shared" si="13"/>
        <v>45.1</v>
      </c>
      <c r="BL46" s="1">
        <f t="shared" si="27"/>
        <v>0.9</v>
      </c>
      <c r="BM46" s="1">
        <f t="shared" si="28"/>
        <v>5.5</v>
      </c>
      <c r="BN46" s="21">
        <f t="shared" si="16"/>
        <v>0.55000000000000004</v>
      </c>
      <c r="BO46" s="7">
        <f t="shared" si="17"/>
        <v>0.70500000000000007</v>
      </c>
      <c r="BP46" s="21">
        <f t="shared" si="42"/>
        <v>-2.2999999999999998</v>
      </c>
      <c r="BQ46" s="1">
        <f t="shared" si="19"/>
        <v>-24.4</v>
      </c>
      <c r="BR46" s="1">
        <f t="shared" si="20"/>
        <v>-14.1</v>
      </c>
      <c r="BS46" s="1">
        <f t="shared" si="21"/>
        <v>-37.299999999999997</v>
      </c>
      <c r="BT46" s="1">
        <f t="shared" si="43"/>
        <v>-0.5</v>
      </c>
      <c r="BU46" s="1" t="s">
        <v>113</v>
      </c>
      <c r="BV46" s="1">
        <f t="shared" si="44"/>
        <v>0.9</v>
      </c>
      <c r="BW46" s="1" t="str">
        <f t="shared" si="29"/>
        <v>NAN</v>
      </c>
      <c r="BX46" s="1">
        <f t="shared" si="30"/>
        <v>0.13900000000000001</v>
      </c>
      <c r="BY46" s="1">
        <f t="shared" si="31"/>
        <v>0.16900000000000001</v>
      </c>
      <c r="CA46" s="1">
        <f t="shared" si="24"/>
        <v>-5.0999999999999996</v>
      </c>
      <c r="CB46" s="1">
        <f t="shared" si="25"/>
        <v>-8.3999999999999986</v>
      </c>
    </row>
    <row r="47" spans="1:80" x14ac:dyDescent="0.2">
      <c r="A47" s="9">
        <f t="shared" si="32"/>
        <v>43507</v>
      </c>
      <c r="B47" s="2">
        <v>42</v>
      </c>
      <c r="C47" s="2">
        <v>21</v>
      </c>
      <c r="D47" s="2">
        <v>13.1</v>
      </c>
      <c r="E47" s="2">
        <v>-4.0119999999999996</v>
      </c>
      <c r="F47" s="2">
        <v>-30.31</v>
      </c>
      <c r="G47" s="2">
        <v>-17.440000000000001</v>
      </c>
      <c r="H47" s="2">
        <v>81.599999999999994</v>
      </c>
      <c r="I47" s="2">
        <v>-6.5369999999999999</v>
      </c>
      <c r="J47" s="2">
        <v>-0.60899999999999999</v>
      </c>
      <c r="K47" s="2">
        <v>-0.56399999999999995</v>
      </c>
      <c r="L47" s="2">
        <v>0.84899999999999998</v>
      </c>
      <c r="M47" s="2">
        <v>-11.14</v>
      </c>
      <c r="N47" s="2">
        <v>90.2</v>
      </c>
      <c r="O47" s="2">
        <v>-4.8449999999999998</v>
      </c>
      <c r="P47" s="2">
        <v>1.03</v>
      </c>
      <c r="Q47" s="2">
        <v>1.0529999999999999</v>
      </c>
      <c r="R47" s="2">
        <v>1.77</v>
      </c>
      <c r="S47" s="2">
        <v>-29.94</v>
      </c>
      <c r="T47" s="2">
        <v>66.489999999999995</v>
      </c>
      <c r="U47" s="2">
        <v>-6.9130000000000003</v>
      </c>
      <c r="V47" s="2">
        <v>-1.1359999999999999</v>
      </c>
      <c r="W47" s="2">
        <v>-1.07</v>
      </c>
      <c r="X47" s="2">
        <v>0.53300000000000003</v>
      </c>
      <c r="Y47" s="2">
        <v>1.7330000000000001</v>
      </c>
      <c r="Z47" s="2">
        <v>0</v>
      </c>
      <c r="AA47" s="2">
        <v>3.4980000000000002</v>
      </c>
      <c r="AB47" s="2">
        <v>6.4020000000000001</v>
      </c>
      <c r="AC47" s="2">
        <v>1.4610000000000001</v>
      </c>
      <c r="AD47" s="2">
        <v>7.65</v>
      </c>
      <c r="AE47" s="2">
        <v>-21.94</v>
      </c>
      <c r="AF47" s="2">
        <v>-12.53</v>
      </c>
      <c r="AG47" s="2">
        <v>-39.549999999999997</v>
      </c>
      <c r="AH47" s="2">
        <v>-12.53</v>
      </c>
      <c r="AI47" s="2">
        <v>-39.549999999999997</v>
      </c>
      <c r="AJ47" s="2" t="s">
        <v>113</v>
      </c>
      <c r="AK47" s="2" t="s">
        <v>113</v>
      </c>
      <c r="AL47" s="2">
        <v>-17.13</v>
      </c>
      <c r="AM47" s="2">
        <v>-7.19</v>
      </c>
      <c r="AN47" s="2">
        <v>-30.98</v>
      </c>
      <c r="AO47" s="2"/>
      <c r="AP47" s="1">
        <f t="shared" si="0"/>
        <v>0.71700000000000008</v>
      </c>
      <c r="AQ47" s="22">
        <f t="shared" si="33"/>
        <v>-2.6</v>
      </c>
      <c r="AR47" s="5">
        <v>9.74</v>
      </c>
      <c r="AS47" s="5">
        <v>6.88</v>
      </c>
      <c r="AT47" s="5">
        <v>6.4</v>
      </c>
      <c r="AU47" s="7">
        <f t="shared" si="26"/>
        <v>0.93</v>
      </c>
      <c r="AV47" s="16"/>
      <c r="AW47" s="29">
        <v>0</v>
      </c>
      <c r="AX47" s="29">
        <v>713</v>
      </c>
      <c r="AY47" s="1">
        <f t="shared" si="34"/>
        <v>87</v>
      </c>
      <c r="AZ47" s="1">
        <f t="shared" si="35"/>
        <v>78.7</v>
      </c>
      <c r="BA47" s="1">
        <f t="shared" si="36"/>
        <v>64</v>
      </c>
      <c r="BB47" s="8">
        <f t="shared" si="37"/>
        <v>0.16700000000000001</v>
      </c>
      <c r="BC47" s="8">
        <f t="shared" si="38"/>
        <v>9.4E-2</v>
      </c>
      <c r="BE47" s="5">
        <f t="shared" si="7"/>
        <v>6.88</v>
      </c>
      <c r="BF47" s="5">
        <f t="shared" si="8"/>
        <v>6.4</v>
      </c>
      <c r="BG47" s="1">
        <f t="shared" si="39"/>
        <v>-17.399999999999999</v>
      </c>
      <c r="BH47" s="1">
        <f t="shared" si="40"/>
        <v>-11.1</v>
      </c>
      <c r="BI47" s="1">
        <f t="shared" si="41"/>
        <v>-29.9</v>
      </c>
      <c r="BJ47" s="1">
        <f t="shared" si="12"/>
        <v>78.7</v>
      </c>
      <c r="BK47" s="1">
        <f t="shared" si="13"/>
        <v>64</v>
      </c>
      <c r="BL47" s="1">
        <f t="shared" si="27"/>
        <v>1.5</v>
      </c>
      <c r="BM47" s="1">
        <f t="shared" si="28"/>
        <v>7.7</v>
      </c>
      <c r="BN47" s="21">
        <f t="shared" si="16"/>
        <v>0</v>
      </c>
      <c r="BO47" s="7">
        <f t="shared" si="17"/>
        <v>0.71700000000000008</v>
      </c>
      <c r="BP47" s="21">
        <f t="shared" si="42"/>
        <v>-2.6</v>
      </c>
      <c r="BQ47" s="1">
        <f t="shared" si="19"/>
        <v>-21.9</v>
      </c>
      <c r="BR47" s="1">
        <f t="shared" si="20"/>
        <v>-12.5</v>
      </c>
      <c r="BS47" s="1">
        <f t="shared" si="21"/>
        <v>-39.6</v>
      </c>
      <c r="BT47" s="1">
        <f t="shared" si="43"/>
        <v>-0.6</v>
      </c>
      <c r="BU47" s="1" t="s">
        <v>113</v>
      </c>
      <c r="BV47" s="1">
        <f t="shared" si="44"/>
        <v>0.8</v>
      </c>
      <c r="BW47" s="1" t="str">
        <f t="shared" si="29"/>
        <v>NAN</v>
      </c>
      <c r="BX47" s="1">
        <f t="shared" si="30"/>
        <v>0.16700000000000001</v>
      </c>
      <c r="BY47" s="1">
        <f t="shared" si="31"/>
        <v>9.4E-2</v>
      </c>
      <c r="CA47" s="1">
        <f t="shared" si="24"/>
        <v>-1.4000000000000004</v>
      </c>
      <c r="CB47" s="1">
        <f t="shared" si="25"/>
        <v>-9.7000000000000028</v>
      </c>
    </row>
    <row r="48" spans="1:80" x14ac:dyDescent="0.2">
      <c r="A48" s="9">
        <f t="shared" si="32"/>
        <v>43508</v>
      </c>
      <c r="B48" s="2">
        <v>43</v>
      </c>
      <c r="C48" s="2">
        <v>21</v>
      </c>
      <c r="D48" s="2">
        <v>13.05</v>
      </c>
      <c r="E48" s="2">
        <v>-6.33</v>
      </c>
      <c r="F48" s="2">
        <v>-20.149999999999999</v>
      </c>
      <c r="G48" s="2">
        <v>-12.6</v>
      </c>
      <c r="H48" s="2">
        <v>92.7</v>
      </c>
      <c r="I48" s="2">
        <v>-6.4960000000000004</v>
      </c>
      <c r="J48" s="2">
        <v>-0.65300000000000002</v>
      </c>
      <c r="K48" s="2">
        <v>-0.61</v>
      </c>
      <c r="L48" s="2">
        <v>0.86599999999999999</v>
      </c>
      <c r="M48" s="2">
        <v>-9.24</v>
      </c>
      <c r="N48" s="2">
        <v>95.7</v>
      </c>
      <c r="O48" s="2">
        <v>-6.2110000000000003</v>
      </c>
      <c r="P48" s="2">
        <v>-0.44800000000000001</v>
      </c>
      <c r="Q48" s="2">
        <v>-0.41799999999999998</v>
      </c>
      <c r="R48" s="2">
        <v>1.006</v>
      </c>
      <c r="S48" s="2">
        <v>-19.97</v>
      </c>
      <c r="T48" s="2">
        <v>88.1</v>
      </c>
      <c r="U48" s="2">
        <v>-6.8</v>
      </c>
      <c r="V48" s="2">
        <v>-0.875</v>
      </c>
      <c r="W48" s="2">
        <v>-0.83</v>
      </c>
      <c r="X48" s="2">
        <v>0.73399999999999999</v>
      </c>
      <c r="Y48" s="2">
        <v>1.6659999999999999</v>
      </c>
      <c r="Z48" s="2">
        <v>0</v>
      </c>
      <c r="AA48" s="2">
        <v>2.4489999999999998</v>
      </c>
      <c r="AB48" s="2">
        <v>3.0819999999999999</v>
      </c>
      <c r="AC48" s="2">
        <v>1.4179999999999999</v>
      </c>
      <c r="AD48" s="2">
        <v>4.9269999999999996</v>
      </c>
      <c r="AE48" s="2">
        <v>-15.11</v>
      </c>
      <c r="AF48" s="2">
        <v>-9.51</v>
      </c>
      <c r="AG48" s="2">
        <v>-30.98</v>
      </c>
      <c r="AH48" s="2">
        <v>-9.51</v>
      </c>
      <c r="AI48" s="2">
        <v>-30.98</v>
      </c>
      <c r="AJ48" s="2" t="s">
        <v>113</v>
      </c>
      <c r="AK48" s="2" t="s">
        <v>113</v>
      </c>
      <c r="AL48" s="2">
        <v>-12.5</v>
      </c>
      <c r="AM48" s="2">
        <v>-7.34</v>
      </c>
      <c r="AN48" s="2">
        <v>-21.57</v>
      </c>
      <c r="AO48" s="2"/>
      <c r="AP48" s="1">
        <f t="shared" si="0"/>
        <v>0.78400000000000025</v>
      </c>
      <c r="AQ48" s="22">
        <f t="shared" si="33"/>
        <v>-2.6</v>
      </c>
      <c r="AR48" s="5">
        <v>9.92</v>
      </c>
      <c r="AS48" s="5">
        <v>3.31</v>
      </c>
      <c r="AT48" s="5">
        <v>3.08</v>
      </c>
      <c r="AU48" s="7">
        <f t="shared" si="26"/>
        <v>0.93100000000000005</v>
      </c>
      <c r="AV48" s="16"/>
      <c r="AW48" s="29">
        <v>7.37</v>
      </c>
      <c r="AX48" s="29">
        <v>777</v>
      </c>
      <c r="AY48" s="1">
        <f t="shared" si="34"/>
        <v>92.3</v>
      </c>
      <c r="AZ48" s="1">
        <f t="shared" si="35"/>
        <v>89.4</v>
      </c>
      <c r="BA48" s="1">
        <f t="shared" si="36"/>
        <v>85</v>
      </c>
      <c r="BB48" s="8">
        <f t="shared" si="37"/>
        <v>0.25800000000000001</v>
      </c>
      <c r="BC48" s="8">
        <f t="shared" si="38"/>
        <v>4.5999999999999999E-2</v>
      </c>
      <c r="BE48" s="5">
        <f t="shared" si="7"/>
        <v>3.31</v>
      </c>
      <c r="BF48" s="5">
        <f t="shared" si="8"/>
        <v>3.08</v>
      </c>
      <c r="BG48" s="1">
        <f t="shared" si="39"/>
        <v>-12.6</v>
      </c>
      <c r="BH48" s="1">
        <f t="shared" si="40"/>
        <v>-9.1999999999999993</v>
      </c>
      <c r="BI48" s="1">
        <f t="shared" si="41"/>
        <v>-20</v>
      </c>
      <c r="BJ48" s="1">
        <f t="shared" si="12"/>
        <v>89.4</v>
      </c>
      <c r="BK48" s="1">
        <f t="shared" si="13"/>
        <v>85</v>
      </c>
      <c r="BL48" s="1">
        <f t="shared" si="27"/>
        <v>1.4</v>
      </c>
      <c r="BM48" s="1">
        <f t="shared" si="28"/>
        <v>4.9000000000000004</v>
      </c>
      <c r="BN48" s="21">
        <f t="shared" si="16"/>
        <v>7.37</v>
      </c>
      <c r="BO48" s="7">
        <f t="shared" si="17"/>
        <v>0.78400000000000025</v>
      </c>
      <c r="BP48" s="21">
        <f t="shared" si="42"/>
        <v>-2.6</v>
      </c>
      <c r="BQ48" s="1">
        <f t="shared" si="19"/>
        <v>-15.1</v>
      </c>
      <c r="BR48" s="1">
        <f t="shared" si="20"/>
        <v>-9.5</v>
      </c>
      <c r="BS48" s="1">
        <f t="shared" si="21"/>
        <v>-31</v>
      </c>
      <c r="BT48" s="1">
        <f t="shared" si="43"/>
        <v>-0.6</v>
      </c>
      <c r="BU48" s="1" t="s">
        <v>113</v>
      </c>
      <c r="BV48" s="1">
        <f t="shared" si="44"/>
        <v>0.9</v>
      </c>
      <c r="BW48" s="1" t="str">
        <f t="shared" si="29"/>
        <v>NAN</v>
      </c>
      <c r="BX48" s="1">
        <f t="shared" si="30"/>
        <v>0.25800000000000001</v>
      </c>
      <c r="BY48" s="1">
        <f t="shared" si="31"/>
        <v>4.5999999999999999E-2</v>
      </c>
      <c r="CA48" s="1">
        <f t="shared" si="24"/>
        <v>-0.30000000000000071</v>
      </c>
      <c r="CB48" s="1">
        <f t="shared" si="25"/>
        <v>-11</v>
      </c>
    </row>
    <row r="49" spans="1:80" x14ac:dyDescent="0.2">
      <c r="A49" s="9">
        <f t="shared" si="32"/>
        <v>43509</v>
      </c>
      <c r="B49" s="2">
        <v>44</v>
      </c>
      <c r="C49" s="2">
        <v>21</v>
      </c>
      <c r="D49" s="2">
        <v>13.07</v>
      </c>
      <c r="E49" s="2">
        <v>8.41</v>
      </c>
      <c r="F49" s="2">
        <v>-21.28</v>
      </c>
      <c r="G49" s="2">
        <v>-13.36</v>
      </c>
      <c r="H49" s="2">
        <v>89.1</v>
      </c>
      <c r="I49" s="2">
        <v>-5.694</v>
      </c>
      <c r="J49" s="2">
        <v>-0.55200000000000005</v>
      </c>
      <c r="K49" s="2">
        <v>-0.51900000000000002</v>
      </c>
      <c r="L49" s="2">
        <v>0.85499999999999998</v>
      </c>
      <c r="M49" s="2">
        <v>-3.415</v>
      </c>
      <c r="N49" s="2">
        <v>101</v>
      </c>
      <c r="O49" s="2">
        <v>-4.327</v>
      </c>
      <c r="P49" s="2">
        <v>0.92400000000000004</v>
      </c>
      <c r="Q49" s="2">
        <v>0.92400000000000004</v>
      </c>
      <c r="R49" s="2">
        <v>1.589</v>
      </c>
      <c r="S49" s="2">
        <v>-21.32</v>
      </c>
      <c r="T49" s="2">
        <v>64.88</v>
      </c>
      <c r="U49" s="2">
        <v>-6.3390000000000004</v>
      </c>
      <c r="V49" s="2">
        <v>-1.2769999999999999</v>
      </c>
      <c r="W49" s="2">
        <v>-1.2390000000000001</v>
      </c>
      <c r="X49" s="2">
        <v>0.224</v>
      </c>
      <c r="Y49" s="2">
        <v>1.661</v>
      </c>
      <c r="Z49" s="2">
        <v>0</v>
      </c>
      <c r="AA49" s="2">
        <v>3.524</v>
      </c>
      <c r="AB49" s="2">
        <v>8.39</v>
      </c>
      <c r="AC49" s="2">
        <v>0.62</v>
      </c>
      <c r="AD49" s="2">
        <v>4.0469999999999997</v>
      </c>
      <c r="AE49" s="2">
        <v>-20.81</v>
      </c>
      <c r="AF49" s="2">
        <v>-8.2100000000000009</v>
      </c>
      <c r="AG49" s="2">
        <v>-33.9</v>
      </c>
      <c r="AH49" s="2">
        <v>-8.2100000000000009</v>
      </c>
      <c r="AI49" s="2">
        <v>-33.9</v>
      </c>
      <c r="AJ49" s="2" t="s">
        <v>113</v>
      </c>
      <c r="AK49" s="2" t="s">
        <v>113</v>
      </c>
      <c r="AL49" s="2">
        <v>-13.23</v>
      </c>
      <c r="AM49" s="2">
        <v>-1.2E-2</v>
      </c>
      <c r="AN49" s="2">
        <v>-22.93</v>
      </c>
      <c r="AO49" s="2"/>
      <c r="AP49" s="1">
        <f t="shared" si="0"/>
        <v>0.78900000000000015</v>
      </c>
      <c r="AQ49" s="22">
        <f t="shared" si="33"/>
        <v>-2.2999999999999998</v>
      </c>
      <c r="AR49" s="5">
        <v>10.119999999999999</v>
      </c>
      <c r="AS49" s="5">
        <v>8.84</v>
      </c>
      <c r="AT49" s="5">
        <v>8.2200000000000006</v>
      </c>
      <c r="AU49" s="7">
        <f t="shared" si="26"/>
        <v>0.93</v>
      </c>
      <c r="AV49" s="16"/>
      <c r="AW49" s="29">
        <v>2.2000000000000002</v>
      </c>
      <c r="AX49" s="29">
        <v>776</v>
      </c>
      <c r="AY49" s="1">
        <f t="shared" si="34"/>
        <v>97.5</v>
      </c>
      <c r="AZ49" s="1">
        <f t="shared" si="35"/>
        <v>85.9</v>
      </c>
      <c r="BA49" s="1">
        <f t="shared" si="36"/>
        <v>62.4</v>
      </c>
      <c r="BB49" s="8">
        <f t="shared" si="37"/>
        <v>0.29599999999999999</v>
      </c>
      <c r="BC49" s="8">
        <f t="shared" si="38"/>
        <v>0.17799999999999999</v>
      </c>
      <c r="BE49" s="5">
        <f t="shared" si="7"/>
        <v>8.84</v>
      </c>
      <c r="BF49" s="5">
        <f t="shared" si="8"/>
        <v>8.2200000000000006</v>
      </c>
      <c r="BG49" s="1">
        <f t="shared" si="39"/>
        <v>-13.4</v>
      </c>
      <c r="BH49" s="1">
        <f t="shared" si="40"/>
        <v>-3.4</v>
      </c>
      <c r="BI49" s="1">
        <f t="shared" si="41"/>
        <v>-21.3</v>
      </c>
      <c r="BJ49" s="1">
        <f t="shared" si="12"/>
        <v>85.9</v>
      </c>
      <c r="BK49" s="1">
        <f t="shared" si="13"/>
        <v>62.4</v>
      </c>
      <c r="BL49" s="1">
        <f t="shared" si="27"/>
        <v>0.6</v>
      </c>
      <c r="BM49" s="1">
        <f t="shared" si="28"/>
        <v>4</v>
      </c>
      <c r="BN49" s="21">
        <f t="shared" si="16"/>
        <v>2.2000000000000002</v>
      </c>
      <c r="BO49" s="7">
        <f t="shared" si="17"/>
        <v>0.78900000000000015</v>
      </c>
      <c r="BP49" s="21">
        <f t="shared" si="42"/>
        <v>-2.2999999999999998</v>
      </c>
      <c r="BQ49" s="1">
        <f t="shared" si="19"/>
        <v>-20.8</v>
      </c>
      <c r="BR49" s="1">
        <f t="shared" si="20"/>
        <v>-8.1999999999999993</v>
      </c>
      <c r="BS49" s="1">
        <f t="shared" si="21"/>
        <v>-33.9</v>
      </c>
      <c r="BT49" s="1">
        <f t="shared" si="43"/>
        <v>-0.5</v>
      </c>
      <c r="BU49" s="1" t="s">
        <v>113</v>
      </c>
      <c r="BV49" s="1">
        <f t="shared" si="44"/>
        <v>0.9</v>
      </c>
      <c r="BW49" s="1" t="str">
        <f t="shared" si="29"/>
        <v>NAN</v>
      </c>
      <c r="BX49" s="1">
        <f t="shared" si="30"/>
        <v>0.29599999999999999</v>
      </c>
      <c r="BY49" s="1">
        <f t="shared" si="31"/>
        <v>0.17799999999999999</v>
      </c>
      <c r="CA49" s="1">
        <f t="shared" si="24"/>
        <v>-4.7999999999999989</v>
      </c>
      <c r="CB49" s="1">
        <f t="shared" si="25"/>
        <v>-12.599999999999998</v>
      </c>
    </row>
    <row r="50" spans="1:80" x14ac:dyDescent="0.2">
      <c r="A50" s="9">
        <f t="shared" si="32"/>
        <v>43510</v>
      </c>
      <c r="B50" s="2">
        <v>45</v>
      </c>
      <c r="C50" s="2">
        <v>21</v>
      </c>
      <c r="D50" s="2">
        <v>13.18</v>
      </c>
      <c r="E50" s="2">
        <v>2.1629999999999998</v>
      </c>
      <c r="F50" s="2">
        <v>-16.91</v>
      </c>
      <c r="G50" s="2">
        <v>-7.71</v>
      </c>
      <c r="H50" s="2">
        <v>83.9</v>
      </c>
      <c r="I50" s="2">
        <v>-5.3410000000000002</v>
      </c>
      <c r="J50" s="2">
        <v>-0.47499999999999998</v>
      </c>
      <c r="K50" s="2">
        <v>-0.44600000000000001</v>
      </c>
      <c r="L50" s="2">
        <v>0.88100000000000001</v>
      </c>
      <c r="M50" s="2">
        <v>-4.3010000000000002</v>
      </c>
      <c r="N50" s="2">
        <v>96</v>
      </c>
      <c r="O50" s="2">
        <v>-4.0220000000000002</v>
      </c>
      <c r="P50" s="2">
        <v>0.877</v>
      </c>
      <c r="Q50" s="2">
        <v>0.88800000000000001</v>
      </c>
      <c r="R50" s="2">
        <v>1.502</v>
      </c>
      <c r="S50" s="2">
        <v>-12.61</v>
      </c>
      <c r="T50" s="2">
        <v>55.41</v>
      </c>
      <c r="U50" s="2">
        <v>-5.5789999999999997</v>
      </c>
      <c r="V50" s="2">
        <v>-0.69599999999999995</v>
      </c>
      <c r="W50" s="2">
        <v>-0.66600000000000004</v>
      </c>
      <c r="X50" s="2">
        <v>0.68100000000000005</v>
      </c>
      <c r="Y50" s="2">
        <v>1.651</v>
      </c>
      <c r="Z50" s="2">
        <v>0</v>
      </c>
      <c r="AA50" s="2">
        <v>4.3440000000000003</v>
      </c>
      <c r="AB50" s="2">
        <v>5.0960000000000001</v>
      </c>
      <c r="AC50" s="2">
        <v>1.9470000000000001</v>
      </c>
      <c r="AD50" s="2">
        <v>5.7</v>
      </c>
      <c r="AE50" s="2">
        <v>-12.33</v>
      </c>
      <c r="AF50" s="2">
        <v>-5.1840000000000002</v>
      </c>
      <c r="AG50" s="2">
        <v>-25.61</v>
      </c>
      <c r="AH50" s="2">
        <v>-5.1840000000000002</v>
      </c>
      <c r="AI50" s="2">
        <v>-25.61</v>
      </c>
      <c r="AJ50" s="2" t="s">
        <v>113</v>
      </c>
      <c r="AK50" s="2" t="s">
        <v>113</v>
      </c>
      <c r="AL50" s="2">
        <v>-7.77</v>
      </c>
      <c r="AM50" s="2">
        <v>-2.581</v>
      </c>
      <c r="AN50" s="2">
        <v>-13.54</v>
      </c>
      <c r="AO50" s="2"/>
      <c r="AP50" s="1">
        <f t="shared" si="0"/>
        <v>0.79900000000000015</v>
      </c>
      <c r="AQ50" s="22">
        <f t="shared" si="33"/>
        <v>-2.1</v>
      </c>
      <c r="AR50" s="5">
        <v>10.31</v>
      </c>
      <c r="AS50" s="5">
        <v>5.56</v>
      </c>
      <c r="AT50" s="5">
        <v>5.09</v>
      </c>
      <c r="AU50" s="7">
        <f t="shared" si="26"/>
        <v>0.91500000000000004</v>
      </c>
      <c r="AV50" s="16"/>
      <c r="AW50" s="29">
        <v>2.2000000000000002</v>
      </c>
      <c r="AX50" s="29">
        <v>795</v>
      </c>
      <c r="AY50" s="1">
        <f t="shared" si="34"/>
        <v>92.6</v>
      </c>
      <c r="AZ50" s="1">
        <f t="shared" si="35"/>
        <v>80.900000000000006</v>
      </c>
      <c r="BA50" s="1">
        <f t="shared" si="36"/>
        <v>53.2</v>
      </c>
      <c r="BB50" s="8">
        <f t="shared" si="37"/>
        <v>0.23599999999999999</v>
      </c>
      <c r="BC50" s="8">
        <f t="shared" si="38"/>
        <v>0.20799999999999999</v>
      </c>
      <c r="BE50" s="5">
        <f t="shared" si="7"/>
        <v>5.56</v>
      </c>
      <c r="BF50" s="5">
        <f t="shared" si="8"/>
        <v>5.09</v>
      </c>
      <c r="BG50" s="1">
        <f t="shared" si="39"/>
        <v>-7.7</v>
      </c>
      <c r="BH50" s="1">
        <f t="shared" si="40"/>
        <v>-4.3</v>
      </c>
      <c r="BI50" s="1">
        <f t="shared" si="41"/>
        <v>-12.6</v>
      </c>
      <c r="BJ50" s="1">
        <f t="shared" si="12"/>
        <v>80.900000000000006</v>
      </c>
      <c r="BK50" s="1">
        <f t="shared" si="13"/>
        <v>53.2</v>
      </c>
      <c r="BL50" s="1">
        <f t="shared" si="27"/>
        <v>1.9</v>
      </c>
      <c r="BM50" s="1">
        <f t="shared" si="28"/>
        <v>5.7</v>
      </c>
      <c r="BN50" s="21">
        <f t="shared" si="16"/>
        <v>2.2000000000000002</v>
      </c>
      <c r="BO50" s="7">
        <f t="shared" si="17"/>
        <v>0.79900000000000015</v>
      </c>
      <c r="BP50" s="21">
        <f t="shared" si="42"/>
        <v>-2.1</v>
      </c>
      <c r="BQ50" s="1">
        <f t="shared" si="19"/>
        <v>-12.3</v>
      </c>
      <c r="BR50" s="1">
        <f t="shared" si="20"/>
        <v>-5.2</v>
      </c>
      <c r="BS50" s="1">
        <f t="shared" si="21"/>
        <v>-25.6</v>
      </c>
      <c r="BT50" s="1">
        <f t="shared" si="43"/>
        <v>-0.4</v>
      </c>
      <c r="BU50" s="1" t="s">
        <v>113</v>
      </c>
      <c r="BV50" s="1">
        <f t="shared" si="44"/>
        <v>0.9</v>
      </c>
      <c r="BW50" s="1" t="str">
        <f t="shared" si="29"/>
        <v>NAN</v>
      </c>
      <c r="BX50" s="1">
        <f t="shared" si="30"/>
        <v>0.23599999999999999</v>
      </c>
      <c r="BY50" s="1">
        <f t="shared" si="31"/>
        <v>0.20799999999999999</v>
      </c>
      <c r="CA50" s="1">
        <f t="shared" si="24"/>
        <v>-0.90000000000000036</v>
      </c>
      <c r="CB50" s="1">
        <f t="shared" si="25"/>
        <v>-13.000000000000002</v>
      </c>
    </row>
    <row r="51" spans="1:80" x14ac:dyDescent="0.2">
      <c r="A51" s="9">
        <f t="shared" si="32"/>
        <v>43511</v>
      </c>
      <c r="B51" s="2">
        <v>46</v>
      </c>
      <c r="C51" s="2">
        <v>21</v>
      </c>
      <c r="D51" s="2">
        <v>13.16</v>
      </c>
      <c r="E51" s="2">
        <v>3.6859999999999999</v>
      </c>
      <c r="F51" s="2">
        <v>-8.9</v>
      </c>
      <c r="G51" s="2">
        <v>-5.9809999999999999</v>
      </c>
      <c r="H51" s="2">
        <v>95.8</v>
      </c>
      <c r="I51" s="2">
        <v>-4.8570000000000002</v>
      </c>
      <c r="J51" s="2">
        <v>-0.52700000000000002</v>
      </c>
      <c r="K51" s="2">
        <v>-0.503</v>
      </c>
      <c r="L51" s="2">
        <v>0.874</v>
      </c>
      <c r="M51" s="2">
        <v>-1.841</v>
      </c>
      <c r="N51" s="2">
        <v>99</v>
      </c>
      <c r="O51" s="2">
        <v>-3.7450000000000001</v>
      </c>
      <c r="P51" s="2">
        <v>0.74399999999999999</v>
      </c>
      <c r="Q51" s="2">
        <v>0.75600000000000001</v>
      </c>
      <c r="R51" s="2">
        <v>1.522</v>
      </c>
      <c r="S51" s="2">
        <v>-10.53</v>
      </c>
      <c r="T51" s="2">
        <v>84.6</v>
      </c>
      <c r="U51" s="2">
        <v>-5.4119999999999999</v>
      </c>
      <c r="V51" s="2">
        <v>-0.85499999999999998</v>
      </c>
      <c r="W51" s="2">
        <v>-0.82799999999999996</v>
      </c>
      <c r="X51" s="2">
        <v>0.69099999999999995</v>
      </c>
      <c r="Y51" s="2">
        <v>1.629</v>
      </c>
      <c r="Z51" s="2">
        <v>0</v>
      </c>
      <c r="AA51" s="2">
        <v>3.75</v>
      </c>
      <c r="AB51" s="2">
        <v>5.3380000000000001</v>
      </c>
      <c r="AC51" s="2">
        <v>0.91600000000000004</v>
      </c>
      <c r="AD51" s="2">
        <v>3.6739999999999999</v>
      </c>
      <c r="AE51" s="2">
        <v>-8.43</v>
      </c>
      <c r="AF51" s="2">
        <v>-3.0569999999999999</v>
      </c>
      <c r="AG51" s="2">
        <v>-19.25</v>
      </c>
      <c r="AH51" s="2">
        <v>-3.0569999999999999</v>
      </c>
      <c r="AI51" s="2">
        <v>-19.25</v>
      </c>
      <c r="AJ51" s="2" t="s">
        <v>113</v>
      </c>
      <c r="AK51" s="2" t="s">
        <v>113</v>
      </c>
      <c r="AL51" s="2">
        <v>-5.3840000000000003</v>
      </c>
      <c r="AM51" s="2">
        <v>1.1990000000000001</v>
      </c>
      <c r="AN51" s="2">
        <v>-11.18</v>
      </c>
      <c r="AO51" s="2"/>
      <c r="AP51" s="1">
        <f t="shared" si="0"/>
        <v>0.82100000000000017</v>
      </c>
      <c r="AQ51" s="22">
        <f t="shared" si="33"/>
        <v>-2</v>
      </c>
      <c r="AR51" s="5">
        <v>10.51</v>
      </c>
      <c r="AS51" s="5">
        <v>5.74</v>
      </c>
      <c r="AT51" s="5">
        <v>5.33</v>
      </c>
      <c r="AU51" s="7">
        <f t="shared" si="26"/>
        <v>0.92900000000000005</v>
      </c>
      <c r="AV51" s="16"/>
      <c r="AW51" s="29">
        <v>2.86</v>
      </c>
      <c r="AX51" s="29">
        <v>817</v>
      </c>
      <c r="AY51" s="1">
        <f t="shared" si="34"/>
        <v>95.5</v>
      </c>
      <c r="AZ51" s="1">
        <f t="shared" si="35"/>
        <v>92.4</v>
      </c>
      <c r="BA51" s="1">
        <f t="shared" si="36"/>
        <v>81.599999999999994</v>
      </c>
      <c r="BB51" s="8">
        <f t="shared" si="37"/>
        <v>0.435</v>
      </c>
      <c r="BC51" s="8">
        <f t="shared" si="38"/>
        <v>9.8000000000000004E-2</v>
      </c>
      <c r="BE51" s="5">
        <f t="shared" si="7"/>
        <v>5.74</v>
      </c>
      <c r="BF51" s="5">
        <f t="shared" si="8"/>
        <v>5.33</v>
      </c>
      <c r="BG51" s="1">
        <f t="shared" si="39"/>
        <v>-6</v>
      </c>
      <c r="BH51" s="1">
        <f t="shared" si="40"/>
        <v>-1.8</v>
      </c>
      <c r="BI51" s="1">
        <f t="shared" si="41"/>
        <v>-10.5</v>
      </c>
      <c r="BJ51" s="1">
        <f t="shared" si="12"/>
        <v>92.4</v>
      </c>
      <c r="BK51" s="1">
        <f t="shared" si="13"/>
        <v>81.599999999999994</v>
      </c>
      <c r="BL51" s="1">
        <f t="shared" si="27"/>
        <v>0.9</v>
      </c>
      <c r="BM51" s="1">
        <f t="shared" si="28"/>
        <v>3.7</v>
      </c>
      <c r="BN51" s="21">
        <f t="shared" si="16"/>
        <v>2.86</v>
      </c>
      <c r="BO51" s="7">
        <f t="shared" si="17"/>
        <v>0.82100000000000017</v>
      </c>
      <c r="BP51" s="21">
        <f t="shared" si="42"/>
        <v>-2</v>
      </c>
      <c r="BQ51" s="1">
        <f t="shared" si="19"/>
        <v>-8.4</v>
      </c>
      <c r="BR51" s="1">
        <f t="shared" si="20"/>
        <v>-3.1</v>
      </c>
      <c r="BS51" s="1">
        <f t="shared" si="21"/>
        <v>-19.3</v>
      </c>
      <c r="BT51" s="1">
        <f t="shared" si="43"/>
        <v>-0.5</v>
      </c>
      <c r="BU51" s="1" t="s">
        <v>113</v>
      </c>
      <c r="BV51" s="1">
        <f t="shared" si="44"/>
        <v>0.9</v>
      </c>
      <c r="BW51" s="1" t="str">
        <f t="shared" si="29"/>
        <v>NAN</v>
      </c>
      <c r="BX51" s="1">
        <f t="shared" si="30"/>
        <v>0.435</v>
      </c>
      <c r="BY51" s="1">
        <f t="shared" si="31"/>
        <v>9.8000000000000004E-2</v>
      </c>
      <c r="CA51" s="1">
        <f t="shared" si="24"/>
        <v>-1.3</v>
      </c>
      <c r="CB51" s="1">
        <f t="shared" si="25"/>
        <v>-8.8000000000000007</v>
      </c>
    </row>
    <row r="52" spans="1:80" x14ac:dyDescent="0.2">
      <c r="A52" s="9">
        <f t="shared" si="32"/>
        <v>43512</v>
      </c>
      <c r="B52" s="2">
        <v>47</v>
      </c>
      <c r="C52" s="2">
        <v>21</v>
      </c>
      <c r="D52" s="2">
        <v>13.19</v>
      </c>
      <c r="E52" s="2">
        <v>0.49399999999999999</v>
      </c>
      <c r="F52" s="2">
        <v>-12.14</v>
      </c>
      <c r="G52" s="2">
        <v>-6.8689999999999998</v>
      </c>
      <c r="H52" s="2">
        <v>90</v>
      </c>
      <c r="I52" s="2">
        <v>-4.0279999999999996</v>
      </c>
      <c r="J52" s="2">
        <v>-0.52200000000000002</v>
      </c>
      <c r="K52" s="2">
        <v>-0.501</v>
      </c>
      <c r="L52" s="2">
        <v>0.85799999999999998</v>
      </c>
      <c r="M52" s="2">
        <v>-2.3929999999999998</v>
      </c>
      <c r="N52" s="2">
        <v>100.8</v>
      </c>
      <c r="O52" s="2">
        <v>-3.6440000000000001</v>
      </c>
      <c r="P52" s="2">
        <v>-0.192</v>
      </c>
      <c r="Q52" s="2">
        <v>-0.18099999999999999</v>
      </c>
      <c r="R52" s="2">
        <v>1.071</v>
      </c>
      <c r="S52" s="2">
        <v>-12.57</v>
      </c>
      <c r="T52" s="2">
        <v>68.14</v>
      </c>
      <c r="U52" s="2">
        <v>-4.5170000000000003</v>
      </c>
      <c r="V52" s="2">
        <v>-0.77500000000000002</v>
      </c>
      <c r="W52" s="2">
        <v>-0.74099999999999999</v>
      </c>
      <c r="X52" s="2">
        <v>0.68300000000000005</v>
      </c>
      <c r="Y52" s="2">
        <v>1.6419999999999999</v>
      </c>
      <c r="Z52" s="2">
        <v>0</v>
      </c>
      <c r="AA52" s="2">
        <v>3.0739999999999998</v>
      </c>
      <c r="AB52" s="2">
        <v>4.4530000000000003</v>
      </c>
      <c r="AC52" s="2">
        <v>0.83399999999999996</v>
      </c>
      <c r="AD52" s="2">
        <v>3.86</v>
      </c>
      <c r="AE52" s="2">
        <v>-9.2899999999999991</v>
      </c>
      <c r="AF52" s="2">
        <v>-4.3150000000000004</v>
      </c>
      <c r="AG52" s="2">
        <v>-22.27</v>
      </c>
      <c r="AH52" s="2">
        <v>-4.3150000000000004</v>
      </c>
      <c r="AI52" s="2">
        <v>-22.27</v>
      </c>
      <c r="AJ52" s="2" t="s">
        <v>113</v>
      </c>
      <c r="AK52" s="2" t="s">
        <v>113</v>
      </c>
      <c r="AL52" s="2">
        <v>-6.7320000000000002</v>
      </c>
      <c r="AM52" s="2">
        <v>-1.169</v>
      </c>
      <c r="AN52" s="2">
        <v>-13.26</v>
      </c>
      <c r="AO52" s="2"/>
      <c r="AP52" s="1">
        <f t="shared" si="0"/>
        <v>0.80800000000000027</v>
      </c>
      <c r="AQ52" s="22">
        <f t="shared" si="33"/>
        <v>-1.7</v>
      </c>
      <c r="AR52" s="5">
        <v>10.71</v>
      </c>
      <c r="AS52" s="5">
        <v>4.8</v>
      </c>
      <c r="AT52" s="5">
        <v>4.42</v>
      </c>
      <c r="AU52" s="7">
        <f t="shared" si="26"/>
        <v>0.92100000000000004</v>
      </c>
      <c r="AV52" s="16"/>
      <c r="AW52" s="29">
        <v>0</v>
      </c>
      <c r="AX52" s="29">
        <v>804</v>
      </c>
      <c r="AY52" s="1">
        <f t="shared" si="34"/>
        <v>97.3</v>
      </c>
      <c r="AZ52" s="1">
        <f t="shared" si="35"/>
        <v>86.8</v>
      </c>
      <c r="BA52" s="1">
        <f t="shared" si="36"/>
        <v>65.599999999999994</v>
      </c>
      <c r="BB52" s="8">
        <f t="shared" si="37"/>
        <v>0.33600000000000002</v>
      </c>
      <c r="BC52" s="8">
        <f t="shared" si="38"/>
        <v>0.17599999999999999</v>
      </c>
      <c r="BE52" s="5">
        <f t="shared" si="7"/>
        <v>4.8</v>
      </c>
      <c r="BF52" s="5">
        <f t="shared" si="8"/>
        <v>4.42</v>
      </c>
      <c r="BG52" s="1">
        <f t="shared" si="39"/>
        <v>-6.9</v>
      </c>
      <c r="BH52" s="1">
        <f t="shared" si="40"/>
        <v>-2.4</v>
      </c>
      <c r="BI52" s="1">
        <f t="shared" si="41"/>
        <v>-12.6</v>
      </c>
      <c r="BJ52" s="1">
        <f t="shared" si="12"/>
        <v>86.8</v>
      </c>
      <c r="BK52" s="1">
        <f t="shared" si="13"/>
        <v>65.599999999999994</v>
      </c>
      <c r="BL52" s="1">
        <f t="shared" si="27"/>
        <v>0.8</v>
      </c>
      <c r="BM52" s="1">
        <f t="shared" si="28"/>
        <v>3.9</v>
      </c>
      <c r="BN52" s="21">
        <f t="shared" si="16"/>
        <v>0</v>
      </c>
      <c r="BO52" s="7">
        <f t="shared" si="17"/>
        <v>0.80800000000000027</v>
      </c>
      <c r="BP52" s="21">
        <f t="shared" si="42"/>
        <v>-1.7</v>
      </c>
      <c r="BQ52" s="1">
        <f t="shared" si="19"/>
        <v>-9.3000000000000007</v>
      </c>
      <c r="BR52" s="1">
        <f t="shared" si="20"/>
        <v>-4.3</v>
      </c>
      <c r="BS52" s="1">
        <f t="shared" si="21"/>
        <v>-22.3</v>
      </c>
      <c r="BT52" s="1">
        <f t="shared" si="43"/>
        <v>-0.5</v>
      </c>
      <c r="BU52" s="1" t="s">
        <v>113</v>
      </c>
      <c r="BV52" s="1">
        <f t="shared" si="44"/>
        <v>0.9</v>
      </c>
      <c r="BW52" s="1" t="str">
        <f t="shared" si="29"/>
        <v>NAN</v>
      </c>
      <c r="BX52" s="1">
        <f t="shared" si="30"/>
        <v>0.33600000000000002</v>
      </c>
      <c r="BY52" s="1">
        <f t="shared" si="31"/>
        <v>0.17599999999999999</v>
      </c>
      <c r="CA52" s="1">
        <f t="shared" si="24"/>
        <v>-1.9</v>
      </c>
      <c r="CB52" s="1">
        <f t="shared" si="25"/>
        <v>-9.7000000000000011</v>
      </c>
    </row>
    <row r="53" spans="1:80" x14ac:dyDescent="0.2">
      <c r="A53" s="9">
        <f t="shared" si="32"/>
        <v>43513</v>
      </c>
      <c r="B53" s="2">
        <v>48</v>
      </c>
      <c r="C53" s="2">
        <v>21</v>
      </c>
      <c r="D53" s="2">
        <v>13.12</v>
      </c>
      <c r="E53" s="2">
        <v>-2.9359999999999999</v>
      </c>
      <c r="F53" s="2">
        <v>-15.73</v>
      </c>
      <c r="G53" s="2">
        <v>-10.56</v>
      </c>
      <c r="H53" s="2">
        <v>95.3</v>
      </c>
      <c r="I53" s="2">
        <v>-3.484</v>
      </c>
      <c r="J53" s="2">
        <v>-0.52</v>
      </c>
      <c r="K53" s="2">
        <v>-0.498</v>
      </c>
      <c r="L53" s="2">
        <v>0.84499999999999997</v>
      </c>
      <c r="M53" s="2">
        <v>-7.22</v>
      </c>
      <c r="N53" s="2">
        <v>98.9</v>
      </c>
      <c r="O53" s="2">
        <v>-2.657</v>
      </c>
      <c r="P53" s="2">
        <v>0.247</v>
      </c>
      <c r="Q53" s="2">
        <v>0.249</v>
      </c>
      <c r="R53" s="2">
        <v>1.321</v>
      </c>
      <c r="S53" s="2">
        <v>-19.309999999999999</v>
      </c>
      <c r="T53" s="2">
        <v>87.5</v>
      </c>
      <c r="U53" s="2">
        <v>-3.843</v>
      </c>
      <c r="V53" s="2">
        <v>-0.73599999999999999</v>
      </c>
      <c r="W53" s="2">
        <v>-0.71299999999999997</v>
      </c>
      <c r="X53" s="2">
        <v>0.68799999999999994</v>
      </c>
      <c r="Y53" s="2">
        <v>1.6040000000000001</v>
      </c>
      <c r="Z53" s="2">
        <v>0</v>
      </c>
      <c r="AA53" s="2">
        <v>3.9460000000000002</v>
      </c>
      <c r="AB53" s="2">
        <v>4.9349999999999996</v>
      </c>
      <c r="AC53" s="2">
        <v>1.647</v>
      </c>
      <c r="AD53" s="2">
        <v>5.407</v>
      </c>
      <c r="AE53" s="2">
        <v>-11.84</v>
      </c>
      <c r="AF53" s="2">
        <v>-7.26</v>
      </c>
      <c r="AG53" s="2">
        <v>-32.020000000000003</v>
      </c>
      <c r="AH53" s="2">
        <v>-7.26</v>
      </c>
      <c r="AI53" s="2">
        <v>-32.020000000000003</v>
      </c>
      <c r="AJ53" s="2" t="s">
        <v>113</v>
      </c>
      <c r="AK53" s="2" t="s">
        <v>113</v>
      </c>
      <c r="AL53" s="2">
        <v>-10.039999999999999</v>
      </c>
      <c r="AM53" s="2">
        <v>-4.9950000000000001</v>
      </c>
      <c r="AN53" s="2">
        <v>-19.25</v>
      </c>
      <c r="AO53" s="2"/>
      <c r="AP53" s="1">
        <f t="shared" si="0"/>
        <v>0.84600000000000009</v>
      </c>
      <c r="AQ53" s="22">
        <f t="shared" si="33"/>
        <v>-1.5</v>
      </c>
      <c r="AR53" s="5">
        <v>10.91</v>
      </c>
      <c r="AS53" s="5">
        <v>5.31</v>
      </c>
      <c r="AT53" s="5">
        <v>4.93</v>
      </c>
      <c r="AU53" s="7">
        <f t="shared" si="26"/>
        <v>0.92800000000000005</v>
      </c>
      <c r="AV53" s="16"/>
      <c r="AW53" s="29">
        <v>6.05</v>
      </c>
      <c r="AX53" s="29">
        <v>842</v>
      </c>
      <c r="AY53" s="1">
        <f t="shared" si="34"/>
        <v>95.4</v>
      </c>
      <c r="AZ53" s="1">
        <f t="shared" si="35"/>
        <v>91.9</v>
      </c>
      <c r="BA53" s="1">
        <f t="shared" si="36"/>
        <v>84.4</v>
      </c>
      <c r="BB53" s="8">
        <f t="shared" si="37"/>
        <v>0.3</v>
      </c>
      <c r="BC53" s="8">
        <f t="shared" si="38"/>
        <v>5.5E-2</v>
      </c>
      <c r="BE53" s="5">
        <f t="shared" si="7"/>
        <v>5.31</v>
      </c>
      <c r="BF53" s="5">
        <f t="shared" si="8"/>
        <v>4.93</v>
      </c>
      <c r="BG53" s="1">
        <f t="shared" si="39"/>
        <v>-10.6</v>
      </c>
      <c r="BH53" s="1">
        <f t="shared" si="40"/>
        <v>-7.2</v>
      </c>
      <c r="BI53" s="1">
        <f t="shared" si="41"/>
        <v>-19.3</v>
      </c>
      <c r="BJ53" s="1">
        <f t="shared" si="12"/>
        <v>91.9</v>
      </c>
      <c r="BK53" s="1">
        <f t="shared" si="13"/>
        <v>84.4</v>
      </c>
      <c r="BL53" s="1">
        <f t="shared" si="27"/>
        <v>1.6</v>
      </c>
      <c r="BM53" s="1">
        <f t="shared" si="28"/>
        <v>5.4</v>
      </c>
      <c r="BN53" s="21">
        <f t="shared" si="16"/>
        <v>6.05</v>
      </c>
      <c r="BO53" s="7">
        <f t="shared" si="17"/>
        <v>0.84600000000000009</v>
      </c>
      <c r="BP53" s="21">
        <f t="shared" si="42"/>
        <v>-1.5</v>
      </c>
      <c r="BQ53" s="1">
        <f t="shared" si="19"/>
        <v>-11.8</v>
      </c>
      <c r="BR53" s="1">
        <f t="shared" si="20"/>
        <v>-7.3</v>
      </c>
      <c r="BS53" s="1">
        <f t="shared" si="21"/>
        <v>-32</v>
      </c>
      <c r="BT53" s="1">
        <f t="shared" si="43"/>
        <v>-0.5</v>
      </c>
      <c r="BU53" s="1" t="s">
        <v>113</v>
      </c>
      <c r="BV53" s="1">
        <f t="shared" si="44"/>
        <v>0.8</v>
      </c>
      <c r="BW53" s="1" t="str">
        <f t="shared" si="29"/>
        <v>NAN</v>
      </c>
      <c r="BX53" s="1">
        <f t="shared" si="30"/>
        <v>0.3</v>
      </c>
      <c r="BY53" s="1">
        <f t="shared" si="31"/>
        <v>5.5E-2</v>
      </c>
      <c r="CA53" s="1">
        <f t="shared" si="24"/>
        <v>-9.9999999999999645E-2</v>
      </c>
      <c r="CB53" s="1">
        <f t="shared" si="25"/>
        <v>-12.7</v>
      </c>
    </row>
    <row r="54" spans="1:80" x14ac:dyDescent="0.2">
      <c r="A54" s="9">
        <f t="shared" si="32"/>
        <v>43514</v>
      </c>
      <c r="B54" s="2">
        <v>49</v>
      </c>
      <c r="C54" s="2">
        <v>21</v>
      </c>
      <c r="D54" s="2">
        <v>13.08</v>
      </c>
      <c r="E54" s="2">
        <v>7.03</v>
      </c>
      <c r="F54" s="2">
        <v>-22.6</v>
      </c>
      <c r="G54" s="2">
        <v>-14.08</v>
      </c>
      <c r="H54" s="2">
        <v>87.2</v>
      </c>
      <c r="I54" s="2">
        <v>-3.0129999999999999</v>
      </c>
      <c r="J54" s="2">
        <v>-0.41</v>
      </c>
      <c r="K54" s="2">
        <v>-0.38500000000000001</v>
      </c>
      <c r="L54" s="2">
        <v>0.80700000000000005</v>
      </c>
      <c r="M54" s="2">
        <v>-7.37</v>
      </c>
      <c r="N54" s="2">
        <v>100.3</v>
      </c>
      <c r="O54" s="2">
        <v>-1.5760000000000001</v>
      </c>
      <c r="P54" s="2">
        <v>1.0669999999999999</v>
      </c>
      <c r="Q54" s="2">
        <v>1.056</v>
      </c>
      <c r="R54" s="2">
        <v>1.6830000000000001</v>
      </c>
      <c r="S54" s="2">
        <v>-23.4</v>
      </c>
      <c r="T54" s="2">
        <v>67.069999999999993</v>
      </c>
      <c r="U54" s="2">
        <v>-3.5579999999999998</v>
      </c>
      <c r="V54" s="2">
        <v>-0.97799999999999998</v>
      </c>
      <c r="W54" s="2">
        <v>-0.94</v>
      </c>
      <c r="X54" s="2">
        <v>0.22900000000000001</v>
      </c>
      <c r="Y54" s="2">
        <v>1.643</v>
      </c>
      <c r="Z54" s="2">
        <v>0</v>
      </c>
      <c r="AA54" s="2">
        <v>8.17</v>
      </c>
      <c r="AB54" s="2">
        <v>9.4700000000000006</v>
      </c>
      <c r="AC54" s="2">
        <v>0.96199999999999997</v>
      </c>
      <c r="AD54" s="2">
        <v>4.367</v>
      </c>
      <c r="AE54" s="2">
        <v>-21.29</v>
      </c>
      <c r="AF54" s="2">
        <v>-9.83</v>
      </c>
      <c r="AG54" s="2">
        <v>-35.04</v>
      </c>
      <c r="AH54" s="2">
        <v>-9.83</v>
      </c>
      <c r="AI54" s="2">
        <v>-35.04</v>
      </c>
      <c r="AJ54" s="2" t="s">
        <v>113</v>
      </c>
      <c r="AK54" s="2" t="s">
        <v>113</v>
      </c>
      <c r="AL54" s="2">
        <v>-13.59</v>
      </c>
      <c r="AM54" s="2">
        <v>-2.5630000000000002</v>
      </c>
      <c r="AN54" s="2">
        <v>-24.34</v>
      </c>
      <c r="AO54" s="2"/>
      <c r="AP54" s="1">
        <f t="shared" si="0"/>
        <v>0.80700000000000016</v>
      </c>
      <c r="AQ54" s="22">
        <f t="shared" si="33"/>
        <v>-1.3</v>
      </c>
      <c r="AR54" s="5">
        <v>11.13</v>
      </c>
      <c r="AS54" s="5">
        <v>10.3</v>
      </c>
      <c r="AT54" s="5">
        <v>9.39</v>
      </c>
      <c r="AU54" s="7">
        <f t="shared" si="26"/>
        <v>0.91200000000000003</v>
      </c>
      <c r="AV54" s="16"/>
      <c r="AW54" s="29">
        <v>0</v>
      </c>
      <c r="AX54" s="29">
        <v>810</v>
      </c>
      <c r="AY54" s="1">
        <f t="shared" si="34"/>
        <v>96.8</v>
      </c>
      <c r="AZ54" s="1">
        <f t="shared" si="35"/>
        <v>84.1</v>
      </c>
      <c r="BA54" s="1">
        <f t="shared" si="36"/>
        <v>64.599999999999994</v>
      </c>
      <c r="BB54" s="8">
        <f t="shared" si="37"/>
        <v>0.22700000000000001</v>
      </c>
      <c r="BC54" s="8">
        <f t="shared" si="38"/>
        <v>0.124</v>
      </c>
      <c r="BE54" s="5">
        <f t="shared" si="7"/>
        <v>10.3</v>
      </c>
      <c r="BF54" s="5">
        <f t="shared" si="8"/>
        <v>9.39</v>
      </c>
      <c r="BG54" s="1">
        <f t="shared" si="39"/>
        <v>-14.1</v>
      </c>
      <c r="BH54" s="1">
        <f t="shared" si="40"/>
        <v>-7.4</v>
      </c>
      <c r="BI54" s="1">
        <f t="shared" si="41"/>
        <v>-23.4</v>
      </c>
      <c r="BJ54" s="1">
        <f t="shared" si="12"/>
        <v>84.1</v>
      </c>
      <c r="BK54" s="1">
        <f t="shared" si="13"/>
        <v>64.599999999999994</v>
      </c>
      <c r="BL54" s="1">
        <f t="shared" si="27"/>
        <v>1</v>
      </c>
      <c r="BM54" s="1">
        <f t="shared" si="28"/>
        <v>4.4000000000000004</v>
      </c>
      <c r="BN54" s="21">
        <f t="shared" si="16"/>
        <v>0</v>
      </c>
      <c r="BO54" s="7">
        <f t="shared" si="17"/>
        <v>0.80700000000000016</v>
      </c>
      <c r="BP54" s="21">
        <f t="shared" si="42"/>
        <v>-1.3</v>
      </c>
      <c r="BQ54" s="1">
        <f t="shared" si="19"/>
        <v>-21.3</v>
      </c>
      <c r="BR54" s="1">
        <f t="shared" si="20"/>
        <v>-9.8000000000000007</v>
      </c>
      <c r="BS54" s="1">
        <f t="shared" si="21"/>
        <v>-35</v>
      </c>
      <c r="BT54" s="1">
        <f t="shared" si="43"/>
        <v>-0.4</v>
      </c>
      <c r="BU54" s="1" t="s">
        <v>113</v>
      </c>
      <c r="BV54" s="1">
        <f t="shared" si="44"/>
        <v>0.8</v>
      </c>
      <c r="BW54" s="1" t="str">
        <f t="shared" si="29"/>
        <v>NAN</v>
      </c>
      <c r="BX54" s="1">
        <f t="shared" si="30"/>
        <v>0.22700000000000001</v>
      </c>
      <c r="BY54" s="1">
        <f t="shared" si="31"/>
        <v>0.124</v>
      </c>
      <c r="CA54" s="1">
        <f t="shared" si="24"/>
        <v>-2.4000000000000004</v>
      </c>
      <c r="CB54" s="1">
        <f t="shared" si="25"/>
        <v>-11.600000000000001</v>
      </c>
    </row>
    <row r="55" spans="1:80" x14ac:dyDescent="0.2">
      <c r="A55" s="9">
        <f t="shared" si="32"/>
        <v>43515</v>
      </c>
      <c r="B55" s="2">
        <v>50</v>
      </c>
      <c r="C55" s="2">
        <v>21</v>
      </c>
      <c r="D55" s="2">
        <v>13.16</v>
      </c>
      <c r="E55" s="2">
        <v>-2.339</v>
      </c>
      <c r="F55" s="2">
        <v>-16.75</v>
      </c>
      <c r="G55" s="2">
        <v>-8.0500000000000007</v>
      </c>
      <c r="H55" s="2">
        <v>93.4</v>
      </c>
      <c r="I55" s="2">
        <v>-3.0720000000000001</v>
      </c>
      <c r="J55" s="2">
        <v>-0.435</v>
      </c>
      <c r="K55" s="2">
        <v>-0.41099999999999998</v>
      </c>
      <c r="L55" s="2">
        <v>0.84299999999999997</v>
      </c>
      <c r="M55" s="2">
        <v>-4.5309999999999997</v>
      </c>
      <c r="N55" s="2">
        <v>97.9</v>
      </c>
      <c r="O55" s="2">
        <v>-2.7970000000000002</v>
      </c>
      <c r="P55" s="2">
        <v>-0.19500000000000001</v>
      </c>
      <c r="Q55" s="2">
        <v>-0.17299999999999999</v>
      </c>
      <c r="R55" s="2">
        <v>1.0029999999999999</v>
      </c>
      <c r="S55" s="2">
        <v>-14.31</v>
      </c>
      <c r="T55" s="2">
        <v>80.8</v>
      </c>
      <c r="U55" s="2">
        <v>-3.26</v>
      </c>
      <c r="V55" s="2">
        <v>-0.57999999999999996</v>
      </c>
      <c r="W55" s="2">
        <v>-0.55700000000000005</v>
      </c>
      <c r="X55" s="2">
        <v>0.76100000000000001</v>
      </c>
      <c r="Y55" s="2">
        <v>1.5529999999999999</v>
      </c>
      <c r="Z55" s="2">
        <v>0</v>
      </c>
      <c r="AA55" s="2">
        <v>5.0730000000000004</v>
      </c>
      <c r="AB55" s="2">
        <v>4.4820000000000002</v>
      </c>
      <c r="AC55" s="2">
        <v>1.282</v>
      </c>
      <c r="AD55" s="2">
        <v>5.86</v>
      </c>
      <c r="AE55" s="2">
        <v>-9.3000000000000007</v>
      </c>
      <c r="AF55" s="2">
        <v>-5.8630000000000004</v>
      </c>
      <c r="AG55" s="2">
        <v>-22.31</v>
      </c>
      <c r="AH55" s="2">
        <v>-5.8630000000000004</v>
      </c>
      <c r="AI55" s="2">
        <v>-22.31</v>
      </c>
      <c r="AJ55" s="2" t="s">
        <v>113</v>
      </c>
      <c r="AK55" s="2" t="s">
        <v>113</v>
      </c>
      <c r="AL55" s="2">
        <v>-8.0299999999999994</v>
      </c>
      <c r="AM55" s="2">
        <v>-3.5289999999999999</v>
      </c>
      <c r="AN55" s="2">
        <v>-15.68</v>
      </c>
      <c r="AO55" s="2"/>
      <c r="AP55" s="1">
        <f t="shared" si="0"/>
        <v>0.89700000000000024</v>
      </c>
      <c r="AQ55" s="22">
        <f t="shared" si="33"/>
        <v>-1.3</v>
      </c>
      <c r="AR55" s="5">
        <v>11.33</v>
      </c>
      <c r="AS55" s="5">
        <v>5.34</v>
      </c>
      <c r="AT55" s="5">
        <v>4.47</v>
      </c>
      <c r="AU55" s="7">
        <f t="shared" si="26"/>
        <v>0.83699999999999997</v>
      </c>
      <c r="AV55" s="16"/>
      <c r="AW55" s="29">
        <v>9.9</v>
      </c>
      <c r="AX55" s="29">
        <v>893</v>
      </c>
      <c r="AY55" s="1">
        <f t="shared" si="34"/>
        <v>94.5</v>
      </c>
      <c r="AZ55" s="1">
        <f t="shared" si="35"/>
        <v>90.1</v>
      </c>
      <c r="BA55" s="1">
        <f t="shared" si="36"/>
        <v>77.900000000000006</v>
      </c>
      <c r="BB55" s="8">
        <f t="shared" si="37"/>
        <v>0.34</v>
      </c>
      <c r="BC55" s="8">
        <f t="shared" si="38"/>
        <v>9.6000000000000002E-2</v>
      </c>
      <c r="BE55" s="5">
        <f t="shared" si="7"/>
        <v>5.34</v>
      </c>
      <c r="BF55" s="5">
        <f t="shared" si="8"/>
        <v>4.47</v>
      </c>
      <c r="BG55" s="1">
        <f t="shared" si="39"/>
        <v>-8.1</v>
      </c>
      <c r="BH55" s="1">
        <f t="shared" si="40"/>
        <v>-4.5</v>
      </c>
      <c r="BI55" s="1">
        <f t="shared" si="41"/>
        <v>-14.3</v>
      </c>
      <c r="BJ55" s="1">
        <f t="shared" si="12"/>
        <v>90.1</v>
      </c>
      <c r="BK55" s="1">
        <f t="shared" si="13"/>
        <v>77.900000000000006</v>
      </c>
      <c r="BL55" s="1">
        <f t="shared" si="27"/>
        <v>1.3</v>
      </c>
      <c r="BM55" s="1">
        <f t="shared" si="28"/>
        <v>5.9</v>
      </c>
      <c r="BN55" s="21">
        <f t="shared" si="16"/>
        <v>9.9</v>
      </c>
      <c r="BO55" s="7">
        <f t="shared" si="17"/>
        <v>0.89700000000000024</v>
      </c>
      <c r="BP55" s="21">
        <f t="shared" si="42"/>
        <v>-1.3</v>
      </c>
      <c r="BQ55" s="1">
        <f t="shared" si="19"/>
        <v>-9.3000000000000007</v>
      </c>
      <c r="BR55" s="1">
        <f t="shared" si="20"/>
        <v>-5.9</v>
      </c>
      <c r="BS55" s="1">
        <f t="shared" si="21"/>
        <v>-22.3</v>
      </c>
      <c r="BT55" s="1">
        <f t="shared" si="43"/>
        <v>-0.4</v>
      </c>
      <c r="BU55" s="1" t="s">
        <v>113</v>
      </c>
      <c r="BV55" s="1">
        <f t="shared" si="44"/>
        <v>0.8</v>
      </c>
      <c r="BW55" s="1" t="str">
        <f t="shared" si="29"/>
        <v>NAN</v>
      </c>
      <c r="BX55" s="1">
        <f t="shared" si="30"/>
        <v>0.34</v>
      </c>
      <c r="BY55" s="1">
        <f t="shared" si="31"/>
        <v>9.6000000000000002E-2</v>
      </c>
      <c r="CA55" s="1">
        <f t="shared" si="24"/>
        <v>-1.4000000000000004</v>
      </c>
      <c r="CB55" s="1">
        <f t="shared" si="25"/>
        <v>-8</v>
      </c>
    </row>
    <row r="56" spans="1:80" x14ac:dyDescent="0.2">
      <c r="A56" s="9">
        <f t="shared" si="32"/>
        <v>43516</v>
      </c>
      <c r="B56" s="2">
        <v>51</v>
      </c>
      <c r="C56" s="2">
        <v>21</v>
      </c>
      <c r="D56" s="2">
        <v>13.16</v>
      </c>
      <c r="E56" s="2">
        <v>-0.30399999999999999</v>
      </c>
      <c r="F56" s="2">
        <v>-9.49</v>
      </c>
      <c r="G56" s="2">
        <v>-8.77</v>
      </c>
      <c r="H56" s="2">
        <v>91.9</v>
      </c>
      <c r="I56" s="2">
        <v>-2.9510000000000001</v>
      </c>
      <c r="J56" s="2">
        <v>-0.46700000000000003</v>
      </c>
      <c r="K56" s="2">
        <v>-0.438</v>
      </c>
      <c r="L56" s="2">
        <v>0.80200000000000005</v>
      </c>
      <c r="M56" s="2">
        <v>-7.19</v>
      </c>
      <c r="N56" s="2">
        <v>97.9</v>
      </c>
      <c r="O56" s="2">
        <v>-2.3380000000000001</v>
      </c>
      <c r="P56" s="2">
        <v>0.24099999999999999</v>
      </c>
      <c r="Q56" s="2">
        <v>0.26300000000000001</v>
      </c>
      <c r="R56" s="2">
        <v>1.2110000000000001</v>
      </c>
      <c r="S56" s="2">
        <v>-9.81</v>
      </c>
      <c r="T56" s="2">
        <v>80.599999999999994</v>
      </c>
      <c r="U56" s="2">
        <v>-3.1970000000000001</v>
      </c>
      <c r="V56" s="2">
        <v>-0.78800000000000003</v>
      </c>
      <c r="W56" s="2">
        <v>-0.76600000000000001</v>
      </c>
      <c r="X56" s="2">
        <v>0.42499999999999999</v>
      </c>
      <c r="Y56" s="2">
        <v>1.5620000000000001</v>
      </c>
      <c r="Z56" s="2">
        <v>0</v>
      </c>
      <c r="AA56" s="2">
        <v>4.9420000000000002</v>
      </c>
      <c r="AB56" s="2">
        <v>5.38</v>
      </c>
      <c r="AC56" s="2">
        <v>1.9950000000000001</v>
      </c>
      <c r="AD56" s="2">
        <v>7.03</v>
      </c>
      <c r="AE56" s="2">
        <v>-10.95</v>
      </c>
      <c r="AF56" s="2">
        <v>-7.1</v>
      </c>
      <c r="AG56" s="2">
        <v>-17.03</v>
      </c>
      <c r="AH56" s="2">
        <v>-7.1</v>
      </c>
      <c r="AI56" s="2">
        <v>-17.03</v>
      </c>
      <c r="AJ56" s="2" t="s">
        <v>113</v>
      </c>
      <c r="AK56" s="2" t="s">
        <v>113</v>
      </c>
      <c r="AL56" s="2">
        <v>-8.48</v>
      </c>
      <c r="AM56" s="2">
        <v>-5.298</v>
      </c>
      <c r="AN56" s="2">
        <v>-9.9600000000000009</v>
      </c>
      <c r="AO56" s="2"/>
      <c r="AP56" s="1">
        <f t="shared" si="0"/>
        <v>0.88800000000000012</v>
      </c>
      <c r="AQ56" s="22">
        <f t="shared" si="33"/>
        <v>-1.3</v>
      </c>
      <c r="AR56" s="5">
        <v>11.55</v>
      </c>
      <c r="AS56" s="5">
        <v>6.06</v>
      </c>
      <c r="AT56" s="5">
        <v>5.36</v>
      </c>
      <c r="AU56" s="7">
        <f t="shared" si="26"/>
        <v>0.88400000000000001</v>
      </c>
      <c r="AV56" s="16"/>
      <c r="AW56" s="29">
        <v>2.09</v>
      </c>
      <c r="AX56" s="29">
        <v>884</v>
      </c>
      <c r="AY56" s="1">
        <f t="shared" si="34"/>
        <v>94.5</v>
      </c>
      <c r="AZ56" s="1">
        <f t="shared" si="35"/>
        <v>88.6</v>
      </c>
      <c r="BA56" s="1">
        <f t="shared" si="36"/>
        <v>77.7</v>
      </c>
      <c r="BB56" s="8">
        <f t="shared" si="37"/>
        <v>0.27700000000000002</v>
      </c>
      <c r="BC56" s="8">
        <f t="shared" si="38"/>
        <v>7.9000000000000001E-2</v>
      </c>
      <c r="BE56" s="5">
        <f t="shared" si="7"/>
        <v>6.06</v>
      </c>
      <c r="BF56" s="5">
        <f t="shared" si="8"/>
        <v>5.36</v>
      </c>
      <c r="BG56" s="1">
        <f t="shared" si="39"/>
        <v>-8.8000000000000007</v>
      </c>
      <c r="BH56" s="1">
        <f t="shared" si="40"/>
        <v>-7.2</v>
      </c>
      <c r="BI56" s="1">
        <f t="shared" si="41"/>
        <v>-9.8000000000000007</v>
      </c>
      <c r="BJ56" s="1">
        <f t="shared" si="12"/>
        <v>88.6</v>
      </c>
      <c r="BK56" s="1">
        <f t="shared" si="13"/>
        <v>77.7</v>
      </c>
      <c r="BL56" s="1">
        <f t="shared" si="27"/>
        <v>2</v>
      </c>
      <c r="BM56" s="1">
        <f t="shared" si="28"/>
        <v>7</v>
      </c>
      <c r="BN56" s="21">
        <f t="shared" si="16"/>
        <v>2.09</v>
      </c>
      <c r="BO56" s="7">
        <f t="shared" si="17"/>
        <v>0.88800000000000012</v>
      </c>
      <c r="BP56" s="21">
        <f t="shared" si="42"/>
        <v>-1.3</v>
      </c>
      <c r="BQ56" s="1">
        <f t="shared" si="19"/>
        <v>-11</v>
      </c>
      <c r="BR56" s="1">
        <f t="shared" si="20"/>
        <v>-7.1</v>
      </c>
      <c r="BS56" s="1">
        <f t="shared" si="21"/>
        <v>-17</v>
      </c>
      <c r="BT56" s="1">
        <f t="shared" si="43"/>
        <v>-0.4</v>
      </c>
      <c r="BU56" s="1" t="s">
        <v>113</v>
      </c>
      <c r="BV56" s="1">
        <f t="shared" si="44"/>
        <v>0.8</v>
      </c>
      <c r="BW56" s="1" t="str">
        <f t="shared" si="29"/>
        <v>NAN</v>
      </c>
      <c r="BX56" s="1">
        <f t="shared" si="30"/>
        <v>0.27700000000000002</v>
      </c>
      <c r="BY56" s="1">
        <f t="shared" si="31"/>
        <v>7.9000000000000001E-2</v>
      </c>
      <c r="CA56" s="1">
        <f t="shared" si="24"/>
        <v>0.10000000000000053</v>
      </c>
      <c r="CB56" s="1">
        <f t="shared" si="25"/>
        <v>-7.1999999999999993</v>
      </c>
    </row>
    <row r="57" spans="1:80" x14ac:dyDescent="0.2">
      <c r="A57" s="9">
        <f t="shared" si="32"/>
        <v>43517</v>
      </c>
      <c r="B57" s="2">
        <v>52</v>
      </c>
      <c r="C57" s="2">
        <v>21</v>
      </c>
      <c r="D57" s="2">
        <v>13.09</v>
      </c>
      <c r="E57" s="2">
        <v>4.6399999999999997</v>
      </c>
      <c r="F57" s="2">
        <v>-17.48</v>
      </c>
      <c r="G57" s="2">
        <v>-11.52</v>
      </c>
      <c r="H57" s="2">
        <v>88.9</v>
      </c>
      <c r="I57" s="2">
        <v>-2.6469999999999998</v>
      </c>
      <c r="J57" s="2">
        <v>-0.45900000000000002</v>
      </c>
      <c r="K57" s="2">
        <v>-0.43099999999999999</v>
      </c>
      <c r="L57" s="2">
        <v>0.80700000000000005</v>
      </c>
      <c r="M57" s="2">
        <v>-5.0439999999999996</v>
      </c>
      <c r="N57" s="2">
        <v>96.9</v>
      </c>
      <c r="O57" s="2">
        <v>-1.4039999999999999</v>
      </c>
      <c r="P57" s="2">
        <v>0.78700000000000003</v>
      </c>
      <c r="Q57" s="2">
        <v>0.79800000000000004</v>
      </c>
      <c r="R57" s="2">
        <v>1.508</v>
      </c>
      <c r="S57" s="2">
        <v>-19.86</v>
      </c>
      <c r="T57" s="2">
        <v>60.12</v>
      </c>
      <c r="U57" s="2">
        <v>-3.0819999999999999</v>
      </c>
      <c r="V57" s="2">
        <v>-0.95399999999999996</v>
      </c>
      <c r="W57" s="2">
        <v>-0.92200000000000004</v>
      </c>
      <c r="X57" s="2">
        <v>0.38500000000000001</v>
      </c>
      <c r="Y57" s="2">
        <v>1.5649999999999999</v>
      </c>
      <c r="Z57" s="2">
        <v>0</v>
      </c>
      <c r="AA57" s="2">
        <v>6.97</v>
      </c>
      <c r="AB57" s="2">
        <v>6.4390000000000001</v>
      </c>
      <c r="AC57" s="2">
        <v>1.286</v>
      </c>
      <c r="AD57" s="2">
        <v>4.74</v>
      </c>
      <c r="AE57" s="2">
        <v>-15.39</v>
      </c>
      <c r="AF57" s="2">
        <v>-5.6029999999999998</v>
      </c>
      <c r="AG57" s="2">
        <v>-32.33</v>
      </c>
      <c r="AH57" s="2">
        <v>-5.6029999999999998</v>
      </c>
      <c r="AI57" s="2">
        <v>-32.33</v>
      </c>
      <c r="AJ57" s="2" t="s">
        <v>113</v>
      </c>
      <c r="AK57" s="2" t="s">
        <v>113</v>
      </c>
      <c r="AL57" s="2">
        <v>-11.15</v>
      </c>
      <c r="AM57" s="2">
        <v>-0.79600000000000004</v>
      </c>
      <c r="AN57" s="2">
        <v>-21.4</v>
      </c>
      <c r="AO57" s="2"/>
      <c r="AP57" s="1">
        <f t="shared" si="0"/>
        <v>0.88500000000000023</v>
      </c>
      <c r="AQ57" s="22">
        <f t="shared" si="33"/>
        <v>-1.2</v>
      </c>
      <c r="AR57" s="5">
        <v>11.76</v>
      </c>
      <c r="AS57" s="5">
        <v>7.36</v>
      </c>
      <c r="AT57" s="5">
        <v>6.38</v>
      </c>
      <c r="AU57" s="7">
        <f t="shared" si="26"/>
        <v>0.86699999999999999</v>
      </c>
      <c r="AV57" s="16"/>
      <c r="AW57" s="29">
        <v>1.98</v>
      </c>
      <c r="AX57" s="29">
        <v>885</v>
      </c>
      <c r="AY57" s="1">
        <f t="shared" si="34"/>
        <v>93.5</v>
      </c>
      <c r="AZ57" s="1">
        <f t="shared" si="35"/>
        <v>85.7</v>
      </c>
      <c r="BA57" s="1">
        <f t="shared" si="36"/>
        <v>57.8</v>
      </c>
      <c r="BB57" s="8">
        <f t="shared" si="37"/>
        <v>0.24199999999999999</v>
      </c>
      <c r="BC57" s="8">
        <f t="shared" si="38"/>
        <v>0.17699999999999999</v>
      </c>
      <c r="BE57" s="5">
        <f t="shared" si="7"/>
        <v>7.36</v>
      </c>
      <c r="BF57" s="5">
        <f t="shared" si="8"/>
        <v>6.38</v>
      </c>
      <c r="BG57" s="1">
        <f t="shared" si="39"/>
        <v>-11.5</v>
      </c>
      <c r="BH57" s="1">
        <f t="shared" si="40"/>
        <v>-5</v>
      </c>
      <c r="BI57" s="1">
        <f t="shared" si="41"/>
        <v>-19.899999999999999</v>
      </c>
      <c r="BJ57" s="1">
        <f t="shared" si="12"/>
        <v>85.7</v>
      </c>
      <c r="BK57" s="1">
        <f t="shared" si="13"/>
        <v>57.8</v>
      </c>
      <c r="BL57" s="1">
        <f t="shared" si="27"/>
        <v>1.3</v>
      </c>
      <c r="BM57" s="1">
        <f t="shared" si="28"/>
        <v>4.7</v>
      </c>
      <c r="BN57" s="21">
        <f t="shared" si="16"/>
        <v>1.98</v>
      </c>
      <c r="BO57" s="7">
        <f t="shared" si="17"/>
        <v>0.88500000000000023</v>
      </c>
      <c r="BP57" s="21">
        <f t="shared" si="42"/>
        <v>-1.2</v>
      </c>
      <c r="BQ57" s="1">
        <f t="shared" si="19"/>
        <v>-15.4</v>
      </c>
      <c r="BR57" s="1">
        <f t="shared" si="20"/>
        <v>-5.6</v>
      </c>
      <c r="BS57" s="1">
        <f t="shared" si="21"/>
        <v>-32.299999999999997</v>
      </c>
      <c r="BT57" s="1">
        <f t="shared" si="43"/>
        <v>-0.4</v>
      </c>
      <c r="BU57" s="1" t="s">
        <v>113</v>
      </c>
      <c r="BV57" s="1">
        <f t="shared" si="44"/>
        <v>0.8</v>
      </c>
      <c r="BW57" s="1" t="str">
        <f t="shared" si="29"/>
        <v>NAN</v>
      </c>
      <c r="BX57" s="1">
        <f t="shared" si="30"/>
        <v>0.24199999999999999</v>
      </c>
      <c r="BY57" s="1">
        <f t="shared" si="31"/>
        <v>0.17699999999999999</v>
      </c>
      <c r="CA57" s="1">
        <f t="shared" si="24"/>
        <v>-0.59999999999999964</v>
      </c>
      <c r="CB57" s="1">
        <f t="shared" si="25"/>
        <v>-12.399999999999999</v>
      </c>
    </row>
    <row r="58" spans="1:80" x14ac:dyDescent="0.2">
      <c r="A58" s="9">
        <f t="shared" si="32"/>
        <v>43518</v>
      </c>
      <c r="B58" s="2">
        <v>53</v>
      </c>
      <c r="C58" s="2">
        <v>21</v>
      </c>
      <c r="D58" s="2">
        <v>13.14</v>
      </c>
      <c r="E58" s="2">
        <v>-5.3849999999999998</v>
      </c>
      <c r="F58" s="2">
        <v>-17.21</v>
      </c>
      <c r="G58" s="2">
        <v>-10.27</v>
      </c>
      <c r="H58" s="2">
        <v>93.9</v>
      </c>
      <c r="I58" s="2">
        <v>-2.5139999999999998</v>
      </c>
      <c r="J58" s="2">
        <v>-0.439</v>
      </c>
      <c r="K58" s="2">
        <v>-0.41</v>
      </c>
      <c r="L58" s="2">
        <v>0.81399999999999995</v>
      </c>
      <c r="M58" s="2">
        <v>-8.0399999999999991</v>
      </c>
      <c r="N58" s="2">
        <v>97.4</v>
      </c>
      <c r="O58" s="2">
        <v>-2.2240000000000002</v>
      </c>
      <c r="P58" s="2">
        <v>-0.185</v>
      </c>
      <c r="Q58" s="2">
        <v>-0.155</v>
      </c>
      <c r="R58" s="2">
        <v>0.97399999999999998</v>
      </c>
      <c r="S58" s="2">
        <v>-15.35</v>
      </c>
      <c r="T58" s="2">
        <v>84.6</v>
      </c>
      <c r="U58" s="2">
        <v>-2.641</v>
      </c>
      <c r="V58" s="2">
        <v>-0.58099999999999996</v>
      </c>
      <c r="W58" s="2">
        <v>-0.55100000000000005</v>
      </c>
      <c r="X58" s="2">
        <v>0.70199999999999996</v>
      </c>
      <c r="Y58" s="2">
        <v>1.464</v>
      </c>
      <c r="Z58" s="2">
        <v>0</v>
      </c>
      <c r="AA58" s="2">
        <v>1.913</v>
      </c>
      <c r="AB58" s="2">
        <v>3.99</v>
      </c>
      <c r="AC58" s="2">
        <v>0.96</v>
      </c>
      <c r="AD58" s="2">
        <v>4.9000000000000004</v>
      </c>
      <c r="AE58" s="2">
        <v>-11.29</v>
      </c>
      <c r="AF58" s="2">
        <v>-8.35</v>
      </c>
      <c r="AG58" s="2">
        <v>-17.350000000000001</v>
      </c>
      <c r="AH58" s="2">
        <v>-8.35</v>
      </c>
      <c r="AI58" s="2">
        <v>-17.350000000000001</v>
      </c>
      <c r="AJ58" s="2" t="s">
        <v>113</v>
      </c>
      <c r="AK58" s="2" t="s">
        <v>113</v>
      </c>
      <c r="AL58" s="2">
        <v>-10.050000000000001</v>
      </c>
      <c r="AM58" s="2">
        <v>-6.4790000000000001</v>
      </c>
      <c r="AN58" s="2">
        <v>-16.45</v>
      </c>
      <c r="AO58" s="2"/>
      <c r="AP58" s="1">
        <f t="shared" si="0"/>
        <v>0.98600000000000021</v>
      </c>
      <c r="AQ58" s="22">
        <f t="shared" si="33"/>
        <v>-1.1000000000000001</v>
      </c>
      <c r="AR58" s="5">
        <v>11.98</v>
      </c>
      <c r="AS58" s="5">
        <v>4.29</v>
      </c>
      <c r="AT58" s="5">
        <v>3.99</v>
      </c>
      <c r="AU58" s="7">
        <f t="shared" si="26"/>
        <v>0.93</v>
      </c>
      <c r="AV58" s="16"/>
      <c r="AW58" s="29">
        <v>10.89</v>
      </c>
      <c r="AX58" s="29">
        <v>973</v>
      </c>
      <c r="AY58" s="1">
        <f t="shared" si="34"/>
        <v>94</v>
      </c>
      <c r="AZ58" s="1">
        <f t="shared" si="35"/>
        <v>90.6</v>
      </c>
      <c r="BA58" s="1">
        <f t="shared" si="36"/>
        <v>81.599999999999994</v>
      </c>
      <c r="BB58" s="8">
        <f t="shared" si="37"/>
        <v>0.27200000000000002</v>
      </c>
      <c r="BC58" s="8">
        <f t="shared" si="38"/>
        <v>6.0999999999999999E-2</v>
      </c>
      <c r="BE58" s="5">
        <f t="shared" si="7"/>
        <v>4.29</v>
      </c>
      <c r="BF58" s="5">
        <f t="shared" si="8"/>
        <v>3.99</v>
      </c>
      <c r="BG58" s="1">
        <f t="shared" si="39"/>
        <v>-10.3</v>
      </c>
      <c r="BH58" s="1">
        <f t="shared" si="40"/>
        <v>-8</v>
      </c>
      <c r="BI58" s="1">
        <f t="shared" si="41"/>
        <v>-15.4</v>
      </c>
      <c r="BJ58" s="1">
        <f t="shared" si="12"/>
        <v>90.6</v>
      </c>
      <c r="BK58" s="1">
        <f t="shared" si="13"/>
        <v>81.599999999999994</v>
      </c>
      <c r="BL58" s="1">
        <f t="shared" si="27"/>
        <v>1</v>
      </c>
      <c r="BM58" s="1">
        <f t="shared" si="28"/>
        <v>4.9000000000000004</v>
      </c>
      <c r="BN58" s="21">
        <f t="shared" si="16"/>
        <v>10.89</v>
      </c>
      <c r="BO58" s="7">
        <f t="shared" si="17"/>
        <v>0.98600000000000021</v>
      </c>
      <c r="BP58" s="21">
        <f t="shared" si="42"/>
        <v>-1.1000000000000001</v>
      </c>
      <c r="BQ58" s="1">
        <f t="shared" si="19"/>
        <v>-11.3</v>
      </c>
      <c r="BR58" s="1">
        <f t="shared" si="20"/>
        <v>-8.4</v>
      </c>
      <c r="BS58" s="1">
        <f t="shared" si="21"/>
        <v>-17.399999999999999</v>
      </c>
      <c r="BT58" s="1">
        <f t="shared" si="43"/>
        <v>-0.4</v>
      </c>
      <c r="BU58" s="1" t="s">
        <v>113</v>
      </c>
      <c r="BV58" s="1">
        <f t="shared" si="44"/>
        <v>0.8</v>
      </c>
      <c r="BW58" s="1" t="str">
        <f t="shared" si="29"/>
        <v>NAN</v>
      </c>
      <c r="BX58" s="1">
        <f t="shared" si="30"/>
        <v>0.27200000000000002</v>
      </c>
      <c r="BY58" s="1">
        <f t="shared" si="31"/>
        <v>6.0999999999999999E-2</v>
      </c>
      <c r="CA58" s="1">
        <f t="shared" si="24"/>
        <v>-0.40000000000000036</v>
      </c>
      <c r="CB58" s="1">
        <f t="shared" si="25"/>
        <v>-1.9999999999999982</v>
      </c>
    </row>
    <row r="59" spans="1:80" x14ac:dyDescent="0.2">
      <c r="A59" s="9">
        <f t="shared" si="32"/>
        <v>43519</v>
      </c>
      <c r="B59" s="2">
        <v>54</v>
      </c>
      <c r="C59" s="2">
        <v>21</v>
      </c>
      <c r="D59" s="2">
        <v>13.13</v>
      </c>
      <c r="E59" s="2">
        <v>-2.464</v>
      </c>
      <c r="F59" s="2">
        <v>-12.65</v>
      </c>
      <c r="G59" s="2">
        <v>-9.35</v>
      </c>
      <c r="H59" s="2">
        <v>93.1</v>
      </c>
      <c r="I59" s="2">
        <v>-2.5379999999999998</v>
      </c>
      <c r="J59" s="2">
        <v>-0.45800000000000002</v>
      </c>
      <c r="K59" s="2">
        <v>-0.43</v>
      </c>
      <c r="L59" s="2">
        <v>0.79800000000000004</v>
      </c>
      <c r="M59" s="2">
        <v>-5.8310000000000004</v>
      </c>
      <c r="N59" s="2">
        <v>97.5</v>
      </c>
      <c r="O59" s="2">
        <v>-2.12</v>
      </c>
      <c r="P59" s="2">
        <v>-2.7E-2</v>
      </c>
      <c r="Q59" s="2">
        <v>-5.0000000000000001E-3</v>
      </c>
      <c r="R59" s="2">
        <v>1.089</v>
      </c>
      <c r="S59" s="2">
        <v>-14.34</v>
      </c>
      <c r="T59" s="2">
        <v>81</v>
      </c>
      <c r="U59" s="2">
        <v>-2.7240000000000002</v>
      </c>
      <c r="V59" s="2">
        <v>-0.64200000000000002</v>
      </c>
      <c r="W59" s="2">
        <v>-0.59599999999999997</v>
      </c>
      <c r="X59" s="2">
        <v>0.63400000000000001</v>
      </c>
      <c r="Y59" s="2">
        <v>1.502</v>
      </c>
      <c r="Z59" s="2">
        <v>0</v>
      </c>
      <c r="AA59" s="2">
        <v>1.236</v>
      </c>
      <c r="AB59" s="2">
        <v>4.367</v>
      </c>
      <c r="AC59" s="2">
        <v>0.72</v>
      </c>
      <c r="AD59" s="2">
        <v>4.2069999999999999</v>
      </c>
      <c r="AE59" s="2">
        <v>-12.16</v>
      </c>
      <c r="AF59" s="2">
        <v>-6.4649999999999999</v>
      </c>
      <c r="AG59" s="2">
        <v>-26.39</v>
      </c>
      <c r="AH59" s="2">
        <v>-6.4649999999999999</v>
      </c>
      <c r="AI59" s="2">
        <v>-26.39</v>
      </c>
      <c r="AJ59" s="2" t="s">
        <v>113</v>
      </c>
      <c r="AK59" s="2" t="s">
        <v>113</v>
      </c>
      <c r="AL59" s="2">
        <v>-8.9499999999999993</v>
      </c>
      <c r="AM59" s="2">
        <v>-3.0510000000000002</v>
      </c>
      <c r="AN59" s="2">
        <v>-14.43</v>
      </c>
      <c r="AO59" s="2"/>
      <c r="AP59" s="1">
        <f t="shared" si="0"/>
        <v>0.94800000000000018</v>
      </c>
      <c r="AQ59" s="22">
        <f t="shared" si="33"/>
        <v>-1.1000000000000001</v>
      </c>
      <c r="AR59" s="5">
        <v>12.21</v>
      </c>
      <c r="AS59" s="5">
        <v>4.6900000000000004</v>
      </c>
      <c r="AT59" s="5">
        <v>4.3600000000000003</v>
      </c>
      <c r="AU59" s="7">
        <f t="shared" si="26"/>
        <v>0.93</v>
      </c>
      <c r="AV59" s="16"/>
      <c r="AW59" s="29">
        <v>0</v>
      </c>
      <c r="AX59" s="29">
        <v>944</v>
      </c>
      <c r="AY59" s="1">
        <f t="shared" si="34"/>
        <v>94.1</v>
      </c>
      <c r="AZ59" s="1">
        <f t="shared" si="35"/>
        <v>89.8</v>
      </c>
      <c r="BA59" s="1">
        <f t="shared" si="36"/>
        <v>78.099999999999994</v>
      </c>
      <c r="BB59" s="8">
        <f t="shared" si="37"/>
        <v>0.309</v>
      </c>
      <c r="BC59" s="8">
        <f t="shared" si="38"/>
        <v>8.6999999999999994E-2</v>
      </c>
      <c r="BE59" s="5">
        <f t="shared" si="7"/>
        <v>4.6900000000000004</v>
      </c>
      <c r="BF59" s="5">
        <f t="shared" si="8"/>
        <v>4.3600000000000003</v>
      </c>
      <c r="BG59" s="1">
        <f t="shared" si="39"/>
        <v>-9.4</v>
      </c>
      <c r="BH59" s="1">
        <f t="shared" si="40"/>
        <v>-5.8</v>
      </c>
      <c r="BI59" s="1">
        <f t="shared" si="41"/>
        <v>-14.3</v>
      </c>
      <c r="BJ59" s="1">
        <f t="shared" si="12"/>
        <v>89.8</v>
      </c>
      <c r="BK59" s="1">
        <f t="shared" si="13"/>
        <v>78.099999999999994</v>
      </c>
      <c r="BL59" s="1">
        <f t="shared" si="27"/>
        <v>0.7</v>
      </c>
      <c r="BM59" s="1">
        <f t="shared" si="28"/>
        <v>4.2</v>
      </c>
      <c r="BN59" s="21">
        <f t="shared" si="16"/>
        <v>0</v>
      </c>
      <c r="BO59" s="7">
        <f t="shared" si="17"/>
        <v>0.94800000000000018</v>
      </c>
      <c r="BP59" s="21">
        <f t="shared" si="42"/>
        <v>-1.1000000000000001</v>
      </c>
      <c r="BQ59" s="1">
        <f t="shared" si="19"/>
        <v>-12.2</v>
      </c>
      <c r="BR59" s="1">
        <f t="shared" si="20"/>
        <v>-6.5</v>
      </c>
      <c r="BS59" s="1">
        <f t="shared" si="21"/>
        <v>-26.4</v>
      </c>
      <c r="BT59" s="1">
        <f t="shared" si="43"/>
        <v>-0.4</v>
      </c>
      <c r="BU59" s="1" t="s">
        <v>113</v>
      </c>
      <c r="BV59" s="1">
        <f t="shared" si="44"/>
        <v>0.8</v>
      </c>
      <c r="BW59" s="1" t="str">
        <f t="shared" si="29"/>
        <v>NAN</v>
      </c>
      <c r="BX59" s="1">
        <f t="shared" si="30"/>
        <v>0.309</v>
      </c>
      <c r="BY59" s="1">
        <f t="shared" si="31"/>
        <v>8.6999999999999994E-2</v>
      </c>
      <c r="CA59" s="1">
        <f t="shared" si="24"/>
        <v>-0.70000000000000018</v>
      </c>
      <c r="CB59" s="1">
        <f t="shared" si="25"/>
        <v>-12.099999999999998</v>
      </c>
    </row>
    <row r="60" spans="1:80" x14ac:dyDescent="0.2">
      <c r="A60" s="9">
        <f t="shared" si="32"/>
        <v>43520</v>
      </c>
      <c r="B60" s="2">
        <v>55</v>
      </c>
      <c r="C60" s="2">
        <v>21</v>
      </c>
      <c r="D60" s="2">
        <v>13.15</v>
      </c>
      <c r="E60" s="2">
        <v>2.39</v>
      </c>
      <c r="F60" s="2">
        <v>-14.49</v>
      </c>
      <c r="G60" s="2">
        <v>-10.81</v>
      </c>
      <c r="H60" s="2">
        <v>90.1</v>
      </c>
      <c r="I60" s="2">
        <v>-2.3490000000000002</v>
      </c>
      <c r="J60" s="2">
        <v>-0.35299999999999998</v>
      </c>
      <c r="K60" s="2">
        <v>-0.32200000000000001</v>
      </c>
      <c r="L60" s="2">
        <v>0.83799999999999997</v>
      </c>
      <c r="M60" s="2">
        <v>-5.9770000000000003</v>
      </c>
      <c r="N60" s="2">
        <v>99.1</v>
      </c>
      <c r="O60" s="2">
        <v>-0.96399999999999997</v>
      </c>
      <c r="P60" s="2">
        <v>1.0980000000000001</v>
      </c>
      <c r="Q60" s="2">
        <v>1.105</v>
      </c>
      <c r="R60" s="2">
        <v>1.5740000000000001</v>
      </c>
      <c r="S60" s="2">
        <v>-14.54</v>
      </c>
      <c r="T60" s="2">
        <v>73.8</v>
      </c>
      <c r="U60" s="2">
        <v>-2.7069999999999999</v>
      </c>
      <c r="V60" s="2">
        <v>-0.76100000000000001</v>
      </c>
      <c r="W60" s="2">
        <v>-0.73899999999999999</v>
      </c>
      <c r="X60" s="2">
        <v>0.50900000000000001</v>
      </c>
      <c r="Y60" s="2">
        <v>1.5369999999999999</v>
      </c>
      <c r="Z60" s="2">
        <v>0</v>
      </c>
      <c r="AA60" s="2">
        <v>7.54</v>
      </c>
      <c r="AB60" s="2">
        <v>9.8800000000000008</v>
      </c>
      <c r="AC60" s="2">
        <v>1.4930000000000001</v>
      </c>
      <c r="AD60" s="2">
        <v>7.19</v>
      </c>
      <c r="AE60" s="2">
        <v>-13.65</v>
      </c>
      <c r="AF60" s="2">
        <v>-6.1120000000000001</v>
      </c>
      <c r="AG60" s="2">
        <v>-25.27</v>
      </c>
      <c r="AH60" s="2">
        <v>-6.1120000000000001</v>
      </c>
      <c r="AI60" s="2">
        <v>-25.27</v>
      </c>
      <c r="AJ60" s="2" t="s">
        <v>113</v>
      </c>
      <c r="AK60" s="2" t="s">
        <v>113</v>
      </c>
      <c r="AL60" s="2">
        <v>-10.63</v>
      </c>
      <c r="AM60" s="2">
        <v>-4.258</v>
      </c>
      <c r="AN60" s="2">
        <v>-15.64</v>
      </c>
      <c r="AO60" s="2"/>
      <c r="AP60" s="1">
        <f t="shared" si="0"/>
        <v>0.91300000000000026</v>
      </c>
      <c r="AQ60" s="22">
        <f t="shared" si="33"/>
        <v>-1</v>
      </c>
      <c r="AR60" s="5">
        <v>12.42</v>
      </c>
      <c r="AS60" s="5">
        <v>10.91</v>
      </c>
      <c r="AT60" s="5">
        <v>9.7100000000000009</v>
      </c>
      <c r="AU60" s="7">
        <f t="shared" si="26"/>
        <v>0.89</v>
      </c>
      <c r="AV60" s="16"/>
      <c r="AW60" s="29">
        <v>0</v>
      </c>
      <c r="AX60" s="29">
        <v>914</v>
      </c>
      <c r="AY60" s="1">
        <f t="shared" si="34"/>
        <v>95.6</v>
      </c>
      <c r="AZ60" s="1">
        <f t="shared" si="35"/>
        <v>86.9</v>
      </c>
      <c r="BA60" s="1">
        <f t="shared" si="36"/>
        <v>71.099999999999994</v>
      </c>
      <c r="BB60" s="8">
        <f t="shared" si="37"/>
        <v>0.27800000000000002</v>
      </c>
      <c r="BC60" s="8">
        <f t="shared" si="38"/>
        <v>0.113</v>
      </c>
      <c r="BE60" s="5">
        <f t="shared" si="7"/>
        <v>10.91</v>
      </c>
      <c r="BF60" s="5">
        <f t="shared" si="8"/>
        <v>9.7100000000000009</v>
      </c>
      <c r="BG60" s="1">
        <f t="shared" si="39"/>
        <v>-10.8</v>
      </c>
      <c r="BH60" s="1">
        <f t="shared" si="40"/>
        <v>-6</v>
      </c>
      <c r="BI60" s="1">
        <f t="shared" si="41"/>
        <v>-14.5</v>
      </c>
      <c r="BJ60" s="1">
        <f t="shared" si="12"/>
        <v>86.9</v>
      </c>
      <c r="BK60" s="1">
        <f t="shared" si="13"/>
        <v>71.099999999999994</v>
      </c>
      <c r="BL60" s="1">
        <f t="shared" si="27"/>
        <v>1.5</v>
      </c>
      <c r="BM60" s="1">
        <f t="shared" si="28"/>
        <v>7.2</v>
      </c>
      <c r="BN60" s="21">
        <f t="shared" si="16"/>
        <v>0</v>
      </c>
      <c r="BO60" s="7">
        <f t="shared" si="17"/>
        <v>0.91300000000000026</v>
      </c>
      <c r="BP60" s="21">
        <f t="shared" si="42"/>
        <v>-1</v>
      </c>
      <c r="BQ60" s="1">
        <f t="shared" si="19"/>
        <v>-13.7</v>
      </c>
      <c r="BR60" s="1">
        <f t="shared" si="20"/>
        <v>-6.1</v>
      </c>
      <c r="BS60" s="1">
        <f t="shared" si="21"/>
        <v>-25.3</v>
      </c>
      <c r="BT60" s="1">
        <f t="shared" si="43"/>
        <v>-0.3</v>
      </c>
      <c r="BU60" s="1" t="s">
        <v>113</v>
      </c>
      <c r="BV60" s="1">
        <f t="shared" si="44"/>
        <v>0.8</v>
      </c>
      <c r="BW60" s="1" t="str">
        <f t="shared" si="29"/>
        <v>NAN</v>
      </c>
      <c r="BX60" s="1">
        <f t="shared" si="30"/>
        <v>0.27800000000000002</v>
      </c>
      <c r="BY60" s="1">
        <f t="shared" si="31"/>
        <v>0.113</v>
      </c>
      <c r="CA60" s="1">
        <f t="shared" si="24"/>
        <v>-9.9999999999999645E-2</v>
      </c>
      <c r="CB60" s="1">
        <f t="shared" si="25"/>
        <v>-10.8</v>
      </c>
    </row>
    <row r="61" spans="1:80" x14ac:dyDescent="0.2">
      <c r="A61" s="9">
        <f t="shared" si="32"/>
        <v>43521</v>
      </c>
      <c r="B61" s="2">
        <v>56</v>
      </c>
      <c r="C61" s="2">
        <v>21</v>
      </c>
      <c r="D61" s="2">
        <v>13.12</v>
      </c>
      <c r="E61" s="2">
        <v>-2.0720000000000001</v>
      </c>
      <c r="F61" s="2">
        <v>-16.54</v>
      </c>
      <c r="G61" s="2">
        <v>-13.62</v>
      </c>
      <c r="H61" s="2">
        <v>87.8</v>
      </c>
      <c r="I61" s="2">
        <v>-2.194</v>
      </c>
      <c r="J61" s="2">
        <v>-0.33100000000000002</v>
      </c>
      <c r="K61" s="2">
        <v>-0.29899999999999999</v>
      </c>
      <c r="L61" s="2">
        <v>0.83799999999999997</v>
      </c>
      <c r="M61" s="2">
        <v>-11.4</v>
      </c>
      <c r="N61" s="2">
        <v>94.2</v>
      </c>
      <c r="O61" s="2">
        <v>-1.224</v>
      </c>
      <c r="P61" s="2">
        <v>0.70099999999999996</v>
      </c>
      <c r="Q61" s="2">
        <v>0.71899999999999997</v>
      </c>
      <c r="R61" s="2">
        <v>1.357</v>
      </c>
      <c r="S61" s="2">
        <v>-17.13</v>
      </c>
      <c r="T61" s="2">
        <v>79.7</v>
      </c>
      <c r="U61" s="2">
        <v>-2.5099999999999998</v>
      </c>
      <c r="V61" s="2">
        <v>-0.71</v>
      </c>
      <c r="W61" s="2">
        <v>-0.66500000000000004</v>
      </c>
      <c r="X61" s="2">
        <v>0.54400000000000004</v>
      </c>
      <c r="Y61" s="2">
        <v>1.5620000000000001</v>
      </c>
      <c r="Z61" s="2">
        <v>0</v>
      </c>
      <c r="AA61" s="2">
        <v>10.76</v>
      </c>
      <c r="AB61" s="2">
        <v>10.42</v>
      </c>
      <c r="AC61" s="2">
        <v>3.4289999999999998</v>
      </c>
      <c r="AD61" s="2">
        <v>7.38</v>
      </c>
      <c r="AE61" s="2">
        <v>-16.59</v>
      </c>
      <c r="AF61" s="2">
        <v>-12.16</v>
      </c>
      <c r="AG61" s="2">
        <v>-30.07</v>
      </c>
      <c r="AH61" s="2">
        <v>-12.16</v>
      </c>
      <c r="AI61" s="2">
        <v>-30.07</v>
      </c>
      <c r="AJ61" s="2" t="s">
        <v>113</v>
      </c>
      <c r="AK61" s="2" t="s">
        <v>113</v>
      </c>
      <c r="AL61" s="2">
        <v>-13.37</v>
      </c>
      <c r="AM61" s="2">
        <v>-9.1199999999999992</v>
      </c>
      <c r="AN61" s="2">
        <v>-17.38</v>
      </c>
      <c r="AO61" s="2"/>
      <c r="AP61" s="1">
        <f t="shared" si="0"/>
        <v>0.88800000000000012</v>
      </c>
      <c r="AQ61" s="22">
        <f t="shared" si="33"/>
        <v>-0.9</v>
      </c>
      <c r="AR61" s="5">
        <v>12.65</v>
      </c>
      <c r="AS61" s="5">
        <v>11.51</v>
      </c>
      <c r="AT61" s="5">
        <v>10.35</v>
      </c>
      <c r="AU61" s="7">
        <f t="shared" si="26"/>
        <v>0.89900000000000002</v>
      </c>
      <c r="AV61" s="16"/>
      <c r="AW61" s="29">
        <v>0</v>
      </c>
      <c r="AX61" s="29">
        <v>884</v>
      </c>
      <c r="AY61" s="1">
        <f t="shared" si="34"/>
        <v>90.9</v>
      </c>
      <c r="AZ61" s="1">
        <f t="shared" si="35"/>
        <v>84.7</v>
      </c>
      <c r="BA61" s="1">
        <f t="shared" si="36"/>
        <v>76.8</v>
      </c>
      <c r="BB61" s="8">
        <f t="shared" si="37"/>
        <v>0.19600000000000001</v>
      </c>
      <c r="BC61" s="8">
        <f t="shared" si="38"/>
        <v>5.8999999999999997E-2</v>
      </c>
      <c r="BE61" s="5">
        <f t="shared" si="7"/>
        <v>11.51</v>
      </c>
      <c r="BF61" s="5">
        <f t="shared" si="8"/>
        <v>10.35</v>
      </c>
      <c r="BG61" s="1">
        <f t="shared" si="39"/>
        <v>-13.6</v>
      </c>
      <c r="BH61" s="1">
        <f t="shared" si="40"/>
        <v>-11.4</v>
      </c>
      <c r="BI61" s="1">
        <f t="shared" si="41"/>
        <v>-17.100000000000001</v>
      </c>
      <c r="BJ61" s="1">
        <f t="shared" si="12"/>
        <v>84.7</v>
      </c>
      <c r="BK61" s="1">
        <f t="shared" si="13"/>
        <v>76.8</v>
      </c>
      <c r="BL61" s="1">
        <f t="shared" si="27"/>
        <v>3.4</v>
      </c>
      <c r="BM61" s="1">
        <f t="shared" si="28"/>
        <v>7.4</v>
      </c>
      <c r="BN61" s="21">
        <f t="shared" si="16"/>
        <v>0</v>
      </c>
      <c r="BO61" s="7">
        <f t="shared" si="17"/>
        <v>0.88800000000000012</v>
      </c>
      <c r="BP61" s="21">
        <f t="shared" si="42"/>
        <v>-0.9</v>
      </c>
      <c r="BQ61" s="1">
        <f t="shared" si="19"/>
        <v>-16.600000000000001</v>
      </c>
      <c r="BR61" s="1">
        <f t="shared" si="20"/>
        <v>-12.2</v>
      </c>
      <c r="BS61" s="1">
        <f t="shared" si="21"/>
        <v>-30.1</v>
      </c>
      <c r="BT61" s="1">
        <f t="shared" si="43"/>
        <v>-0.3</v>
      </c>
      <c r="BU61" s="1" t="s">
        <v>113</v>
      </c>
      <c r="BV61" s="1">
        <f t="shared" si="44"/>
        <v>0.8</v>
      </c>
      <c r="BW61" s="1" t="str">
        <f t="shared" si="29"/>
        <v>NAN</v>
      </c>
      <c r="BX61" s="1">
        <f t="shared" si="30"/>
        <v>0.19600000000000001</v>
      </c>
      <c r="BY61" s="1">
        <f t="shared" si="31"/>
        <v>5.8999999999999997E-2</v>
      </c>
      <c r="CA61" s="1">
        <f t="shared" si="24"/>
        <v>-0.79999999999999893</v>
      </c>
      <c r="CB61" s="1">
        <f t="shared" si="25"/>
        <v>-13</v>
      </c>
    </row>
    <row r="62" spans="1:80" x14ac:dyDescent="0.2">
      <c r="A62" s="9">
        <f t="shared" si="32"/>
        <v>43522</v>
      </c>
      <c r="B62" s="2">
        <v>57</v>
      </c>
      <c r="C62" s="2">
        <v>21</v>
      </c>
      <c r="D62" s="2">
        <v>13.04</v>
      </c>
      <c r="E62" s="2">
        <v>6.2160000000000002</v>
      </c>
      <c r="F62" s="2">
        <v>-26.42</v>
      </c>
      <c r="G62" s="2">
        <v>-17.38</v>
      </c>
      <c r="H62" s="2">
        <v>78.5</v>
      </c>
      <c r="I62" s="2">
        <v>-2.3530000000000002</v>
      </c>
      <c r="J62" s="2">
        <v>-0.44600000000000001</v>
      </c>
      <c r="K62" s="2">
        <v>-0.41299999999999998</v>
      </c>
      <c r="L62" s="2">
        <v>0.71699999999999997</v>
      </c>
      <c r="M62" s="2">
        <v>-7.56</v>
      </c>
      <c r="N62" s="2">
        <v>98.6</v>
      </c>
      <c r="O62" s="2">
        <v>-0.91300000000000003</v>
      </c>
      <c r="P62" s="2">
        <v>1.0289999999999999</v>
      </c>
      <c r="Q62" s="2">
        <v>1.04</v>
      </c>
      <c r="R62" s="2">
        <v>1.4770000000000001</v>
      </c>
      <c r="S62" s="2">
        <v>-25.06</v>
      </c>
      <c r="T62" s="2">
        <v>47.75</v>
      </c>
      <c r="U62" s="2">
        <v>-3.0230000000000001</v>
      </c>
      <c r="V62" s="2">
        <v>-1.0629999999999999</v>
      </c>
      <c r="W62" s="2">
        <v>-1.0289999999999999</v>
      </c>
      <c r="X62" s="2">
        <v>0.22600000000000001</v>
      </c>
      <c r="Y62" s="2">
        <v>1.5840000000000001</v>
      </c>
      <c r="Z62" s="2">
        <v>0</v>
      </c>
      <c r="AA62" s="2">
        <v>12.02</v>
      </c>
      <c r="AB62" s="2">
        <v>11.13</v>
      </c>
      <c r="AC62" s="2">
        <v>1.2889999999999999</v>
      </c>
      <c r="AD62" s="2">
        <v>5.1139999999999999</v>
      </c>
      <c r="AE62" s="2">
        <v>-26.22</v>
      </c>
      <c r="AF62" s="2">
        <v>-5.9420000000000002</v>
      </c>
      <c r="AG62" s="2">
        <v>-37.380000000000003</v>
      </c>
      <c r="AH62" s="2">
        <v>-5.9420000000000002</v>
      </c>
      <c r="AI62" s="2">
        <v>-37.380000000000003</v>
      </c>
      <c r="AJ62" s="2" t="s">
        <v>113</v>
      </c>
      <c r="AK62" s="2" t="s">
        <v>113</v>
      </c>
      <c r="AL62" s="2">
        <v>-17.09</v>
      </c>
      <c r="AM62" s="2">
        <v>-2.1930000000000001</v>
      </c>
      <c r="AN62" s="2">
        <v>-26.14</v>
      </c>
      <c r="AO62" s="2"/>
      <c r="AP62" s="1">
        <f t="shared" si="0"/>
        <v>0.8660000000000001</v>
      </c>
      <c r="AQ62" s="22">
        <f t="shared" si="33"/>
        <v>-1.1000000000000001</v>
      </c>
      <c r="AR62" s="5">
        <v>12.88</v>
      </c>
      <c r="AS62" s="5">
        <v>12.62</v>
      </c>
      <c r="AT62" s="5">
        <v>10.55</v>
      </c>
      <c r="AU62" s="7">
        <f t="shared" si="26"/>
        <v>0.83599999999999997</v>
      </c>
      <c r="AV62" s="16"/>
      <c r="AW62" s="29">
        <v>0</v>
      </c>
      <c r="AX62" s="29">
        <v>862</v>
      </c>
      <c r="AY62" s="1">
        <f t="shared" ref="AY62:AY125" si="45">ROUND(AZ$1*N62+AZ$2,1)</f>
        <v>95.1</v>
      </c>
      <c r="AZ62" s="1">
        <f t="shared" ref="AZ62:AZ125" si="46">ROUND(H62*AZ$1+AZ$2,1)</f>
        <v>75.599999999999994</v>
      </c>
      <c r="BA62" s="1">
        <f t="shared" ref="BA62:BA125" si="47">ROUND(T62*AZ$1+AZ$2,1)</f>
        <v>45.8</v>
      </c>
      <c r="BB62" s="8">
        <f t="shared" ref="BB62:BB125" si="48">ROUND((0.6105*(EXP((17.273*M62)/(M62+237.3))))*BA62/100,3)</f>
        <v>0.158</v>
      </c>
      <c r="BC62" s="8">
        <f t="shared" ref="BC62:BC125" si="49">ROUND(BB62/BA62*(100-BA62),3)</f>
        <v>0.187</v>
      </c>
      <c r="BE62" s="5">
        <f t="shared" si="7"/>
        <v>12.62</v>
      </c>
      <c r="BF62" s="5">
        <f t="shared" si="8"/>
        <v>10.55</v>
      </c>
      <c r="BG62" s="1">
        <f t="shared" ref="BG62:BG93" si="50">IF(G62="NAN","NAN",ROUND(G62,1))</f>
        <v>-17.399999999999999</v>
      </c>
      <c r="BH62" s="1">
        <f t="shared" ref="BH62:BH93" si="51">IF(M62="NAN","NAN",ROUND(M62,1))</f>
        <v>-7.6</v>
      </c>
      <c r="BI62" s="1">
        <f t="shared" ref="BI62:BI93" si="52">IF(S62="NAN","NAN",ROUND(S62,1))</f>
        <v>-25.1</v>
      </c>
      <c r="BJ62" s="1">
        <f t="shared" si="12"/>
        <v>75.599999999999994</v>
      </c>
      <c r="BK62" s="1">
        <f t="shared" si="13"/>
        <v>45.8</v>
      </c>
      <c r="BL62" s="1">
        <f t="shared" si="27"/>
        <v>1.3</v>
      </c>
      <c r="BM62" s="1">
        <f t="shared" si="28"/>
        <v>5.0999999999999996</v>
      </c>
      <c r="BN62" s="21">
        <f t="shared" si="16"/>
        <v>0</v>
      </c>
      <c r="BO62" s="7">
        <f t="shared" si="17"/>
        <v>0.8660000000000001</v>
      </c>
      <c r="BP62" s="21">
        <f t="shared" si="42"/>
        <v>-1.1000000000000001</v>
      </c>
      <c r="BQ62" s="1">
        <f t="shared" si="19"/>
        <v>-26.2</v>
      </c>
      <c r="BR62" s="1">
        <f t="shared" si="20"/>
        <v>-5.9</v>
      </c>
      <c r="BS62" s="1">
        <f t="shared" si="21"/>
        <v>-37.4</v>
      </c>
      <c r="BT62" s="1" t="s">
        <v>113</v>
      </c>
      <c r="BU62" s="1" t="s">
        <v>113</v>
      </c>
      <c r="BV62" s="1" t="s">
        <v>113</v>
      </c>
      <c r="BW62" s="1" t="str">
        <f t="shared" si="29"/>
        <v>NAN</v>
      </c>
      <c r="BX62" s="1">
        <f t="shared" si="30"/>
        <v>0.158</v>
      </c>
      <c r="BY62" s="1">
        <f t="shared" si="31"/>
        <v>0.187</v>
      </c>
      <c r="CA62" s="1">
        <f t="shared" si="24"/>
        <v>1.6999999999999993</v>
      </c>
      <c r="CB62" s="1">
        <f t="shared" si="25"/>
        <v>-12.299999999999997</v>
      </c>
    </row>
    <row r="63" spans="1:80" x14ac:dyDescent="0.2">
      <c r="A63" s="9">
        <f t="shared" si="32"/>
        <v>43523</v>
      </c>
      <c r="B63" s="2">
        <v>58</v>
      </c>
      <c r="C63" s="2">
        <v>21</v>
      </c>
      <c r="D63" s="2">
        <v>13.18</v>
      </c>
      <c r="E63" s="2">
        <v>-2.4430000000000001</v>
      </c>
      <c r="F63" s="2">
        <v>-24.72</v>
      </c>
      <c r="G63" s="2">
        <v>-10.56</v>
      </c>
      <c r="H63" s="2">
        <v>74.2</v>
      </c>
      <c r="I63" s="2">
        <v>-2.8620000000000001</v>
      </c>
      <c r="J63" s="2">
        <v>-0.441</v>
      </c>
      <c r="K63" s="2">
        <v>-0.40600000000000003</v>
      </c>
      <c r="L63" s="2">
        <v>0.76500000000000001</v>
      </c>
      <c r="M63" s="2">
        <v>-4.8979999999999997</v>
      </c>
      <c r="N63" s="2">
        <v>94.2</v>
      </c>
      <c r="O63" s="2">
        <v>-2.2749999999999999</v>
      </c>
      <c r="P63" s="2">
        <v>6.7000000000000004E-2</v>
      </c>
      <c r="Q63" s="2">
        <v>0.09</v>
      </c>
      <c r="R63" s="2">
        <v>1.0489999999999999</v>
      </c>
      <c r="S63" s="2">
        <v>-22.77</v>
      </c>
      <c r="T63" s="2">
        <v>29.36</v>
      </c>
      <c r="U63" s="2">
        <v>-3.222</v>
      </c>
      <c r="V63" s="2">
        <v>-0.78800000000000003</v>
      </c>
      <c r="W63" s="2">
        <v>-0.74199999999999999</v>
      </c>
      <c r="X63" s="2">
        <v>0.503</v>
      </c>
      <c r="Y63" s="2">
        <v>1.591</v>
      </c>
      <c r="Z63" s="2">
        <v>0</v>
      </c>
      <c r="AA63" s="2">
        <v>4.9800000000000004</v>
      </c>
      <c r="AB63" s="2">
        <v>4.3310000000000004</v>
      </c>
      <c r="AC63" s="2">
        <v>1.321</v>
      </c>
      <c r="AD63" s="2">
        <v>4.18</v>
      </c>
      <c r="AE63" s="2">
        <v>-14.04</v>
      </c>
      <c r="AF63" s="2">
        <v>-6.8040000000000003</v>
      </c>
      <c r="AG63" s="2">
        <v>-34.33</v>
      </c>
      <c r="AH63" s="2">
        <v>-6.8040000000000003</v>
      </c>
      <c r="AI63" s="2">
        <v>-34.33</v>
      </c>
      <c r="AJ63" s="2" t="s">
        <v>113</v>
      </c>
      <c r="AK63" s="2" t="s">
        <v>113</v>
      </c>
      <c r="AL63" s="2">
        <v>-10.5</v>
      </c>
      <c r="AM63" s="2">
        <v>-2.992</v>
      </c>
      <c r="AN63" s="2">
        <v>-24.13</v>
      </c>
      <c r="AO63" s="2"/>
      <c r="AP63" s="1">
        <f t="shared" si="0"/>
        <v>0.85900000000000021</v>
      </c>
      <c r="AQ63" s="22">
        <f t="shared" si="33"/>
        <v>-1.2</v>
      </c>
      <c r="AR63" s="5">
        <v>13.12</v>
      </c>
      <c r="AS63" s="5">
        <v>5.23</v>
      </c>
      <c r="AT63" s="5">
        <v>4.3</v>
      </c>
      <c r="AU63" s="7">
        <f t="shared" si="26"/>
        <v>0.82199999999999995</v>
      </c>
      <c r="AV63" s="16"/>
      <c r="AW63" s="29">
        <v>0</v>
      </c>
      <c r="AX63" s="29">
        <v>855</v>
      </c>
      <c r="AY63" s="1">
        <f t="shared" si="45"/>
        <v>90.9</v>
      </c>
      <c r="AZ63" s="1">
        <f t="shared" si="46"/>
        <v>71.5</v>
      </c>
      <c r="BA63" s="1">
        <f t="shared" si="47"/>
        <v>28</v>
      </c>
      <c r="BB63" s="8">
        <f t="shared" si="48"/>
        <v>0.11899999999999999</v>
      </c>
      <c r="BC63" s="8">
        <f t="shared" si="49"/>
        <v>0.30599999999999999</v>
      </c>
      <c r="BE63" s="5">
        <f t="shared" si="7"/>
        <v>5.23</v>
      </c>
      <c r="BF63" s="5">
        <f t="shared" si="8"/>
        <v>4.3</v>
      </c>
      <c r="BG63" s="1">
        <f t="shared" si="50"/>
        <v>-10.6</v>
      </c>
      <c r="BH63" s="1">
        <f t="shared" si="51"/>
        <v>-4.9000000000000004</v>
      </c>
      <c r="BI63" s="1">
        <f t="shared" si="52"/>
        <v>-22.8</v>
      </c>
      <c r="BJ63" s="1">
        <f t="shared" si="12"/>
        <v>71.5</v>
      </c>
      <c r="BK63" s="1">
        <f t="shared" si="13"/>
        <v>28</v>
      </c>
      <c r="BL63" s="1">
        <f t="shared" si="27"/>
        <v>1.3</v>
      </c>
      <c r="BM63" s="1">
        <f t="shared" si="28"/>
        <v>4.2</v>
      </c>
      <c r="BN63" s="21">
        <f t="shared" si="16"/>
        <v>0</v>
      </c>
      <c r="BO63" s="7">
        <f t="shared" si="17"/>
        <v>0.85900000000000021</v>
      </c>
      <c r="BP63" s="21">
        <f t="shared" si="42"/>
        <v>-1.2</v>
      </c>
      <c r="BQ63" s="1">
        <f t="shared" si="19"/>
        <v>-14</v>
      </c>
      <c r="BR63" s="1">
        <f t="shared" si="20"/>
        <v>-6.8</v>
      </c>
      <c r="BS63" s="1">
        <f t="shared" si="21"/>
        <v>-34.299999999999997</v>
      </c>
      <c r="BT63" s="1" t="s">
        <v>113</v>
      </c>
      <c r="BU63" s="1" t="s">
        <v>113</v>
      </c>
      <c r="BV63" s="1" t="s">
        <v>113</v>
      </c>
      <c r="BW63" s="1" t="str">
        <f t="shared" si="29"/>
        <v>NAN</v>
      </c>
      <c r="BX63" s="1">
        <f t="shared" si="30"/>
        <v>0.11899999999999999</v>
      </c>
      <c r="BY63" s="1">
        <f t="shared" si="31"/>
        <v>0.30599999999999999</v>
      </c>
      <c r="CA63" s="1">
        <f t="shared" si="24"/>
        <v>-1.8999999999999995</v>
      </c>
      <c r="CB63" s="1">
        <f t="shared" si="25"/>
        <v>-11.499999999999996</v>
      </c>
    </row>
    <row r="64" spans="1:80" x14ac:dyDescent="0.2">
      <c r="A64" s="9">
        <f t="shared" si="32"/>
        <v>43524</v>
      </c>
      <c r="B64" s="2">
        <v>59</v>
      </c>
      <c r="C64" s="2">
        <v>21</v>
      </c>
      <c r="D64" s="2">
        <v>13.16</v>
      </c>
      <c r="E64" s="2">
        <v>-0.75600000000000001</v>
      </c>
      <c r="F64" s="2">
        <v>-9.76</v>
      </c>
      <c r="G64" s="2">
        <v>-8.1</v>
      </c>
      <c r="H64" s="2">
        <v>90.3</v>
      </c>
      <c r="I64" s="2">
        <v>-3.1720000000000002</v>
      </c>
      <c r="J64" s="2">
        <v>-0.41699999999999998</v>
      </c>
      <c r="K64" s="2">
        <v>-0.379</v>
      </c>
      <c r="L64" s="2">
        <v>0.82299999999999995</v>
      </c>
      <c r="M64" s="2">
        <v>-4.7069999999999999</v>
      </c>
      <c r="N64" s="2">
        <v>97.5</v>
      </c>
      <c r="O64" s="2">
        <v>-2.5550000000000002</v>
      </c>
      <c r="P64" s="2">
        <v>0.19600000000000001</v>
      </c>
      <c r="Q64" s="2">
        <v>0.23</v>
      </c>
      <c r="R64" s="2">
        <v>1.173</v>
      </c>
      <c r="S64" s="2">
        <v>-10.06</v>
      </c>
      <c r="T64" s="2">
        <v>68.489999999999995</v>
      </c>
      <c r="U64" s="2">
        <v>-3.3029999999999999</v>
      </c>
      <c r="V64" s="2">
        <v>-0.56499999999999995</v>
      </c>
      <c r="W64" s="2">
        <v>-0.51900000000000002</v>
      </c>
      <c r="X64" s="2">
        <v>0.72499999999999998</v>
      </c>
      <c r="Y64" s="2">
        <v>1.514</v>
      </c>
      <c r="Z64" s="2">
        <v>0</v>
      </c>
      <c r="AA64" s="2">
        <v>2.077</v>
      </c>
      <c r="AB64" s="2">
        <v>5.5819999999999999</v>
      </c>
      <c r="AC64" s="2">
        <v>1.1830000000000001</v>
      </c>
      <c r="AD64" s="2">
        <v>4.2869999999999999</v>
      </c>
      <c r="AE64" s="2">
        <v>-9.66</v>
      </c>
      <c r="AF64" s="2">
        <v>-5.7069999999999999</v>
      </c>
      <c r="AG64" s="2">
        <v>-19.5</v>
      </c>
      <c r="AH64" s="2">
        <v>-5.7069999999999999</v>
      </c>
      <c r="AI64" s="2">
        <v>-19.5</v>
      </c>
      <c r="AJ64" s="2" t="s">
        <v>113</v>
      </c>
      <c r="AK64" s="2" t="s">
        <v>113</v>
      </c>
      <c r="AL64" s="2">
        <v>-7.93</v>
      </c>
      <c r="AM64" s="2">
        <v>-3.4590000000000001</v>
      </c>
      <c r="AN64" s="2">
        <v>-10.6</v>
      </c>
      <c r="AO64" s="2"/>
      <c r="AP64" s="1">
        <f t="shared" si="0"/>
        <v>0.93600000000000017</v>
      </c>
      <c r="AQ64" s="22">
        <f t="shared" si="33"/>
        <v>-1.3</v>
      </c>
      <c r="AR64" s="5">
        <v>13.35</v>
      </c>
      <c r="AS64" s="5">
        <v>5.99</v>
      </c>
      <c r="AT64" s="5">
        <v>5.57</v>
      </c>
      <c r="AU64" s="7">
        <f t="shared" si="26"/>
        <v>0.93</v>
      </c>
      <c r="AV64" s="16"/>
      <c r="AW64" s="29">
        <v>8.4700000000000006</v>
      </c>
      <c r="AX64" s="29">
        <v>932</v>
      </c>
      <c r="AY64" s="1">
        <f t="shared" si="45"/>
        <v>94.1</v>
      </c>
      <c r="AZ64" s="1">
        <f t="shared" si="46"/>
        <v>87.1</v>
      </c>
      <c r="BA64" s="1">
        <f t="shared" si="47"/>
        <v>65.900000000000006</v>
      </c>
      <c r="BB64" s="8">
        <f t="shared" si="48"/>
        <v>0.28399999999999997</v>
      </c>
      <c r="BC64" s="8">
        <f t="shared" si="49"/>
        <v>0.14699999999999999</v>
      </c>
      <c r="BE64" s="5">
        <f t="shared" si="7"/>
        <v>5.99</v>
      </c>
      <c r="BF64" s="5">
        <f t="shared" si="8"/>
        <v>5.57</v>
      </c>
      <c r="BG64" s="1">
        <f t="shared" si="50"/>
        <v>-8.1</v>
      </c>
      <c r="BH64" s="1">
        <f t="shared" si="51"/>
        <v>-4.7</v>
      </c>
      <c r="BI64" s="1">
        <f t="shared" si="52"/>
        <v>-10.1</v>
      </c>
      <c r="BJ64" s="1">
        <f t="shared" si="12"/>
        <v>87.1</v>
      </c>
      <c r="BK64" s="1">
        <f t="shared" si="13"/>
        <v>65.900000000000006</v>
      </c>
      <c r="BL64" s="1">
        <f t="shared" si="27"/>
        <v>1.2</v>
      </c>
      <c r="BM64" s="1">
        <f t="shared" si="28"/>
        <v>4.3</v>
      </c>
      <c r="BN64" s="21">
        <f t="shared" si="16"/>
        <v>8.4700000000000006</v>
      </c>
      <c r="BO64" s="7">
        <f t="shared" si="17"/>
        <v>0.93600000000000017</v>
      </c>
      <c r="BP64" s="21">
        <f t="shared" si="42"/>
        <v>-1.3</v>
      </c>
      <c r="BQ64" s="1">
        <f t="shared" si="19"/>
        <v>-9.6999999999999993</v>
      </c>
      <c r="BR64" s="1">
        <f t="shared" si="20"/>
        <v>-5.7</v>
      </c>
      <c r="BS64" s="1">
        <f t="shared" si="21"/>
        <v>-19.5</v>
      </c>
      <c r="BT64" s="1" t="s">
        <v>113</v>
      </c>
      <c r="BU64" s="1" t="s">
        <v>113</v>
      </c>
      <c r="BV64" s="1" t="s">
        <v>113</v>
      </c>
      <c r="BW64" s="1" t="str">
        <f t="shared" si="29"/>
        <v>NAN</v>
      </c>
      <c r="BX64" s="1">
        <f t="shared" si="30"/>
        <v>0.28399999999999997</v>
      </c>
      <c r="BY64" s="1">
        <f t="shared" si="31"/>
        <v>0.14699999999999999</v>
      </c>
      <c r="CA64" s="1">
        <f t="shared" si="24"/>
        <v>-1</v>
      </c>
      <c r="CB64" s="1">
        <f t="shared" si="25"/>
        <v>-9.4</v>
      </c>
    </row>
    <row r="65" spans="1:80" x14ac:dyDescent="0.2">
      <c r="A65" s="9">
        <f t="shared" si="32"/>
        <v>43525</v>
      </c>
      <c r="B65" s="2">
        <v>60</v>
      </c>
      <c r="C65" s="2">
        <v>21</v>
      </c>
      <c r="D65" s="2">
        <v>13.17</v>
      </c>
      <c r="E65" s="2">
        <v>5.51</v>
      </c>
      <c r="F65" s="2">
        <v>-13.2</v>
      </c>
      <c r="G65" s="2">
        <v>-8.91</v>
      </c>
      <c r="H65" s="2">
        <v>85</v>
      </c>
      <c r="I65" s="2">
        <v>-2.891</v>
      </c>
      <c r="J65" s="2">
        <v>-0.312</v>
      </c>
      <c r="K65" s="2">
        <v>-0.27500000000000002</v>
      </c>
      <c r="L65" s="2">
        <v>0.86199999999999999</v>
      </c>
      <c r="M65" s="2">
        <v>-3.9630000000000001</v>
      </c>
      <c r="N65" s="2">
        <v>98.7</v>
      </c>
      <c r="O65" s="2">
        <v>-1.48</v>
      </c>
      <c r="P65" s="2">
        <v>1.1839999999999999</v>
      </c>
      <c r="Q65" s="2">
        <v>1.2070000000000001</v>
      </c>
      <c r="R65" s="2">
        <v>1.5780000000000001</v>
      </c>
      <c r="S65" s="2">
        <v>-14.7</v>
      </c>
      <c r="T65" s="2">
        <v>55.06</v>
      </c>
      <c r="U65" s="2">
        <v>-3.29</v>
      </c>
      <c r="V65" s="2">
        <v>-0.63400000000000001</v>
      </c>
      <c r="W65" s="2">
        <v>-0.59799999999999998</v>
      </c>
      <c r="X65" s="2">
        <v>0.64800000000000002</v>
      </c>
      <c r="Y65" s="2">
        <v>1.5309999999999999</v>
      </c>
      <c r="Z65" s="2">
        <v>0</v>
      </c>
      <c r="AA65" s="2">
        <v>3.0350000000000001</v>
      </c>
      <c r="AB65" s="2">
        <v>8.0399999999999991</v>
      </c>
      <c r="AC65" s="2">
        <v>1.294</v>
      </c>
      <c r="AD65" s="2">
        <v>4.1539999999999999</v>
      </c>
      <c r="AE65" s="2">
        <v>-12.82</v>
      </c>
      <c r="AF65" s="2">
        <v>-5.984</v>
      </c>
      <c r="AG65" s="2">
        <v>-26.14</v>
      </c>
      <c r="AH65" s="2">
        <v>-5.984</v>
      </c>
      <c r="AI65" s="2">
        <v>-26.14</v>
      </c>
      <c r="AJ65" s="2" t="s">
        <v>113</v>
      </c>
      <c r="AK65" s="2" t="s">
        <v>113</v>
      </c>
      <c r="AL65" s="2">
        <v>-8.56</v>
      </c>
      <c r="AM65" s="2">
        <v>-7.0000000000000007E-2</v>
      </c>
      <c r="AN65" s="2">
        <v>-15.02</v>
      </c>
      <c r="AO65" s="2"/>
      <c r="AP65" s="1">
        <f t="shared" si="0"/>
        <v>0.91900000000000026</v>
      </c>
      <c r="AQ65" s="22">
        <f t="shared" si="33"/>
        <v>-1.2</v>
      </c>
      <c r="AR65" s="5">
        <v>13.59</v>
      </c>
      <c r="AS65" s="5">
        <v>8.6199999999999992</v>
      </c>
      <c r="AT65" s="5">
        <v>8.01</v>
      </c>
      <c r="AU65" s="7">
        <f t="shared" si="26"/>
        <v>0.92900000000000005</v>
      </c>
      <c r="AV65" s="16"/>
      <c r="AW65" s="29">
        <v>0</v>
      </c>
      <c r="AX65" s="29">
        <v>915</v>
      </c>
      <c r="AY65" s="1">
        <f t="shared" si="45"/>
        <v>95.2</v>
      </c>
      <c r="AZ65" s="1">
        <f t="shared" si="46"/>
        <v>82</v>
      </c>
      <c r="BA65" s="1">
        <f t="shared" si="47"/>
        <v>52.9</v>
      </c>
      <c r="BB65" s="8">
        <f t="shared" si="48"/>
        <v>0.24099999999999999</v>
      </c>
      <c r="BC65" s="8">
        <f t="shared" si="49"/>
        <v>0.215</v>
      </c>
      <c r="BE65" s="5">
        <f t="shared" si="7"/>
        <v>8.6199999999999992</v>
      </c>
      <c r="BF65" s="5">
        <f t="shared" si="8"/>
        <v>8.01</v>
      </c>
      <c r="BG65" s="1">
        <f t="shared" si="50"/>
        <v>-8.9</v>
      </c>
      <c r="BH65" s="1">
        <f t="shared" si="51"/>
        <v>-4</v>
      </c>
      <c r="BI65" s="1">
        <f t="shared" si="52"/>
        <v>-14.7</v>
      </c>
      <c r="BJ65" s="1">
        <f t="shared" si="12"/>
        <v>82</v>
      </c>
      <c r="BK65" s="1">
        <f t="shared" si="13"/>
        <v>52.9</v>
      </c>
      <c r="BL65" s="1">
        <f t="shared" si="27"/>
        <v>1.3</v>
      </c>
      <c r="BM65" s="1">
        <f t="shared" si="28"/>
        <v>4.2</v>
      </c>
      <c r="BN65" s="21">
        <f t="shared" si="16"/>
        <v>0</v>
      </c>
      <c r="BO65" s="7">
        <f t="shared" si="17"/>
        <v>0.91900000000000026</v>
      </c>
      <c r="BP65" s="21">
        <f t="shared" si="42"/>
        <v>-1.2</v>
      </c>
      <c r="BQ65" s="1">
        <f t="shared" si="19"/>
        <v>-12.8</v>
      </c>
      <c r="BR65" s="1">
        <f t="shared" si="20"/>
        <v>-6</v>
      </c>
      <c r="BS65" s="1">
        <f t="shared" si="21"/>
        <v>-26.1</v>
      </c>
      <c r="BT65" s="1" t="s">
        <v>113</v>
      </c>
      <c r="BU65" s="1" t="s">
        <v>113</v>
      </c>
      <c r="BV65" s="1" t="s">
        <v>113</v>
      </c>
      <c r="BW65" s="1" t="str">
        <f t="shared" si="29"/>
        <v>NAN</v>
      </c>
      <c r="BX65" s="1">
        <f t="shared" si="30"/>
        <v>0.24099999999999999</v>
      </c>
      <c r="BY65" s="1">
        <f t="shared" si="31"/>
        <v>0.215</v>
      </c>
      <c r="CA65" s="1">
        <f t="shared" si="24"/>
        <v>-2</v>
      </c>
      <c r="CB65" s="1">
        <f t="shared" si="25"/>
        <v>-11.400000000000002</v>
      </c>
    </row>
    <row r="66" spans="1:80" x14ac:dyDescent="0.2">
      <c r="A66" s="9">
        <f t="shared" si="32"/>
        <v>43526</v>
      </c>
      <c r="B66" s="2">
        <v>61</v>
      </c>
      <c r="C66" s="2">
        <v>21</v>
      </c>
      <c r="D66" s="2">
        <v>13.08</v>
      </c>
      <c r="E66" s="2">
        <v>-0.999</v>
      </c>
      <c r="F66" s="2">
        <v>-23.61</v>
      </c>
      <c r="G66" s="2">
        <v>-15.43</v>
      </c>
      <c r="H66" s="2">
        <v>85.3</v>
      </c>
      <c r="I66" s="2">
        <v>-2.746</v>
      </c>
      <c r="J66" s="2">
        <v>-0.434</v>
      </c>
      <c r="K66" s="2">
        <v>-0.39500000000000002</v>
      </c>
      <c r="L66" s="2">
        <v>0.77200000000000002</v>
      </c>
      <c r="M66" s="2">
        <v>-8.43</v>
      </c>
      <c r="N66" s="2">
        <v>98.3</v>
      </c>
      <c r="O66" s="2">
        <v>-1.409</v>
      </c>
      <c r="P66" s="2">
        <v>0.97599999999999998</v>
      </c>
      <c r="Q66" s="2">
        <v>0.97899999999999998</v>
      </c>
      <c r="R66" s="2">
        <v>1.548</v>
      </c>
      <c r="S66" s="2">
        <v>-23.35</v>
      </c>
      <c r="T66" s="2">
        <v>61.01</v>
      </c>
      <c r="U66" s="2">
        <v>-3.1419999999999999</v>
      </c>
      <c r="V66" s="2">
        <v>-0.88900000000000001</v>
      </c>
      <c r="W66" s="2">
        <v>-0.83399999999999996</v>
      </c>
      <c r="X66" s="2">
        <v>0.39900000000000002</v>
      </c>
      <c r="Y66" s="2">
        <v>1.554</v>
      </c>
      <c r="Z66" s="2">
        <v>0</v>
      </c>
      <c r="AA66" s="2">
        <v>6.94</v>
      </c>
      <c r="AB66" s="2">
        <v>8.67</v>
      </c>
      <c r="AC66" s="2">
        <v>1.466</v>
      </c>
      <c r="AD66" s="2">
        <v>5.4340000000000002</v>
      </c>
      <c r="AE66" s="2">
        <v>-23.41</v>
      </c>
      <c r="AF66" s="2">
        <v>-7</v>
      </c>
      <c r="AG66" s="2">
        <v>-35.86</v>
      </c>
      <c r="AH66" s="2">
        <v>-7</v>
      </c>
      <c r="AI66" s="2">
        <v>-35.86</v>
      </c>
      <c r="AJ66" s="2" t="s">
        <v>113</v>
      </c>
      <c r="AK66" s="2" t="s">
        <v>113</v>
      </c>
      <c r="AL66" s="2">
        <v>-15.65</v>
      </c>
      <c r="AM66" s="2">
        <v>-5.3109999999999999</v>
      </c>
      <c r="AN66" s="2">
        <v>-24.63</v>
      </c>
      <c r="AO66" s="2"/>
      <c r="AP66" s="1">
        <f t="shared" si="0"/>
        <v>0.89600000000000013</v>
      </c>
      <c r="AQ66" s="22">
        <f t="shared" si="33"/>
        <v>-1.2</v>
      </c>
      <c r="AR66" s="5">
        <v>13.82</v>
      </c>
      <c r="AS66" s="5">
        <v>9.69</v>
      </c>
      <c r="AT66" s="5">
        <v>8.64</v>
      </c>
      <c r="AU66" s="7">
        <f t="shared" si="26"/>
        <v>0.89200000000000002</v>
      </c>
      <c r="AV66" s="16"/>
      <c r="AW66" s="29">
        <v>0</v>
      </c>
      <c r="AX66" s="29">
        <v>892</v>
      </c>
      <c r="AY66" s="1">
        <f t="shared" si="45"/>
        <v>94.9</v>
      </c>
      <c r="AZ66" s="1">
        <f t="shared" si="46"/>
        <v>82.2</v>
      </c>
      <c r="BA66" s="1">
        <f t="shared" si="47"/>
        <v>58.7</v>
      </c>
      <c r="BB66" s="8">
        <f t="shared" si="48"/>
        <v>0.19</v>
      </c>
      <c r="BC66" s="8">
        <f t="shared" si="49"/>
        <v>0.13400000000000001</v>
      </c>
      <c r="BE66" s="5">
        <f t="shared" si="7"/>
        <v>9.69</v>
      </c>
      <c r="BF66" s="5">
        <f t="shared" si="8"/>
        <v>8.64</v>
      </c>
      <c r="BG66" s="1">
        <f t="shared" si="50"/>
        <v>-15.4</v>
      </c>
      <c r="BH66" s="1">
        <f t="shared" si="51"/>
        <v>-8.4</v>
      </c>
      <c r="BI66" s="1">
        <f t="shared" si="52"/>
        <v>-23.4</v>
      </c>
      <c r="BJ66" s="1">
        <f t="shared" si="12"/>
        <v>82.2</v>
      </c>
      <c r="BK66" s="1">
        <f t="shared" si="13"/>
        <v>58.7</v>
      </c>
      <c r="BL66" s="1">
        <f t="shared" si="27"/>
        <v>1.5</v>
      </c>
      <c r="BM66" s="1">
        <f t="shared" si="28"/>
        <v>5.4</v>
      </c>
      <c r="BN66" s="21">
        <f t="shared" si="16"/>
        <v>0</v>
      </c>
      <c r="BO66" s="7">
        <f t="shared" si="17"/>
        <v>0.89600000000000013</v>
      </c>
      <c r="BP66" s="21">
        <f t="shared" si="42"/>
        <v>-1.2</v>
      </c>
      <c r="BQ66" s="1">
        <f t="shared" si="19"/>
        <v>-23.4</v>
      </c>
      <c r="BR66" s="1">
        <f t="shared" si="20"/>
        <v>-7</v>
      </c>
      <c r="BS66" s="1">
        <f t="shared" si="21"/>
        <v>-35.9</v>
      </c>
      <c r="BT66" s="1" t="s">
        <v>113</v>
      </c>
      <c r="BU66" s="1" t="s">
        <v>113</v>
      </c>
      <c r="BV66" s="1" t="s">
        <v>113</v>
      </c>
      <c r="BW66" s="1" t="str">
        <f t="shared" si="29"/>
        <v>NAN</v>
      </c>
      <c r="BX66" s="1">
        <f t="shared" si="30"/>
        <v>0.19</v>
      </c>
      <c r="BY66" s="1">
        <f t="shared" si="31"/>
        <v>0.13400000000000001</v>
      </c>
      <c r="CA66" s="1">
        <f t="shared" si="24"/>
        <v>1.4000000000000004</v>
      </c>
      <c r="CB66" s="1">
        <f t="shared" si="25"/>
        <v>-12.5</v>
      </c>
    </row>
    <row r="67" spans="1:80" x14ac:dyDescent="0.2">
      <c r="A67" s="9">
        <f t="shared" si="32"/>
        <v>43527</v>
      </c>
      <c r="B67" s="2">
        <v>62</v>
      </c>
      <c r="C67" s="2">
        <v>21</v>
      </c>
      <c r="D67" s="2">
        <v>13.03</v>
      </c>
      <c r="E67" s="2">
        <v>6.2160000000000002</v>
      </c>
      <c r="F67" s="2">
        <v>-29.41</v>
      </c>
      <c r="G67" s="2">
        <v>-18.45</v>
      </c>
      <c r="H67" s="2">
        <v>72.900000000000006</v>
      </c>
      <c r="I67" s="2">
        <v>-2.8610000000000002</v>
      </c>
      <c r="J67" s="2">
        <v>-0.50800000000000001</v>
      </c>
      <c r="K67" s="2">
        <v>-0.46600000000000003</v>
      </c>
      <c r="L67" s="2">
        <v>0.64400000000000002</v>
      </c>
      <c r="M67" s="2">
        <v>-7.26</v>
      </c>
      <c r="N67" s="2">
        <v>93.8</v>
      </c>
      <c r="O67" s="2">
        <v>-0.92</v>
      </c>
      <c r="P67" s="2">
        <v>1.44</v>
      </c>
      <c r="Q67" s="2">
        <v>1.4419999999999999</v>
      </c>
      <c r="R67" s="2">
        <v>1.6970000000000001</v>
      </c>
      <c r="S67" s="2">
        <v>-26.74</v>
      </c>
      <c r="T67" s="2">
        <v>38.06</v>
      </c>
      <c r="U67" s="2">
        <v>-3.609</v>
      </c>
      <c r="V67" s="2">
        <v>-1.2110000000000001</v>
      </c>
      <c r="W67" s="2">
        <v>-1.167</v>
      </c>
      <c r="X67" s="2">
        <v>0.14299999999999999</v>
      </c>
      <c r="Y67" s="2">
        <v>1.5680000000000001</v>
      </c>
      <c r="Z67" s="2">
        <v>0</v>
      </c>
      <c r="AA67" s="2">
        <v>12.6</v>
      </c>
      <c r="AB67" s="2">
        <v>11.91</v>
      </c>
      <c r="AC67" s="2">
        <v>0.80100000000000005</v>
      </c>
      <c r="AD67" s="2">
        <v>4.74</v>
      </c>
      <c r="AE67" s="2">
        <v>-29.63</v>
      </c>
      <c r="AF67" s="2">
        <v>-11.54</v>
      </c>
      <c r="AG67" s="2">
        <v>-40.65</v>
      </c>
      <c r="AH67" s="2">
        <v>-11.54</v>
      </c>
      <c r="AI67" s="2">
        <v>-40.65</v>
      </c>
      <c r="AJ67" s="2" t="s">
        <v>113</v>
      </c>
      <c r="AK67" s="2" t="s">
        <v>113</v>
      </c>
      <c r="AL67" s="2">
        <v>-18.25</v>
      </c>
      <c r="AM67" s="2">
        <v>-2.1459999999999999</v>
      </c>
      <c r="AN67" s="2">
        <v>-28.54</v>
      </c>
      <c r="AO67" s="2"/>
      <c r="AP67" s="1">
        <f t="shared" si="0"/>
        <v>0.88200000000000012</v>
      </c>
      <c r="AQ67" s="22">
        <f t="shared" si="33"/>
        <v>-1.3</v>
      </c>
      <c r="AR67" s="5">
        <v>14.07</v>
      </c>
      <c r="AS67" s="5">
        <v>13.27</v>
      </c>
      <c r="AT67" s="5">
        <v>11.8</v>
      </c>
      <c r="AU67" s="7">
        <f t="shared" si="26"/>
        <v>0.88900000000000001</v>
      </c>
      <c r="AV67" s="16"/>
      <c r="AW67" s="29">
        <v>0</v>
      </c>
      <c r="AX67" s="29">
        <v>878</v>
      </c>
      <c r="AY67" s="1">
        <f t="shared" si="45"/>
        <v>90.5</v>
      </c>
      <c r="AZ67" s="1">
        <f t="shared" si="46"/>
        <v>70.2</v>
      </c>
      <c r="BA67" s="1">
        <f t="shared" si="47"/>
        <v>36.4</v>
      </c>
      <c r="BB67" s="8">
        <f t="shared" si="48"/>
        <v>0.129</v>
      </c>
      <c r="BC67" s="8">
        <f t="shared" si="49"/>
        <v>0.22500000000000001</v>
      </c>
      <c r="BE67" s="5">
        <f t="shared" si="7"/>
        <v>13.27</v>
      </c>
      <c r="BF67" s="5">
        <f t="shared" si="8"/>
        <v>11.8</v>
      </c>
      <c r="BG67" s="1">
        <f t="shared" si="50"/>
        <v>-18.5</v>
      </c>
      <c r="BH67" s="1">
        <f t="shared" si="51"/>
        <v>-7.3</v>
      </c>
      <c r="BI67" s="1">
        <f t="shared" si="52"/>
        <v>-26.7</v>
      </c>
      <c r="BJ67" s="1">
        <f t="shared" si="12"/>
        <v>70.2</v>
      </c>
      <c r="BK67" s="1">
        <f t="shared" si="13"/>
        <v>36.4</v>
      </c>
      <c r="BL67" s="1">
        <f t="shared" si="27"/>
        <v>0.8</v>
      </c>
      <c r="BM67" s="1">
        <f t="shared" si="28"/>
        <v>4.7</v>
      </c>
      <c r="BN67" s="21">
        <f t="shared" si="16"/>
        <v>0</v>
      </c>
      <c r="BO67" s="7">
        <f t="shared" si="17"/>
        <v>0.88200000000000012</v>
      </c>
      <c r="BP67" s="21">
        <f t="shared" si="42"/>
        <v>-1.3</v>
      </c>
      <c r="BQ67" s="1">
        <f t="shared" si="19"/>
        <v>-29.6</v>
      </c>
      <c r="BR67" s="1">
        <f t="shared" si="20"/>
        <v>-11.5</v>
      </c>
      <c r="BS67" s="1">
        <f t="shared" si="21"/>
        <v>-40.700000000000003</v>
      </c>
      <c r="BT67" s="1" t="s">
        <v>113</v>
      </c>
      <c r="BU67" s="1" t="s">
        <v>113</v>
      </c>
      <c r="BV67" s="1" t="s">
        <v>113</v>
      </c>
      <c r="BW67" s="1" t="str">
        <f t="shared" si="29"/>
        <v>NAN</v>
      </c>
      <c r="BX67" s="1">
        <f t="shared" si="30"/>
        <v>0.129</v>
      </c>
      <c r="BY67" s="1">
        <f t="shared" si="31"/>
        <v>0.22500000000000001</v>
      </c>
      <c r="CA67" s="1">
        <f t="shared" si="24"/>
        <v>-4.2</v>
      </c>
      <c r="CB67" s="1">
        <f t="shared" si="25"/>
        <v>-14.000000000000004</v>
      </c>
    </row>
    <row r="68" spans="1:80" x14ac:dyDescent="0.2">
      <c r="A68" s="9">
        <f t="shared" si="32"/>
        <v>43528</v>
      </c>
      <c r="B68" s="2">
        <v>63</v>
      </c>
      <c r="C68" s="2">
        <v>21</v>
      </c>
      <c r="D68" s="2">
        <v>13.05</v>
      </c>
      <c r="E68" s="2">
        <v>7.13</v>
      </c>
      <c r="F68" s="2">
        <v>-31.55</v>
      </c>
      <c r="G68" s="2">
        <v>-17.309999999999999</v>
      </c>
      <c r="H68" s="2">
        <v>66.34</v>
      </c>
      <c r="I68" s="2">
        <v>-3.2679999999999998</v>
      </c>
      <c r="J68" s="2">
        <v>-0.51500000000000001</v>
      </c>
      <c r="K68" s="2">
        <v>-0.46899999999999997</v>
      </c>
      <c r="L68" s="2">
        <v>0.63400000000000001</v>
      </c>
      <c r="M68" s="2">
        <v>-4.9779999999999998</v>
      </c>
      <c r="N68" s="2">
        <v>96.2</v>
      </c>
      <c r="O68" s="2">
        <v>-1.2010000000000001</v>
      </c>
      <c r="P68" s="2">
        <v>1.512</v>
      </c>
      <c r="Q68" s="2">
        <v>1.5229999999999999</v>
      </c>
      <c r="R68" s="2">
        <v>1.6990000000000001</v>
      </c>
      <c r="S68" s="2">
        <v>-28.09</v>
      </c>
      <c r="T68" s="2">
        <v>28.03</v>
      </c>
      <c r="U68" s="2">
        <v>-4.1950000000000003</v>
      </c>
      <c r="V68" s="2">
        <v>-1.3180000000000001</v>
      </c>
      <c r="W68" s="2">
        <v>-1.272</v>
      </c>
      <c r="X68" s="2">
        <v>4.0000000000000001E-3</v>
      </c>
      <c r="Y68" s="2">
        <v>1.573</v>
      </c>
      <c r="Z68" s="2">
        <v>0</v>
      </c>
      <c r="AA68" s="2">
        <v>13.57</v>
      </c>
      <c r="AB68" s="2">
        <v>12.77</v>
      </c>
      <c r="AC68" s="2">
        <v>0.94099999999999995</v>
      </c>
      <c r="AD68" s="2">
        <v>4.7670000000000003</v>
      </c>
      <c r="AE68" s="2">
        <v>-29.1</v>
      </c>
      <c r="AF68" s="2">
        <v>-10.48</v>
      </c>
      <c r="AG68" s="2">
        <v>-42.87</v>
      </c>
      <c r="AH68" s="2">
        <v>-10.48</v>
      </c>
      <c r="AI68" s="2">
        <v>-42.87</v>
      </c>
      <c r="AJ68" s="2" t="s">
        <v>113</v>
      </c>
      <c r="AK68" s="2" t="s">
        <v>113</v>
      </c>
      <c r="AL68" s="2">
        <v>-17.3</v>
      </c>
      <c r="AM68" s="2">
        <v>-0.50800000000000001</v>
      </c>
      <c r="AN68" s="2">
        <v>-30.56</v>
      </c>
      <c r="AO68" s="2"/>
      <c r="AP68" s="1">
        <f t="shared" si="0"/>
        <v>0.87700000000000022</v>
      </c>
      <c r="AQ68" s="22">
        <f t="shared" si="33"/>
        <v>-1.4</v>
      </c>
      <c r="AR68" s="5">
        <v>14.31</v>
      </c>
      <c r="AS68" s="5">
        <v>14.27</v>
      </c>
      <c r="AT68" s="5">
        <v>12.64</v>
      </c>
      <c r="AU68" s="7">
        <f t="shared" si="26"/>
        <v>0.88600000000000001</v>
      </c>
      <c r="AV68" s="16"/>
      <c r="AW68" s="29">
        <v>0</v>
      </c>
      <c r="AX68" s="29">
        <v>873</v>
      </c>
      <c r="AY68" s="1">
        <f t="shared" si="45"/>
        <v>92.8</v>
      </c>
      <c r="AZ68" s="1">
        <f t="shared" si="46"/>
        <v>63.8</v>
      </c>
      <c r="BA68" s="1">
        <f t="shared" si="47"/>
        <v>26.7</v>
      </c>
      <c r="BB68" s="8">
        <f t="shared" si="48"/>
        <v>0.113</v>
      </c>
      <c r="BC68" s="8">
        <f t="shared" si="49"/>
        <v>0.31</v>
      </c>
      <c r="BE68" s="5">
        <f t="shared" si="7"/>
        <v>14.27</v>
      </c>
      <c r="BF68" s="5">
        <f t="shared" si="8"/>
        <v>12.64</v>
      </c>
      <c r="BG68" s="1">
        <f t="shared" si="50"/>
        <v>-17.3</v>
      </c>
      <c r="BH68" s="1">
        <f t="shared" si="51"/>
        <v>-5</v>
      </c>
      <c r="BI68" s="1">
        <f t="shared" si="52"/>
        <v>-28.1</v>
      </c>
      <c r="BJ68" s="1">
        <f t="shared" si="12"/>
        <v>63.8</v>
      </c>
      <c r="BK68" s="1">
        <f t="shared" si="13"/>
        <v>26.7</v>
      </c>
      <c r="BL68" s="1">
        <f t="shared" si="27"/>
        <v>0.9</v>
      </c>
      <c r="BM68" s="1">
        <f t="shared" si="28"/>
        <v>4.8</v>
      </c>
      <c r="BN68" s="21">
        <f t="shared" si="16"/>
        <v>0</v>
      </c>
      <c r="BO68" s="7">
        <f t="shared" si="17"/>
        <v>0.87700000000000022</v>
      </c>
      <c r="BP68" s="21">
        <f t="shared" si="42"/>
        <v>-1.4</v>
      </c>
      <c r="BQ68" s="1">
        <f t="shared" si="19"/>
        <v>-29.1</v>
      </c>
      <c r="BR68" s="1">
        <f t="shared" si="20"/>
        <v>-10.5</v>
      </c>
      <c r="BS68" s="1">
        <f t="shared" si="21"/>
        <v>-42.9</v>
      </c>
      <c r="BT68" s="1" t="s">
        <v>113</v>
      </c>
      <c r="BU68" s="1" t="s">
        <v>113</v>
      </c>
      <c r="BV68" s="1" t="s">
        <v>113</v>
      </c>
      <c r="BW68" s="1" t="str">
        <f t="shared" si="29"/>
        <v>NAN</v>
      </c>
      <c r="BX68" s="1">
        <f t="shared" si="30"/>
        <v>0.113</v>
      </c>
      <c r="BY68" s="1">
        <f t="shared" si="31"/>
        <v>0.31</v>
      </c>
      <c r="CA68" s="1">
        <f t="shared" si="24"/>
        <v>-5.5</v>
      </c>
      <c r="CB68" s="1">
        <f t="shared" si="25"/>
        <v>-14.799999999999997</v>
      </c>
    </row>
    <row r="69" spans="1:80" x14ac:dyDescent="0.2">
      <c r="A69" s="9">
        <f t="shared" si="32"/>
        <v>43529</v>
      </c>
      <c r="B69" s="2">
        <v>64</v>
      </c>
      <c r="C69" s="2">
        <v>21</v>
      </c>
      <c r="D69" s="2">
        <v>13.2</v>
      </c>
      <c r="E69" s="2">
        <v>7.45</v>
      </c>
      <c r="F69" s="2">
        <v>-23.71</v>
      </c>
      <c r="G69" s="2">
        <v>-8.4</v>
      </c>
      <c r="H69" s="2">
        <v>67.959999999999994</v>
      </c>
      <c r="I69" s="2">
        <v>-3.63</v>
      </c>
      <c r="J69" s="2">
        <v>-0.36099999999999999</v>
      </c>
      <c r="K69" s="2">
        <v>-0.316</v>
      </c>
      <c r="L69" s="2">
        <v>0.79800000000000004</v>
      </c>
      <c r="M69" s="2">
        <v>-2.4430000000000001</v>
      </c>
      <c r="N69" s="2">
        <v>91.2</v>
      </c>
      <c r="O69" s="2">
        <v>-2.4889999999999999</v>
      </c>
      <c r="P69" s="2">
        <v>0.76600000000000001</v>
      </c>
      <c r="Q69" s="2">
        <v>0.8</v>
      </c>
      <c r="R69" s="2">
        <v>1.3859999999999999</v>
      </c>
      <c r="S69" s="2">
        <v>-21.78</v>
      </c>
      <c r="T69" s="2">
        <v>42.56</v>
      </c>
      <c r="U69" s="2">
        <v>-3.9889999999999999</v>
      </c>
      <c r="V69" s="2">
        <v>-0.82699999999999996</v>
      </c>
      <c r="W69" s="2">
        <v>-0.77100000000000002</v>
      </c>
      <c r="X69" s="2">
        <v>0.50600000000000001</v>
      </c>
      <c r="Y69" s="2">
        <v>1.5660000000000001</v>
      </c>
      <c r="Z69" s="2">
        <v>0</v>
      </c>
      <c r="AA69" s="2">
        <v>10.86</v>
      </c>
      <c r="AB69" s="2">
        <v>9.8699999999999992</v>
      </c>
      <c r="AC69" s="2">
        <v>2.3959999999999999</v>
      </c>
      <c r="AD69" s="2">
        <v>6.34</v>
      </c>
      <c r="AE69" s="2">
        <v>-12.84</v>
      </c>
      <c r="AF69" s="2">
        <v>-2.492</v>
      </c>
      <c r="AG69" s="2">
        <v>-35.18</v>
      </c>
      <c r="AH69" s="2">
        <v>-2.492</v>
      </c>
      <c r="AI69" s="2">
        <v>-35.18</v>
      </c>
      <c r="AJ69" s="2" t="s">
        <v>113</v>
      </c>
      <c r="AK69" s="2" t="s">
        <v>113</v>
      </c>
      <c r="AL69" s="2">
        <v>-8.2200000000000006</v>
      </c>
      <c r="AM69" s="2">
        <v>0.70799999999999996</v>
      </c>
      <c r="AN69" s="2">
        <v>-23.4</v>
      </c>
      <c r="AO69" s="2"/>
      <c r="AP69" s="1">
        <f t="shared" si="0"/>
        <v>0.88400000000000012</v>
      </c>
      <c r="AQ69" s="22">
        <f t="shared" si="33"/>
        <v>-1.4</v>
      </c>
      <c r="AR69" s="5">
        <v>14.55</v>
      </c>
      <c r="AS69" s="5">
        <v>11.4</v>
      </c>
      <c r="AT69" s="5">
        <v>9.3000000000000007</v>
      </c>
      <c r="AU69" s="7">
        <f t="shared" si="26"/>
        <v>0.81599999999999995</v>
      </c>
      <c r="AV69" s="16"/>
      <c r="AW69" s="29">
        <v>1.87</v>
      </c>
      <c r="AX69" s="29">
        <v>880</v>
      </c>
      <c r="AY69" s="1">
        <f t="shared" si="45"/>
        <v>88</v>
      </c>
      <c r="AZ69" s="1">
        <f t="shared" si="46"/>
        <v>65.400000000000006</v>
      </c>
      <c r="BA69" s="1">
        <f t="shared" si="47"/>
        <v>40.799999999999997</v>
      </c>
      <c r="BB69" s="8">
        <f t="shared" si="48"/>
        <v>0.20799999999999999</v>
      </c>
      <c r="BC69" s="8">
        <f t="shared" si="49"/>
        <v>0.30199999999999999</v>
      </c>
      <c r="BE69" s="5">
        <f t="shared" si="7"/>
        <v>11.4</v>
      </c>
      <c r="BF69" s="5">
        <f t="shared" si="8"/>
        <v>9.3000000000000007</v>
      </c>
      <c r="BG69" s="1">
        <f t="shared" si="50"/>
        <v>-8.4</v>
      </c>
      <c r="BH69" s="1">
        <f t="shared" si="51"/>
        <v>-2.4</v>
      </c>
      <c r="BI69" s="1">
        <f t="shared" si="52"/>
        <v>-21.8</v>
      </c>
      <c r="BJ69" s="1">
        <f t="shared" si="12"/>
        <v>65.400000000000006</v>
      </c>
      <c r="BK69" s="1">
        <f t="shared" si="13"/>
        <v>40.799999999999997</v>
      </c>
      <c r="BL69" s="1">
        <f t="shared" si="27"/>
        <v>2.4</v>
      </c>
      <c r="BM69" s="1">
        <f t="shared" si="28"/>
        <v>6.3</v>
      </c>
      <c r="BN69" s="21">
        <f t="shared" si="16"/>
        <v>1.87</v>
      </c>
      <c r="BO69" s="7">
        <f t="shared" si="17"/>
        <v>0.88400000000000012</v>
      </c>
      <c r="BP69" s="21">
        <f t="shared" si="42"/>
        <v>-1.4</v>
      </c>
      <c r="BQ69" s="1">
        <f t="shared" si="19"/>
        <v>-12.8</v>
      </c>
      <c r="BR69" s="1">
        <f t="shared" si="20"/>
        <v>-2.5</v>
      </c>
      <c r="BS69" s="1">
        <f t="shared" si="21"/>
        <v>-35.200000000000003</v>
      </c>
      <c r="BT69" s="1" t="s">
        <v>113</v>
      </c>
      <c r="BU69" s="1" t="s">
        <v>113</v>
      </c>
      <c r="BV69" s="1" t="s">
        <v>113</v>
      </c>
      <c r="BW69" s="1" t="str">
        <f t="shared" si="29"/>
        <v>NAN</v>
      </c>
      <c r="BX69" s="1">
        <f t="shared" si="30"/>
        <v>0.20799999999999999</v>
      </c>
      <c r="BY69" s="1">
        <f t="shared" si="31"/>
        <v>0.30199999999999999</v>
      </c>
      <c r="CA69" s="1">
        <f t="shared" si="24"/>
        <v>-0.10000000000000009</v>
      </c>
      <c r="CB69" s="1">
        <f t="shared" si="25"/>
        <v>-13.400000000000002</v>
      </c>
    </row>
    <row r="70" spans="1:80" x14ac:dyDescent="0.2">
      <c r="A70" s="9">
        <f t="shared" si="32"/>
        <v>43530</v>
      </c>
      <c r="B70" s="2">
        <v>65</v>
      </c>
      <c r="C70" s="2">
        <v>21</v>
      </c>
      <c r="D70" s="2">
        <v>13.2</v>
      </c>
      <c r="E70" s="2">
        <v>2.6349999999999998</v>
      </c>
      <c r="F70" s="2">
        <v>-6.5430000000000001</v>
      </c>
      <c r="G70" s="2">
        <v>-4.4320000000000004</v>
      </c>
      <c r="H70" s="2">
        <v>90.1</v>
      </c>
      <c r="I70" s="2">
        <v>-3.7280000000000002</v>
      </c>
      <c r="J70" s="2">
        <v>-0.45700000000000002</v>
      </c>
      <c r="K70" s="2">
        <v>-0.41199999999999998</v>
      </c>
      <c r="L70" s="2">
        <v>0.78700000000000003</v>
      </c>
      <c r="M70" s="2">
        <v>-1.349</v>
      </c>
      <c r="N70" s="2">
        <v>99</v>
      </c>
      <c r="O70" s="2">
        <v>-2.9020000000000001</v>
      </c>
      <c r="P70" s="2">
        <v>0.36599999999999999</v>
      </c>
      <c r="Q70" s="2">
        <v>0.39900000000000002</v>
      </c>
      <c r="R70" s="2">
        <v>1.2689999999999999</v>
      </c>
      <c r="S70" s="2">
        <v>-6.7320000000000002</v>
      </c>
      <c r="T70" s="2">
        <v>76</v>
      </c>
      <c r="U70" s="2">
        <v>-3.984</v>
      </c>
      <c r="V70" s="2">
        <v>-0.59499999999999997</v>
      </c>
      <c r="W70" s="2">
        <v>-0.55000000000000004</v>
      </c>
      <c r="X70" s="2">
        <v>0.68</v>
      </c>
      <c r="Y70" s="2">
        <v>1.5189999999999999</v>
      </c>
      <c r="Z70" s="2">
        <v>0</v>
      </c>
      <c r="AA70" s="2">
        <v>7.18</v>
      </c>
      <c r="AB70" s="2">
        <v>6.4219999999999997</v>
      </c>
      <c r="AC70" s="2">
        <v>2.258</v>
      </c>
      <c r="AD70" s="2">
        <v>5.7539999999999996</v>
      </c>
      <c r="AE70" s="2">
        <v>-5.3109999999999999</v>
      </c>
      <c r="AF70" s="2">
        <v>-0.89800000000000002</v>
      </c>
      <c r="AG70" s="2">
        <v>-8.1999999999999993</v>
      </c>
      <c r="AH70" s="2">
        <v>-0.89800000000000002</v>
      </c>
      <c r="AI70" s="2">
        <v>-8.1999999999999993</v>
      </c>
      <c r="AJ70" s="2" t="s">
        <v>113</v>
      </c>
      <c r="AK70" s="2" t="s">
        <v>113</v>
      </c>
      <c r="AL70" s="2">
        <v>-3.964</v>
      </c>
      <c r="AM70" s="2">
        <v>1.756</v>
      </c>
      <c r="AN70" s="2">
        <v>-6.7839999999999998</v>
      </c>
      <c r="AO70" s="2"/>
      <c r="AP70" s="1">
        <f t="shared" ref="AP70:AP130" si="53">AP$1-Y70</f>
        <v>0.93100000000000027</v>
      </c>
      <c r="AQ70" s="22">
        <f t="shared" ref="AQ70:AQ101" si="54">ROUND(AVERAGE(I70:K70),1)</f>
        <v>-1.5</v>
      </c>
      <c r="AR70" s="5">
        <v>14.8</v>
      </c>
      <c r="AS70" s="5">
        <v>7.54</v>
      </c>
      <c r="AT70" s="5">
        <v>6.42</v>
      </c>
      <c r="AU70" s="7">
        <f t="shared" si="26"/>
        <v>0.85099999999999998</v>
      </c>
      <c r="AV70" s="16"/>
      <c r="AW70" s="29">
        <v>4.4000000000000004</v>
      </c>
      <c r="AX70" s="29">
        <v>927</v>
      </c>
      <c r="AY70" s="1">
        <f t="shared" si="45"/>
        <v>95.5</v>
      </c>
      <c r="AZ70" s="1">
        <f t="shared" si="46"/>
        <v>86.9</v>
      </c>
      <c r="BA70" s="1">
        <f t="shared" si="47"/>
        <v>73.2</v>
      </c>
      <c r="BB70" s="8">
        <f t="shared" si="48"/>
        <v>0.40500000000000003</v>
      </c>
      <c r="BC70" s="8">
        <f t="shared" si="49"/>
        <v>0.14799999999999999</v>
      </c>
      <c r="BE70" s="5">
        <f t="shared" ref="BE70:BE133" si="55">AS70</f>
        <v>7.54</v>
      </c>
      <c r="BF70" s="5">
        <f t="shared" ref="BF70:BF133" si="56">AT70</f>
        <v>6.42</v>
      </c>
      <c r="BG70" s="1">
        <f t="shared" si="50"/>
        <v>-4.4000000000000004</v>
      </c>
      <c r="BH70" s="1">
        <f t="shared" si="51"/>
        <v>-1.3</v>
      </c>
      <c r="BI70" s="1">
        <f t="shared" si="52"/>
        <v>-6.7</v>
      </c>
      <c r="BJ70" s="1">
        <f t="shared" ref="BJ70:BJ133" si="57">AZ70</f>
        <v>86.9</v>
      </c>
      <c r="BK70" s="1">
        <f t="shared" ref="BK70:BK133" si="58">BA70</f>
        <v>73.2</v>
      </c>
      <c r="BL70" s="1">
        <f t="shared" si="27"/>
        <v>2.2999999999999998</v>
      </c>
      <c r="BM70" s="1">
        <f t="shared" si="28"/>
        <v>5.8</v>
      </c>
      <c r="BN70" s="21">
        <f t="shared" ref="BN70:BN133" si="59">AW70</f>
        <v>4.4000000000000004</v>
      </c>
      <c r="BO70" s="7">
        <f t="shared" ref="BO70:BO133" si="60">AP70</f>
        <v>0.93100000000000027</v>
      </c>
      <c r="BP70" s="21">
        <f t="shared" si="42"/>
        <v>-1.5</v>
      </c>
      <c r="BQ70" s="1">
        <f t="shared" ref="BQ70:BQ133" si="61">IF(AE70="NAN", "NAN", ROUND(AE70,1))</f>
        <v>-5.3</v>
      </c>
      <c r="BR70" s="1">
        <f t="shared" ref="BR70:BR133" si="62">IF(AF70="NAN", "NAN", ROUND(AF70,1))</f>
        <v>-0.9</v>
      </c>
      <c r="BS70" s="1">
        <f t="shared" ref="BS70:BS133" si="63">IF(AG70="NAN", "NAN", ROUND(AG70,1))</f>
        <v>-8.1999999999999993</v>
      </c>
      <c r="BT70" s="1" t="s">
        <v>113</v>
      </c>
      <c r="BU70" s="1" t="s">
        <v>113</v>
      </c>
      <c r="BV70" s="1" t="s">
        <v>113</v>
      </c>
      <c r="BW70" s="1" t="str">
        <f t="shared" si="29"/>
        <v>NAN</v>
      </c>
      <c r="BX70" s="1">
        <f t="shared" si="30"/>
        <v>0.40500000000000003</v>
      </c>
      <c r="BY70" s="1">
        <f t="shared" si="31"/>
        <v>0.14799999999999999</v>
      </c>
      <c r="CA70" s="1">
        <f t="shared" ref="CA70:CA133" si="64">IF(BR70="NAN","NAN",BR70-BH70)</f>
        <v>0.4</v>
      </c>
      <c r="CB70" s="1">
        <f t="shared" ref="CB70:CB133" si="65">IF(BS70="NAN","NAN",BS70-BI70)</f>
        <v>-1.4999999999999991</v>
      </c>
    </row>
    <row r="71" spans="1:80" x14ac:dyDescent="0.2">
      <c r="A71" s="9">
        <f t="shared" si="32"/>
        <v>43531</v>
      </c>
      <c r="B71" s="2">
        <v>66</v>
      </c>
      <c r="C71" s="2">
        <v>21</v>
      </c>
      <c r="D71" s="2">
        <v>13.13</v>
      </c>
      <c r="E71" s="2">
        <v>5.468</v>
      </c>
      <c r="F71" s="2">
        <v>-13.98</v>
      </c>
      <c r="G71" s="2">
        <v>-6.8289999999999997</v>
      </c>
      <c r="H71" s="2">
        <v>86</v>
      </c>
      <c r="I71" s="2">
        <v>-3.1520000000000001</v>
      </c>
      <c r="J71" s="2">
        <v>-0.41799999999999998</v>
      </c>
      <c r="K71" s="2">
        <v>-0.378</v>
      </c>
      <c r="L71" s="2">
        <v>0.81899999999999995</v>
      </c>
      <c r="M71" s="2">
        <v>-7.1999999999999995E-2</v>
      </c>
      <c r="N71" s="2">
        <v>99.2</v>
      </c>
      <c r="O71" s="2">
        <v>-2.2599999999999998</v>
      </c>
      <c r="P71" s="2">
        <v>0.52300000000000002</v>
      </c>
      <c r="Q71" s="2">
        <v>0.55700000000000005</v>
      </c>
      <c r="R71" s="2">
        <v>1.3560000000000001</v>
      </c>
      <c r="S71" s="2">
        <v>-17.57</v>
      </c>
      <c r="T71" s="2">
        <v>46.83</v>
      </c>
      <c r="U71" s="2">
        <v>-3.5950000000000002</v>
      </c>
      <c r="V71" s="2">
        <v>-0.73</v>
      </c>
      <c r="W71" s="2">
        <v>-0.69</v>
      </c>
      <c r="X71" s="2">
        <v>0.60399999999999998</v>
      </c>
      <c r="Y71" s="2">
        <v>1.472</v>
      </c>
      <c r="Z71" s="2">
        <v>0</v>
      </c>
      <c r="AA71" s="2">
        <v>4.1970000000000001</v>
      </c>
      <c r="AB71" s="2">
        <v>8.42</v>
      </c>
      <c r="AC71" s="2">
        <v>1.4690000000000001</v>
      </c>
      <c r="AD71" s="2">
        <v>5.2469999999999999</v>
      </c>
      <c r="AE71" s="2">
        <v>-9.83</v>
      </c>
      <c r="AF71" s="2">
        <v>-2.5150000000000001</v>
      </c>
      <c r="AG71" s="2">
        <v>-30.07</v>
      </c>
      <c r="AH71" s="2">
        <v>-2.5150000000000001</v>
      </c>
      <c r="AI71" s="2">
        <v>-30.07</v>
      </c>
      <c r="AJ71" s="2" t="s">
        <v>113</v>
      </c>
      <c r="AK71" s="2" t="s">
        <v>113</v>
      </c>
      <c r="AL71" s="2">
        <v>-6.5350000000000001</v>
      </c>
      <c r="AM71" s="2">
        <v>2.222</v>
      </c>
      <c r="AN71" s="2">
        <v>-18.63</v>
      </c>
      <c r="AO71" s="2"/>
      <c r="AP71" s="1">
        <f t="shared" si="53"/>
        <v>0.9780000000000002</v>
      </c>
      <c r="AQ71" s="22">
        <f t="shared" si="54"/>
        <v>-1.3</v>
      </c>
      <c r="AR71" s="5">
        <v>15.04</v>
      </c>
      <c r="AS71" s="5">
        <v>9.0500000000000007</v>
      </c>
      <c r="AT71" s="5">
        <v>8.42</v>
      </c>
      <c r="AU71" s="7">
        <f t="shared" ref="AU71:AU134" si="66">IF(OR(AS71="NAN",AT71="NAN"),"NAN",ROUND(AT71/AS71,3))</f>
        <v>0.93</v>
      </c>
      <c r="AV71" s="16"/>
      <c r="AW71" s="29">
        <v>7.48</v>
      </c>
      <c r="AX71" s="29">
        <v>974</v>
      </c>
      <c r="AY71" s="1">
        <f t="shared" si="45"/>
        <v>95.7</v>
      </c>
      <c r="AZ71" s="1">
        <f t="shared" si="46"/>
        <v>82.9</v>
      </c>
      <c r="BA71" s="1">
        <f t="shared" si="47"/>
        <v>44.9</v>
      </c>
      <c r="BB71" s="8">
        <f t="shared" si="48"/>
        <v>0.27300000000000002</v>
      </c>
      <c r="BC71" s="8">
        <f t="shared" si="49"/>
        <v>0.33500000000000002</v>
      </c>
      <c r="BE71" s="5">
        <f t="shared" si="55"/>
        <v>9.0500000000000007</v>
      </c>
      <c r="BF71" s="5">
        <f t="shared" si="56"/>
        <v>8.42</v>
      </c>
      <c r="BG71" s="1">
        <f t="shared" si="50"/>
        <v>-6.8</v>
      </c>
      <c r="BH71" s="1">
        <f t="shared" si="51"/>
        <v>-0.1</v>
      </c>
      <c r="BI71" s="1">
        <f t="shared" si="52"/>
        <v>-17.600000000000001</v>
      </c>
      <c r="BJ71" s="1">
        <f t="shared" si="57"/>
        <v>82.9</v>
      </c>
      <c r="BK71" s="1">
        <f t="shared" si="58"/>
        <v>44.9</v>
      </c>
      <c r="BL71" s="1">
        <f t="shared" ref="BL71:BL134" si="67">ROUND(AC71,1)</f>
        <v>1.5</v>
      </c>
      <c r="BM71" s="1">
        <f t="shared" ref="BM71:BM134" si="68">ROUND(AD71,1)</f>
        <v>5.2</v>
      </c>
      <c r="BN71" s="21">
        <f t="shared" si="59"/>
        <v>7.48</v>
      </c>
      <c r="BO71" s="7">
        <f t="shared" si="60"/>
        <v>0.9780000000000002</v>
      </c>
      <c r="BP71" s="21">
        <f t="shared" si="42"/>
        <v>-1.3</v>
      </c>
      <c r="BQ71" s="1">
        <f t="shared" si="61"/>
        <v>-9.8000000000000007</v>
      </c>
      <c r="BR71" s="1">
        <f t="shared" si="62"/>
        <v>-2.5</v>
      </c>
      <c r="BS71" s="1">
        <f t="shared" si="63"/>
        <v>-30.1</v>
      </c>
      <c r="BT71" s="1" t="s">
        <v>113</v>
      </c>
      <c r="BU71" s="1" t="s">
        <v>113</v>
      </c>
      <c r="BV71" s="1" t="s">
        <v>113</v>
      </c>
      <c r="BW71" s="1" t="str">
        <f t="shared" ref="BW71:BW134" si="69">AK71</f>
        <v>NAN</v>
      </c>
      <c r="BX71" s="1">
        <f t="shared" ref="BX71:BX134" si="70">BB71</f>
        <v>0.27300000000000002</v>
      </c>
      <c r="BY71" s="1">
        <f t="shared" ref="BY71:BY134" si="71">BC71</f>
        <v>0.33500000000000002</v>
      </c>
      <c r="CA71" s="1">
        <f t="shared" si="64"/>
        <v>-2.4</v>
      </c>
      <c r="CB71" s="1">
        <f t="shared" si="65"/>
        <v>-12.5</v>
      </c>
    </row>
    <row r="72" spans="1:80" x14ac:dyDescent="0.2">
      <c r="A72" s="9">
        <f t="shared" ref="A72:A135" si="72">A71+1</f>
        <v>43532</v>
      </c>
      <c r="B72" s="2">
        <v>67</v>
      </c>
      <c r="C72" s="2">
        <v>21</v>
      </c>
      <c r="D72" s="2">
        <v>13.1</v>
      </c>
      <c r="E72" s="2">
        <v>7.22</v>
      </c>
      <c r="F72" s="2">
        <v>-24.76</v>
      </c>
      <c r="G72" s="2">
        <v>-12.89</v>
      </c>
      <c r="H72" s="2">
        <v>78.400000000000006</v>
      </c>
      <c r="I72" s="2">
        <v>-2.6190000000000002</v>
      </c>
      <c r="J72" s="2">
        <v>-0.38900000000000001</v>
      </c>
      <c r="K72" s="2">
        <v>-0.35299999999999998</v>
      </c>
      <c r="L72" s="2">
        <v>0.78300000000000003</v>
      </c>
      <c r="M72" s="2">
        <v>1.3839999999999999</v>
      </c>
      <c r="N72" s="2">
        <v>96.4</v>
      </c>
      <c r="O72" s="2">
        <v>-0.82699999999999996</v>
      </c>
      <c r="P72" s="2">
        <v>1.51</v>
      </c>
      <c r="Q72" s="2">
        <v>1.51</v>
      </c>
      <c r="R72" s="2">
        <v>1.869</v>
      </c>
      <c r="S72" s="2">
        <v>-22.18</v>
      </c>
      <c r="T72" s="2">
        <v>35.25</v>
      </c>
      <c r="U72" s="2">
        <v>-3.1379999999999999</v>
      </c>
      <c r="V72" s="2">
        <v>-0.98799999999999999</v>
      </c>
      <c r="W72" s="2">
        <v>-0.95399999999999996</v>
      </c>
      <c r="X72" s="2">
        <v>0.38100000000000001</v>
      </c>
      <c r="Y72" s="2">
        <v>1.4850000000000001</v>
      </c>
      <c r="Z72" s="2">
        <v>0</v>
      </c>
      <c r="AA72" s="2">
        <v>8.9700000000000006</v>
      </c>
      <c r="AB72" s="2">
        <v>10.029999999999999</v>
      </c>
      <c r="AC72" s="2">
        <v>0.54700000000000004</v>
      </c>
      <c r="AD72" s="2">
        <v>3.5139999999999998</v>
      </c>
      <c r="AE72" s="2">
        <v>-22.45</v>
      </c>
      <c r="AF72" s="2">
        <v>-1.514</v>
      </c>
      <c r="AG72" s="2">
        <v>-34.56</v>
      </c>
      <c r="AH72" s="2">
        <v>-1.514</v>
      </c>
      <c r="AI72" s="2">
        <v>-34.56</v>
      </c>
      <c r="AJ72" s="2" t="s">
        <v>113</v>
      </c>
      <c r="AK72" s="2" t="s">
        <v>113</v>
      </c>
      <c r="AL72" s="2">
        <v>-13.24</v>
      </c>
      <c r="AM72" s="2">
        <v>3.2010000000000001</v>
      </c>
      <c r="AN72" s="2">
        <v>-24.26</v>
      </c>
      <c r="AO72" s="2"/>
      <c r="AP72" s="1">
        <f t="shared" si="53"/>
        <v>0.96500000000000008</v>
      </c>
      <c r="AQ72" s="22">
        <f t="shared" si="54"/>
        <v>-1.1000000000000001</v>
      </c>
      <c r="AR72" s="5">
        <v>15.29</v>
      </c>
      <c r="AS72" s="5">
        <v>11.26</v>
      </c>
      <c r="AT72" s="5">
        <v>10.02</v>
      </c>
      <c r="AU72" s="7">
        <f t="shared" si="66"/>
        <v>0.89</v>
      </c>
      <c r="AV72" s="16"/>
      <c r="AW72" s="29">
        <v>0</v>
      </c>
      <c r="AX72" s="29">
        <v>961</v>
      </c>
      <c r="AY72" s="1">
        <f t="shared" si="45"/>
        <v>93</v>
      </c>
      <c r="AZ72" s="1">
        <f t="shared" si="46"/>
        <v>75.5</v>
      </c>
      <c r="BA72" s="1">
        <f t="shared" si="47"/>
        <v>33.700000000000003</v>
      </c>
      <c r="BB72" s="8">
        <f t="shared" si="48"/>
        <v>0.22700000000000001</v>
      </c>
      <c r="BC72" s="8">
        <f t="shared" si="49"/>
        <v>0.44700000000000001</v>
      </c>
      <c r="BE72" s="5">
        <f t="shared" si="55"/>
        <v>11.26</v>
      </c>
      <c r="BF72" s="5">
        <f t="shared" si="56"/>
        <v>10.02</v>
      </c>
      <c r="BG72" s="1">
        <f t="shared" si="50"/>
        <v>-12.9</v>
      </c>
      <c r="BH72" s="1">
        <f t="shared" si="51"/>
        <v>1.4</v>
      </c>
      <c r="BI72" s="1">
        <f t="shared" si="52"/>
        <v>-22.2</v>
      </c>
      <c r="BJ72" s="1">
        <f t="shared" si="57"/>
        <v>75.5</v>
      </c>
      <c r="BK72" s="1">
        <f t="shared" si="58"/>
        <v>33.700000000000003</v>
      </c>
      <c r="BL72" s="1">
        <f t="shared" si="67"/>
        <v>0.5</v>
      </c>
      <c r="BM72" s="1">
        <f t="shared" si="68"/>
        <v>3.5</v>
      </c>
      <c r="BN72" s="21">
        <f t="shared" si="59"/>
        <v>0</v>
      </c>
      <c r="BO72" s="7">
        <f t="shared" si="60"/>
        <v>0.96500000000000008</v>
      </c>
      <c r="BP72" s="21">
        <f t="shared" si="42"/>
        <v>-1.1000000000000001</v>
      </c>
      <c r="BQ72" s="1">
        <f t="shared" si="61"/>
        <v>-22.5</v>
      </c>
      <c r="BR72" s="1">
        <f t="shared" si="62"/>
        <v>-1.5</v>
      </c>
      <c r="BS72" s="1">
        <f t="shared" si="63"/>
        <v>-34.6</v>
      </c>
      <c r="BT72" s="1" t="s">
        <v>113</v>
      </c>
      <c r="BU72" s="1" t="s">
        <v>113</v>
      </c>
      <c r="BV72" s="1" t="s">
        <v>113</v>
      </c>
      <c r="BW72" s="1" t="str">
        <f t="shared" si="69"/>
        <v>NAN</v>
      </c>
      <c r="BX72" s="1">
        <f t="shared" si="70"/>
        <v>0.22700000000000001</v>
      </c>
      <c r="BY72" s="1">
        <f t="shared" si="71"/>
        <v>0.44700000000000001</v>
      </c>
      <c r="CA72" s="1">
        <f t="shared" si="64"/>
        <v>-2.9</v>
      </c>
      <c r="CB72" s="1">
        <f t="shared" si="65"/>
        <v>-12.400000000000002</v>
      </c>
    </row>
    <row r="73" spans="1:80" x14ac:dyDescent="0.2">
      <c r="A73" s="9">
        <f t="shared" si="72"/>
        <v>43533</v>
      </c>
      <c r="B73" s="2">
        <v>68</v>
      </c>
      <c r="C73" s="2">
        <v>21</v>
      </c>
      <c r="D73" s="2">
        <v>13.11</v>
      </c>
      <c r="E73" s="2">
        <v>1.526</v>
      </c>
      <c r="F73" s="2">
        <v>-20</v>
      </c>
      <c r="G73" s="2">
        <v>-11.29</v>
      </c>
      <c r="H73" s="2">
        <v>82.1</v>
      </c>
      <c r="I73" s="2">
        <v>-2.5710000000000002</v>
      </c>
      <c r="J73" s="2">
        <v>-0.41399999999999998</v>
      </c>
      <c r="K73" s="2">
        <v>-0.378</v>
      </c>
      <c r="L73" s="2">
        <v>0.79600000000000004</v>
      </c>
      <c r="M73" s="2">
        <v>-0.88200000000000001</v>
      </c>
      <c r="N73" s="2">
        <v>97.1</v>
      </c>
      <c r="O73" s="2">
        <v>-1.377</v>
      </c>
      <c r="P73" s="2">
        <v>0.81599999999999995</v>
      </c>
      <c r="Q73" s="2">
        <v>0.85</v>
      </c>
      <c r="R73" s="2">
        <v>1.4019999999999999</v>
      </c>
      <c r="S73" s="2">
        <v>-19.670000000000002</v>
      </c>
      <c r="T73" s="2">
        <v>46.01</v>
      </c>
      <c r="U73" s="2">
        <v>-2.871</v>
      </c>
      <c r="V73" s="2">
        <v>-0.71499999999999997</v>
      </c>
      <c r="W73" s="2">
        <v>-0.68100000000000005</v>
      </c>
      <c r="X73" s="2">
        <v>0.63400000000000001</v>
      </c>
      <c r="Y73" s="2">
        <v>1.506</v>
      </c>
      <c r="Z73" s="2">
        <v>0</v>
      </c>
      <c r="AA73" s="2">
        <v>6.42</v>
      </c>
      <c r="AB73" s="2">
        <v>6.702</v>
      </c>
      <c r="AC73" s="2">
        <v>0.83499999999999996</v>
      </c>
      <c r="AD73" s="2">
        <v>3.86</v>
      </c>
      <c r="AE73" s="2">
        <v>-16.079999999999998</v>
      </c>
      <c r="AF73" s="2">
        <v>-1.6279999999999999</v>
      </c>
      <c r="AG73" s="2">
        <v>-30.83</v>
      </c>
      <c r="AH73" s="2">
        <v>-1.6279999999999999</v>
      </c>
      <c r="AI73" s="2">
        <v>-30.83</v>
      </c>
      <c r="AJ73" s="2" t="s">
        <v>113</v>
      </c>
      <c r="AK73" s="2" t="s">
        <v>113</v>
      </c>
      <c r="AL73" s="2">
        <v>-11.32</v>
      </c>
      <c r="AM73" s="2">
        <v>1.0920000000000001</v>
      </c>
      <c r="AN73" s="2">
        <v>-21.53</v>
      </c>
      <c r="AO73" s="2"/>
      <c r="AP73" s="1">
        <f t="shared" si="53"/>
        <v>0.94400000000000017</v>
      </c>
      <c r="AQ73" s="22">
        <f t="shared" si="54"/>
        <v>-1.1000000000000001</v>
      </c>
      <c r="AR73" s="5">
        <v>15.55</v>
      </c>
      <c r="AS73" s="5">
        <v>7.57</v>
      </c>
      <c r="AT73" s="5">
        <v>6.7</v>
      </c>
      <c r="AU73" s="7">
        <f t="shared" si="66"/>
        <v>0.88500000000000001</v>
      </c>
      <c r="AV73" s="16"/>
      <c r="AW73" s="29">
        <v>0</v>
      </c>
      <c r="AX73" s="29">
        <v>940</v>
      </c>
      <c r="AY73" s="1">
        <f t="shared" si="45"/>
        <v>93.7</v>
      </c>
      <c r="AZ73" s="1">
        <f t="shared" si="46"/>
        <v>79.099999999999994</v>
      </c>
      <c r="BA73" s="1">
        <f t="shared" si="47"/>
        <v>44.1</v>
      </c>
      <c r="BB73" s="8">
        <f t="shared" si="48"/>
        <v>0.252</v>
      </c>
      <c r="BC73" s="8">
        <f t="shared" si="49"/>
        <v>0.31900000000000001</v>
      </c>
      <c r="BE73" s="5">
        <f t="shared" si="55"/>
        <v>7.57</v>
      </c>
      <c r="BF73" s="5">
        <f t="shared" si="56"/>
        <v>6.7</v>
      </c>
      <c r="BG73" s="1">
        <f t="shared" si="50"/>
        <v>-11.3</v>
      </c>
      <c r="BH73" s="1">
        <f t="shared" si="51"/>
        <v>-0.9</v>
      </c>
      <c r="BI73" s="1">
        <f t="shared" si="52"/>
        <v>-19.7</v>
      </c>
      <c r="BJ73" s="1">
        <f t="shared" si="57"/>
        <v>79.099999999999994</v>
      </c>
      <c r="BK73" s="1">
        <f t="shared" si="58"/>
        <v>44.1</v>
      </c>
      <c r="BL73" s="1">
        <f t="shared" si="67"/>
        <v>0.8</v>
      </c>
      <c r="BM73" s="1">
        <f t="shared" si="68"/>
        <v>3.9</v>
      </c>
      <c r="BN73" s="21">
        <f t="shared" si="59"/>
        <v>0</v>
      </c>
      <c r="BO73" s="7">
        <f t="shared" si="60"/>
        <v>0.94400000000000017</v>
      </c>
      <c r="BP73" s="21">
        <f t="shared" si="42"/>
        <v>-1.1000000000000001</v>
      </c>
      <c r="BQ73" s="1">
        <f t="shared" si="61"/>
        <v>-16.100000000000001</v>
      </c>
      <c r="BR73" s="1">
        <f t="shared" si="62"/>
        <v>-1.6</v>
      </c>
      <c r="BS73" s="1">
        <f t="shared" si="63"/>
        <v>-30.8</v>
      </c>
      <c r="BT73" s="1" t="s">
        <v>113</v>
      </c>
      <c r="BU73" s="1" t="s">
        <v>113</v>
      </c>
      <c r="BV73" s="1" t="s">
        <v>113</v>
      </c>
      <c r="BW73" s="1" t="str">
        <f t="shared" si="69"/>
        <v>NAN</v>
      </c>
      <c r="BX73" s="1">
        <f t="shared" si="70"/>
        <v>0.252</v>
      </c>
      <c r="BY73" s="1">
        <f t="shared" si="71"/>
        <v>0.31900000000000001</v>
      </c>
      <c r="CA73" s="1">
        <f t="shared" si="64"/>
        <v>-0.70000000000000007</v>
      </c>
      <c r="CB73" s="1">
        <f t="shared" si="65"/>
        <v>-11.100000000000001</v>
      </c>
    </row>
    <row r="74" spans="1:80" x14ac:dyDescent="0.2">
      <c r="A74" s="9">
        <f t="shared" si="72"/>
        <v>43534</v>
      </c>
      <c r="B74" s="2">
        <v>69</v>
      </c>
      <c r="C74" s="2">
        <v>21</v>
      </c>
      <c r="D74" s="2">
        <v>13.12</v>
      </c>
      <c r="E74" s="2">
        <v>11.66</v>
      </c>
      <c r="F74" s="2">
        <v>-23.89</v>
      </c>
      <c r="G74" s="2">
        <v>-9.73</v>
      </c>
      <c r="H74" s="2">
        <v>75</v>
      </c>
      <c r="I74" s="2">
        <v>-2.5310000000000001</v>
      </c>
      <c r="J74" s="2">
        <v>-0.27100000000000002</v>
      </c>
      <c r="K74" s="2">
        <v>-0.23599999999999999</v>
      </c>
      <c r="L74" s="2">
        <v>0.82</v>
      </c>
      <c r="M74" s="2">
        <v>2.2000000000000002</v>
      </c>
      <c r="N74" s="2">
        <v>99.1</v>
      </c>
      <c r="O74" s="2">
        <v>-0.83299999999999996</v>
      </c>
      <c r="P74" s="2">
        <v>1.4590000000000001</v>
      </c>
      <c r="Q74" s="2">
        <v>1.4590000000000001</v>
      </c>
      <c r="R74" s="2">
        <v>1.66</v>
      </c>
      <c r="S74" s="2">
        <v>-21.06</v>
      </c>
      <c r="T74" s="2">
        <v>38.76</v>
      </c>
      <c r="U74" s="2">
        <v>-3.0750000000000002</v>
      </c>
      <c r="V74" s="2">
        <v>-0.80100000000000005</v>
      </c>
      <c r="W74" s="2">
        <v>-0.76500000000000001</v>
      </c>
      <c r="X74" s="2">
        <v>0.42799999999999999</v>
      </c>
      <c r="Y74" s="2">
        <v>1.512</v>
      </c>
      <c r="Z74" s="2">
        <v>0</v>
      </c>
      <c r="AA74" s="2">
        <v>14.33</v>
      </c>
      <c r="AB74" s="2">
        <v>13.44</v>
      </c>
      <c r="AC74" s="2">
        <v>0.80100000000000005</v>
      </c>
      <c r="AD74" s="2">
        <v>3.46</v>
      </c>
      <c r="AE74" s="2">
        <v>-19.989999999999998</v>
      </c>
      <c r="AF74" s="2">
        <v>-3.9740000000000002</v>
      </c>
      <c r="AG74" s="2">
        <v>-32.07</v>
      </c>
      <c r="AH74" s="2">
        <v>-3.9740000000000002</v>
      </c>
      <c r="AI74" s="2">
        <v>-32.07</v>
      </c>
      <c r="AJ74" s="2" t="s">
        <v>113</v>
      </c>
      <c r="AK74" s="2" t="s">
        <v>113</v>
      </c>
      <c r="AL74" s="2">
        <v>-10.36</v>
      </c>
      <c r="AM74" s="2">
        <v>4.7759999999999998</v>
      </c>
      <c r="AN74" s="2">
        <v>-23.08</v>
      </c>
      <c r="AO74" s="2"/>
      <c r="AP74" s="1">
        <f t="shared" si="53"/>
        <v>0.93800000000000017</v>
      </c>
      <c r="AQ74" s="22">
        <f t="shared" si="54"/>
        <v>-1</v>
      </c>
      <c r="AR74" s="5">
        <v>15.8</v>
      </c>
      <c r="AS74" s="5">
        <v>15.06</v>
      </c>
      <c r="AT74" s="5">
        <v>13.44</v>
      </c>
      <c r="AU74" s="7">
        <f t="shared" si="66"/>
        <v>0.89200000000000002</v>
      </c>
      <c r="AV74" s="16"/>
      <c r="AW74" s="29">
        <v>0</v>
      </c>
      <c r="AX74" s="29">
        <v>934</v>
      </c>
      <c r="AY74" s="1">
        <f t="shared" si="45"/>
        <v>95.6</v>
      </c>
      <c r="AZ74" s="1">
        <f t="shared" si="46"/>
        <v>72.3</v>
      </c>
      <c r="BA74" s="1">
        <f t="shared" si="47"/>
        <v>37.1</v>
      </c>
      <c r="BB74" s="8">
        <f t="shared" si="48"/>
        <v>0.26500000000000001</v>
      </c>
      <c r="BC74" s="8">
        <f t="shared" si="49"/>
        <v>0.44900000000000001</v>
      </c>
      <c r="BE74" s="5">
        <f t="shared" si="55"/>
        <v>15.06</v>
      </c>
      <c r="BF74" s="5">
        <f t="shared" si="56"/>
        <v>13.44</v>
      </c>
      <c r="BG74" s="1">
        <f t="shared" si="50"/>
        <v>-9.6999999999999993</v>
      </c>
      <c r="BH74" s="1">
        <f t="shared" si="51"/>
        <v>2.2000000000000002</v>
      </c>
      <c r="BI74" s="1">
        <f t="shared" si="52"/>
        <v>-21.1</v>
      </c>
      <c r="BJ74" s="1">
        <f t="shared" si="57"/>
        <v>72.3</v>
      </c>
      <c r="BK74" s="1">
        <f t="shared" si="58"/>
        <v>37.1</v>
      </c>
      <c r="BL74" s="1">
        <f t="shared" si="67"/>
        <v>0.8</v>
      </c>
      <c r="BM74" s="1">
        <f t="shared" si="68"/>
        <v>3.5</v>
      </c>
      <c r="BN74" s="21">
        <f t="shared" si="59"/>
        <v>0</v>
      </c>
      <c r="BO74" s="7">
        <f t="shared" si="60"/>
        <v>0.93800000000000017</v>
      </c>
      <c r="BP74" s="21">
        <f t="shared" si="42"/>
        <v>-1</v>
      </c>
      <c r="BQ74" s="1">
        <f t="shared" si="61"/>
        <v>-20</v>
      </c>
      <c r="BR74" s="1">
        <f t="shared" si="62"/>
        <v>-4</v>
      </c>
      <c r="BS74" s="1">
        <f t="shared" si="63"/>
        <v>-32.1</v>
      </c>
      <c r="BT74" s="1" t="s">
        <v>113</v>
      </c>
      <c r="BU74" s="1" t="s">
        <v>113</v>
      </c>
      <c r="BV74" s="1" t="s">
        <v>113</v>
      </c>
      <c r="BW74" s="1" t="str">
        <f t="shared" si="69"/>
        <v>NAN</v>
      </c>
      <c r="BX74" s="1">
        <f t="shared" si="70"/>
        <v>0.26500000000000001</v>
      </c>
      <c r="BY74" s="1">
        <f t="shared" si="71"/>
        <v>0.44900000000000001</v>
      </c>
      <c r="CA74" s="1">
        <f t="shared" si="64"/>
        <v>-6.2</v>
      </c>
      <c r="CB74" s="1">
        <f t="shared" si="65"/>
        <v>-11</v>
      </c>
    </row>
    <row r="75" spans="1:80" x14ac:dyDescent="0.2">
      <c r="A75" s="9">
        <f t="shared" si="72"/>
        <v>43535</v>
      </c>
      <c r="B75" s="2">
        <v>70</v>
      </c>
      <c r="C75" s="2">
        <v>21</v>
      </c>
      <c r="D75" s="2">
        <v>13.19</v>
      </c>
      <c r="E75" s="2">
        <v>0.33100000000000002</v>
      </c>
      <c r="F75" s="2">
        <v>-13.54</v>
      </c>
      <c r="G75" s="2">
        <v>-6.4169999999999998</v>
      </c>
      <c r="H75" s="2">
        <v>73.7</v>
      </c>
      <c r="I75" s="2">
        <v>-2.835</v>
      </c>
      <c r="J75" s="2">
        <v>-0.41199999999999998</v>
      </c>
      <c r="K75" s="2">
        <v>-0.373</v>
      </c>
      <c r="L75" s="2">
        <v>0.76900000000000002</v>
      </c>
      <c r="M75" s="2">
        <v>-2.032</v>
      </c>
      <c r="N75" s="2">
        <v>89.6</v>
      </c>
      <c r="O75" s="2">
        <v>-2.1869999999999998</v>
      </c>
      <c r="P75" s="2">
        <v>0.19</v>
      </c>
      <c r="Q75" s="2">
        <v>0.22</v>
      </c>
      <c r="R75" s="2">
        <v>1.1220000000000001</v>
      </c>
      <c r="S75" s="2">
        <v>-11.1</v>
      </c>
      <c r="T75" s="2">
        <v>52.95</v>
      </c>
      <c r="U75" s="2">
        <v>-3.052</v>
      </c>
      <c r="V75" s="2">
        <v>-0.60499999999999998</v>
      </c>
      <c r="W75" s="2">
        <v>-0.57099999999999995</v>
      </c>
      <c r="X75" s="2">
        <v>0.63700000000000001</v>
      </c>
      <c r="Y75" s="2">
        <v>1.5309999999999999</v>
      </c>
      <c r="Z75" s="2">
        <v>0</v>
      </c>
      <c r="AA75" s="2">
        <v>7.54</v>
      </c>
      <c r="AB75" s="2">
        <v>6.5810000000000004</v>
      </c>
      <c r="AC75" s="2">
        <v>2.7360000000000002</v>
      </c>
      <c r="AD75" s="2">
        <v>5.8070000000000004</v>
      </c>
      <c r="AE75" s="2">
        <v>-8.09</v>
      </c>
      <c r="AF75" s="2">
        <v>-4.452</v>
      </c>
      <c r="AG75" s="2">
        <v>-16.45</v>
      </c>
      <c r="AH75" s="2">
        <v>-4.452</v>
      </c>
      <c r="AI75" s="2">
        <v>-16.45</v>
      </c>
      <c r="AJ75" s="2" t="s">
        <v>113</v>
      </c>
      <c r="AK75" s="2" t="s">
        <v>113</v>
      </c>
      <c r="AL75" s="2">
        <v>-6.0380000000000003</v>
      </c>
      <c r="AM75" s="2">
        <v>-0.624</v>
      </c>
      <c r="AN75" s="2">
        <v>-12.33</v>
      </c>
      <c r="AO75" s="2"/>
      <c r="AP75" s="1">
        <f t="shared" si="53"/>
        <v>0.91900000000000026</v>
      </c>
      <c r="AQ75" s="22">
        <f t="shared" si="54"/>
        <v>-1.2</v>
      </c>
      <c r="AR75" s="5">
        <v>16.05</v>
      </c>
      <c r="AS75" s="5">
        <v>7.92</v>
      </c>
      <c r="AT75" s="5">
        <v>6.58</v>
      </c>
      <c r="AU75" s="7">
        <f t="shared" si="66"/>
        <v>0.83099999999999996</v>
      </c>
      <c r="AV75" s="16"/>
      <c r="AW75" s="29">
        <v>0</v>
      </c>
      <c r="AX75" s="29">
        <v>915</v>
      </c>
      <c r="AY75" s="1">
        <f t="shared" si="45"/>
        <v>86.4</v>
      </c>
      <c r="AZ75" s="1">
        <f t="shared" si="46"/>
        <v>71</v>
      </c>
      <c r="BA75" s="1">
        <f t="shared" si="47"/>
        <v>50.9</v>
      </c>
      <c r="BB75" s="8">
        <f t="shared" si="48"/>
        <v>0.26800000000000002</v>
      </c>
      <c r="BC75" s="8">
        <f t="shared" si="49"/>
        <v>0.25900000000000001</v>
      </c>
      <c r="BE75" s="5">
        <f t="shared" si="55"/>
        <v>7.92</v>
      </c>
      <c r="BF75" s="5">
        <f t="shared" si="56"/>
        <v>6.58</v>
      </c>
      <c r="BG75" s="1">
        <f t="shared" si="50"/>
        <v>-6.4</v>
      </c>
      <c r="BH75" s="1">
        <f t="shared" si="51"/>
        <v>-2</v>
      </c>
      <c r="BI75" s="1">
        <f t="shared" si="52"/>
        <v>-11.1</v>
      </c>
      <c r="BJ75" s="1">
        <f t="shared" si="57"/>
        <v>71</v>
      </c>
      <c r="BK75" s="1">
        <f t="shared" si="58"/>
        <v>50.9</v>
      </c>
      <c r="BL75" s="1">
        <f t="shared" si="67"/>
        <v>2.7</v>
      </c>
      <c r="BM75" s="1">
        <f t="shared" si="68"/>
        <v>5.8</v>
      </c>
      <c r="BN75" s="21">
        <f t="shared" si="59"/>
        <v>0</v>
      </c>
      <c r="BO75" s="7">
        <f t="shared" si="60"/>
        <v>0.91900000000000026</v>
      </c>
      <c r="BP75" s="21">
        <f t="shared" si="42"/>
        <v>-1.2</v>
      </c>
      <c r="BQ75" s="1">
        <f t="shared" si="61"/>
        <v>-8.1</v>
      </c>
      <c r="BR75" s="1">
        <f t="shared" si="62"/>
        <v>-4.5</v>
      </c>
      <c r="BS75" s="1">
        <f t="shared" si="63"/>
        <v>-16.5</v>
      </c>
      <c r="BT75" s="1" t="s">
        <v>113</v>
      </c>
      <c r="BU75" s="1" t="s">
        <v>113</v>
      </c>
      <c r="BV75" s="1" t="s">
        <v>113</v>
      </c>
      <c r="BW75" s="1" t="str">
        <f t="shared" si="69"/>
        <v>NAN</v>
      </c>
      <c r="BX75" s="1">
        <f t="shared" si="70"/>
        <v>0.26800000000000002</v>
      </c>
      <c r="BY75" s="1">
        <f t="shared" si="71"/>
        <v>0.25900000000000001</v>
      </c>
      <c r="CA75" s="1">
        <f t="shared" si="64"/>
        <v>-2.5</v>
      </c>
      <c r="CB75" s="1">
        <f t="shared" si="65"/>
        <v>-5.4</v>
      </c>
    </row>
    <row r="76" spans="1:80" x14ac:dyDescent="0.2">
      <c r="A76" s="9">
        <f t="shared" si="72"/>
        <v>43536</v>
      </c>
      <c r="B76" s="2">
        <v>71</v>
      </c>
      <c r="C76" s="2">
        <v>21</v>
      </c>
      <c r="D76" s="2">
        <v>13.13</v>
      </c>
      <c r="E76" s="2">
        <v>6.6000000000000003E-2</v>
      </c>
      <c r="F76" s="2">
        <v>-14.91</v>
      </c>
      <c r="G76" s="2">
        <v>-6.8689999999999998</v>
      </c>
      <c r="H76" s="2">
        <v>92.7</v>
      </c>
      <c r="I76" s="2">
        <v>-2.7730000000000001</v>
      </c>
      <c r="J76" s="2">
        <v>-0.43</v>
      </c>
      <c r="K76" s="2">
        <v>-0.39100000000000001</v>
      </c>
      <c r="L76" s="2">
        <v>0.77200000000000002</v>
      </c>
      <c r="M76" s="2">
        <v>-3.6560000000000001</v>
      </c>
      <c r="N76" s="2">
        <v>99.9</v>
      </c>
      <c r="O76" s="2">
        <v>-2.3570000000000002</v>
      </c>
      <c r="P76" s="2">
        <v>6.0000000000000001E-3</v>
      </c>
      <c r="Q76" s="2">
        <v>3.2000000000000001E-2</v>
      </c>
      <c r="R76" s="2">
        <v>1.032</v>
      </c>
      <c r="S76" s="2">
        <v>-14.81</v>
      </c>
      <c r="T76" s="2">
        <v>80.400000000000006</v>
      </c>
      <c r="U76" s="2">
        <v>-2.9860000000000002</v>
      </c>
      <c r="V76" s="2">
        <v>-0.72199999999999998</v>
      </c>
      <c r="W76" s="2">
        <v>-0.68300000000000005</v>
      </c>
      <c r="X76" s="2">
        <v>0.57899999999999996</v>
      </c>
      <c r="Y76" s="2">
        <v>1.518</v>
      </c>
      <c r="Z76" s="2">
        <v>0</v>
      </c>
      <c r="AA76" s="2">
        <v>6.4790000000000001</v>
      </c>
      <c r="AB76" s="2">
        <v>6.8109999999999999</v>
      </c>
      <c r="AC76" s="2">
        <v>1.548</v>
      </c>
      <c r="AD76" s="2">
        <v>6.7670000000000003</v>
      </c>
      <c r="AE76" s="2">
        <v>-10.24</v>
      </c>
      <c r="AF76" s="2">
        <v>-4.5679999999999996</v>
      </c>
      <c r="AG76" s="2">
        <v>-26.48</v>
      </c>
      <c r="AH76" s="2">
        <v>-4.5679999999999996</v>
      </c>
      <c r="AI76" s="2">
        <v>-26.48</v>
      </c>
      <c r="AJ76" s="2" t="s">
        <v>113</v>
      </c>
      <c r="AK76" s="2" t="s">
        <v>113</v>
      </c>
      <c r="AL76" s="2">
        <v>-6.7489999999999997</v>
      </c>
      <c r="AM76" s="2">
        <v>-2.5950000000000002</v>
      </c>
      <c r="AN76" s="2">
        <v>-15.98</v>
      </c>
      <c r="AO76" s="2"/>
      <c r="AP76" s="1">
        <f t="shared" si="53"/>
        <v>0.93200000000000016</v>
      </c>
      <c r="AQ76" s="22">
        <f t="shared" si="54"/>
        <v>-1.2</v>
      </c>
      <c r="AR76" s="5">
        <v>16.309999999999999</v>
      </c>
      <c r="AS76" s="5">
        <v>7.8</v>
      </c>
      <c r="AT76" s="5">
        <v>6.79</v>
      </c>
      <c r="AU76" s="7">
        <f t="shared" si="66"/>
        <v>0.871</v>
      </c>
      <c r="AV76" s="16"/>
      <c r="AW76" s="29">
        <v>4.07</v>
      </c>
      <c r="AX76" s="29">
        <v>928</v>
      </c>
      <c r="AY76" s="1">
        <f t="shared" si="45"/>
        <v>96.4</v>
      </c>
      <c r="AZ76" s="1">
        <f t="shared" si="46"/>
        <v>89.4</v>
      </c>
      <c r="BA76" s="1">
        <f t="shared" si="47"/>
        <v>77.5</v>
      </c>
      <c r="BB76" s="8">
        <f t="shared" si="48"/>
        <v>0.36099999999999999</v>
      </c>
      <c r="BC76" s="8">
        <f t="shared" si="49"/>
        <v>0.105</v>
      </c>
      <c r="BE76" s="5">
        <f t="shared" si="55"/>
        <v>7.8</v>
      </c>
      <c r="BF76" s="5">
        <f t="shared" si="56"/>
        <v>6.79</v>
      </c>
      <c r="BG76" s="1">
        <f t="shared" si="50"/>
        <v>-6.9</v>
      </c>
      <c r="BH76" s="1">
        <f t="shared" si="51"/>
        <v>-3.7</v>
      </c>
      <c r="BI76" s="1">
        <f t="shared" si="52"/>
        <v>-14.8</v>
      </c>
      <c r="BJ76" s="1">
        <f t="shared" si="57"/>
        <v>89.4</v>
      </c>
      <c r="BK76" s="1">
        <f t="shared" si="58"/>
        <v>77.5</v>
      </c>
      <c r="BL76" s="1">
        <f t="shared" si="67"/>
        <v>1.5</v>
      </c>
      <c r="BM76" s="1">
        <f t="shared" si="68"/>
        <v>6.8</v>
      </c>
      <c r="BN76" s="21">
        <f t="shared" si="59"/>
        <v>4.07</v>
      </c>
      <c r="BO76" s="7">
        <f t="shared" si="60"/>
        <v>0.93200000000000016</v>
      </c>
      <c r="BP76" s="21">
        <f t="shared" si="42"/>
        <v>-1.2</v>
      </c>
      <c r="BQ76" s="1">
        <f t="shared" si="61"/>
        <v>-10.199999999999999</v>
      </c>
      <c r="BR76" s="1">
        <f t="shared" si="62"/>
        <v>-4.5999999999999996</v>
      </c>
      <c r="BS76" s="1">
        <f t="shared" si="63"/>
        <v>-26.5</v>
      </c>
      <c r="BT76" s="1" t="s">
        <v>113</v>
      </c>
      <c r="BU76" s="1" t="s">
        <v>113</v>
      </c>
      <c r="BV76" s="1" t="s">
        <v>113</v>
      </c>
      <c r="BW76" s="1" t="str">
        <f t="shared" si="69"/>
        <v>NAN</v>
      </c>
      <c r="BX76" s="1">
        <f t="shared" si="70"/>
        <v>0.36099999999999999</v>
      </c>
      <c r="BY76" s="1">
        <f t="shared" si="71"/>
        <v>0.105</v>
      </c>
      <c r="CA76" s="1">
        <f t="shared" si="64"/>
        <v>-0.89999999999999947</v>
      </c>
      <c r="CB76" s="1">
        <f t="shared" si="65"/>
        <v>-11.7</v>
      </c>
    </row>
    <row r="77" spans="1:80" x14ac:dyDescent="0.2">
      <c r="A77" s="9">
        <f t="shared" si="72"/>
        <v>43537</v>
      </c>
      <c r="B77" s="2">
        <v>72</v>
      </c>
      <c r="C77" s="2">
        <v>21</v>
      </c>
      <c r="D77" s="2">
        <v>13.1</v>
      </c>
      <c r="E77" s="2">
        <v>8.68</v>
      </c>
      <c r="F77" s="2">
        <v>-17.46</v>
      </c>
      <c r="G77" s="2">
        <v>-8.48</v>
      </c>
      <c r="H77" s="2">
        <v>75.2</v>
      </c>
      <c r="I77" s="2">
        <v>-2.411</v>
      </c>
      <c r="J77" s="2">
        <v>-0.30199999999999999</v>
      </c>
      <c r="K77" s="2">
        <v>-0.26400000000000001</v>
      </c>
      <c r="L77" s="2">
        <v>0.84399999999999997</v>
      </c>
      <c r="M77" s="2">
        <v>-0.33600000000000002</v>
      </c>
      <c r="N77" s="2">
        <v>98.8</v>
      </c>
      <c r="O77" s="2">
        <v>-1.153</v>
      </c>
      <c r="P77" s="2">
        <v>1.022</v>
      </c>
      <c r="Q77" s="2">
        <v>1.026</v>
      </c>
      <c r="R77" s="2">
        <v>1.5549999999999999</v>
      </c>
      <c r="S77" s="2">
        <v>-16.440000000000001</v>
      </c>
      <c r="T77" s="2">
        <v>41.32</v>
      </c>
      <c r="U77" s="2">
        <v>-3.0659999999999998</v>
      </c>
      <c r="V77" s="2">
        <v>-1.008</v>
      </c>
      <c r="W77" s="2">
        <v>-0.97299999999999998</v>
      </c>
      <c r="X77" s="2">
        <v>0.33400000000000002</v>
      </c>
      <c r="Y77" s="2">
        <v>1.5289999999999999</v>
      </c>
      <c r="Z77" s="2">
        <v>0</v>
      </c>
      <c r="AA77" s="2">
        <v>12.64</v>
      </c>
      <c r="AB77" s="2">
        <v>12.5</v>
      </c>
      <c r="AC77" s="2">
        <v>1.3959999999999999</v>
      </c>
      <c r="AD77" s="2">
        <v>5.5670000000000002</v>
      </c>
      <c r="AE77" s="2">
        <v>-17.68</v>
      </c>
      <c r="AF77" s="2">
        <v>-1.087</v>
      </c>
      <c r="AG77" s="2">
        <v>-27.93</v>
      </c>
      <c r="AH77" s="2">
        <v>-1.087</v>
      </c>
      <c r="AI77" s="2">
        <v>-27.93</v>
      </c>
      <c r="AJ77" s="2" t="s">
        <v>113</v>
      </c>
      <c r="AK77" s="2" t="s">
        <v>113</v>
      </c>
      <c r="AL77" s="2">
        <v>-8.4499999999999993</v>
      </c>
      <c r="AM77" s="2">
        <v>2.9060000000000001</v>
      </c>
      <c r="AN77" s="2">
        <v>-18.27</v>
      </c>
      <c r="AO77" s="2"/>
      <c r="AP77" s="1">
        <f t="shared" si="53"/>
        <v>0.92100000000000026</v>
      </c>
      <c r="AQ77" s="22">
        <f t="shared" si="54"/>
        <v>-1</v>
      </c>
      <c r="AR77" s="5">
        <v>16.559999999999999</v>
      </c>
      <c r="AS77" s="5">
        <v>14.07</v>
      </c>
      <c r="AT77" s="5">
        <v>12.27</v>
      </c>
      <c r="AU77" s="7">
        <f t="shared" si="66"/>
        <v>0.872</v>
      </c>
      <c r="AV77" s="16"/>
      <c r="AW77" s="29">
        <v>0</v>
      </c>
      <c r="AX77" s="29">
        <v>917</v>
      </c>
      <c r="AY77" s="1">
        <f t="shared" si="45"/>
        <v>95.3</v>
      </c>
      <c r="AZ77" s="1">
        <f t="shared" si="46"/>
        <v>72.400000000000006</v>
      </c>
      <c r="BA77" s="1">
        <f t="shared" si="47"/>
        <v>39.6</v>
      </c>
      <c r="BB77" s="8">
        <f t="shared" si="48"/>
        <v>0.23599999999999999</v>
      </c>
      <c r="BC77" s="8">
        <f t="shared" si="49"/>
        <v>0.36</v>
      </c>
      <c r="BE77" s="5">
        <f t="shared" si="55"/>
        <v>14.07</v>
      </c>
      <c r="BF77" s="5">
        <f t="shared" si="56"/>
        <v>12.27</v>
      </c>
      <c r="BG77" s="1">
        <f t="shared" si="50"/>
        <v>-8.5</v>
      </c>
      <c r="BH77" s="1">
        <f t="shared" si="51"/>
        <v>-0.3</v>
      </c>
      <c r="BI77" s="1">
        <f t="shared" si="52"/>
        <v>-16.399999999999999</v>
      </c>
      <c r="BJ77" s="1">
        <f t="shared" si="57"/>
        <v>72.400000000000006</v>
      </c>
      <c r="BK77" s="1">
        <f t="shared" si="58"/>
        <v>39.6</v>
      </c>
      <c r="BL77" s="1">
        <f t="shared" si="67"/>
        <v>1.4</v>
      </c>
      <c r="BM77" s="1">
        <f t="shared" si="68"/>
        <v>5.6</v>
      </c>
      <c r="BN77" s="21">
        <f t="shared" si="59"/>
        <v>0</v>
      </c>
      <c r="BO77" s="7">
        <f t="shared" si="60"/>
        <v>0.92100000000000026</v>
      </c>
      <c r="BP77" s="21">
        <f t="shared" si="42"/>
        <v>-1</v>
      </c>
      <c r="BQ77" s="1">
        <f t="shared" si="61"/>
        <v>-17.7</v>
      </c>
      <c r="BR77" s="1">
        <f t="shared" si="62"/>
        <v>-1.1000000000000001</v>
      </c>
      <c r="BS77" s="1">
        <f t="shared" si="63"/>
        <v>-27.9</v>
      </c>
      <c r="BT77" s="1" t="s">
        <v>113</v>
      </c>
      <c r="BU77" s="1" t="s">
        <v>113</v>
      </c>
      <c r="BV77" s="1" t="s">
        <v>113</v>
      </c>
      <c r="BW77" s="1" t="str">
        <f t="shared" si="69"/>
        <v>NAN</v>
      </c>
      <c r="BX77" s="1">
        <f t="shared" si="70"/>
        <v>0.23599999999999999</v>
      </c>
      <c r="BY77" s="1">
        <f t="shared" si="71"/>
        <v>0.36</v>
      </c>
      <c r="CA77" s="1">
        <f t="shared" si="64"/>
        <v>-0.8</v>
      </c>
      <c r="CB77" s="1">
        <f t="shared" si="65"/>
        <v>-11.5</v>
      </c>
    </row>
    <row r="78" spans="1:80" x14ac:dyDescent="0.2">
      <c r="A78" s="9">
        <f t="shared" si="72"/>
        <v>43538</v>
      </c>
      <c r="B78" s="2">
        <v>73</v>
      </c>
      <c r="C78" s="2">
        <v>21</v>
      </c>
      <c r="D78" s="2">
        <v>13.2</v>
      </c>
      <c r="E78" s="2">
        <v>10.57</v>
      </c>
      <c r="F78" s="2">
        <v>-18.54</v>
      </c>
      <c r="G78" s="2">
        <v>-5.19</v>
      </c>
      <c r="H78" s="2">
        <v>71.5</v>
      </c>
      <c r="I78" s="2">
        <v>-2.371</v>
      </c>
      <c r="J78" s="2">
        <v>-0.26700000000000002</v>
      </c>
      <c r="K78" s="2">
        <v>-0.23400000000000001</v>
      </c>
      <c r="L78" s="2">
        <v>0.86599999999999999</v>
      </c>
      <c r="M78" s="2">
        <v>3.8610000000000002</v>
      </c>
      <c r="N78" s="2">
        <v>97.9</v>
      </c>
      <c r="O78" s="2">
        <v>-1.103</v>
      </c>
      <c r="P78" s="2">
        <v>1.04</v>
      </c>
      <c r="Q78" s="2">
        <v>1.0629999999999999</v>
      </c>
      <c r="R78" s="2">
        <v>1.423</v>
      </c>
      <c r="S78" s="2">
        <v>-16.940000000000001</v>
      </c>
      <c r="T78" s="2">
        <v>35.56</v>
      </c>
      <c r="U78" s="2">
        <v>-2.7280000000000002</v>
      </c>
      <c r="V78" s="2">
        <v>-0.63400000000000001</v>
      </c>
      <c r="W78" s="2">
        <v>-0.59099999999999997</v>
      </c>
      <c r="X78" s="2">
        <v>0.61199999999999999</v>
      </c>
      <c r="Y78" s="2">
        <v>1.5329999999999999</v>
      </c>
      <c r="Z78" s="2">
        <v>0</v>
      </c>
      <c r="AA78" s="2">
        <v>11.69</v>
      </c>
      <c r="AB78" s="2">
        <v>10.63</v>
      </c>
      <c r="AC78" s="2">
        <v>0.89800000000000002</v>
      </c>
      <c r="AD78" s="2">
        <v>4.9800000000000004</v>
      </c>
      <c r="AE78" s="2">
        <v>-10.14</v>
      </c>
      <c r="AF78" s="2">
        <v>-8.0000000000000002E-3</v>
      </c>
      <c r="AG78" s="2">
        <v>-28.13</v>
      </c>
      <c r="AH78" s="2">
        <v>-8.0000000000000002E-3</v>
      </c>
      <c r="AI78" s="2">
        <v>-28.13</v>
      </c>
      <c r="AJ78" s="2" t="s">
        <v>113</v>
      </c>
      <c r="AK78" s="2" t="s">
        <v>113</v>
      </c>
      <c r="AL78" s="2">
        <v>-5.24</v>
      </c>
      <c r="AM78" s="2">
        <v>6.4649999999999999</v>
      </c>
      <c r="AN78" s="2">
        <v>-18.559999999999999</v>
      </c>
      <c r="AO78" s="2"/>
      <c r="AP78" s="1">
        <f t="shared" si="53"/>
        <v>0.91700000000000026</v>
      </c>
      <c r="AQ78" s="22">
        <f t="shared" si="54"/>
        <v>-1</v>
      </c>
      <c r="AR78" s="5">
        <v>16.82</v>
      </c>
      <c r="AS78" s="5">
        <v>12.27</v>
      </c>
      <c r="AT78" s="5">
        <v>10.63</v>
      </c>
      <c r="AU78" s="7">
        <f t="shared" si="66"/>
        <v>0.86599999999999999</v>
      </c>
      <c r="AV78" s="16"/>
      <c r="AW78" s="29">
        <v>0</v>
      </c>
      <c r="AX78" s="29">
        <v>913</v>
      </c>
      <c r="AY78" s="1">
        <f t="shared" si="45"/>
        <v>94.5</v>
      </c>
      <c r="AZ78" s="1">
        <f t="shared" si="46"/>
        <v>68.900000000000006</v>
      </c>
      <c r="BA78" s="1">
        <f t="shared" si="47"/>
        <v>34</v>
      </c>
      <c r="BB78" s="8">
        <f t="shared" si="48"/>
        <v>0.27400000000000002</v>
      </c>
      <c r="BC78" s="8">
        <f t="shared" si="49"/>
        <v>0.53200000000000003</v>
      </c>
      <c r="BE78" s="5">
        <f t="shared" si="55"/>
        <v>12.27</v>
      </c>
      <c r="BF78" s="5">
        <f t="shared" si="56"/>
        <v>10.63</v>
      </c>
      <c r="BG78" s="1">
        <f t="shared" si="50"/>
        <v>-5.2</v>
      </c>
      <c r="BH78" s="1">
        <f t="shared" si="51"/>
        <v>3.9</v>
      </c>
      <c r="BI78" s="1">
        <f t="shared" si="52"/>
        <v>-16.899999999999999</v>
      </c>
      <c r="BJ78" s="1">
        <f t="shared" si="57"/>
        <v>68.900000000000006</v>
      </c>
      <c r="BK78" s="1">
        <f t="shared" si="58"/>
        <v>34</v>
      </c>
      <c r="BL78" s="1">
        <f t="shared" si="67"/>
        <v>0.9</v>
      </c>
      <c r="BM78" s="1">
        <f t="shared" si="68"/>
        <v>5</v>
      </c>
      <c r="BN78" s="21">
        <f t="shared" si="59"/>
        <v>0</v>
      </c>
      <c r="BO78" s="7">
        <f t="shared" si="60"/>
        <v>0.91700000000000026</v>
      </c>
      <c r="BP78" s="21">
        <f t="shared" si="42"/>
        <v>-1</v>
      </c>
      <c r="BQ78" s="1">
        <f t="shared" si="61"/>
        <v>-10.1</v>
      </c>
      <c r="BR78" s="1">
        <f t="shared" si="62"/>
        <v>0</v>
      </c>
      <c r="BS78" s="1">
        <f t="shared" si="63"/>
        <v>-28.1</v>
      </c>
      <c r="BT78" s="1" t="s">
        <v>113</v>
      </c>
      <c r="BU78" s="1" t="s">
        <v>113</v>
      </c>
      <c r="BV78" s="1" t="s">
        <v>113</v>
      </c>
      <c r="BW78" s="1" t="str">
        <f t="shared" si="69"/>
        <v>NAN</v>
      </c>
      <c r="BX78" s="1">
        <f t="shared" si="70"/>
        <v>0.27400000000000002</v>
      </c>
      <c r="BY78" s="1">
        <f t="shared" si="71"/>
        <v>0.53200000000000003</v>
      </c>
      <c r="CA78" s="1">
        <f t="shared" si="64"/>
        <v>-3.9</v>
      </c>
      <c r="CB78" s="1">
        <f t="shared" si="65"/>
        <v>-11.200000000000003</v>
      </c>
    </row>
    <row r="79" spans="1:80" x14ac:dyDescent="0.2">
      <c r="A79" s="9">
        <f t="shared" si="72"/>
        <v>43539</v>
      </c>
      <c r="B79" s="2">
        <v>74</v>
      </c>
      <c r="C79" s="2">
        <v>21</v>
      </c>
      <c r="D79" s="2">
        <v>13.15</v>
      </c>
      <c r="E79" s="2">
        <v>16.100000000000001</v>
      </c>
      <c r="F79" s="2">
        <v>-9.5399999999999991</v>
      </c>
      <c r="G79" s="2">
        <v>-2.5880000000000001</v>
      </c>
      <c r="H79" s="2">
        <v>78.3</v>
      </c>
      <c r="I79" s="2">
        <v>-2.468</v>
      </c>
      <c r="J79" s="2">
        <v>-0.36499999999999999</v>
      </c>
      <c r="K79" s="2">
        <v>-0.33400000000000002</v>
      </c>
      <c r="L79" s="2">
        <v>0.83799999999999997</v>
      </c>
      <c r="M79" s="2">
        <v>7.06</v>
      </c>
      <c r="N79" s="2">
        <v>100.3</v>
      </c>
      <c r="O79" s="2">
        <v>-1.4219999999999999</v>
      </c>
      <c r="P79" s="2">
        <v>0.64</v>
      </c>
      <c r="Q79" s="2">
        <v>0.64900000000000002</v>
      </c>
      <c r="R79" s="2">
        <v>1.421</v>
      </c>
      <c r="S79" s="2">
        <v>-9.27</v>
      </c>
      <c r="T79" s="2">
        <v>40.630000000000003</v>
      </c>
      <c r="U79" s="2">
        <v>-2.8980000000000001</v>
      </c>
      <c r="V79" s="2">
        <v>-0.81799999999999995</v>
      </c>
      <c r="W79" s="2">
        <v>-0.77400000000000002</v>
      </c>
      <c r="X79" s="2">
        <v>0.35399999999999998</v>
      </c>
      <c r="Y79" s="2">
        <v>1.5620000000000001</v>
      </c>
      <c r="Z79" s="2">
        <v>0</v>
      </c>
      <c r="AA79" s="2">
        <v>11.45</v>
      </c>
      <c r="AB79" s="2">
        <v>9.99</v>
      </c>
      <c r="AC79" s="2">
        <v>1.151</v>
      </c>
      <c r="AD79" s="2">
        <v>4.1269999999999998</v>
      </c>
      <c r="AE79" s="2">
        <v>-9.1199999999999992</v>
      </c>
      <c r="AF79" s="2">
        <v>1.1759999999999999</v>
      </c>
      <c r="AG79" s="2">
        <v>-18.64</v>
      </c>
      <c r="AH79" s="2">
        <v>1.1759999999999999</v>
      </c>
      <c r="AI79" s="2">
        <v>-18.64</v>
      </c>
      <c r="AJ79" s="2" t="s">
        <v>113</v>
      </c>
      <c r="AK79" s="2" t="s">
        <v>113</v>
      </c>
      <c r="AL79" s="2">
        <v>-2.456</v>
      </c>
      <c r="AM79" s="2">
        <v>10.53</v>
      </c>
      <c r="AN79" s="2">
        <v>-10.29</v>
      </c>
      <c r="AO79" s="2"/>
      <c r="AP79" s="1">
        <f t="shared" si="53"/>
        <v>0.88800000000000012</v>
      </c>
      <c r="AQ79" s="22">
        <f t="shared" si="54"/>
        <v>-1.1000000000000001</v>
      </c>
      <c r="AR79" s="5">
        <v>17.079999999999998</v>
      </c>
      <c r="AS79" s="5">
        <v>12.02</v>
      </c>
      <c r="AT79" s="5">
        <v>9.9600000000000009</v>
      </c>
      <c r="AU79" s="7">
        <f t="shared" si="66"/>
        <v>0.82899999999999996</v>
      </c>
      <c r="AV79" s="16"/>
      <c r="AW79" s="29">
        <v>0</v>
      </c>
      <c r="AX79" s="29">
        <v>884</v>
      </c>
      <c r="AY79" s="1">
        <f t="shared" si="45"/>
        <v>96.8</v>
      </c>
      <c r="AZ79" s="1">
        <f t="shared" si="46"/>
        <v>75.5</v>
      </c>
      <c r="BA79" s="1">
        <f t="shared" si="47"/>
        <v>38.9</v>
      </c>
      <c r="BB79" s="8">
        <f t="shared" si="48"/>
        <v>0.39100000000000001</v>
      </c>
      <c r="BC79" s="8">
        <f t="shared" si="49"/>
        <v>0.61399999999999999</v>
      </c>
      <c r="BE79" s="5">
        <f t="shared" si="55"/>
        <v>12.02</v>
      </c>
      <c r="BF79" s="5">
        <f t="shared" si="56"/>
        <v>9.9600000000000009</v>
      </c>
      <c r="BG79" s="1">
        <f t="shared" si="50"/>
        <v>-2.6</v>
      </c>
      <c r="BH79" s="1">
        <f t="shared" si="51"/>
        <v>7.1</v>
      </c>
      <c r="BI79" s="1">
        <f t="shared" si="52"/>
        <v>-9.3000000000000007</v>
      </c>
      <c r="BJ79" s="1">
        <f t="shared" si="57"/>
        <v>75.5</v>
      </c>
      <c r="BK79" s="1">
        <f t="shared" si="58"/>
        <v>38.9</v>
      </c>
      <c r="BL79" s="1">
        <f t="shared" si="67"/>
        <v>1.2</v>
      </c>
      <c r="BM79" s="1">
        <f t="shared" si="68"/>
        <v>4.0999999999999996</v>
      </c>
      <c r="BN79" s="21">
        <f t="shared" si="59"/>
        <v>0</v>
      </c>
      <c r="BO79" s="7">
        <f t="shared" si="60"/>
        <v>0.88800000000000012</v>
      </c>
      <c r="BP79" s="21">
        <f t="shared" si="42"/>
        <v>-1.1000000000000001</v>
      </c>
      <c r="BQ79" s="1">
        <f t="shared" si="61"/>
        <v>-9.1</v>
      </c>
      <c r="BR79" s="1">
        <f t="shared" si="62"/>
        <v>1.2</v>
      </c>
      <c r="BS79" s="1">
        <f t="shared" si="63"/>
        <v>-18.600000000000001</v>
      </c>
      <c r="BT79" s="1" t="s">
        <v>113</v>
      </c>
      <c r="BU79" s="1" t="s">
        <v>113</v>
      </c>
      <c r="BV79" s="1" t="s">
        <v>113</v>
      </c>
      <c r="BW79" s="1" t="str">
        <f t="shared" si="69"/>
        <v>NAN</v>
      </c>
      <c r="BX79" s="1">
        <f t="shared" si="70"/>
        <v>0.39100000000000001</v>
      </c>
      <c r="BY79" s="1">
        <f t="shared" si="71"/>
        <v>0.61399999999999999</v>
      </c>
      <c r="CA79" s="1">
        <f t="shared" si="64"/>
        <v>-5.8999999999999995</v>
      </c>
      <c r="CB79" s="1">
        <f t="shared" si="65"/>
        <v>-9.3000000000000007</v>
      </c>
    </row>
    <row r="80" spans="1:80" x14ac:dyDescent="0.2">
      <c r="A80" s="9">
        <f t="shared" si="72"/>
        <v>43540</v>
      </c>
      <c r="B80" s="2">
        <v>75</v>
      </c>
      <c r="C80" s="2">
        <v>21</v>
      </c>
      <c r="D80" s="2">
        <v>13.17</v>
      </c>
      <c r="E80" s="2">
        <v>18.260000000000002</v>
      </c>
      <c r="F80" s="2">
        <v>-10.14</v>
      </c>
      <c r="G80" s="2">
        <v>-1.44</v>
      </c>
      <c r="H80" s="2">
        <v>76.400000000000006</v>
      </c>
      <c r="I80" s="2">
        <v>-2.2170000000000001</v>
      </c>
      <c r="J80" s="2">
        <v>-0.26200000000000001</v>
      </c>
      <c r="K80" s="2">
        <v>-0.23400000000000001</v>
      </c>
      <c r="L80" s="2">
        <v>0.86699999999999999</v>
      </c>
      <c r="M80" s="2">
        <v>9.0500000000000007</v>
      </c>
      <c r="N80" s="2">
        <v>99.9</v>
      </c>
      <c r="O80" s="2">
        <v>-1.159</v>
      </c>
      <c r="P80" s="2">
        <v>0.82799999999999996</v>
      </c>
      <c r="Q80" s="2">
        <v>0.83899999999999997</v>
      </c>
      <c r="R80" s="2">
        <v>1.425</v>
      </c>
      <c r="S80" s="2">
        <v>-9.25</v>
      </c>
      <c r="T80" s="2">
        <v>36.39</v>
      </c>
      <c r="U80" s="2">
        <v>-2.61</v>
      </c>
      <c r="V80" s="2">
        <v>-0.68500000000000005</v>
      </c>
      <c r="W80" s="2">
        <v>-0.65800000000000003</v>
      </c>
      <c r="X80" s="2">
        <v>0.48499999999999999</v>
      </c>
      <c r="Y80" s="2">
        <v>1.577</v>
      </c>
      <c r="Z80" s="2">
        <v>0</v>
      </c>
      <c r="AA80" s="2">
        <v>14.53</v>
      </c>
      <c r="AB80" s="2">
        <v>12.72</v>
      </c>
      <c r="AC80" s="2">
        <v>1.1040000000000001</v>
      </c>
      <c r="AD80" s="2">
        <v>5.0599999999999996</v>
      </c>
      <c r="AE80" s="2">
        <v>-7.96</v>
      </c>
      <c r="AF80" s="2">
        <v>0.58899999999999997</v>
      </c>
      <c r="AG80" s="2">
        <v>-17.54</v>
      </c>
      <c r="AH80" s="2">
        <v>0.58899999999999997</v>
      </c>
      <c r="AI80" s="2">
        <v>-17.54</v>
      </c>
      <c r="AJ80" s="2" t="s">
        <v>113</v>
      </c>
      <c r="AK80" s="2" t="s">
        <v>113</v>
      </c>
      <c r="AL80" s="2">
        <v>-0.93100000000000005</v>
      </c>
      <c r="AM80" s="2">
        <v>13.1</v>
      </c>
      <c r="AN80" s="2">
        <v>-9.8000000000000007</v>
      </c>
      <c r="AO80" s="2"/>
      <c r="AP80" s="1">
        <f t="shared" si="53"/>
        <v>0.87300000000000022</v>
      </c>
      <c r="AQ80" s="22">
        <f t="shared" si="54"/>
        <v>-0.9</v>
      </c>
      <c r="AR80" s="5">
        <v>17.34</v>
      </c>
      <c r="AS80" s="5">
        <v>15.26</v>
      </c>
      <c r="AT80" s="5">
        <v>12.72</v>
      </c>
      <c r="AU80" s="7">
        <f t="shared" si="66"/>
        <v>0.83399999999999996</v>
      </c>
      <c r="AV80" s="16"/>
      <c r="AW80" s="29">
        <v>0</v>
      </c>
      <c r="AX80" s="29">
        <v>869</v>
      </c>
      <c r="AY80" s="1">
        <f t="shared" si="45"/>
        <v>96.4</v>
      </c>
      <c r="AZ80" s="1">
        <f t="shared" si="46"/>
        <v>73.599999999999994</v>
      </c>
      <c r="BA80" s="1">
        <f t="shared" si="47"/>
        <v>34.799999999999997</v>
      </c>
      <c r="BB80" s="8">
        <f t="shared" si="48"/>
        <v>0.40100000000000002</v>
      </c>
      <c r="BC80" s="8">
        <f t="shared" si="49"/>
        <v>0.751</v>
      </c>
      <c r="BE80" s="5">
        <f t="shared" si="55"/>
        <v>15.26</v>
      </c>
      <c r="BF80" s="5">
        <f t="shared" si="56"/>
        <v>12.72</v>
      </c>
      <c r="BG80" s="1">
        <f t="shared" si="50"/>
        <v>-1.4</v>
      </c>
      <c r="BH80" s="1">
        <f t="shared" si="51"/>
        <v>9.1</v>
      </c>
      <c r="BI80" s="1">
        <f t="shared" si="52"/>
        <v>-9.3000000000000007</v>
      </c>
      <c r="BJ80" s="1">
        <f t="shared" si="57"/>
        <v>73.599999999999994</v>
      </c>
      <c r="BK80" s="1">
        <f t="shared" si="58"/>
        <v>34.799999999999997</v>
      </c>
      <c r="BL80" s="1">
        <f t="shared" si="67"/>
        <v>1.1000000000000001</v>
      </c>
      <c r="BM80" s="1">
        <f t="shared" si="68"/>
        <v>5.0999999999999996</v>
      </c>
      <c r="BN80" s="21">
        <f t="shared" si="59"/>
        <v>0</v>
      </c>
      <c r="BO80" s="7">
        <f t="shared" si="60"/>
        <v>0.87300000000000022</v>
      </c>
      <c r="BP80" s="21">
        <f t="shared" si="42"/>
        <v>-0.9</v>
      </c>
      <c r="BQ80" s="1">
        <f t="shared" si="61"/>
        <v>-8</v>
      </c>
      <c r="BR80" s="1">
        <f t="shared" si="62"/>
        <v>0.6</v>
      </c>
      <c r="BS80" s="1">
        <f t="shared" si="63"/>
        <v>-17.5</v>
      </c>
      <c r="BT80" s="1" t="s">
        <v>113</v>
      </c>
      <c r="BU80" s="1" t="s">
        <v>113</v>
      </c>
      <c r="BV80" s="1" t="s">
        <v>113</v>
      </c>
      <c r="BW80" s="1" t="str">
        <f t="shared" si="69"/>
        <v>NAN</v>
      </c>
      <c r="BX80" s="1">
        <f t="shared" si="70"/>
        <v>0.40100000000000002</v>
      </c>
      <c r="BY80" s="1">
        <f t="shared" si="71"/>
        <v>0.751</v>
      </c>
      <c r="CA80" s="1">
        <f t="shared" si="64"/>
        <v>-8.5</v>
      </c>
      <c r="CB80" s="1">
        <f t="shared" si="65"/>
        <v>-8.1999999999999993</v>
      </c>
    </row>
    <row r="81" spans="1:80" x14ac:dyDescent="0.2">
      <c r="A81" s="9">
        <f t="shared" si="72"/>
        <v>43541</v>
      </c>
      <c r="B81" s="2">
        <v>76</v>
      </c>
      <c r="C81" s="2">
        <v>21</v>
      </c>
      <c r="D81" s="2">
        <v>13.19</v>
      </c>
      <c r="E81" s="2">
        <v>17.079999999999998</v>
      </c>
      <c r="F81" s="2">
        <v>-12.23</v>
      </c>
      <c r="G81" s="2">
        <v>8.7999999999999995E-2</v>
      </c>
      <c r="H81" s="2">
        <v>66.02</v>
      </c>
      <c r="I81" s="2">
        <v>-2.0259999999999998</v>
      </c>
      <c r="J81" s="2">
        <v>-0.184</v>
      </c>
      <c r="K81" s="2">
        <v>-0.16</v>
      </c>
      <c r="L81" s="2">
        <v>0.89500000000000002</v>
      </c>
      <c r="M81" s="2">
        <v>8.41</v>
      </c>
      <c r="N81" s="2">
        <v>100.7</v>
      </c>
      <c r="O81" s="2">
        <v>-0.49199999999999999</v>
      </c>
      <c r="P81" s="2">
        <v>1.411</v>
      </c>
      <c r="Q81" s="2">
        <v>1.403</v>
      </c>
      <c r="R81" s="2">
        <v>1.7490000000000001</v>
      </c>
      <c r="S81" s="2">
        <v>-9.76</v>
      </c>
      <c r="T81" s="2">
        <v>34.86</v>
      </c>
      <c r="U81" s="2">
        <v>-2.7330000000000001</v>
      </c>
      <c r="V81" s="2">
        <v>-0.91300000000000003</v>
      </c>
      <c r="W81" s="2">
        <v>-0.88100000000000001</v>
      </c>
      <c r="X81" s="2">
        <v>0.38800000000000001</v>
      </c>
      <c r="Y81" s="2">
        <v>1.599</v>
      </c>
      <c r="Z81" s="2">
        <v>0</v>
      </c>
      <c r="AA81" s="2">
        <v>16.010000000000002</v>
      </c>
      <c r="AB81" s="2">
        <v>13.6</v>
      </c>
      <c r="AC81" s="2">
        <v>1.3049999999999999</v>
      </c>
      <c r="AD81" s="2">
        <v>4.9000000000000004</v>
      </c>
      <c r="AE81" s="2">
        <v>-8.7200000000000006</v>
      </c>
      <c r="AF81" s="2">
        <v>0.50900000000000001</v>
      </c>
      <c r="AG81" s="2">
        <v>-20.059999999999999</v>
      </c>
      <c r="AH81" s="2">
        <v>0.50900000000000001</v>
      </c>
      <c r="AI81" s="2">
        <v>-20.059999999999999</v>
      </c>
      <c r="AJ81" s="2" t="s">
        <v>113</v>
      </c>
      <c r="AK81" s="2" t="s">
        <v>113</v>
      </c>
      <c r="AL81" s="2">
        <v>-0.129</v>
      </c>
      <c r="AM81" s="2">
        <v>11.51</v>
      </c>
      <c r="AN81" s="2">
        <v>-11.58</v>
      </c>
      <c r="AO81" s="2"/>
      <c r="AP81" s="1">
        <f t="shared" si="53"/>
        <v>0.8510000000000002</v>
      </c>
      <c r="AQ81" s="22">
        <f t="shared" si="54"/>
        <v>-0.8</v>
      </c>
      <c r="AR81" s="5">
        <v>17.600000000000001</v>
      </c>
      <c r="AS81" s="5">
        <v>16.84</v>
      </c>
      <c r="AT81" s="5">
        <v>13.6</v>
      </c>
      <c r="AU81" s="7">
        <f t="shared" si="66"/>
        <v>0.80800000000000005</v>
      </c>
      <c r="AV81" s="16"/>
      <c r="AW81" s="29">
        <v>0</v>
      </c>
      <c r="AX81" s="29">
        <v>847</v>
      </c>
      <c r="AY81" s="1">
        <f t="shared" si="45"/>
        <v>97.2</v>
      </c>
      <c r="AZ81" s="1">
        <f t="shared" si="46"/>
        <v>63.5</v>
      </c>
      <c r="BA81" s="1">
        <f t="shared" si="47"/>
        <v>33.299999999999997</v>
      </c>
      <c r="BB81" s="8">
        <f t="shared" si="48"/>
        <v>0.36699999999999999</v>
      </c>
      <c r="BC81" s="8">
        <f t="shared" si="49"/>
        <v>0.73499999999999999</v>
      </c>
      <c r="BE81" s="5">
        <f t="shared" si="55"/>
        <v>16.84</v>
      </c>
      <c r="BF81" s="5">
        <f t="shared" si="56"/>
        <v>13.6</v>
      </c>
      <c r="BG81" s="1">
        <f t="shared" si="50"/>
        <v>0.1</v>
      </c>
      <c r="BH81" s="1">
        <f t="shared" si="51"/>
        <v>8.4</v>
      </c>
      <c r="BI81" s="1">
        <f t="shared" si="52"/>
        <v>-9.8000000000000007</v>
      </c>
      <c r="BJ81" s="1">
        <f t="shared" si="57"/>
        <v>63.5</v>
      </c>
      <c r="BK81" s="1">
        <f t="shared" si="58"/>
        <v>33.299999999999997</v>
      </c>
      <c r="BL81" s="1">
        <f t="shared" si="67"/>
        <v>1.3</v>
      </c>
      <c r="BM81" s="1">
        <f t="shared" si="68"/>
        <v>4.9000000000000004</v>
      </c>
      <c r="BN81" s="21">
        <f t="shared" si="59"/>
        <v>0</v>
      </c>
      <c r="BO81" s="7">
        <f t="shared" si="60"/>
        <v>0.8510000000000002</v>
      </c>
      <c r="BP81" s="21">
        <f t="shared" si="42"/>
        <v>-0.8</v>
      </c>
      <c r="BQ81" s="1">
        <f t="shared" si="61"/>
        <v>-8.6999999999999993</v>
      </c>
      <c r="BR81" s="1">
        <f t="shared" si="62"/>
        <v>0.5</v>
      </c>
      <c r="BS81" s="1">
        <f t="shared" si="63"/>
        <v>-20.100000000000001</v>
      </c>
      <c r="BT81" s="1" t="s">
        <v>113</v>
      </c>
      <c r="BU81" s="1" t="s">
        <v>113</v>
      </c>
      <c r="BV81" s="1" t="s">
        <v>113</v>
      </c>
      <c r="BW81" s="1" t="str">
        <f t="shared" si="69"/>
        <v>NAN</v>
      </c>
      <c r="BX81" s="1">
        <f t="shared" si="70"/>
        <v>0.36699999999999999</v>
      </c>
      <c r="BY81" s="1">
        <f t="shared" si="71"/>
        <v>0.73499999999999999</v>
      </c>
      <c r="CA81" s="1">
        <f t="shared" si="64"/>
        <v>-7.9</v>
      </c>
      <c r="CB81" s="1">
        <f t="shared" si="65"/>
        <v>-10.3</v>
      </c>
    </row>
    <row r="82" spans="1:80" x14ac:dyDescent="0.2">
      <c r="A82" s="9">
        <f t="shared" si="72"/>
        <v>43542</v>
      </c>
      <c r="B82" s="2">
        <v>77</v>
      </c>
      <c r="C82" s="2">
        <v>21</v>
      </c>
      <c r="D82" s="2">
        <v>13.16</v>
      </c>
      <c r="E82" s="2">
        <v>22.86</v>
      </c>
      <c r="F82" s="2">
        <v>-10.220000000000001</v>
      </c>
      <c r="G82" s="2">
        <v>1.7749999999999999</v>
      </c>
      <c r="H82" s="2">
        <v>60.51</v>
      </c>
      <c r="I82" s="2">
        <v>-1.972</v>
      </c>
      <c r="J82" s="2">
        <v>-0.25</v>
      </c>
      <c r="K82" s="2">
        <v>-0.23</v>
      </c>
      <c r="L82" s="2">
        <v>0.84399999999999997</v>
      </c>
      <c r="M82" s="2">
        <v>13.85</v>
      </c>
      <c r="N82" s="2">
        <v>95.1</v>
      </c>
      <c r="O82" s="2">
        <v>-0.17899999999999999</v>
      </c>
      <c r="P82" s="2">
        <v>1.6020000000000001</v>
      </c>
      <c r="Q82" s="2">
        <v>1.579</v>
      </c>
      <c r="R82" s="2">
        <v>1.7969999999999999</v>
      </c>
      <c r="S82" s="2">
        <v>-8.33</v>
      </c>
      <c r="T82" s="2">
        <v>17.62</v>
      </c>
      <c r="U82" s="2">
        <v>-2.7629999999999999</v>
      </c>
      <c r="V82" s="2">
        <v>-1.056</v>
      </c>
      <c r="W82" s="2">
        <v>-1.018</v>
      </c>
      <c r="X82" s="2">
        <v>0.26400000000000001</v>
      </c>
      <c r="Y82" s="2">
        <v>1.6240000000000001</v>
      </c>
      <c r="Z82" s="2">
        <v>0</v>
      </c>
      <c r="AA82" s="2">
        <v>16.579999999999998</v>
      </c>
      <c r="AB82" s="2">
        <v>13.67</v>
      </c>
      <c r="AC82" s="2">
        <v>1.0149999999999999</v>
      </c>
      <c r="AD82" s="2">
        <v>4.0469999999999997</v>
      </c>
      <c r="AE82" s="2">
        <v>-8.2799999999999994</v>
      </c>
      <c r="AF82" s="2">
        <v>0.65300000000000002</v>
      </c>
      <c r="AG82" s="2">
        <v>-19.03</v>
      </c>
      <c r="AH82" s="2">
        <v>0.65300000000000002</v>
      </c>
      <c r="AI82" s="2">
        <v>-19.03</v>
      </c>
      <c r="AJ82" s="2" t="s">
        <v>113</v>
      </c>
      <c r="AK82" s="2" t="s">
        <v>113</v>
      </c>
      <c r="AL82" s="2">
        <v>2.101</v>
      </c>
      <c r="AM82" s="2">
        <v>18.510000000000002</v>
      </c>
      <c r="AN82" s="2">
        <v>-9.93</v>
      </c>
      <c r="AO82" s="2"/>
      <c r="AP82" s="1">
        <f t="shared" si="53"/>
        <v>0.82600000000000007</v>
      </c>
      <c r="AQ82" s="22">
        <f t="shared" si="54"/>
        <v>-0.8</v>
      </c>
      <c r="AR82" s="5">
        <v>17.850000000000001</v>
      </c>
      <c r="AS82" s="5">
        <v>17.41</v>
      </c>
      <c r="AT82" s="5">
        <v>13.66</v>
      </c>
      <c r="AU82" s="7">
        <f t="shared" si="66"/>
        <v>0.78500000000000003</v>
      </c>
      <c r="AV82" s="16"/>
      <c r="AW82" s="29">
        <v>0</v>
      </c>
      <c r="AX82" s="29">
        <v>822</v>
      </c>
      <c r="AY82" s="1">
        <f t="shared" si="45"/>
        <v>91.7</v>
      </c>
      <c r="AZ82" s="1">
        <f t="shared" si="46"/>
        <v>58.2</v>
      </c>
      <c r="BA82" s="1">
        <f t="shared" si="47"/>
        <v>16.600000000000001</v>
      </c>
      <c r="BB82" s="8">
        <f t="shared" si="48"/>
        <v>0.26300000000000001</v>
      </c>
      <c r="BC82" s="8">
        <f t="shared" si="49"/>
        <v>1.321</v>
      </c>
      <c r="BE82" s="5">
        <f t="shared" si="55"/>
        <v>17.41</v>
      </c>
      <c r="BF82" s="5">
        <f t="shared" si="56"/>
        <v>13.66</v>
      </c>
      <c r="BG82" s="1">
        <f t="shared" si="50"/>
        <v>1.8</v>
      </c>
      <c r="BH82" s="1">
        <f t="shared" si="51"/>
        <v>13.9</v>
      </c>
      <c r="BI82" s="1">
        <f t="shared" si="52"/>
        <v>-8.3000000000000007</v>
      </c>
      <c r="BJ82" s="1">
        <f t="shared" si="57"/>
        <v>58.2</v>
      </c>
      <c r="BK82" s="1">
        <f t="shared" si="58"/>
        <v>16.600000000000001</v>
      </c>
      <c r="BL82" s="1">
        <f t="shared" si="67"/>
        <v>1</v>
      </c>
      <c r="BM82" s="1">
        <f t="shared" si="68"/>
        <v>4</v>
      </c>
      <c r="BN82" s="21">
        <f t="shared" si="59"/>
        <v>0</v>
      </c>
      <c r="BO82" s="7">
        <f t="shared" si="60"/>
        <v>0.82600000000000007</v>
      </c>
      <c r="BP82" s="21">
        <f t="shared" si="42"/>
        <v>-0.8</v>
      </c>
      <c r="BQ82" s="1">
        <f t="shared" si="61"/>
        <v>-8.3000000000000007</v>
      </c>
      <c r="BR82" s="1">
        <f t="shared" si="62"/>
        <v>0.7</v>
      </c>
      <c r="BS82" s="1">
        <f t="shared" si="63"/>
        <v>-19</v>
      </c>
      <c r="BT82" s="1" t="s">
        <v>113</v>
      </c>
      <c r="BU82" s="1" t="s">
        <v>113</v>
      </c>
      <c r="BV82" s="1" t="s">
        <v>113</v>
      </c>
      <c r="BW82" s="1" t="str">
        <f t="shared" si="69"/>
        <v>NAN</v>
      </c>
      <c r="BX82" s="1">
        <f t="shared" si="70"/>
        <v>0.26300000000000001</v>
      </c>
      <c r="BY82" s="1">
        <f t="shared" si="71"/>
        <v>1.321</v>
      </c>
      <c r="CA82" s="1">
        <f t="shared" si="64"/>
        <v>-13.200000000000001</v>
      </c>
      <c r="CB82" s="1">
        <f t="shared" si="65"/>
        <v>-10.7</v>
      </c>
    </row>
    <row r="83" spans="1:80" x14ac:dyDescent="0.2">
      <c r="A83" s="9">
        <f t="shared" si="72"/>
        <v>43543</v>
      </c>
      <c r="B83" s="2">
        <v>78</v>
      </c>
      <c r="C83" s="2">
        <v>21</v>
      </c>
      <c r="D83" s="2">
        <v>13.18</v>
      </c>
      <c r="E83" s="2">
        <v>24.85</v>
      </c>
      <c r="F83" s="2">
        <v>-10.18</v>
      </c>
      <c r="G83" s="2">
        <v>3.3079999999999998</v>
      </c>
      <c r="H83" s="2">
        <v>57.22</v>
      </c>
      <c r="I83" s="2">
        <v>-1.8380000000000001</v>
      </c>
      <c r="J83" s="2">
        <v>-0.22600000000000001</v>
      </c>
      <c r="K83" s="2">
        <v>-0.216</v>
      </c>
      <c r="L83" s="2">
        <v>0.84</v>
      </c>
      <c r="M83" s="2">
        <v>15.55</v>
      </c>
      <c r="N83" s="2">
        <v>96.5</v>
      </c>
      <c r="O83" s="2">
        <v>-8.6999999999999994E-2</v>
      </c>
      <c r="P83" s="2">
        <v>1.57</v>
      </c>
      <c r="Q83" s="2">
        <v>1.5580000000000001</v>
      </c>
      <c r="R83" s="2">
        <v>1.8620000000000001</v>
      </c>
      <c r="S83" s="2">
        <v>-7.37</v>
      </c>
      <c r="T83" s="2">
        <v>19.420000000000002</v>
      </c>
      <c r="U83" s="2">
        <v>-2.8530000000000002</v>
      </c>
      <c r="V83" s="2">
        <v>-1.1919999999999999</v>
      </c>
      <c r="W83" s="2">
        <v>-1.159</v>
      </c>
      <c r="X83" s="2">
        <v>9.8000000000000004E-2</v>
      </c>
      <c r="Y83" s="2">
        <v>1.6539999999999999</v>
      </c>
      <c r="Z83" s="2">
        <v>0</v>
      </c>
      <c r="AA83" s="2">
        <v>16.8</v>
      </c>
      <c r="AB83" s="2">
        <v>13.59</v>
      </c>
      <c r="AC83" s="2">
        <v>1.254</v>
      </c>
      <c r="AD83" s="2">
        <v>4.8739999999999997</v>
      </c>
      <c r="AE83" s="2">
        <v>-7.19</v>
      </c>
      <c r="AF83" s="2">
        <v>0.93400000000000005</v>
      </c>
      <c r="AG83" s="2">
        <v>-17.170000000000002</v>
      </c>
      <c r="AH83" s="2">
        <v>0.93400000000000005</v>
      </c>
      <c r="AI83" s="2">
        <v>-17.170000000000002</v>
      </c>
      <c r="AJ83" s="2" t="s">
        <v>113</v>
      </c>
      <c r="AK83" s="2" t="s">
        <v>113</v>
      </c>
      <c r="AL83" s="2">
        <v>3.5</v>
      </c>
      <c r="AM83" s="2">
        <v>19.66</v>
      </c>
      <c r="AN83" s="2">
        <v>-8.86</v>
      </c>
      <c r="AO83" s="2"/>
      <c r="AP83" s="1">
        <f t="shared" si="53"/>
        <v>0.79600000000000026</v>
      </c>
      <c r="AQ83" s="22">
        <f t="shared" si="54"/>
        <v>-0.8</v>
      </c>
      <c r="AR83" s="5">
        <v>18.12</v>
      </c>
      <c r="AS83" s="5">
        <v>17.64</v>
      </c>
      <c r="AT83" s="5">
        <v>13.59</v>
      </c>
      <c r="AU83" s="7">
        <f t="shared" si="66"/>
        <v>0.77</v>
      </c>
      <c r="AV83" s="16"/>
      <c r="AW83" s="29">
        <v>0</v>
      </c>
      <c r="AX83" s="29">
        <v>792</v>
      </c>
      <c r="AY83" s="1">
        <f t="shared" si="45"/>
        <v>93.1</v>
      </c>
      <c r="AZ83" s="1">
        <f t="shared" si="46"/>
        <v>55</v>
      </c>
      <c r="BA83" s="1">
        <f t="shared" si="47"/>
        <v>18.3</v>
      </c>
      <c r="BB83" s="8">
        <f t="shared" si="48"/>
        <v>0.32300000000000001</v>
      </c>
      <c r="BC83" s="8">
        <f t="shared" si="49"/>
        <v>1.4419999999999999</v>
      </c>
      <c r="BE83" s="5">
        <f t="shared" si="55"/>
        <v>17.64</v>
      </c>
      <c r="BF83" s="5">
        <f t="shared" si="56"/>
        <v>13.59</v>
      </c>
      <c r="BG83" s="1">
        <f t="shared" si="50"/>
        <v>3.3</v>
      </c>
      <c r="BH83" s="1">
        <f t="shared" si="51"/>
        <v>15.6</v>
      </c>
      <c r="BI83" s="1">
        <f t="shared" si="52"/>
        <v>-7.4</v>
      </c>
      <c r="BJ83" s="1">
        <f t="shared" si="57"/>
        <v>55</v>
      </c>
      <c r="BK83" s="1">
        <f t="shared" si="58"/>
        <v>18.3</v>
      </c>
      <c r="BL83" s="1">
        <f t="shared" si="67"/>
        <v>1.3</v>
      </c>
      <c r="BM83" s="1">
        <f t="shared" si="68"/>
        <v>4.9000000000000004</v>
      </c>
      <c r="BN83" s="21">
        <f t="shared" si="59"/>
        <v>0</v>
      </c>
      <c r="BO83" s="7">
        <f t="shared" si="60"/>
        <v>0.79600000000000026</v>
      </c>
      <c r="BP83" s="21">
        <f t="shared" si="42"/>
        <v>-0.8</v>
      </c>
      <c r="BQ83" s="1">
        <f t="shared" si="61"/>
        <v>-7.2</v>
      </c>
      <c r="BR83" s="1">
        <f t="shared" si="62"/>
        <v>0.9</v>
      </c>
      <c r="BS83" s="1">
        <f t="shared" si="63"/>
        <v>-17.2</v>
      </c>
      <c r="BT83" s="1" t="s">
        <v>113</v>
      </c>
      <c r="BU83" s="1" t="s">
        <v>113</v>
      </c>
      <c r="BV83" s="1" t="s">
        <v>113</v>
      </c>
      <c r="BW83" s="1" t="str">
        <f t="shared" si="69"/>
        <v>NAN</v>
      </c>
      <c r="BX83" s="1">
        <f t="shared" si="70"/>
        <v>0.32300000000000001</v>
      </c>
      <c r="BY83" s="1">
        <f t="shared" si="71"/>
        <v>1.4419999999999999</v>
      </c>
      <c r="CA83" s="1">
        <f t="shared" si="64"/>
        <v>-14.7</v>
      </c>
      <c r="CB83" s="1">
        <f t="shared" si="65"/>
        <v>-9.7999999999999989</v>
      </c>
    </row>
    <row r="84" spans="1:80" x14ac:dyDescent="0.2">
      <c r="A84" s="9">
        <f t="shared" si="72"/>
        <v>43544</v>
      </c>
      <c r="B84" s="2">
        <v>79</v>
      </c>
      <c r="C84" s="2">
        <v>21</v>
      </c>
      <c r="D84" s="2">
        <v>13.18</v>
      </c>
      <c r="E84" s="2">
        <v>25.66</v>
      </c>
      <c r="F84" s="2">
        <v>-6.6479999999999997</v>
      </c>
      <c r="G84" s="2">
        <v>5.7610000000000001</v>
      </c>
      <c r="H84" s="2">
        <v>49.22</v>
      </c>
      <c r="I84" s="2">
        <v>-1.121</v>
      </c>
      <c r="J84" s="2">
        <v>-0.17299999999999999</v>
      </c>
      <c r="K84" s="2">
        <v>-0.22</v>
      </c>
      <c r="L84" s="2">
        <v>0.83099999999999996</v>
      </c>
      <c r="M84" s="2">
        <v>16.46</v>
      </c>
      <c r="N84" s="2">
        <v>80.599999999999994</v>
      </c>
      <c r="O84" s="2">
        <v>-5.2999999999999999E-2</v>
      </c>
      <c r="P84" s="2">
        <v>1.3959999999999999</v>
      </c>
      <c r="Q84" s="2">
        <v>1.335</v>
      </c>
      <c r="R84" s="2">
        <v>1.7270000000000001</v>
      </c>
      <c r="S84" s="2">
        <v>-3.35</v>
      </c>
      <c r="T84" s="2">
        <v>18.28</v>
      </c>
      <c r="U84" s="2">
        <v>-2.1139999999999999</v>
      </c>
      <c r="V84" s="2">
        <v>-1.0129999999999999</v>
      </c>
      <c r="W84" s="2">
        <v>-1.069</v>
      </c>
      <c r="X84" s="2">
        <v>0.25</v>
      </c>
      <c r="Y84" s="2">
        <v>1.6950000000000001</v>
      </c>
      <c r="Z84" s="2">
        <v>0</v>
      </c>
      <c r="AA84" s="2">
        <v>17.04</v>
      </c>
      <c r="AB84" s="2">
        <v>13.61</v>
      </c>
      <c r="AC84" s="2">
        <v>1.26</v>
      </c>
      <c r="AD84" s="2">
        <v>4.74</v>
      </c>
      <c r="AE84" s="2">
        <v>-6.1879999999999997</v>
      </c>
      <c r="AF84" s="2">
        <v>0.89</v>
      </c>
      <c r="AG84" s="2">
        <v>-14.62</v>
      </c>
      <c r="AH84" s="2">
        <v>0.89</v>
      </c>
      <c r="AI84" s="2">
        <v>-14.62</v>
      </c>
      <c r="AJ84" s="2" t="s">
        <v>113</v>
      </c>
      <c r="AK84" s="2" t="s">
        <v>113</v>
      </c>
      <c r="AL84" s="2">
        <v>5.7649999999999997</v>
      </c>
      <c r="AM84" s="2">
        <v>19.7</v>
      </c>
      <c r="AN84" s="2">
        <v>-4.9009999999999998</v>
      </c>
      <c r="AO84" s="2"/>
      <c r="AP84" s="1">
        <f t="shared" si="53"/>
        <v>0.75500000000000012</v>
      </c>
      <c r="AQ84" s="22">
        <f t="shared" si="54"/>
        <v>-0.5</v>
      </c>
      <c r="AR84" s="5">
        <v>18.38</v>
      </c>
      <c r="AS84" s="5">
        <v>17.899999999999999</v>
      </c>
      <c r="AT84" s="5">
        <v>13.6</v>
      </c>
      <c r="AU84" s="7">
        <f t="shared" si="66"/>
        <v>0.76</v>
      </c>
      <c r="AV84" s="16"/>
      <c r="AW84" s="29">
        <v>0</v>
      </c>
      <c r="AX84" s="29">
        <v>751</v>
      </c>
      <c r="AY84" s="1">
        <f t="shared" si="45"/>
        <v>77.7</v>
      </c>
      <c r="AZ84" s="1">
        <f t="shared" si="46"/>
        <v>47.2</v>
      </c>
      <c r="BA84" s="1">
        <f t="shared" si="47"/>
        <v>17.2</v>
      </c>
      <c r="BB84" s="8">
        <f t="shared" si="48"/>
        <v>0.32200000000000001</v>
      </c>
      <c r="BC84" s="8">
        <f t="shared" si="49"/>
        <v>1.55</v>
      </c>
      <c r="BE84" s="5">
        <f t="shared" si="55"/>
        <v>17.899999999999999</v>
      </c>
      <c r="BF84" s="5">
        <f t="shared" si="56"/>
        <v>13.6</v>
      </c>
      <c r="BG84" s="1">
        <f t="shared" si="50"/>
        <v>5.8</v>
      </c>
      <c r="BH84" s="1">
        <f t="shared" si="51"/>
        <v>16.5</v>
      </c>
      <c r="BI84" s="1">
        <f t="shared" si="52"/>
        <v>-3.4</v>
      </c>
      <c r="BJ84" s="1">
        <f t="shared" si="57"/>
        <v>47.2</v>
      </c>
      <c r="BK84" s="1">
        <f t="shared" si="58"/>
        <v>17.2</v>
      </c>
      <c r="BL84" s="1">
        <f t="shared" si="67"/>
        <v>1.3</v>
      </c>
      <c r="BM84" s="1">
        <f t="shared" si="68"/>
        <v>4.7</v>
      </c>
      <c r="BN84" s="21">
        <f t="shared" si="59"/>
        <v>0</v>
      </c>
      <c r="BO84" s="7">
        <f t="shared" si="60"/>
        <v>0.75500000000000012</v>
      </c>
      <c r="BP84" s="21">
        <f t="shared" si="42"/>
        <v>-0.5</v>
      </c>
      <c r="BQ84" s="1">
        <f t="shared" si="61"/>
        <v>-6.2</v>
      </c>
      <c r="BR84" s="1">
        <f t="shared" si="62"/>
        <v>0.9</v>
      </c>
      <c r="BS84" s="1">
        <f t="shared" si="63"/>
        <v>-14.6</v>
      </c>
      <c r="BT84" s="1" t="s">
        <v>113</v>
      </c>
      <c r="BU84" s="1" t="s">
        <v>113</v>
      </c>
      <c r="BV84" s="1" t="s">
        <v>113</v>
      </c>
      <c r="BW84" s="1" t="str">
        <f t="shared" si="69"/>
        <v>NAN</v>
      </c>
      <c r="BX84" s="1">
        <f t="shared" si="70"/>
        <v>0.32200000000000001</v>
      </c>
      <c r="BY84" s="1">
        <f t="shared" si="71"/>
        <v>1.55</v>
      </c>
      <c r="CA84" s="1">
        <f t="shared" si="64"/>
        <v>-15.6</v>
      </c>
      <c r="CB84" s="1">
        <f t="shared" si="65"/>
        <v>-11.2</v>
      </c>
    </row>
    <row r="85" spans="1:80" x14ac:dyDescent="0.2">
      <c r="A85" s="9">
        <f t="shared" si="72"/>
        <v>43545</v>
      </c>
      <c r="B85" s="2">
        <v>80</v>
      </c>
      <c r="C85" s="2">
        <v>21</v>
      </c>
      <c r="D85" s="2">
        <v>13.16</v>
      </c>
      <c r="E85" s="2">
        <v>25.16</v>
      </c>
      <c r="F85" s="2">
        <v>-7.9</v>
      </c>
      <c r="G85" s="2">
        <v>4.3390000000000004</v>
      </c>
      <c r="H85" s="2">
        <v>56.57</v>
      </c>
      <c r="I85" s="2">
        <v>-0.44600000000000001</v>
      </c>
      <c r="J85" s="2">
        <v>-0.12</v>
      </c>
      <c r="K85" s="2">
        <v>-0.16500000000000001</v>
      </c>
      <c r="L85" s="2">
        <v>0.84699999999999998</v>
      </c>
      <c r="M85" s="2">
        <v>17.3</v>
      </c>
      <c r="N85" s="2">
        <v>91</v>
      </c>
      <c r="O85" s="2">
        <v>1.129</v>
      </c>
      <c r="P85" s="2">
        <v>1.798</v>
      </c>
      <c r="Q85" s="2">
        <v>1.7150000000000001</v>
      </c>
      <c r="R85" s="2">
        <v>1.8260000000000001</v>
      </c>
      <c r="S85" s="2">
        <v>-5.258</v>
      </c>
      <c r="T85" s="2">
        <v>18.89</v>
      </c>
      <c r="U85" s="2">
        <v>-1.101</v>
      </c>
      <c r="V85" s="2">
        <v>-1.01</v>
      </c>
      <c r="W85" s="2">
        <v>-1.056</v>
      </c>
      <c r="X85" s="2">
        <v>0.223</v>
      </c>
      <c r="Y85" s="2">
        <v>1.7290000000000001</v>
      </c>
      <c r="Z85" s="2">
        <v>0.254</v>
      </c>
      <c r="AA85" s="2">
        <v>16.920000000000002</v>
      </c>
      <c r="AB85" s="2">
        <v>13.59</v>
      </c>
      <c r="AC85" s="2">
        <v>1.05</v>
      </c>
      <c r="AD85" s="2">
        <v>4.367</v>
      </c>
      <c r="AE85" s="2">
        <v>-6.3289999999999997</v>
      </c>
      <c r="AF85" s="2">
        <v>1.016</v>
      </c>
      <c r="AG85" s="2">
        <v>-14.21</v>
      </c>
      <c r="AH85" s="2">
        <v>1.016</v>
      </c>
      <c r="AI85" s="2">
        <v>-14.21</v>
      </c>
      <c r="AJ85" s="2" t="s">
        <v>113</v>
      </c>
      <c r="AK85" s="2" t="s">
        <v>113</v>
      </c>
      <c r="AL85" s="2">
        <v>4.194</v>
      </c>
      <c r="AM85" s="2">
        <v>19.29</v>
      </c>
      <c r="AN85" s="2">
        <v>-6.5970000000000004</v>
      </c>
      <c r="AO85" s="2"/>
      <c r="AP85" s="1">
        <f t="shared" si="53"/>
        <v>0.72100000000000009</v>
      </c>
      <c r="AQ85" s="22">
        <f t="shared" si="54"/>
        <v>-0.2</v>
      </c>
      <c r="AR85" s="5">
        <v>18.649999999999999</v>
      </c>
      <c r="AS85" s="5">
        <v>17.77</v>
      </c>
      <c r="AT85" s="5">
        <v>13.58</v>
      </c>
      <c r="AU85" s="7">
        <f t="shared" si="66"/>
        <v>0.76400000000000001</v>
      </c>
      <c r="AV85" s="16"/>
      <c r="AW85" s="29">
        <v>0</v>
      </c>
      <c r="AX85" s="29">
        <v>717</v>
      </c>
      <c r="AY85" s="1">
        <f t="shared" si="45"/>
        <v>87.8</v>
      </c>
      <c r="AZ85" s="1">
        <f t="shared" si="46"/>
        <v>54.4</v>
      </c>
      <c r="BA85" s="1">
        <f t="shared" si="47"/>
        <v>17.8</v>
      </c>
      <c r="BB85" s="8">
        <f t="shared" si="48"/>
        <v>0.35099999999999998</v>
      </c>
      <c r="BC85" s="8">
        <f t="shared" si="49"/>
        <v>1.621</v>
      </c>
      <c r="BE85" s="5">
        <f t="shared" si="55"/>
        <v>17.77</v>
      </c>
      <c r="BF85" s="5">
        <f t="shared" si="56"/>
        <v>13.58</v>
      </c>
      <c r="BG85" s="1">
        <f t="shared" si="50"/>
        <v>4.3</v>
      </c>
      <c r="BH85" s="1">
        <f t="shared" si="51"/>
        <v>17.3</v>
      </c>
      <c r="BI85" s="1">
        <f t="shared" si="52"/>
        <v>-5.3</v>
      </c>
      <c r="BJ85" s="1">
        <f t="shared" si="57"/>
        <v>54.4</v>
      </c>
      <c r="BK85" s="1">
        <f t="shared" si="58"/>
        <v>17.8</v>
      </c>
      <c r="BL85" s="1">
        <f t="shared" si="67"/>
        <v>1.1000000000000001</v>
      </c>
      <c r="BM85" s="1">
        <f t="shared" si="68"/>
        <v>4.4000000000000004</v>
      </c>
      <c r="BN85" s="21">
        <f t="shared" si="59"/>
        <v>0</v>
      </c>
      <c r="BO85" s="7">
        <f t="shared" si="60"/>
        <v>0.72100000000000009</v>
      </c>
      <c r="BP85" s="21">
        <f t="shared" si="42"/>
        <v>-0.2</v>
      </c>
      <c r="BQ85" s="1">
        <f t="shared" si="61"/>
        <v>-6.3</v>
      </c>
      <c r="BR85" s="1">
        <f t="shared" si="62"/>
        <v>1</v>
      </c>
      <c r="BS85" s="1">
        <f t="shared" si="63"/>
        <v>-14.2</v>
      </c>
      <c r="BT85" s="1" t="s">
        <v>113</v>
      </c>
      <c r="BU85" s="1" t="s">
        <v>113</v>
      </c>
      <c r="BV85" s="1" t="s">
        <v>113</v>
      </c>
      <c r="BW85" s="1" t="str">
        <f t="shared" si="69"/>
        <v>NAN</v>
      </c>
      <c r="BX85" s="1">
        <f t="shared" si="70"/>
        <v>0.35099999999999998</v>
      </c>
      <c r="BY85" s="1">
        <f t="shared" si="71"/>
        <v>1.621</v>
      </c>
      <c r="CA85" s="1">
        <f t="shared" si="64"/>
        <v>-16.3</v>
      </c>
      <c r="CB85" s="1">
        <f t="shared" si="65"/>
        <v>-8.8999999999999986</v>
      </c>
    </row>
    <row r="86" spans="1:80" x14ac:dyDescent="0.2">
      <c r="A86" s="9">
        <f t="shared" si="72"/>
        <v>43546</v>
      </c>
      <c r="B86" s="2">
        <v>81</v>
      </c>
      <c r="C86" s="2">
        <v>21</v>
      </c>
      <c r="D86" s="2">
        <v>13.19</v>
      </c>
      <c r="E86" s="2">
        <v>23.75</v>
      </c>
      <c r="F86" s="2">
        <v>-6.899</v>
      </c>
      <c r="G86" s="2">
        <v>4.58</v>
      </c>
      <c r="H86" s="2">
        <v>61.88</v>
      </c>
      <c r="I86" s="2">
        <v>-0.14000000000000001</v>
      </c>
      <c r="J86" s="2">
        <v>-7.8E-2</v>
      </c>
      <c r="K86" s="2">
        <v>-0.109</v>
      </c>
      <c r="L86" s="2">
        <v>0.86699999999999999</v>
      </c>
      <c r="M86" s="2">
        <v>15.08</v>
      </c>
      <c r="N86" s="2">
        <v>98.4</v>
      </c>
      <c r="O86" s="2">
        <v>1.1879999999999999</v>
      </c>
      <c r="P86" s="2">
        <v>1.3879999999999999</v>
      </c>
      <c r="Q86" s="2">
        <v>1.3320000000000001</v>
      </c>
      <c r="R86" s="2">
        <v>1.681</v>
      </c>
      <c r="S86" s="2">
        <v>-4.976</v>
      </c>
      <c r="T86" s="2">
        <v>21.75</v>
      </c>
      <c r="U86" s="2">
        <v>-0.78500000000000003</v>
      </c>
      <c r="V86" s="2">
        <v>-0.78500000000000003</v>
      </c>
      <c r="W86" s="2">
        <v>-0.80700000000000005</v>
      </c>
      <c r="X86" s="2">
        <v>0.38600000000000001</v>
      </c>
      <c r="Y86" s="2">
        <v>1.748</v>
      </c>
      <c r="Z86" s="2">
        <v>0.50800000000000001</v>
      </c>
      <c r="AA86" s="2">
        <v>16.600000000000001</v>
      </c>
      <c r="AB86" s="2">
        <v>13.29</v>
      </c>
      <c r="AC86" s="2">
        <v>1.071</v>
      </c>
      <c r="AD86" s="2">
        <v>4.1269999999999998</v>
      </c>
      <c r="AE86" s="2">
        <v>-3.67</v>
      </c>
      <c r="AF86" s="2">
        <v>0.88800000000000001</v>
      </c>
      <c r="AG86" s="2">
        <v>-12.36</v>
      </c>
      <c r="AH86" s="2">
        <v>0.88800000000000001</v>
      </c>
      <c r="AI86" s="2">
        <v>-12.36</v>
      </c>
      <c r="AJ86" s="2" t="s">
        <v>113</v>
      </c>
      <c r="AK86" s="2" t="s">
        <v>113</v>
      </c>
      <c r="AL86" s="2">
        <v>4.6909999999999998</v>
      </c>
      <c r="AM86" s="2">
        <v>17.32</v>
      </c>
      <c r="AN86" s="2">
        <v>-6.1230000000000002</v>
      </c>
      <c r="AO86" s="2"/>
      <c r="AP86" s="1">
        <f t="shared" si="53"/>
        <v>0.70200000000000018</v>
      </c>
      <c r="AQ86" s="22">
        <f t="shared" si="54"/>
        <v>-0.1</v>
      </c>
      <c r="AR86" s="5">
        <v>18.91</v>
      </c>
      <c r="AS86" s="5">
        <v>17.43</v>
      </c>
      <c r="AT86" s="5">
        <v>13.28</v>
      </c>
      <c r="AU86" s="7">
        <f t="shared" si="66"/>
        <v>0.76200000000000001</v>
      </c>
      <c r="AV86" s="16"/>
      <c r="AW86" s="29">
        <v>0</v>
      </c>
      <c r="AX86" s="29">
        <v>698</v>
      </c>
      <c r="AY86" s="1">
        <f t="shared" si="45"/>
        <v>94.9</v>
      </c>
      <c r="AZ86" s="1">
        <f t="shared" si="46"/>
        <v>59.5</v>
      </c>
      <c r="BA86" s="1">
        <f t="shared" si="47"/>
        <v>20.6</v>
      </c>
      <c r="BB86" s="8">
        <f t="shared" si="48"/>
        <v>0.35299999999999998</v>
      </c>
      <c r="BC86" s="8">
        <f t="shared" si="49"/>
        <v>1.361</v>
      </c>
      <c r="BE86" s="5">
        <f t="shared" si="55"/>
        <v>17.43</v>
      </c>
      <c r="BF86" s="5">
        <f t="shared" si="56"/>
        <v>13.28</v>
      </c>
      <c r="BG86" s="1">
        <f t="shared" si="50"/>
        <v>4.5999999999999996</v>
      </c>
      <c r="BH86" s="1">
        <f t="shared" si="51"/>
        <v>15.1</v>
      </c>
      <c r="BI86" s="1">
        <f t="shared" si="52"/>
        <v>-5</v>
      </c>
      <c r="BJ86" s="1">
        <f t="shared" si="57"/>
        <v>59.5</v>
      </c>
      <c r="BK86" s="1">
        <f t="shared" si="58"/>
        <v>20.6</v>
      </c>
      <c r="BL86" s="1">
        <f t="shared" si="67"/>
        <v>1.1000000000000001</v>
      </c>
      <c r="BM86" s="1">
        <f t="shared" si="68"/>
        <v>4.0999999999999996</v>
      </c>
      <c r="BN86" s="21">
        <f t="shared" si="59"/>
        <v>0</v>
      </c>
      <c r="BO86" s="7">
        <f t="shared" si="60"/>
        <v>0.70200000000000018</v>
      </c>
      <c r="BP86" s="21">
        <f t="shared" si="42"/>
        <v>-0.1</v>
      </c>
      <c r="BQ86" s="1">
        <f t="shared" si="61"/>
        <v>-3.7</v>
      </c>
      <c r="BR86" s="1">
        <f t="shared" si="62"/>
        <v>0.9</v>
      </c>
      <c r="BS86" s="1">
        <f t="shared" si="63"/>
        <v>-12.4</v>
      </c>
      <c r="BT86" s="1" t="s">
        <v>113</v>
      </c>
      <c r="BU86" s="1" t="s">
        <v>113</v>
      </c>
      <c r="BV86" s="1" t="s">
        <v>113</v>
      </c>
      <c r="BW86" s="1" t="str">
        <f t="shared" si="69"/>
        <v>NAN</v>
      </c>
      <c r="BX86" s="1">
        <f t="shared" si="70"/>
        <v>0.35299999999999998</v>
      </c>
      <c r="BY86" s="1">
        <f t="shared" si="71"/>
        <v>1.361</v>
      </c>
      <c r="CA86" s="1">
        <f t="shared" si="64"/>
        <v>-14.2</v>
      </c>
      <c r="CB86" s="1">
        <f t="shared" si="65"/>
        <v>-7.4</v>
      </c>
    </row>
    <row r="87" spans="1:80" x14ac:dyDescent="0.2">
      <c r="A87" s="9">
        <f t="shared" si="72"/>
        <v>43547</v>
      </c>
      <c r="B87" s="2">
        <v>82</v>
      </c>
      <c r="C87" s="2">
        <v>21</v>
      </c>
      <c r="D87" s="2">
        <v>13.18</v>
      </c>
      <c r="E87" s="2">
        <v>16.38</v>
      </c>
      <c r="F87" s="2">
        <v>-2.8330000000000002</v>
      </c>
      <c r="G87" s="2">
        <v>1.7929999999999999</v>
      </c>
      <c r="H87" s="2">
        <v>85</v>
      </c>
      <c r="I87" s="2">
        <v>-0.17699999999999999</v>
      </c>
      <c r="J87" s="2">
        <v>-0.192</v>
      </c>
      <c r="K87" s="2">
        <v>-0.21199999999999999</v>
      </c>
      <c r="L87" s="2">
        <v>0.82099999999999995</v>
      </c>
      <c r="M87" s="2">
        <v>9.24</v>
      </c>
      <c r="N87" s="2">
        <v>101.8</v>
      </c>
      <c r="O87" s="2">
        <v>1.319</v>
      </c>
      <c r="P87" s="2">
        <v>1.383</v>
      </c>
      <c r="Q87" s="2">
        <v>1.3380000000000001</v>
      </c>
      <c r="R87" s="2">
        <v>1.633</v>
      </c>
      <c r="S87" s="2">
        <v>-2.6549999999999998</v>
      </c>
      <c r="T87" s="2">
        <v>49.04</v>
      </c>
      <c r="U87" s="2">
        <v>-0.497</v>
      </c>
      <c r="V87" s="2">
        <v>-0.498</v>
      </c>
      <c r="W87" s="2">
        <v>-0.51100000000000001</v>
      </c>
      <c r="X87" s="2">
        <v>0.54600000000000004</v>
      </c>
      <c r="Y87" s="2">
        <v>1.7709999999999999</v>
      </c>
      <c r="Z87" s="2">
        <v>0.254</v>
      </c>
      <c r="AA87" s="2">
        <v>8.86</v>
      </c>
      <c r="AB87" s="2">
        <v>6.609</v>
      </c>
      <c r="AC87" s="2">
        <v>0.88300000000000001</v>
      </c>
      <c r="AD87" s="2">
        <v>4.0999999999999996</v>
      </c>
      <c r="AE87" s="2">
        <v>-1.099</v>
      </c>
      <c r="AF87" s="2">
        <v>1.147</v>
      </c>
      <c r="AG87" s="2">
        <v>-5.577</v>
      </c>
      <c r="AH87" s="2">
        <v>1.147</v>
      </c>
      <c r="AI87" s="2">
        <v>-5.577</v>
      </c>
      <c r="AJ87" s="2" t="s">
        <v>113</v>
      </c>
      <c r="AK87" s="2" t="s">
        <v>113</v>
      </c>
      <c r="AL87" s="2">
        <v>2.242</v>
      </c>
      <c r="AM87" s="2">
        <v>12.41</v>
      </c>
      <c r="AN87" s="2">
        <v>-3.3439999999999999</v>
      </c>
      <c r="AO87" s="2"/>
      <c r="AP87" s="1">
        <f t="shared" si="53"/>
        <v>0.67900000000000027</v>
      </c>
      <c r="AQ87" s="22">
        <f t="shared" si="54"/>
        <v>-0.2</v>
      </c>
      <c r="AR87" s="5">
        <v>19.170000000000002</v>
      </c>
      <c r="AS87" s="5">
        <v>9.3000000000000007</v>
      </c>
      <c r="AT87" s="5">
        <v>6.6</v>
      </c>
      <c r="AU87" s="7">
        <f t="shared" si="66"/>
        <v>0.71</v>
      </c>
      <c r="AV87" s="16"/>
      <c r="AW87" s="29">
        <v>0</v>
      </c>
      <c r="AX87" s="29">
        <v>675</v>
      </c>
      <c r="AY87" s="1">
        <f t="shared" si="45"/>
        <v>98.2</v>
      </c>
      <c r="AZ87" s="1">
        <f t="shared" si="46"/>
        <v>82</v>
      </c>
      <c r="BA87" s="1">
        <f t="shared" si="47"/>
        <v>47.1</v>
      </c>
      <c r="BB87" s="8">
        <f t="shared" si="48"/>
        <v>0.54900000000000004</v>
      </c>
      <c r="BC87" s="8">
        <f t="shared" si="49"/>
        <v>0.61699999999999999</v>
      </c>
      <c r="BE87" s="5">
        <f t="shared" si="55"/>
        <v>9.3000000000000007</v>
      </c>
      <c r="BF87" s="5">
        <f t="shared" si="56"/>
        <v>6.6</v>
      </c>
      <c r="BG87" s="1">
        <f t="shared" si="50"/>
        <v>1.8</v>
      </c>
      <c r="BH87" s="1">
        <f t="shared" si="51"/>
        <v>9.1999999999999993</v>
      </c>
      <c r="BI87" s="1">
        <f t="shared" si="52"/>
        <v>-2.7</v>
      </c>
      <c r="BJ87" s="1">
        <f t="shared" si="57"/>
        <v>82</v>
      </c>
      <c r="BK87" s="1">
        <f t="shared" si="58"/>
        <v>47.1</v>
      </c>
      <c r="BL87" s="1">
        <f t="shared" si="67"/>
        <v>0.9</v>
      </c>
      <c r="BM87" s="1">
        <f t="shared" si="68"/>
        <v>4.0999999999999996</v>
      </c>
      <c r="BN87" s="21">
        <f t="shared" si="59"/>
        <v>0</v>
      </c>
      <c r="BO87" s="7">
        <f t="shared" si="60"/>
        <v>0.67900000000000027</v>
      </c>
      <c r="BP87" s="21">
        <f t="shared" si="42"/>
        <v>-0.2</v>
      </c>
      <c r="BQ87" s="1">
        <f t="shared" si="61"/>
        <v>-1.1000000000000001</v>
      </c>
      <c r="BR87" s="1">
        <f t="shared" si="62"/>
        <v>1.1000000000000001</v>
      </c>
      <c r="BS87" s="1">
        <f t="shared" si="63"/>
        <v>-5.6</v>
      </c>
      <c r="BT87" s="1" t="s">
        <v>113</v>
      </c>
      <c r="BU87" s="1" t="s">
        <v>113</v>
      </c>
      <c r="BV87" s="1" t="s">
        <v>113</v>
      </c>
      <c r="BW87" s="1" t="str">
        <f t="shared" si="69"/>
        <v>NAN</v>
      </c>
      <c r="BX87" s="1">
        <f t="shared" si="70"/>
        <v>0.54900000000000004</v>
      </c>
      <c r="BY87" s="1">
        <f t="shared" si="71"/>
        <v>0.61699999999999999</v>
      </c>
      <c r="CA87" s="1">
        <f t="shared" si="64"/>
        <v>-8.1</v>
      </c>
      <c r="CB87" s="1">
        <f t="shared" si="65"/>
        <v>-2.8999999999999995</v>
      </c>
    </row>
    <row r="88" spans="1:80" x14ac:dyDescent="0.2">
      <c r="A88" s="9">
        <f t="shared" si="72"/>
        <v>43548</v>
      </c>
      <c r="B88" s="2">
        <v>83</v>
      </c>
      <c r="C88" s="2">
        <v>21</v>
      </c>
      <c r="D88" s="2">
        <v>13.18</v>
      </c>
      <c r="E88" s="2">
        <v>15.61</v>
      </c>
      <c r="F88" s="2">
        <v>-3.2050000000000001</v>
      </c>
      <c r="G88" s="2">
        <v>2.9889999999999999</v>
      </c>
      <c r="H88" s="2">
        <v>82.4</v>
      </c>
      <c r="I88" s="2">
        <v>-0.125</v>
      </c>
      <c r="J88" s="2">
        <v>-0.152</v>
      </c>
      <c r="K88" s="2">
        <v>-0.16800000000000001</v>
      </c>
      <c r="L88" s="2">
        <v>0.81699999999999995</v>
      </c>
      <c r="M88" s="2">
        <v>9.5</v>
      </c>
      <c r="N88" s="2">
        <v>102</v>
      </c>
      <c r="O88" s="2">
        <v>0.67800000000000005</v>
      </c>
      <c r="P88" s="2">
        <v>0.65600000000000003</v>
      </c>
      <c r="Q88" s="2">
        <v>0.622</v>
      </c>
      <c r="R88" s="2">
        <v>1.2350000000000001</v>
      </c>
      <c r="S88" s="2">
        <v>-2.6539999999999999</v>
      </c>
      <c r="T88" s="2">
        <v>50.44</v>
      </c>
      <c r="U88" s="2">
        <v>-0.373</v>
      </c>
      <c r="V88" s="2">
        <v>-0.41599999999999998</v>
      </c>
      <c r="W88" s="2">
        <v>-0.437</v>
      </c>
      <c r="X88" s="2">
        <v>0.64900000000000002</v>
      </c>
      <c r="Y88" s="2">
        <v>1.7969999999999999</v>
      </c>
      <c r="Z88" s="2">
        <v>2.794</v>
      </c>
      <c r="AA88" s="2">
        <v>8.33</v>
      </c>
      <c r="AB88" s="2">
        <v>6.1870000000000003</v>
      </c>
      <c r="AC88" s="2">
        <v>1.042</v>
      </c>
      <c r="AD88" s="2">
        <v>4.42</v>
      </c>
      <c r="AE88" s="2">
        <v>-0.69599999999999995</v>
      </c>
      <c r="AF88" s="2">
        <v>0.93799999999999994</v>
      </c>
      <c r="AG88" s="2">
        <v>-5.4619999999999997</v>
      </c>
      <c r="AH88" s="2">
        <v>0.93799999999999994</v>
      </c>
      <c r="AI88" s="2">
        <v>-5.4619999999999997</v>
      </c>
      <c r="AJ88" s="2" t="s">
        <v>113</v>
      </c>
      <c r="AK88" s="2" t="s">
        <v>113</v>
      </c>
      <c r="AL88" s="2">
        <v>3.2210000000000001</v>
      </c>
      <c r="AM88" s="2">
        <v>11.86</v>
      </c>
      <c r="AN88" s="2">
        <v>-3.335</v>
      </c>
      <c r="AO88" s="2"/>
      <c r="AP88" s="1">
        <f t="shared" si="53"/>
        <v>0.65300000000000025</v>
      </c>
      <c r="AQ88" s="22">
        <f t="shared" si="54"/>
        <v>-0.1</v>
      </c>
      <c r="AR88" s="5">
        <v>19.43</v>
      </c>
      <c r="AS88" s="5">
        <v>8.75</v>
      </c>
      <c r="AT88" s="5">
        <v>6.18</v>
      </c>
      <c r="AU88" s="7">
        <f t="shared" si="66"/>
        <v>0.70599999999999996</v>
      </c>
      <c r="AV88" s="16"/>
      <c r="AW88" s="29">
        <v>4</v>
      </c>
      <c r="AX88" s="29">
        <v>649</v>
      </c>
      <c r="AY88" s="1">
        <f t="shared" si="45"/>
        <v>98.4</v>
      </c>
      <c r="AZ88" s="1">
        <f t="shared" si="46"/>
        <v>79.400000000000006</v>
      </c>
      <c r="BA88" s="1">
        <f t="shared" si="47"/>
        <v>48.4</v>
      </c>
      <c r="BB88" s="8">
        <f t="shared" si="48"/>
        <v>0.57399999999999995</v>
      </c>
      <c r="BC88" s="8">
        <f t="shared" si="49"/>
        <v>0.61199999999999999</v>
      </c>
      <c r="BE88" s="5">
        <f t="shared" si="55"/>
        <v>8.75</v>
      </c>
      <c r="BF88" s="5">
        <f t="shared" si="56"/>
        <v>6.18</v>
      </c>
      <c r="BG88" s="1">
        <f t="shared" si="50"/>
        <v>3</v>
      </c>
      <c r="BH88" s="1">
        <f t="shared" si="51"/>
        <v>9.5</v>
      </c>
      <c r="BI88" s="1">
        <f t="shared" si="52"/>
        <v>-2.7</v>
      </c>
      <c r="BJ88" s="1">
        <f t="shared" si="57"/>
        <v>79.400000000000006</v>
      </c>
      <c r="BK88" s="1">
        <f t="shared" si="58"/>
        <v>48.4</v>
      </c>
      <c r="BL88" s="1">
        <f t="shared" si="67"/>
        <v>1</v>
      </c>
      <c r="BM88" s="1">
        <f t="shared" si="68"/>
        <v>4.4000000000000004</v>
      </c>
      <c r="BN88" s="21">
        <f t="shared" si="59"/>
        <v>4</v>
      </c>
      <c r="BO88" s="7">
        <f t="shared" si="60"/>
        <v>0.65300000000000025</v>
      </c>
      <c r="BP88" s="21">
        <f t="shared" si="42"/>
        <v>-0.1</v>
      </c>
      <c r="BQ88" s="1">
        <f t="shared" si="61"/>
        <v>-0.7</v>
      </c>
      <c r="BR88" s="1">
        <f t="shared" si="62"/>
        <v>0.9</v>
      </c>
      <c r="BS88" s="1">
        <f t="shared" si="63"/>
        <v>-5.5</v>
      </c>
      <c r="BT88" s="1" t="s">
        <v>113</v>
      </c>
      <c r="BU88" s="1" t="s">
        <v>113</v>
      </c>
      <c r="BV88" s="1" t="s">
        <v>113</v>
      </c>
      <c r="BW88" s="1" t="str">
        <f t="shared" si="69"/>
        <v>NAN</v>
      </c>
      <c r="BX88" s="1">
        <f t="shared" si="70"/>
        <v>0.57399999999999995</v>
      </c>
      <c r="BY88" s="1">
        <f t="shared" si="71"/>
        <v>0.61199999999999999</v>
      </c>
      <c r="CA88" s="1">
        <f t="shared" si="64"/>
        <v>-8.6</v>
      </c>
      <c r="CB88" s="1">
        <f t="shared" si="65"/>
        <v>-2.8</v>
      </c>
    </row>
    <row r="89" spans="1:80" x14ac:dyDescent="0.2">
      <c r="A89" s="9">
        <f t="shared" si="72"/>
        <v>43549</v>
      </c>
      <c r="B89" s="2">
        <v>84</v>
      </c>
      <c r="C89" s="2">
        <v>21</v>
      </c>
      <c r="D89" s="2">
        <v>13.19</v>
      </c>
      <c r="E89" s="2">
        <v>18.22</v>
      </c>
      <c r="F89" s="2">
        <v>6.6000000000000003E-2</v>
      </c>
      <c r="G89" s="2">
        <v>1.7629999999999999</v>
      </c>
      <c r="H89" s="2">
        <v>86.8</v>
      </c>
      <c r="I89" s="2">
        <v>-0.10199999999999999</v>
      </c>
      <c r="J89" s="2">
        <v>-0.151</v>
      </c>
      <c r="K89" s="2">
        <v>-0.16500000000000001</v>
      </c>
      <c r="L89" s="2">
        <v>0.81699999999999995</v>
      </c>
      <c r="M89" s="2">
        <v>6.85</v>
      </c>
      <c r="N89" s="2">
        <v>102.1</v>
      </c>
      <c r="O89" s="2">
        <v>1.19</v>
      </c>
      <c r="P89" s="2">
        <v>1.179</v>
      </c>
      <c r="Q89" s="2">
        <v>1.145</v>
      </c>
      <c r="R89" s="2">
        <v>1.55</v>
      </c>
      <c r="S89" s="2">
        <v>-0.38</v>
      </c>
      <c r="T89" s="2">
        <v>59.36</v>
      </c>
      <c r="U89" s="2">
        <v>-0.32500000000000001</v>
      </c>
      <c r="V89" s="2">
        <v>-0.46800000000000003</v>
      </c>
      <c r="W89" s="2">
        <v>-0.48399999999999999</v>
      </c>
      <c r="X89" s="2">
        <v>0.46800000000000003</v>
      </c>
      <c r="Y89" s="2">
        <v>1.857</v>
      </c>
      <c r="Z89" s="2">
        <v>2.286</v>
      </c>
      <c r="AA89" s="2">
        <v>12.2</v>
      </c>
      <c r="AB89" s="2">
        <v>9.4</v>
      </c>
      <c r="AC89" s="2">
        <v>1.4510000000000001</v>
      </c>
      <c r="AD89" s="2">
        <v>5.5670000000000002</v>
      </c>
      <c r="AE89" s="2">
        <v>-0.23599999999999999</v>
      </c>
      <c r="AF89" s="2">
        <v>1.0369999999999999</v>
      </c>
      <c r="AG89" s="2">
        <v>-1.58</v>
      </c>
      <c r="AH89" s="2">
        <v>1.0369999999999999</v>
      </c>
      <c r="AI89" s="2">
        <v>-1.58</v>
      </c>
      <c r="AJ89" s="2" t="s">
        <v>113</v>
      </c>
      <c r="AK89" s="2" t="s">
        <v>113</v>
      </c>
      <c r="AL89" s="2">
        <v>2.3879999999999999</v>
      </c>
      <c r="AM89" s="2">
        <v>10.79</v>
      </c>
      <c r="AN89" s="2">
        <v>-0.191</v>
      </c>
      <c r="AO89" s="2"/>
      <c r="AP89" s="1">
        <f t="shared" si="53"/>
        <v>0.59300000000000019</v>
      </c>
      <c r="AQ89" s="22">
        <f t="shared" si="54"/>
        <v>-0.1</v>
      </c>
      <c r="AR89" s="5">
        <v>19.7</v>
      </c>
      <c r="AS89" s="5">
        <v>12.94</v>
      </c>
      <c r="AT89" s="5">
        <v>9.4</v>
      </c>
      <c r="AU89" s="7">
        <f t="shared" si="66"/>
        <v>0.72599999999999998</v>
      </c>
      <c r="AV89" s="16"/>
      <c r="AW89" s="29">
        <v>2</v>
      </c>
      <c r="AX89" s="29">
        <v>600</v>
      </c>
      <c r="AY89" s="1">
        <f t="shared" si="45"/>
        <v>98.5</v>
      </c>
      <c r="AZ89" s="1">
        <f t="shared" si="46"/>
        <v>83.7</v>
      </c>
      <c r="BA89" s="1">
        <f t="shared" si="47"/>
        <v>57.1</v>
      </c>
      <c r="BB89" s="8">
        <f t="shared" si="48"/>
        <v>0.56599999999999995</v>
      </c>
      <c r="BC89" s="8">
        <f t="shared" si="49"/>
        <v>0.42499999999999999</v>
      </c>
      <c r="BE89" s="5">
        <f t="shared" si="55"/>
        <v>12.94</v>
      </c>
      <c r="BF89" s="5">
        <f t="shared" si="56"/>
        <v>9.4</v>
      </c>
      <c r="BG89" s="1">
        <f t="shared" si="50"/>
        <v>1.8</v>
      </c>
      <c r="BH89" s="1">
        <f t="shared" si="51"/>
        <v>6.9</v>
      </c>
      <c r="BI89" s="1">
        <f t="shared" si="52"/>
        <v>-0.4</v>
      </c>
      <c r="BJ89" s="1">
        <f t="shared" si="57"/>
        <v>83.7</v>
      </c>
      <c r="BK89" s="1">
        <f t="shared" si="58"/>
        <v>57.1</v>
      </c>
      <c r="BL89" s="1">
        <f t="shared" si="67"/>
        <v>1.5</v>
      </c>
      <c r="BM89" s="1">
        <f t="shared" si="68"/>
        <v>5.6</v>
      </c>
      <c r="BN89" s="21">
        <f t="shared" si="59"/>
        <v>2</v>
      </c>
      <c r="BO89" s="7">
        <f t="shared" si="60"/>
        <v>0.59300000000000019</v>
      </c>
      <c r="BP89" s="21">
        <f t="shared" si="42"/>
        <v>-0.1</v>
      </c>
      <c r="BQ89" s="1">
        <f t="shared" si="61"/>
        <v>-0.2</v>
      </c>
      <c r="BR89" s="1">
        <f t="shared" si="62"/>
        <v>1</v>
      </c>
      <c r="BS89" s="1">
        <f t="shared" si="63"/>
        <v>-1.6</v>
      </c>
      <c r="BT89" s="1" t="s">
        <v>113</v>
      </c>
      <c r="BU89" s="1" t="s">
        <v>113</v>
      </c>
      <c r="BV89" s="1" t="s">
        <v>113</v>
      </c>
      <c r="BW89" s="1" t="str">
        <f t="shared" si="69"/>
        <v>NAN</v>
      </c>
      <c r="BX89" s="1">
        <f t="shared" si="70"/>
        <v>0.56599999999999995</v>
      </c>
      <c r="BY89" s="1">
        <f t="shared" si="71"/>
        <v>0.42499999999999999</v>
      </c>
      <c r="CA89" s="1">
        <f t="shared" si="64"/>
        <v>-5.9</v>
      </c>
      <c r="CB89" s="1">
        <f t="shared" si="65"/>
        <v>-1.2000000000000002</v>
      </c>
    </row>
    <row r="90" spans="1:80" x14ac:dyDescent="0.2">
      <c r="A90" s="9">
        <f t="shared" si="72"/>
        <v>43550</v>
      </c>
      <c r="B90" s="2">
        <v>85</v>
      </c>
      <c r="C90" s="2">
        <v>21</v>
      </c>
      <c r="D90" s="2">
        <v>13.13</v>
      </c>
      <c r="E90" s="2">
        <v>11.1</v>
      </c>
      <c r="F90" s="2">
        <v>-10.42</v>
      </c>
      <c r="G90" s="2">
        <v>-1.357</v>
      </c>
      <c r="H90" s="2">
        <v>88.4</v>
      </c>
      <c r="I90" s="2">
        <v>-0.249</v>
      </c>
      <c r="J90" s="2">
        <v>-0.26100000000000001</v>
      </c>
      <c r="K90" s="2">
        <v>-0.26700000000000002</v>
      </c>
      <c r="L90" s="2">
        <v>0.77500000000000002</v>
      </c>
      <c r="M90" s="2">
        <v>4.7300000000000004</v>
      </c>
      <c r="N90" s="2">
        <v>101.8</v>
      </c>
      <c r="O90" s="2">
        <v>0.60399999999999998</v>
      </c>
      <c r="P90" s="2">
        <v>0.66</v>
      </c>
      <c r="Q90" s="2">
        <v>0.64200000000000002</v>
      </c>
      <c r="R90" s="2">
        <v>1.37</v>
      </c>
      <c r="S90" s="2">
        <v>-10.19</v>
      </c>
      <c r="T90" s="2">
        <v>50.45</v>
      </c>
      <c r="U90" s="2">
        <v>-0.65600000000000003</v>
      </c>
      <c r="V90" s="2">
        <v>-0.66700000000000004</v>
      </c>
      <c r="W90" s="2">
        <v>-0.65900000000000003</v>
      </c>
      <c r="X90" s="2">
        <v>0.45</v>
      </c>
      <c r="Y90" s="2">
        <v>1.8069999999999999</v>
      </c>
      <c r="Z90" s="2">
        <v>7.11</v>
      </c>
      <c r="AA90" s="2">
        <v>9.32</v>
      </c>
      <c r="AB90" s="2">
        <v>9.67</v>
      </c>
      <c r="AC90" s="2">
        <v>1.454</v>
      </c>
      <c r="AD90" s="2">
        <v>4.8739999999999997</v>
      </c>
      <c r="AE90" s="2">
        <v>-5.093</v>
      </c>
      <c r="AF90" s="2">
        <v>1.3029999999999999</v>
      </c>
      <c r="AG90" s="2">
        <v>-19.03</v>
      </c>
      <c r="AH90" s="2">
        <v>1.3029999999999999</v>
      </c>
      <c r="AI90" s="2">
        <v>-19.03</v>
      </c>
      <c r="AJ90" s="2" t="s">
        <v>113</v>
      </c>
      <c r="AK90" s="2" t="s">
        <v>113</v>
      </c>
      <c r="AL90" s="2">
        <v>-1.056</v>
      </c>
      <c r="AM90" s="2">
        <v>6.8109999999999999</v>
      </c>
      <c r="AN90" s="2">
        <v>-11.6</v>
      </c>
      <c r="AO90" s="2"/>
      <c r="AP90" s="1">
        <f t="shared" si="53"/>
        <v>0.64300000000000024</v>
      </c>
      <c r="AQ90" s="22">
        <f t="shared" si="54"/>
        <v>-0.3</v>
      </c>
      <c r="AR90" s="5">
        <v>19.96</v>
      </c>
      <c r="AS90" s="5">
        <v>11.28</v>
      </c>
      <c r="AT90" s="5">
        <v>9.5299999999999994</v>
      </c>
      <c r="AU90" s="7">
        <f t="shared" si="66"/>
        <v>0.84499999999999997</v>
      </c>
      <c r="AV90" s="16"/>
      <c r="AW90" s="29">
        <v>9.92</v>
      </c>
      <c r="AX90" s="29">
        <v>639</v>
      </c>
      <c r="AY90" s="1">
        <f t="shared" si="45"/>
        <v>98.2</v>
      </c>
      <c r="AZ90" s="1">
        <f t="shared" si="46"/>
        <v>85.2</v>
      </c>
      <c r="BA90" s="1">
        <f t="shared" si="47"/>
        <v>48.4</v>
      </c>
      <c r="BB90" s="8">
        <f t="shared" si="48"/>
        <v>0.41399999999999998</v>
      </c>
      <c r="BC90" s="8">
        <f t="shared" si="49"/>
        <v>0.441</v>
      </c>
      <c r="BE90" s="5">
        <f t="shared" si="55"/>
        <v>11.28</v>
      </c>
      <c r="BF90" s="5">
        <f t="shared" si="56"/>
        <v>9.5299999999999994</v>
      </c>
      <c r="BG90" s="1">
        <f t="shared" si="50"/>
        <v>-1.4</v>
      </c>
      <c r="BH90" s="1">
        <f t="shared" si="51"/>
        <v>4.7</v>
      </c>
      <c r="BI90" s="1">
        <f t="shared" si="52"/>
        <v>-10.199999999999999</v>
      </c>
      <c r="BJ90" s="1">
        <f t="shared" si="57"/>
        <v>85.2</v>
      </c>
      <c r="BK90" s="1">
        <f t="shared" si="58"/>
        <v>48.4</v>
      </c>
      <c r="BL90" s="1">
        <f t="shared" si="67"/>
        <v>1.5</v>
      </c>
      <c r="BM90" s="1">
        <f t="shared" si="68"/>
        <v>4.9000000000000004</v>
      </c>
      <c r="BN90" s="21">
        <f t="shared" si="59"/>
        <v>9.92</v>
      </c>
      <c r="BO90" s="7">
        <f t="shared" si="60"/>
        <v>0.64300000000000024</v>
      </c>
      <c r="BP90" s="21">
        <f t="shared" si="42"/>
        <v>-0.3</v>
      </c>
      <c r="BQ90" s="1">
        <f t="shared" si="61"/>
        <v>-5.0999999999999996</v>
      </c>
      <c r="BR90" s="1">
        <f t="shared" si="62"/>
        <v>1.3</v>
      </c>
      <c r="BS90" s="1">
        <f t="shared" si="63"/>
        <v>-19</v>
      </c>
      <c r="BT90" s="1" t="s">
        <v>113</v>
      </c>
      <c r="BU90" s="1" t="s">
        <v>113</v>
      </c>
      <c r="BV90" s="1" t="s">
        <v>113</v>
      </c>
      <c r="BW90" s="1" t="str">
        <f t="shared" si="69"/>
        <v>NAN</v>
      </c>
      <c r="BX90" s="1">
        <f t="shared" si="70"/>
        <v>0.41399999999999998</v>
      </c>
      <c r="BY90" s="1">
        <f t="shared" si="71"/>
        <v>0.441</v>
      </c>
      <c r="CA90" s="1">
        <f t="shared" si="64"/>
        <v>-3.4000000000000004</v>
      </c>
      <c r="CB90" s="1">
        <f t="shared" si="65"/>
        <v>-8.8000000000000007</v>
      </c>
    </row>
    <row r="91" spans="1:80" x14ac:dyDescent="0.2">
      <c r="A91" s="9">
        <f t="shared" si="72"/>
        <v>43551</v>
      </c>
      <c r="B91" s="2">
        <v>86</v>
      </c>
      <c r="C91" s="2">
        <v>21</v>
      </c>
      <c r="D91" s="2">
        <v>13.14</v>
      </c>
      <c r="E91" s="2">
        <v>20.010000000000002</v>
      </c>
      <c r="F91" s="2">
        <v>-14.29</v>
      </c>
      <c r="G91" s="2">
        <v>-2.4</v>
      </c>
      <c r="H91" s="2">
        <v>78.8</v>
      </c>
      <c r="I91" s="2">
        <v>-5.6000000000000001E-2</v>
      </c>
      <c r="J91" s="2">
        <v>-7.9000000000000001E-2</v>
      </c>
      <c r="K91" s="2">
        <v>-0.09</v>
      </c>
      <c r="L91" s="2">
        <v>0.86199999999999999</v>
      </c>
      <c r="M91" s="2">
        <v>6.2610000000000001</v>
      </c>
      <c r="N91" s="2">
        <v>100.4</v>
      </c>
      <c r="O91" s="2">
        <v>1.107</v>
      </c>
      <c r="P91" s="2">
        <v>1.1879999999999999</v>
      </c>
      <c r="Q91" s="2">
        <v>1.147</v>
      </c>
      <c r="R91" s="2">
        <v>1.53</v>
      </c>
      <c r="S91" s="2">
        <v>-11.88</v>
      </c>
      <c r="T91" s="2">
        <v>41.47</v>
      </c>
      <c r="U91" s="2">
        <v>-0.623</v>
      </c>
      <c r="V91" s="2">
        <v>-0.65700000000000003</v>
      </c>
      <c r="W91" s="2">
        <v>-0.65700000000000003</v>
      </c>
      <c r="X91" s="2">
        <v>0.52900000000000003</v>
      </c>
      <c r="Y91" s="2">
        <v>1.847</v>
      </c>
      <c r="Z91" s="2">
        <v>0</v>
      </c>
      <c r="AA91" s="2">
        <v>17.440000000000001</v>
      </c>
      <c r="AB91" s="2">
        <v>15.2</v>
      </c>
      <c r="AC91" s="2">
        <v>1.1120000000000001</v>
      </c>
      <c r="AD91" s="2">
        <v>4.8470000000000004</v>
      </c>
      <c r="AE91" s="2">
        <v>-9.15</v>
      </c>
      <c r="AF91" s="2">
        <v>0.97299999999999998</v>
      </c>
      <c r="AG91" s="2">
        <v>-21.01</v>
      </c>
      <c r="AH91" s="2">
        <v>0.97299999999999998</v>
      </c>
      <c r="AI91" s="2">
        <v>-21.01</v>
      </c>
      <c r="AJ91" s="2" t="s">
        <v>113</v>
      </c>
      <c r="AK91" s="2" t="s">
        <v>113</v>
      </c>
      <c r="AL91" s="2">
        <v>-1.8069999999999999</v>
      </c>
      <c r="AM91" s="2">
        <v>12.6</v>
      </c>
      <c r="AN91" s="2">
        <v>-13.63</v>
      </c>
      <c r="AO91" s="2"/>
      <c r="AP91" s="1">
        <f t="shared" si="53"/>
        <v>0.6030000000000002</v>
      </c>
      <c r="AQ91" s="22">
        <f t="shared" si="54"/>
        <v>-0.1</v>
      </c>
      <c r="AR91" s="5">
        <v>20.22</v>
      </c>
      <c r="AS91" s="5">
        <v>18.579999999999998</v>
      </c>
      <c r="AT91" s="5">
        <v>15.17</v>
      </c>
      <c r="AU91" s="7">
        <f t="shared" si="66"/>
        <v>0.81599999999999995</v>
      </c>
      <c r="AV91" s="16"/>
      <c r="AW91" s="29">
        <v>0</v>
      </c>
      <c r="AX91" s="29">
        <v>599</v>
      </c>
      <c r="AY91" s="1">
        <f t="shared" si="45"/>
        <v>96.9</v>
      </c>
      <c r="AZ91" s="1">
        <f t="shared" si="46"/>
        <v>75.900000000000006</v>
      </c>
      <c r="BA91" s="1">
        <f t="shared" si="47"/>
        <v>39.700000000000003</v>
      </c>
      <c r="BB91" s="8">
        <f t="shared" si="48"/>
        <v>0.378</v>
      </c>
      <c r="BC91" s="8">
        <f t="shared" si="49"/>
        <v>0.57399999999999995</v>
      </c>
      <c r="BE91" s="5">
        <f t="shared" si="55"/>
        <v>18.579999999999998</v>
      </c>
      <c r="BF91" s="5">
        <f t="shared" si="56"/>
        <v>15.17</v>
      </c>
      <c r="BG91" s="1">
        <f t="shared" si="50"/>
        <v>-2.4</v>
      </c>
      <c r="BH91" s="1">
        <f t="shared" si="51"/>
        <v>6.3</v>
      </c>
      <c r="BI91" s="1">
        <f t="shared" si="52"/>
        <v>-11.9</v>
      </c>
      <c r="BJ91" s="1">
        <f t="shared" si="57"/>
        <v>75.900000000000006</v>
      </c>
      <c r="BK91" s="1">
        <f t="shared" si="58"/>
        <v>39.700000000000003</v>
      </c>
      <c r="BL91" s="1">
        <f t="shared" si="67"/>
        <v>1.1000000000000001</v>
      </c>
      <c r="BM91" s="1">
        <f t="shared" si="68"/>
        <v>4.8</v>
      </c>
      <c r="BN91" s="21">
        <f t="shared" si="59"/>
        <v>0</v>
      </c>
      <c r="BO91" s="7">
        <f t="shared" si="60"/>
        <v>0.6030000000000002</v>
      </c>
      <c r="BP91" s="21">
        <f t="shared" si="42"/>
        <v>-0.1</v>
      </c>
      <c r="BQ91" s="1">
        <f t="shared" si="61"/>
        <v>-9.1999999999999993</v>
      </c>
      <c r="BR91" s="1">
        <f t="shared" si="62"/>
        <v>1</v>
      </c>
      <c r="BS91" s="1">
        <f t="shared" si="63"/>
        <v>-21</v>
      </c>
      <c r="BT91" s="1" t="s">
        <v>113</v>
      </c>
      <c r="BU91" s="1" t="s">
        <v>113</v>
      </c>
      <c r="BV91" s="1" t="s">
        <v>113</v>
      </c>
      <c r="BW91" s="1" t="str">
        <f t="shared" si="69"/>
        <v>NAN</v>
      </c>
      <c r="BX91" s="1">
        <f t="shared" si="70"/>
        <v>0.378</v>
      </c>
      <c r="BY91" s="1">
        <f t="shared" si="71"/>
        <v>0.57399999999999995</v>
      </c>
      <c r="CA91" s="1">
        <f t="shared" si="64"/>
        <v>-5.3</v>
      </c>
      <c r="CB91" s="1">
        <f t="shared" si="65"/>
        <v>-9.1</v>
      </c>
    </row>
    <row r="92" spans="1:80" x14ac:dyDescent="0.2">
      <c r="A92" s="9">
        <f t="shared" si="72"/>
        <v>43552</v>
      </c>
      <c r="B92" s="2">
        <v>87</v>
      </c>
      <c r="C92" s="2">
        <v>21</v>
      </c>
      <c r="D92" s="2">
        <v>13.15</v>
      </c>
      <c r="E92" s="2">
        <v>15.3</v>
      </c>
      <c r="F92" s="2">
        <v>-9.27</v>
      </c>
      <c r="G92" s="2">
        <v>-0.16900000000000001</v>
      </c>
      <c r="H92" s="2">
        <v>67.88</v>
      </c>
      <c r="I92" s="2">
        <v>-0.01</v>
      </c>
      <c r="J92" s="2">
        <v>-0.10100000000000001</v>
      </c>
      <c r="K92" s="2">
        <v>-0.111</v>
      </c>
      <c r="L92" s="2">
        <v>0.84799999999999998</v>
      </c>
      <c r="M92" s="2">
        <v>6.5490000000000004</v>
      </c>
      <c r="N92" s="2">
        <v>98.5</v>
      </c>
      <c r="O92" s="2">
        <v>1.399</v>
      </c>
      <c r="P92" s="2">
        <v>1.337</v>
      </c>
      <c r="Q92" s="2">
        <v>1.292</v>
      </c>
      <c r="R92" s="2">
        <v>1.675</v>
      </c>
      <c r="S92" s="2">
        <v>-7.94</v>
      </c>
      <c r="T92" s="2">
        <v>39.299999999999997</v>
      </c>
      <c r="U92" s="2">
        <v>-0.43099999999999999</v>
      </c>
      <c r="V92" s="2">
        <v>-0.47299999999999998</v>
      </c>
      <c r="W92" s="2">
        <v>-0.48499999999999999</v>
      </c>
      <c r="X92" s="2">
        <v>0.61299999999999999</v>
      </c>
      <c r="Y92" s="2">
        <v>1.8580000000000001</v>
      </c>
      <c r="Z92" s="2">
        <v>0</v>
      </c>
      <c r="AA92" s="2">
        <v>11.75</v>
      </c>
      <c r="AB92" s="2">
        <v>9.3699999999999992</v>
      </c>
      <c r="AC92" s="2">
        <v>1.109</v>
      </c>
      <c r="AD92" s="2">
        <v>4.9539999999999997</v>
      </c>
      <c r="AE92" s="2">
        <v>-6.1150000000000002</v>
      </c>
      <c r="AF92" s="2">
        <v>1.149</v>
      </c>
      <c r="AG92" s="2">
        <v>-14.89</v>
      </c>
      <c r="AH92" s="2">
        <v>1.149</v>
      </c>
      <c r="AI92" s="2">
        <v>-14.89</v>
      </c>
      <c r="AJ92" s="2" t="s">
        <v>113</v>
      </c>
      <c r="AK92" s="2" t="s">
        <v>113</v>
      </c>
      <c r="AL92" s="2">
        <v>-0.23</v>
      </c>
      <c r="AM92" s="2">
        <v>9.43</v>
      </c>
      <c r="AN92" s="2">
        <v>-8.91</v>
      </c>
      <c r="AO92" s="2"/>
      <c r="AP92" s="1">
        <f t="shared" si="53"/>
        <v>0.59200000000000008</v>
      </c>
      <c r="AQ92" s="22">
        <f t="shared" si="54"/>
        <v>-0.1</v>
      </c>
      <c r="AR92" s="5">
        <v>20.48</v>
      </c>
      <c r="AS92" s="5">
        <v>12.34</v>
      </c>
      <c r="AT92" s="5">
        <v>9.35</v>
      </c>
      <c r="AU92" s="7">
        <f t="shared" si="66"/>
        <v>0.75800000000000001</v>
      </c>
      <c r="AV92" s="16"/>
      <c r="AW92" s="29">
        <v>0</v>
      </c>
      <c r="AX92" s="29">
        <v>592</v>
      </c>
      <c r="AY92" s="1">
        <f t="shared" si="45"/>
        <v>95</v>
      </c>
      <c r="AZ92" s="1">
        <f t="shared" si="46"/>
        <v>65.3</v>
      </c>
      <c r="BA92" s="1">
        <f t="shared" si="47"/>
        <v>37.6</v>
      </c>
      <c r="BB92" s="8">
        <f t="shared" si="48"/>
        <v>0.36499999999999999</v>
      </c>
      <c r="BC92" s="8">
        <f t="shared" si="49"/>
        <v>0.60599999999999998</v>
      </c>
      <c r="BE92" s="5">
        <f t="shared" si="55"/>
        <v>12.34</v>
      </c>
      <c r="BF92" s="5">
        <f t="shared" si="56"/>
        <v>9.35</v>
      </c>
      <c r="BG92" s="1">
        <f t="shared" si="50"/>
        <v>-0.2</v>
      </c>
      <c r="BH92" s="1">
        <f t="shared" si="51"/>
        <v>6.5</v>
      </c>
      <c r="BI92" s="1">
        <f t="shared" si="52"/>
        <v>-7.9</v>
      </c>
      <c r="BJ92" s="1">
        <f t="shared" si="57"/>
        <v>65.3</v>
      </c>
      <c r="BK92" s="1">
        <f t="shared" si="58"/>
        <v>37.6</v>
      </c>
      <c r="BL92" s="1">
        <f t="shared" si="67"/>
        <v>1.1000000000000001</v>
      </c>
      <c r="BM92" s="1">
        <f t="shared" si="68"/>
        <v>5</v>
      </c>
      <c r="BN92" s="21">
        <f t="shared" si="59"/>
        <v>0</v>
      </c>
      <c r="BO92" s="7">
        <f t="shared" si="60"/>
        <v>0.59200000000000008</v>
      </c>
      <c r="BP92" s="21">
        <f t="shared" si="42"/>
        <v>-0.1</v>
      </c>
      <c r="BQ92" s="1">
        <f t="shared" si="61"/>
        <v>-6.1</v>
      </c>
      <c r="BR92" s="1">
        <f t="shared" si="62"/>
        <v>1.1000000000000001</v>
      </c>
      <c r="BS92" s="1">
        <f t="shared" si="63"/>
        <v>-14.9</v>
      </c>
      <c r="BT92" s="1" t="s">
        <v>113</v>
      </c>
      <c r="BU92" s="1" t="s">
        <v>113</v>
      </c>
      <c r="BV92" s="1" t="s">
        <v>113</v>
      </c>
      <c r="BW92" s="1" t="str">
        <f t="shared" si="69"/>
        <v>NAN</v>
      </c>
      <c r="BX92" s="1">
        <f t="shared" si="70"/>
        <v>0.36499999999999999</v>
      </c>
      <c r="BY92" s="1">
        <f t="shared" si="71"/>
        <v>0.60599999999999998</v>
      </c>
      <c r="CA92" s="1">
        <f t="shared" si="64"/>
        <v>-5.4</v>
      </c>
      <c r="CB92" s="1">
        <f t="shared" si="65"/>
        <v>-7</v>
      </c>
    </row>
    <row r="93" spans="1:80" x14ac:dyDescent="0.2">
      <c r="A93" s="9">
        <f t="shared" si="72"/>
        <v>43553</v>
      </c>
      <c r="B93" s="2">
        <v>88</v>
      </c>
      <c r="C93" s="2">
        <v>21</v>
      </c>
      <c r="D93" s="2">
        <v>13.14</v>
      </c>
      <c r="E93" s="2">
        <v>16.739999999999998</v>
      </c>
      <c r="F93" s="2">
        <v>-10.62</v>
      </c>
      <c r="G93" s="2">
        <v>-1.0469999999999999</v>
      </c>
      <c r="H93" s="2">
        <v>71.3</v>
      </c>
      <c r="I93" s="2">
        <v>-4.7E-2</v>
      </c>
      <c r="J93" s="2">
        <v>-0.11799999999999999</v>
      </c>
      <c r="K93" s="2">
        <v>-0.127</v>
      </c>
      <c r="L93" s="2">
        <v>0.83799999999999997</v>
      </c>
      <c r="M93" s="2">
        <v>8.07</v>
      </c>
      <c r="N93" s="2">
        <v>100.3</v>
      </c>
      <c r="O93" s="2">
        <v>1.2609999999999999</v>
      </c>
      <c r="P93" s="2">
        <v>1.2350000000000001</v>
      </c>
      <c r="Q93" s="2">
        <v>1.2010000000000001</v>
      </c>
      <c r="R93" s="2">
        <v>1.6</v>
      </c>
      <c r="S93" s="2">
        <v>-8.5500000000000007</v>
      </c>
      <c r="T93" s="2">
        <v>31.59</v>
      </c>
      <c r="U93" s="2">
        <v>-0.69799999999999995</v>
      </c>
      <c r="V93" s="2">
        <v>-0.73299999999999998</v>
      </c>
      <c r="W93" s="2">
        <v>-0.73199999999999998</v>
      </c>
      <c r="X93" s="2">
        <v>0.41499999999999998</v>
      </c>
      <c r="Y93" s="2">
        <v>1.86</v>
      </c>
      <c r="Z93" s="2">
        <v>0</v>
      </c>
      <c r="AA93" s="2">
        <v>15.73</v>
      </c>
      <c r="AB93" s="2">
        <v>12.36</v>
      </c>
      <c r="AC93" s="2">
        <v>0.98399999999999999</v>
      </c>
      <c r="AD93" s="2">
        <v>5.3540000000000001</v>
      </c>
      <c r="AE93" s="2">
        <v>-7.34</v>
      </c>
      <c r="AF93" s="2">
        <v>0.82399999999999995</v>
      </c>
      <c r="AG93" s="2">
        <v>-15.25</v>
      </c>
      <c r="AH93" s="2">
        <v>0.82399999999999995</v>
      </c>
      <c r="AI93" s="2">
        <v>-15.25</v>
      </c>
      <c r="AJ93" s="2" t="s">
        <v>113</v>
      </c>
      <c r="AK93" s="2" t="s">
        <v>113</v>
      </c>
      <c r="AL93" s="2">
        <v>-1.02</v>
      </c>
      <c r="AM93" s="2">
        <v>11.53</v>
      </c>
      <c r="AN93" s="2">
        <v>-9.98</v>
      </c>
      <c r="AO93" s="2"/>
      <c r="AP93" s="1">
        <f t="shared" si="53"/>
        <v>0.59000000000000008</v>
      </c>
      <c r="AQ93" s="22">
        <f t="shared" si="54"/>
        <v>-0.1</v>
      </c>
      <c r="AR93" s="5">
        <v>20.74</v>
      </c>
      <c r="AS93" s="5">
        <v>16.52</v>
      </c>
      <c r="AT93" s="5">
        <v>12.35</v>
      </c>
      <c r="AU93" s="7">
        <f t="shared" si="66"/>
        <v>0.748</v>
      </c>
      <c r="AV93" s="16"/>
      <c r="AW93" s="29">
        <v>0</v>
      </c>
      <c r="AX93" s="29">
        <v>586</v>
      </c>
      <c r="AY93" s="1">
        <f t="shared" si="45"/>
        <v>96.8</v>
      </c>
      <c r="AZ93" s="1">
        <f t="shared" si="46"/>
        <v>68.7</v>
      </c>
      <c r="BA93" s="1">
        <f t="shared" si="47"/>
        <v>30.1</v>
      </c>
      <c r="BB93" s="8">
        <f t="shared" si="48"/>
        <v>0.32400000000000001</v>
      </c>
      <c r="BC93" s="8">
        <f t="shared" si="49"/>
        <v>0.752</v>
      </c>
      <c r="BE93" s="5">
        <f t="shared" si="55"/>
        <v>16.52</v>
      </c>
      <c r="BF93" s="5">
        <f t="shared" si="56"/>
        <v>12.35</v>
      </c>
      <c r="BG93" s="1">
        <f t="shared" si="50"/>
        <v>-1</v>
      </c>
      <c r="BH93" s="1">
        <f t="shared" si="51"/>
        <v>8.1</v>
      </c>
      <c r="BI93" s="1">
        <f t="shared" si="52"/>
        <v>-8.6</v>
      </c>
      <c r="BJ93" s="1">
        <f t="shared" si="57"/>
        <v>68.7</v>
      </c>
      <c r="BK93" s="1">
        <f t="shared" si="58"/>
        <v>30.1</v>
      </c>
      <c r="BL93" s="1">
        <f t="shared" si="67"/>
        <v>1</v>
      </c>
      <c r="BM93" s="1">
        <f t="shared" si="68"/>
        <v>5.4</v>
      </c>
      <c r="BN93" s="21">
        <f t="shared" si="59"/>
        <v>0</v>
      </c>
      <c r="BO93" s="7">
        <f t="shared" si="60"/>
        <v>0.59000000000000008</v>
      </c>
      <c r="BP93" s="21">
        <f t="shared" si="42"/>
        <v>-0.1</v>
      </c>
      <c r="BQ93" s="1">
        <f t="shared" si="61"/>
        <v>-7.3</v>
      </c>
      <c r="BR93" s="1">
        <f t="shared" si="62"/>
        <v>0.8</v>
      </c>
      <c r="BS93" s="1">
        <f t="shared" si="63"/>
        <v>-15.3</v>
      </c>
      <c r="BT93" s="1" t="s">
        <v>113</v>
      </c>
      <c r="BU93" s="1" t="s">
        <v>113</v>
      </c>
      <c r="BV93" s="1" t="s">
        <v>113</v>
      </c>
      <c r="BW93" s="1" t="str">
        <f t="shared" si="69"/>
        <v>NAN</v>
      </c>
      <c r="BX93" s="1">
        <f t="shared" si="70"/>
        <v>0.32400000000000001</v>
      </c>
      <c r="BY93" s="1">
        <f t="shared" si="71"/>
        <v>0.752</v>
      </c>
      <c r="CA93" s="1">
        <f t="shared" si="64"/>
        <v>-7.3</v>
      </c>
      <c r="CB93" s="1">
        <f t="shared" si="65"/>
        <v>-6.7000000000000011</v>
      </c>
    </row>
    <row r="94" spans="1:80" x14ac:dyDescent="0.2">
      <c r="A94" s="9">
        <f t="shared" si="72"/>
        <v>43554</v>
      </c>
      <c r="B94" s="2">
        <v>89</v>
      </c>
      <c r="C94" s="2">
        <v>21</v>
      </c>
      <c r="D94" s="2">
        <v>13.17</v>
      </c>
      <c r="E94" s="2">
        <v>20.84</v>
      </c>
      <c r="F94" s="2">
        <v>-10.96</v>
      </c>
      <c r="G94" s="2">
        <v>0.876</v>
      </c>
      <c r="H94" s="2">
        <v>67.16</v>
      </c>
      <c r="I94" s="2">
        <v>-0.27600000000000002</v>
      </c>
      <c r="J94" s="2">
        <v>-6.4000000000000001E-2</v>
      </c>
      <c r="K94" s="2">
        <v>-7.8E-2</v>
      </c>
      <c r="L94" s="2">
        <v>0.83799999999999997</v>
      </c>
      <c r="M94" s="2">
        <v>10.65</v>
      </c>
      <c r="N94" s="2">
        <v>99.8</v>
      </c>
      <c r="O94" s="2">
        <v>1.4570000000000001</v>
      </c>
      <c r="P94" s="2">
        <v>1.498</v>
      </c>
      <c r="Q94" s="2">
        <v>1.4490000000000001</v>
      </c>
      <c r="R94" s="2">
        <v>1.599</v>
      </c>
      <c r="S94" s="2">
        <v>-9.02</v>
      </c>
      <c r="T94" s="2">
        <v>28.3</v>
      </c>
      <c r="U94" s="2">
        <v>-1.3779999999999999</v>
      </c>
      <c r="V94" s="2">
        <v>-0.752</v>
      </c>
      <c r="W94" s="2">
        <v>-0.752</v>
      </c>
      <c r="X94" s="2">
        <v>0.35</v>
      </c>
      <c r="Y94" s="2">
        <v>1.8759999999999999</v>
      </c>
      <c r="Z94" s="2">
        <v>0</v>
      </c>
      <c r="AA94" s="2">
        <v>18.21</v>
      </c>
      <c r="AB94" s="2">
        <v>13.96</v>
      </c>
      <c r="AC94" s="2">
        <v>0.76</v>
      </c>
      <c r="AD94" s="2">
        <v>6.1539999999999999</v>
      </c>
      <c r="AE94" s="2">
        <v>-5.3810000000000002</v>
      </c>
      <c r="AF94" s="2">
        <v>1.1539999999999999</v>
      </c>
      <c r="AG94" s="2">
        <v>-15.29</v>
      </c>
      <c r="AH94" s="2">
        <v>1.1539999999999999</v>
      </c>
      <c r="AI94" s="2">
        <v>-15.29</v>
      </c>
      <c r="AJ94" s="2" t="s">
        <v>113</v>
      </c>
      <c r="AK94" s="2" t="s">
        <v>113</v>
      </c>
      <c r="AL94" s="2">
        <v>1.234</v>
      </c>
      <c r="AM94" s="2">
        <v>15.15</v>
      </c>
      <c r="AN94" s="2">
        <v>-10.67</v>
      </c>
      <c r="AO94" s="2"/>
      <c r="AP94" s="1">
        <f t="shared" si="53"/>
        <v>0.57400000000000029</v>
      </c>
      <c r="AQ94" s="22">
        <f t="shared" si="54"/>
        <v>-0.1</v>
      </c>
      <c r="AR94" s="5">
        <v>21</v>
      </c>
      <c r="AS94" s="5">
        <v>19.190000000000001</v>
      </c>
      <c r="AT94" s="5">
        <v>13.94</v>
      </c>
      <c r="AU94" s="7">
        <f t="shared" si="66"/>
        <v>0.72599999999999998</v>
      </c>
      <c r="AV94" s="16"/>
      <c r="AW94" s="29">
        <v>0</v>
      </c>
      <c r="AX94" s="29">
        <v>570</v>
      </c>
      <c r="AY94" s="1">
        <f t="shared" si="45"/>
        <v>96.3</v>
      </c>
      <c r="AZ94" s="1">
        <f t="shared" si="46"/>
        <v>64.599999999999994</v>
      </c>
      <c r="BA94" s="1">
        <f t="shared" si="47"/>
        <v>27</v>
      </c>
      <c r="BB94" s="8">
        <f t="shared" si="48"/>
        <v>0.34599999999999997</v>
      </c>
      <c r="BC94" s="8">
        <f t="shared" si="49"/>
        <v>0.93500000000000005</v>
      </c>
      <c r="BE94" s="5">
        <f t="shared" si="55"/>
        <v>19.190000000000001</v>
      </c>
      <c r="BF94" s="5">
        <f t="shared" si="56"/>
        <v>13.94</v>
      </c>
      <c r="BG94" s="1">
        <f t="shared" ref="BG94:BG125" si="73">IF(G94="NAN","NAN",ROUND(G94,1))</f>
        <v>0.9</v>
      </c>
      <c r="BH94" s="1">
        <f t="shared" ref="BH94:BH125" si="74">IF(M94="NAN","NAN",ROUND(M94,1))</f>
        <v>10.7</v>
      </c>
      <c r="BI94" s="1">
        <f t="shared" ref="BI94:BI125" si="75">IF(S94="NAN","NAN",ROUND(S94,1))</f>
        <v>-9</v>
      </c>
      <c r="BJ94" s="1">
        <f t="shared" si="57"/>
        <v>64.599999999999994</v>
      </c>
      <c r="BK94" s="1">
        <f t="shared" si="58"/>
        <v>27</v>
      </c>
      <c r="BL94" s="1">
        <f t="shared" si="67"/>
        <v>0.8</v>
      </c>
      <c r="BM94" s="1">
        <f t="shared" si="68"/>
        <v>6.2</v>
      </c>
      <c r="BN94" s="21">
        <f t="shared" si="59"/>
        <v>0</v>
      </c>
      <c r="BO94" s="7">
        <f t="shared" si="60"/>
        <v>0.57400000000000029</v>
      </c>
      <c r="BP94" s="21">
        <f t="shared" si="42"/>
        <v>-0.1</v>
      </c>
      <c r="BQ94" s="1">
        <f t="shared" si="61"/>
        <v>-5.4</v>
      </c>
      <c r="BR94" s="1">
        <f t="shared" si="62"/>
        <v>1.2</v>
      </c>
      <c r="BS94" s="1">
        <f t="shared" si="63"/>
        <v>-15.3</v>
      </c>
      <c r="BT94" s="1" t="s">
        <v>113</v>
      </c>
      <c r="BU94" s="1" t="s">
        <v>113</v>
      </c>
      <c r="BV94" s="1" t="s">
        <v>113</v>
      </c>
      <c r="BW94" s="1" t="str">
        <f t="shared" si="69"/>
        <v>NAN</v>
      </c>
      <c r="BX94" s="1">
        <f t="shared" si="70"/>
        <v>0.34599999999999997</v>
      </c>
      <c r="BY94" s="1">
        <f t="shared" si="71"/>
        <v>0.93500000000000005</v>
      </c>
      <c r="CA94" s="1">
        <f t="shared" si="64"/>
        <v>-9.5</v>
      </c>
      <c r="CB94" s="1">
        <f t="shared" si="65"/>
        <v>-6.3000000000000007</v>
      </c>
    </row>
    <row r="95" spans="1:80" x14ac:dyDescent="0.2">
      <c r="A95" s="9">
        <f t="shared" si="72"/>
        <v>43555</v>
      </c>
      <c r="B95" s="2">
        <v>90</v>
      </c>
      <c r="C95" s="2">
        <v>21</v>
      </c>
      <c r="D95" s="2">
        <v>13.14</v>
      </c>
      <c r="E95" s="2">
        <v>22.24</v>
      </c>
      <c r="F95" s="2">
        <v>-6.0350000000000001</v>
      </c>
      <c r="G95" s="2">
        <v>1.7050000000000001</v>
      </c>
      <c r="H95" s="2">
        <v>73.900000000000006</v>
      </c>
      <c r="I95" s="2">
        <v>0.25900000000000001</v>
      </c>
      <c r="J95" s="2">
        <v>-0.11799999999999999</v>
      </c>
      <c r="K95" s="2">
        <v>-0.13</v>
      </c>
      <c r="L95" s="2">
        <v>0.81899999999999995</v>
      </c>
      <c r="M95" s="2">
        <v>10.29</v>
      </c>
      <c r="N95" s="2">
        <v>100.9</v>
      </c>
      <c r="O95" s="2">
        <v>3.0179999999999998</v>
      </c>
      <c r="P95" s="2">
        <v>1.4159999999999999</v>
      </c>
      <c r="Q95" s="2">
        <v>1.371</v>
      </c>
      <c r="R95" s="2">
        <v>1.742</v>
      </c>
      <c r="S95" s="2">
        <v>-5.9969999999999999</v>
      </c>
      <c r="T95" s="2">
        <v>28.3</v>
      </c>
      <c r="U95" s="2">
        <v>-0.44500000000000001</v>
      </c>
      <c r="V95" s="2">
        <v>-0.78800000000000003</v>
      </c>
      <c r="W95" s="2">
        <v>-0.79800000000000004</v>
      </c>
      <c r="X95" s="2">
        <v>5.8999999999999997E-2</v>
      </c>
      <c r="Y95" s="2">
        <v>1.8879999999999999</v>
      </c>
      <c r="Z95" s="2">
        <v>1.27</v>
      </c>
      <c r="AA95" s="2">
        <v>14.31</v>
      </c>
      <c r="AB95" s="2">
        <v>11.39</v>
      </c>
      <c r="AC95" s="2">
        <v>0.94199999999999995</v>
      </c>
      <c r="AD95" s="2">
        <v>4.9539999999999997</v>
      </c>
      <c r="AE95" s="2">
        <v>-2.9049999999999998</v>
      </c>
      <c r="AF95" s="2">
        <v>1.131</v>
      </c>
      <c r="AG95" s="2">
        <v>-10.44</v>
      </c>
      <c r="AH95" s="2">
        <v>1.131</v>
      </c>
      <c r="AI95" s="2">
        <v>-10.44</v>
      </c>
      <c r="AJ95" s="2" t="s">
        <v>113</v>
      </c>
      <c r="AK95" s="2" t="s">
        <v>113</v>
      </c>
      <c r="AL95" s="2">
        <v>2.0720000000000001</v>
      </c>
      <c r="AM95" s="2">
        <v>12.96</v>
      </c>
      <c r="AN95" s="2">
        <v>-7.12</v>
      </c>
      <c r="AO95" s="2"/>
      <c r="AP95" s="1">
        <f t="shared" si="53"/>
        <v>0.56200000000000028</v>
      </c>
      <c r="AQ95" s="22">
        <f t="shared" si="54"/>
        <v>0</v>
      </c>
      <c r="AR95" s="5">
        <v>21.27</v>
      </c>
      <c r="AS95" s="5">
        <v>15.23</v>
      </c>
      <c r="AT95" s="5">
        <v>11.38</v>
      </c>
      <c r="AU95" s="7">
        <f t="shared" si="66"/>
        <v>0.747</v>
      </c>
      <c r="AV95" s="16"/>
      <c r="AW95" s="29">
        <v>2.86</v>
      </c>
      <c r="AX95" s="29">
        <v>558</v>
      </c>
      <c r="AY95" s="1">
        <f t="shared" si="45"/>
        <v>97.4</v>
      </c>
      <c r="AZ95" s="1">
        <f t="shared" si="46"/>
        <v>71.2</v>
      </c>
      <c r="BA95" s="1">
        <f t="shared" si="47"/>
        <v>27</v>
      </c>
      <c r="BB95" s="8">
        <f t="shared" si="48"/>
        <v>0.33800000000000002</v>
      </c>
      <c r="BC95" s="8">
        <f t="shared" si="49"/>
        <v>0.91400000000000003</v>
      </c>
      <c r="BE95" s="5">
        <f t="shared" si="55"/>
        <v>15.23</v>
      </c>
      <c r="BF95" s="5">
        <f t="shared" si="56"/>
        <v>11.38</v>
      </c>
      <c r="BG95" s="1">
        <f t="shared" si="73"/>
        <v>1.7</v>
      </c>
      <c r="BH95" s="1">
        <f t="shared" si="74"/>
        <v>10.3</v>
      </c>
      <c r="BI95" s="1">
        <f t="shared" si="75"/>
        <v>-6</v>
      </c>
      <c r="BJ95" s="1">
        <f t="shared" si="57"/>
        <v>71.2</v>
      </c>
      <c r="BK95" s="1">
        <f t="shared" si="58"/>
        <v>27</v>
      </c>
      <c r="BL95" s="1">
        <f t="shared" si="67"/>
        <v>0.9</v>
      </c>
      <c r="BM95" s="1">
        <f t="shared" si="68"/>
        <v>5</v>
      </c>
      <c r="BN95" s="21">
        <f t="shared" si="59"/>
        <v>2.86</v>
      </c>
      <c r="BO95" s="7">
        <f t="shared" si="60"/>
        <v>0.56200000000000028</v>
      </c>
      <c r="BP95" s="21">
        <f t="shared" si="42"/>
        <v>0</v>
      </c>
      <c r="BQ95" s="1">
        <f t="shared" si="61"/>
        <v>-2.9</v>
      </c>
      <c r="BR95" s="1">
        <f t="shared" si="62"/>
        <v>1.1000000000000001</v>
      </c>
      <c r="BS95" s="1">
        <f t="shared" si="63"/>
        <v>-10.4</v>
      </c>
      <c r="BT95" s="1" t="s">
        <v>113</v>
      </c>
      <c r="BU95" s="1" t="s">
        <v>113</v>
      </c>
      <c r="BV95" s="1" t="s">
        <v>113</v>
      </c>
      <c r="BW95" s="1" t="str">
        <f t="shared" si="69"/>
        <v>NAN</v>
      </c>
      <c r="BX95" s="1">
        <f t="shared" si="70"/>
        <v>0.33800000000000002</v>
      </c>
      <c r="BY95" s="1">
        <f t="shared" si="71"/>
        <v>0.91400000000000003</v>
      </c>
      <c r="CA95" s="1">
        <f t="shared" si="64"/>
        <v>-9.2000000000000011</v>
      </c>
      <c r="CB95" s="1">
        <f t="shared" si="65"/>
        <v>-4.4000000000000004</v>
      </c>
    </row>
    <row r="96" spans="1:80" x14ac:dyDescent="0.2">
      <c r="A96" s="9">
        <f t="shared" si="72"/>
        <v>43556</v>
      </c>
      <c r="B96" s="2">
        <v>91</v>
      </c>
      <c r="C96" s="2">
        <v>21</v>
      </c>
      <c r="D96" s="2">
        <v>13.14</v>
      </c>
      <c r="E96" s="2">
        <v>16.829999999999998</v>
      </c>
      <c r="F96" s="2">
        <v>-10.54</v>
      </c>
      <c r="G96" s="2">
        <v>-0.43099999999999999</v>
      </c>
      <c r="H96" s="2">
        <v>67.86</v>
      </c>
      <c r="I96" s="2">
        <v>0.73099999999999998</v>
      </c>
      <c r="J96" s="2">
        <v>-7.3999999999999996E-2</v>
      </c>
      <c r="K96" s="2">
        <v>-8.5000000000000006E-2</v>
      </c>
      <c r="L96" s="2">
        <v>0.85299999999999998</v>
      </c>
      <c r="M96" s="2">
        <v>8.1300000000000008</v>
      </c>
      <c r="N96" s="2">
        <v>101</v>
      </c>
      <c r="O96" s="2">
        <v>3.2749999999999999</v>
      </c>
      <c r="P96" s="2">
        <v>1.34</v>
      </c>
      <c r="Q96" s="2">
        <v>1.2969999999999999</v>
      </c>
      <c r="R96" s="2">
        <v>1.67</v>
      </c>
      <c r="S96" s="2">
        <v>-8.42</v>
      </c>
      <c r="T96" s="2">
        <v>28.18</v>
      </c>
      <c r="U96" s="2">
        <v>-0.64100000000000001</v>
      </c>
      <c r="V96" s="2">
        <v>-0.79100000000000004</v>
      </c>
      <c r="W96" s="2">
        <v>-0.79100000000000004</v>
      </c>
      <c r="X96" s="2">
        <v>0.39600000000000002</v>
      </c>
      <c r="Y96" s="2">
        <v>1.901</v>
      </c>
      <c r="Z96" s="2">
        <v>0</v>
      </c>
      <c r="AA96" s="2">
        <v>19.850000000000001</v>
      </c>
      <c r="AB96" s="2">
        <v>14.89</v>
      </c>
      <c r="AC96" s="2">
        <v>1.204</v>
      </c>
      <c r="AD96" s="2">
        <v>5.194</v>
      </c>
      <c r="AE96" s="2">
        <v>-6.4450000000000003</v>
      </c>
      <c r="AF96" s="2">
        <v>0.59299999999999997</v>
      </c>
      <c r="AG96" s="2">
        <v>-14.11</v>
      </c>
      <c r="AH96" s="2">
        <v>0.59299999999999997</v>
      </c>
      <c r="AI96" s="2">
        <v>-14.11</v>
      </c>
      <c r="AJ96" s="2" t="s">
        <v>113</v>
      </c>
      <c r="AK96" s="2" t="s">
        <v>113</v>
      </c>
      <c r="AL96" s="2">
        <v>-0.217</v>
      </c>
      <c r="AM96" s="2">
        <v>11.57</v>
      </c>
      <c r="AN96" s="2">
        <v>-10.02</v>
      </c>
      <c r="AO96" s="2"/>
      <c r="AP96" s="1">
        <f t="shared" si="53"/>
        <v>0.54900000000000015</v>
      </c>
      <c r="AQ96" s="22">
        <f t="shared" si="54"/>
        <v>0.2</v>
      </c>
      <c r="AR96" s="5">
        <v>21.52</v>
      </c>
      <c r="AS96" s="5">
        <v>20.89</v>
      </c>
      <c r="AT96" s="5">
        <v>14.88</v>
      </c>
      <c r="AU96" s="7">
        <f t="shared" si="66"/>
        <v>0.71199999999999997</v>
      </c>
      <c r="AV96" s="16"/>
      <c r="AW96" s="29">
        <v>0</v>
      </c>
      <c r="AX96" s="29">
        <v>545</v>
      </c>
      <c r="AY96" s="1">
        <f t="shared" si="45"/>
        <v>97.5</v>
      </c>
      <c r="AZ96" s="1">
        <f t="shared" si="46"/>
        <v>65.3</v>
      </c>
      <c r="BA96" s="1">
        <f t="shared" si="47"/>
        <v>26.8</v>
      </c>
      <c r="BB96" s="8">
        <f t="shared" si="48"/>
        <v>0.28999999999999998</v>
      </c>
      <c r="BC96" s="8">
        <f t="shared" si="49"/>
        <v>0.79200000000000004</v>
      </c>
      <c r="BE96" s="5">
        <f t="shared" si="55"/>
        <v>20.89</v>
      </c>
      <c r="BF96" s="5">
        <f t="shared" si="56"/>
        <v>14.88</v>
      </c>
      <c r="BG96" s="1">
        <f t="shared" si="73"/>
        <v>-0.4</v>
      </c>
      <c r="BH96" s="1">
        <f t="shared" si="74"/>
        <v>8.1</v>
      </c>
      <c r="BI96" s="1">
        <f t="shared" si="75"/>
        <v>-8.4</v>
      </c>
      <c r="BJ96" s="1">
        <f t="shared" si="57"/>
        <v>65.3</v>
      </c>
      <c r="BK96" s="1">
        <f t="shared" si="58"/>
        <v>26.8</v>
      </c>
      <c r="BL96" s="1">
        <f t="shared" si="67"/>
        <v>1.2</v>
      </c>
      <c r="BM96" s="1">
        <f t="shared" si="68"/>
        <v>5.2</v>
      </c>
      <c r="BN96" s="21">
        <f t="shared" si="59"/>
        <v>0</v>
      </c>
      <c r="BO96" s="7">
        <f t="shared" si="60"/>
        <v>0.54900000000000015</v>
      </c>
      <c r="BP96" s="21">
        <f t="shared" si="42"/>
        <v>0.2</v>
      </c>
      <c r="BQ96" s="1">
        <f t="shared" si="61"/>
        <v>-6.4</v>
      </c>
      <c r="BR96" s="1">
        <f t="shared" si="62"/>
        <v>0.6</v>
      </c>
      <c r="BS96" s="1">
        <f t="shared" si="63"/>
        <v>-14.1</v>
      </c>
      <c r="BT96" s="1" t="s">
        <v>113</v>
      </c>
      <c r="BU96" s="1" t="s">
        <v>113</v>
      </c>
      <c r="BV96" s="1" t="s">
        <v>113</v>
      </c>
      <c r="BW96" s="1" t="str">
        <f t="shared" si="69"/>
        <v>NAN</v>
      </c>
      <c r="BX96" s="1">
        <f t="shared" si="70"/>
        <v>0.28999999999999998</v>
      </c>
      <c r="BY96" s="1">
        <f t="shared" si="71"/>
        <v>0.79200000000000004</v>
      </c>
      <c r="CA96" s="1">
        <f t="shared" si="64"/>
        <v>-7.5</v>
      </c>
      <c r="CB96" s="1">
        <f t="shared" si="65"/>
        <v>-5.6999999999999993</v>
      </c>
    </row>
    <row r="97" spans="1:80" x14ac:dyDescent="0.2">
      <c r="A97" s="9">
        <f t="shared" si="72"/>
        <v>43557</v>
      </c>
      <c r="B97" s="2">
        <v>92</v>
      </c>
      <c r="C97" s="2">
        <v>21</v>
      </c>
      <c r="D97" s="2">
        <v>13.15</v>
      </c>
      <c r="E97" s="2">
        <v>20.89</v>
      </c>
      <c r="F97" s="2">
        <v>-10.6</v>
      </c>
      <c r="G97" s="2">
        <v>0.68600000000000005</v>
      </c>
      <c r="H97" s="2">
        <v>63.17</v>
      </c>
      <c r="I97" s="2">
        <v>0.66600000000000004</v>
      </c>
      <c r="J97" s="2">
        <v>-5.7000000000000002E-2</v>
      </c>
      <c r="K97" s="2">
        <v>-6.8000000000000005E-2</v>
      </c>
      <c r="L97" s="2">
        <v>0.85599999999999998</v>
      </c>
      <c r="M97" s="2">
        <v>9.2100000000000009</v>
      </c>
      <c r="N97" s="2">
        <v>98.4</v>
      </c>
      <c r="O97" s="2">
        <v>3.839</v>
      </c>
      <c r="P97" s="2">
        <v>1.4570000000000001</v>
      </c>
      <c r="Q97" s="2">
        <v>1.4119999999999999</v>
      </c>
      <c r="R97" s="2">
        <v>1.7270000000000001</v>
      </c>
      <c r="S97" s="2">
        <v>-8.61</v>
      </c>
      <c r="T97" s="2">
        <v>22.1</v>
      </c>
      <c r="U97" s="2">
        <v>-1.3069999999999999</v>
      </c>
      <c r="V97" s="2">
        <v>-0.61899999999999999</v>
      </c>
      <c r="W97" s="2">
        <v>-0.64</v>
      </c>
      <c r="X97" s="2">
        <v>0.54200000000000004</v>
      </c>
      <c r="Y97" s="2">
        <v>1.9059999999999999</v>
      </c>
      <c r="Z97" s="2">
        <v>0</v>
      </c>
      <c r="AA97" s="2">
        <v>19.600000000000001</v>
      </c>
      <c r="AB97" s="2">
        <v>14.52</v>
      </c>
      <c r="AC97" s="2">
        <v>1.083</v>
      </c>
      <c r="AD97" s="2">
        <v>5.194</v>
      </c>
      <c r="AE97" s="2">
        <v>-5.8579999999999997</v>
      </c>
      <c r="AF97" s="2">
        <v>0.78100000000000003</v>
      </c>
      <c r="AG97" s="2">
        <v>-14.9</v>
      </c>
      <c r="AH97" s="2">
        <v>0.78100000000000003</v>
      </c>
      <c r="AI97" s="2">
        <v>-14.9</v>
      </c>
      <c r="AJ97" s="2" t="s">
        <v>113</v>
      </c>
      <c r="AK97" s="2" t="s">
        <v>113</v>
      </c>
      <c r="AL97" s="2">
        <v>1.002</v>
      </c>
      <c r="AM97" s="2">
        <v>12.62</v>
      </c>
      <c r="AN97" s="2">
        <v>-9.8800000000000008</v>
      </c>
      <c r="AO97" s="2"/>
      <c r="AP97" s="1">
        <f t="shared" si="53"/>
        <v>0.54400000000000026</v>
      </c>
      <c r="AQ97" s="22">
        <f t="shared" si="54"/>
        <v>0.2</v>
      </c>
      <c r="AR97" s="5">
        <v>21.78</v>
      </c>
      <c r="AS97" s="5">
        <v>20.58</v>
      </c>
      <c r="AT97" s="5">
        <v>14.5</v>
      </c>
      <c r="AU97" s="7">
        <f t="shared" si="66"/>
        <v>0.70499999999999996</v>
      </c>
      <c r="AV97" s="16"/>
      <c r="AW97" s="29">
        <v>0</v>
      </c>
      <c r="AX97" s="29">
        <v>540</v>
      </c>
      <c r="AY97" s="1">
        <f t="shared" si="45"/>
        <v>94.9</v>
      </c>
      <c r="AZ97" s="1">
        <f t="shared" si="46"/>
        <v>60.8</v>
      </c>
      <c r="BA97" s="1">
        <f t="shared" si="47"/>
        <v>20.9</v>
      </c>
      <c r="BB97" s="8">
        <f t="shared" si="48"/>
        <v>0.24299999999999999</v>
      </c>
      <c r="BC97" s="8">
        <f t="shared" si="49"/>
        <v>0.92</v>
      </c>
      <c r="BE97" s="5">
        <f t="shared" si="55"/>
        <v>20.58</v>
      </c>
      <c r="BF97" s="5">
        <f t="shared" si="56"/>
        <v>14.5</v>
      </c>
      <c r="BG97" s="1">
        <f t="shared" si="73"/>
        <v>0.7</v>
      </c>
      <c r="BH97" s="1">
        <f t="shared" si="74"/>
        <v>9.1999999999999993</v>
      </c>
      <c r="BI97" s="1">
        <f t="shared" si="75"/>
        <v>-8.6</v>
      </c>
      <c r="BJ97" s="1">
        <f t="shared" si="57"/>
        <v>60.8</v>
      </c>
      <c r="BK97" s="1">
        <f t="shared" si="58"/>
        <v>20.9</v>
      </c>
      <c r="BL97" s="1">
        <f t="shared" si="67"/>
        <v>1.1000000000000001</v>
      </c>
      <c r="BM97" s="1">
        <f t="shared" si="68"/>
        <v>5.2</v>
      </c>
      <c r="BN97" s="21">
        <f t="shared" si="59"/>
        <v>0</v>
      </c>
      <c r="BO97" s="7">
        <f t="shared" si="60"/>
        <v>0.54400000000000026</v>
      </c>
      <c r="BP97" s="21">
        <f t="shared" si="42"/>
        <v>0.2</v>
      </c>
      <c r="BQ97" s="1">
        <f t="shared" si="61"/>
        <v>-5.9</v>
      </c>
      <c r="BR97" s="1">
        <f t="shared" si="62"/>
        <v>0.8</v>
      </c>
      <c r="BS97" s="1">
        <f t="shared" si="63"/>
        <v>-14.9</v>
      </c>
      <c r="BT97" s="1" t="s">
        <v>113</v>
      </c>
      <c r="BU97" s="1" t="s">
        <v>113</v>
      </c>
      <c r="BV97" s="1" t="s">
        <v>113</v>
      </c>
      <c r="BW97" s="1" t="str">
        <f t="shared" si="69"/>
        <v>NAN</v>
      </c>
      <c r="BX97" s="1">
        <f t="shared" si="70"/>
        <v>0.24299999999999999</v>
      </c>
      <c r="BY97" s="1">
        <f t="shared" si="71"/>
        <v>0.92</v>
      </c>
      <c r="CA97" s="1">
        <f t="shared" si="64"/>
        <v>-8.3999999999999986</v>
      </c>
      <c r="CB97" s="1">
        <f t="shared" si="65"/>
        <v>-6.3000000000000007</v>
      </c>
    </row>
    <row r="98" spans="1:80" x14ac:dyDescent="0.2">
      <c r="A98" s="9">
        <f t="shared" si="72"/>
        <v>43558</v>
      </c>
      <c r="B98" s="2">
        <v>93</v>
      </c>
      <c r="C98" s="2">
        <v>21</v>
      </c>
      <c r="D98" s="2">
        <v>13.18</v>
      </c>
      <c r="E98" s="2">
        <v>9.68</v>
      </c>
      <c r="F98" s="2">
        <v>-4.01</v>
      </c>
      <c r="G98" s="2">
        <v>0.92</v>
      </c>
      <c r="H98" s="2">
        <v>90.1</v>
      </c>
      <c r="I98" s="2">
        <v>0.32600000000000001</v>
      </c>
      <c r="J98" s="2">
        <v>-0.223</v>
      </c>
      <c r="K98" s="2">
        <v>-0.22800000000000001</v>
      </c>
      <c r="L98" s="2">
        <v>0.76400000000000001</v>
      </c>
      <c r="M98" s="2">
        <v>6.0359999999999996</v>
      </c>
      <c r="N98" s="2">
        <v>101.3</v>
      </c>
      <c r="O98" s="2">
        <v>4.0519999999999996</v>
      </c>
      <c r="P98" s="2">
        <v>0.40799999999999997</v>
      </c>
      <c r="Q98" s="2">
        <v>0.38500000000000001</v>
      </c>
      <c r="R98" s="2">
        <v>1.2190000000000001</v>
      </c>
      <c r="S98" s="2">
        <v>-3.4750000000000001</v>
      </c>
      <c r="T98" s="2">
        <v>61.54</v>
      </c>
      <c r="U98" s="2">
        <v>-0.39600000000000002</v>
      </c>
      <c r="V98" s="2">
        <v>-0.43</v>
      </c>
      <c r="W98" s="2">
        <v>-0.44</v>
      </c>
      <c r="X98" s="2">
        <v>0.59899999999999998</v>
      </c>
      <c r="Y98" s="2">
        <v>1.921</v>
      </c>
      <c r="Z98" s="2">
        <v>3.302</v>
      </c>
      <c r="AA98" s="2">
        <v>7.3</v>
      </c>
      <c r="AB98" s="2">
        <v>5.3550000000000004</v>
      </c>
      <c r="AC98" s="2">
        <v>1.0660000000000001</v>
      </c>
      <c r="AD98" s="2">
        <v>5.327</v>
      </c>
      <c r="AE98" s="2">
        <v>-1.4710000000000001</v>
      </c>
      <c r="AF98" s="2">
        <v>1.07</v>
      </c>
      <c r="AG98" s="2">
        <v>-5.88</v>
      </c>
      <c r="AH98" s="2">
        <v>1.07</v>
      </c>
      <c r="AI98" s="2">
        <v>-5.88</v>
      </c>
      <c r="AJ98" s="2" t="s">
        <v>113</v>
      </c>
      <c r="AK98" s="2" t="s">
        <v>113</v>
      </c>
      <c r="AL98" s="2">
        <v>1.0960000000000001</v>
      </c>
      <c r="AM98" s="2">
        <v>7.09</v>
      </c>
      <c r="AN98" s="2">
        <v>-4.3239999999999998</v>
      </c>
      <c r="AO98" s="2"/>
      <c r="AP98" s="1">
        <f t="shared" si="53"/>
        <v>0.52900000000000014</v>
      </c>
      <c r="AQ98" s="22">
        <f t="shared" si="54"/>
        <v>0</v>
      </c>
      <c r="AR98" s="5">
        <v>22.03</v>
      </c>
      <c r="AS98" s="5">
        <v>7.67</v>
      </c>
      <c r="AT98" s="5">
        <v>5.36</v>
      </c>
      <c r="AU98" s="7">
        <f t="shared" si="66"/>
        <v>0.69899999999999995</v>
      </c>
      <c r="AV98" s="16"/>
      <c r="AW98" s="29">
        <v>3</v>
      </c>
      <c r="AX98" s="29">
        <v>525</v>
      </c>
      <c r="AY98" s="1">
        <f t="shared" si="45"/>
        <v>97.8</v>
      </c>
      <c r="AZ98" s="1">
        <f t="shared" si="46"/>
        <v>86.9</v>
      </c>
      <c r="BA98" s="1">
        <f t="shared" si="47"/>
        <v>59.2</v>
      </c>
      <c r="BB98" s="8">
        <f t="shared" si="48"/>
        <v>0.55500000000000005</v>
      </c>
      <c r="BC98" s="8">
        <f t="shared" si="49"/>
        <v>0.38300000000000001</v>
      </c>
      <c r="BE98" s="5">
        <f t="shared" si="55"/>
        <v>7.67</v>
      </c>
      <c r="BF98" s="5">
        <f t="shared" si="56"/>
        <v>5.36</v>
      </c>
      <c r="BG98" s="1">
        <f t="shared" si="73"/>
        <v>0.9</v>
      </c>
      <c r="BH98" s="1">
        <f t="shared" si="74"/>
        <v>6</v>
      </c>
      <c r="BI98" s="1">
        <f t="shared" si="75"/>
        <v>-3.5</v>
      </c>
      <c r="BJ98" s="1">
        <f t="shared" si="57"/>
        <v>86.9</v>
      </c>
      <c r="BK98" s="1">
        <f t="shared" si="58"/>
        <v>59.2</v>
      </c>
      <c r="BL98" s="1">
        <f t="shared" si="67"/>
        <v>1.1000000000000001</v>
      </c>
      <c r="BM98" s="1">
        <f t="shared" si="68"/>
        <v>5.3</v>
      </c>
      <c r="BN98" s="21">
        <f t="shared" si="59"/>
        <v>3</v>
      </c>
      <c r="BO98" s="7">
        <f t="shared" si="60"/>
        <v>0.52900000000000014</v>
      </c>
      <c r="BP98" s="21">
        <f t="shared" si="42"/>
        <v>0</v>
      </c>
      <c r="BQ98" s="1">
        <f t="shared" si="61"/>
        <v>-1.5</v>
      </c>
      <c r="BR98" s="1">
        <f t="shared" si="62"/>
        <v>1.1000000000000001</v>
      </c>
      <c r="BS98" s="1">
        <f t="shared" si="63"/>
        <v>-5.9</v>
      </c>
      <c r="BT98" s="1" t="s">
        <v>113</v>
      </c>
      <c r="BU98" s="1" t="s">
        <v>113</v>
      </c>
      <c r="BV98" s="1" t="s">
        <v>113</v>
      </c>
      <c r="BW98" s="1" t="str">
        <f t="shared" si="69"/>
        <v>NAN</v>
      </c>
      <c r="BX98" s="1">
        <f t="shared" si="70"/>
        <v>0.55500000000000005</v>
      </c>
      <c r="BY98" s="1">
        <f t="shared" si="71"/>
        <v>0.38300000000000001</v>
      </c>
      <c r="CA98" s="1">
        <f t="shared" si="64"/>
        <v>-4.9000000000000004</v>
      </c>
      <c r="CB98" s="1">
        <f t="shared" si="65"/>
        <v>-2.4000000000000004</v>
      </c>
    </row>
    <row r="99" spans="1:80" x14ac:dyDescent="0.2">
      <c r="A99" s="9">
        <f t="shared" si="72"/>
        <v>43559</v>
      </c>
      <c r="B99" s="2">
        <v>94</v>
      </c>
      <c r="C99" s="2">
        <v>21</v>
      </c>
      <c r="D99" s="2">
        <v>13.18</v>
      </c>
      <c r="E99" s="2">
        <v>18.23</v>
      </c>
      <c r="F99" s="2">
        <v>-7.03</v>
      </c>
      <c r="G99" s="2">
        <v>1.845</v>
      </c>
      <c r="H99" s="2">
        <v>77.7</v>
      </c>
      <c r="I99" s="2">
        <v>0.79200000000000004</v>
      </c>
      <c r="J99" s="2">
        <v>-9.1999999999999998E-2</v>
      </c>
      <c r="K99" s="2">
        <v>-0.1</v>
      </c>
      <c r="L99" s="2">
        <v>0.82699999999999996</v>
      </c>
      <c r="M99" s="2">
        <v>8.26</v>
      </c>
      <c r="N99" s="2">
        <v>101.7</v>
      </c>
      <c r="O99" s="2">
        <v>6.3819999999999997</v>
      </c>
      <c r="P99" s="2">
        <v>1.415</v>
      </c>
      <c r="Q99" s="2">
        <v>1.359</v>
      </c>
      <c r="R99" s="2">
        <v>1.621</v>
      </c>
      <c r="S99" s="2">
        <v>-6.2709999999999999</v>
      </c>
      <c r="T99" s="2">
        <v>46.79</v>
      </c>
      <c r="U99" s="2">
        <v>-0.53500000000000003</v>
      </c>
      <c r="V99" s="2">
        <v>-0.46700000000000003</v>
      </c>
      <c r="W99" s="2">
        <v>-0.46700000000000003</v>
      </c>
      <c r="X99" s="2">
        <v>0.54300000000000004</v>
      </c>
      <c r="Y99" s="2">
        <v>1.9330000000000001</v>
      </c>
      <c r="Z99" s="2">
        <v>0</v>
      </c>
      <c r="AA99" s="2">
        <v>12.39</v>
      </c>
      <c r="AB99" s="2">
        <v>8.84</v>
      </c>
      <c r="AC99" s="2">
        <v>1.0269999999999999</v>
      </c>
      <c r="AD99" s="2">
        <v>4.5540000000000003</v>
      </c>
      <c r="AE99" s="2">
        <v>-2.8959999999999999</v>
      </c>
      <c r="AF99" s="2">
        <v>1.474</v>
      </c>
      <c r="AG99" s="2">
        <v>-10.119999999999999</v>
      </c>
      <c r="AH99" s="2">
        <v>1.474</v>
      </c>
      <c r="AI99" s="2">
        <v>-10.119999999999999</v>
      </c>
      <c r="AJ99" s="2" t="s">
        <v>113</v>
      </c>
      <c r="AK99" s="2" t="s">
        <v>113</v>
      </c>
      <c r="AL99" s="2">
        <v>2.1520000000000001</v>
      </c>
      <c r="AM99" s="2">
        <v>13.62</v>
      </c>
      <c r="AN99" s="2">
        <v>-6.9539999999999997</v>
      </c>
      <c r="AO99" s="2"/>
      <c r="AP99" s="1">
        <f t="shared" si="53"/>
        <v>0.51700000000000013</v>
      </c>
      <c r="AQ99" s="22">
        <f t="shared" si="54"/>
        <v>0.2</v>
      </c>
      <c r="AR99" s="5">
        <v>22.29</v>
      </c>
      <c r="AS99" s="5">
        <v>13.01</v>
      </c>
      <c r="AT99" s="5">
        <v>8.83</v>
      </c>
      <c r="AU99" s="7">
        <f t="shared" si="66"/>
        <v>0.67900000000000005</v>
      </c>
      <c r="AV99" s="16"/>
      <c r="AW99" s="29">
        <v>0</v>
      </c>
      <c r="AX99" s="29">
        <v>513</v>
      </c>
      <c r="AY99" s="1">
        <f t="shared" si="45"/>
        <v>98.1</v>
      </c>
      <c r="AZ99" s="1">
        <f t="shared" si="46"/>
        <v>74.900000000000006</v>
      </c>
      <c r="BA99" s="1">
        <f t="shared" si="47"/>
        <v>44.9</v>
      </c>
      <c r="BB99" s="8">
        <f t="shared" si="48"/>
        <v>0.49</v>
      </c>
      <c r="BC99" s="8">
        <f t="shared" si="49"/>
        <v>0.60099999999999998</v>
      </c>
      <c r="BE99" s="5">
        <f t="shared" si="55"/>
        <v>13.01</v>
      </c>
      <c r="BF99" s="5">
        <f t="shared" si="56"/>
        <v>8.83</v>
      </c>
      <c r="BG99" s="1">
        <f t="shared" si="73"/>
        <v>1.8</v>
      </c>
      <c r="BH99" s="1">
        <f t="shared" si="74"/>
        <v>8.3000000000000007</v>
      </c>
      <c r="BI99" s="1">
        <f t="shared" si="75"/>
        <v>-6.3</v>
      </c>
      <c r="BJ99" s="1">
        <f t="shared" si="57"/>
        <v>74.900000000000006</v>
      </c>
      <c r="BK99" s="1">
        <f t="shared" si="58"/>
        <v>44.9</v>
      </c>
      <c r="BL99" s="1">
        <f t="shared" si="67"/>
        <v>1</v>
      </c>
      <c r="BM99" s="1">
        <f t="shared" si="68"/>
        <v>4.5999999999999996</v>
      </c>
      <c r="BN99" s="21">
        <f t="shared" si="59"/>
        <v>0</v>
      </c>
      <c r="BO99" s="7">
        <f t="shared" si="60"/>
        <v>0.51700000000000013</v>
      </c>
      <c r="BP99" s="21">
        <f t="shared" si="42"/>
        <v>0.2</v>
      </c>
      <c r="BQ99" s="1">
        <f t="shared" si="61"/>
        <v>-2.9</v>
      </c>
      <c r="BR99" s="1">
        <f t="shared" si="62"/>
        <v>1.5</v>
      </c>
      <c r="BS99" s="1">
        <f t="shared" si="63"/>
        <v>-10.1</v>
      </c>
      <c r="BT99" s="1" t="s">
        <v>113</v>
      </c>
      <c r="BU99" s="1" t="s">
        <v>113</v>
      </c>
      <c r="BV99" s="1" t="s">
        <v>113</v>
      </c>
      <c r="BW99" s="1" t="str">
        <f t="shared" si="69"/>
        <v>NAN</v>
      </c>
      <c r="BX99" s="1">
        <f t="shared" si="70"/>
        <v>0.49</v>
      </c>
      <c r="BY99" s="1">
        <f t="shared" si="71"/>
        <v>0.60099999999999998</v>
      </c>
      <c r="CA99" s="1">
        <f t="shared" si="64"/>
        <v>-6.8000000000000007</v>
      </c>
      <c r="CB99" s="1">
        <f t="shared" si="65"/>
        <v>-3.8</v>
      </c>
    </row>
    <row r="100" spans="1:80" x14ac:dyDescent="0.2">
      <c r="A100" s="9">
        <f t="shared" si="72"/>
        <v>43560</v>
      </c>
      <c r="B100" s="2">
        <v>95</v>
      </c>
      <c r="C100" s="2">
        <v>21</v>
      </c>
      <c r="D100" s="2">
        <v>13.17</v>
      </c>
      <c r="E100" s="2">
        <v>9.6</v>
      </c>
      <c r="F100" s="2">
        <v>-0.94</v>
      </c>
      <c r="G100" s="2">
        <v>1.4119999999999999</v>
      </c>
      <c r="H100" s="2">
        <v>89.5</v>
      </c>
      <c r="I100" s="2">
        <v>0.56000000000000005</v>
      </c>
      <c r="J100" s="2">
        <v>-0.19500000000000001</v>
      </c>
      <c r="K100" s="2">
        <v>-0.19800000000000001</v>
      </c>
      <c r="L100" s="2">
        <v>0.76500000000000001</v>
      </c>
      <c r="M100" s="2">
        <v>5.593</v>
      </c>
      <c r="N100" s="2">
        <v>101.5</v>
      </c>
      <c r="O100" s="2">
        <v>4.1790000000000003</v>
      </c>
      <c r="P100" s="2">
        <v>0.41199999999999998</v>
      </c>
      <c r="Q100" s="2">
        <v>0.38900000000000001</v>
      </c>
      <c r="R100" s="2">
        <v>1.155</v>
      </c>
      <c r="S100" s="2">
        <v>-2.851</v>
      </c>
      <c r="T100" s="2">
        <v>71.7</v>
      </c>
      <c r="U100" s="2">
        <v>-0.373</v>
      </c>
      <c r="V100" s="2">
        <v>-0.39100000000000001</v>
      </c>
      <c r="W100" s="2">
        <v>-0.38900000000000001</v>
      </c>
      <c r="X100" s="2">
        <v>0.60299999999999998</v>
      </c>
      <c r="Y100" s="2">
        <v>1.867</v>
      </c>
      <c r="Z100" s="2">
        <v>0.76200000000000001</v>
      </c>
      <c r="AA100" s="2">
        <v>7.13</v>
      </c>
      <c r="AB100" s="2">
        <v>5.008</v>
      </c>
      <c r="AC100" s="2">
        <v>1.5249999999999999</v>
      </c>
      <c r="AD100" s="2">
        <v>4.8739999999999997</v>
      </c>
      <c r="AE100" s="2">
        <v>-0.79900000000000004</v>
      </c>
      <c r="AF100" s="2">
        <v>0.66600000000000004</v>
      </c>
      <c r="AG100" s="2">
        <v>-10.65</v>
      </c>
      <c r="AH100" s="2">
        <v>0.66600000000000004</v>
      </c>
      <c r="AI100" s="2">
        <v>-10.65</v>
      </c>
      <c r="AJ100" s="2" t="s">
        <v>113</v>
      </c>
      <c r="AK100" s="2" t="s">
        <v>113</v>
      </c>
      <c r="AL100" s="2">
        <v>1.7669999999999999</v>
      </c>
      <c r="AM100" s="2">
        <v>7.21</v>
      </c>
      <c r="AN100" s="2">
        <v>-2.859</v>
      </c>
      <c r="AO100" s="2"/>
      <c r="AP100" s="1">
        <f t="shared" si="53"/>
        <v>0.58300000000000018</v>
      </c>
      <c r="AQ100" s="22">
        <f t="shared" si="54"/>
        <v>0.1</v>
      </c>
      <c r="AR100" s="5">
        <v>22.55</v>
      </c>
      <c r="AS100" s="5">
        <v>7.49</v>
      </c>
      <c r="AT100" s="5">
        <v>5.01</v>
      </c>
      <c r="AU100" s="7">
        <f t="shared" si="66"/>
        <v>0.66900000000000004</v>
      </c>
      <c r="AV100" s="16"/>
      <c r="AW100" s="29">
        <v>8.48</v>
      </c>
      <c r="AX100" s="29">
        <v>579</v>
      </c>
      <c r="AY100" s="1">
        <f t="shared" si="45"/>
        <v>98</v>
      </c>
      <c r="AZ100" s="1">
        <f t="shared" si="46"/>
        <v>86.3</v>
      </c>
      <c r="BA100" s="1">
        <f t="shared" si="47"/>
        <v>69</v>
      </c>
      <c r="BB100" s="8">
        <f t="shared" si="48"/>
        <v>0.627</v>
      </c>
      <c r="BC100" s="8">
        <f t="shared" si="49"/>
        <v>0.28199999999999997</v>
      </c>
      <c r="BE100" s="5">
        <f t="shared" si="55"/>
        <v>7.49</v>
      </c>
      <c r="BF100" s="5">
        <f t="shared" si="56"/>
        <v>5.01</v>
      </c>
      <c r="BG100" s="1">
        <f t="shared" si="73"/>
        <v>1.4</v>
      </c>
      <c r="BH100" s="1">
        <f t="shared" si="74"/>
        <v>5.6</v>
      </c>
      <c r="BI100" s="1">
        <f t="shared" si="75"/>
        <v>-2.9</v>
      </c>
      <c r="BJ100" s="1">
        <f t="shared" si="57"/>
        <v>86.3</v>
      </c>
      <c r="BK100" s="1">
        <f t="shared" si="58"/>
        <v>69</v>
      </c>
      <c r="BL100" s="1">
        <f t="shared" si="67"/>
        <v>1.5</v>
      </c>
      <c r="BM100" s="1">
        <f t="shared" si="68"/>
        <v>4.9000000000000004</v>
      </c>
      <c r="BN100" s="21">
        <f t="shared" si="59"/>
        <v>8.48</v>
      </c>
      <c r="BO100" s="7">
        <f t="shared" si="60"/>
        <v>0.58300000000000018</v>
      </c>
      <c r="BP100" s="21">
        <f t="shared" si="42"/>
        <v>0.1</v>
      </c>
      <c r="BQ100" s="1">
        <f t="shared" si="61"/>
        <v>-0.8</v>
      </c>
      <c r="BR100" s="1">
        <f t="shared" si="62"/>
        <v>0.7</v>
      </c>
      <c r="BS100" s="1">
        <f t="shared" si="63"/>
        <v>-10.7</v>
      </c>
      <c r="BT100" s="1" t="s">
        <v>113</v>
      </c>
      <c r="BU100" s="1" t="s">
        <v>113</v>
      </c>
      <c r="BV100" s="1" t="s">
        <v>113</v>
      </c>
      <c r="BW100" s="1" t="str">
        <f t="shared" si="69"/>
        <v>NAN</v>
      </c>
      <c r="BX100" s="1">
        <f t="shared" si="70"/>
        <v>0.627</v>
      </c>
      <c r="BY100" s="1">
        <f t="shared" si="71"/>
        <v>0.28199999999999997</v>
      </c>
      <c r="CA100" s="1">
        <f t="shared" si="64"/>
        <v>-4.8999999999999995</v>
      </c>
      <c r="CB100" s="1">
        <f t="shared" si="65"/>
        <v>-7.7999999999999989</v>
      </c>
    </row>
    <row r="101" spans="1:80" x14ac:dyDescent="0.2">
      <c r="A101" s="9">
        <f t="shared" si="72"/>
        <v>43561</v>
      </c>
      <c r="B101" s="2">
        <v>96</v>
      </c>
      <c r="C101" s="2">
        <v>21</v>
      </c>
      <c r="D101" s="2">
        <v>13.17</v>
      </c>
      <c r="E101" s="2">
        <v>8.5</v>
      </c>
      <c r="F101" s="2">
        <v>-9.3800000000000008</v>
      </c>
      <c r="G101" s="2">
        <v>-2.1070000000000002</v>
      </c>
      <c r="H101" s="2">
        <v>93.2</v>
      </c>
      <c r="I101" s="2">
        <v>0.191</v>
      </c>
      <c r="J101" s="2">
        <v>-0.24399999999999999</v>
      </c>
      <c r="K101" s="2">
        <v>-0.24</v>
      </c>
      <c r="L101" s="2">
        <v>0.745</v>
      </c>
      <c r="M101" s="2">
        <v>3.423</v>
      </c>
      <c r="N101" s="2">
        <v>101</v>
      </c>
      <c r="O101" s="2">
        <v>2.125</v>
      </c>
      <c r="P101" s="2">
        <v>0.27700000000000002</v>
      </c>
      <c r="Q101" s="2">
        <v>0.27200000000000002</v>
      </c>
      <c r="R101" s="2">
        <v>1.0660000000000001</v>
      </c>
      <c r="S101" s="2">
        <v>-8.9600000000000009</v>
      </c>
      <c r="T101" s="2">
        <v>74.5</v>
      </c>
      <c r="U101" s="2">
        <v>-0.47699999999999998</v>
      </c>
      <c r="V101" s="2">
        <v>-0.51700000000000002</v>
      </c>
      <c r="W101" s="2">
        <v>-0.505</v>
      </c>
      <c r="X101" s="2">
        <v>0.51100000000000001</v>
      </c>
      <c r="Y101" s="2">
        <v>1.903</v>
      </c>
      <c r="Z101" s="2">
        <v>7.37</v>
      </c>
      <c r="AA101" s="2">
        <v>6.6219999999999999</v>
      </c>
      <c r="AB101" s="2">
        <v>8.73</v>
      </c>
      <c r="AC101" s="2">
        <v>1.0920000000000001</v>
      </c>
      <c r="AD101" s="2">
        <v>5.86</v>
      </c>
      <c r="AE101" s="2">
        <v>-6.7359999999999998</v>
      </c>
      <c r="AF101" s="2">
        <v>0.90300000000000002</v>
      </c>
      <c r="AG101" s="2">
        <v>-19.399999999999999</v>
      </c>
      <c r="AH101" s="2">
        <v>0.90300000000000002</v>
      </c>
      <c r="AI101" s="2">
        <v>-19.399999999999999</v>
      </c>
      <c r="AJ101" s="2" t="s">
        <v>113</v>
      </c>
      <c r="AK101" s="2" t="s">
        <v>113</v>
      </c>
      <c r="AL101" s="2">
        <v>-2.1040000000000001</v>
      </c>
      <c r="AM101" s="2">
        <v>5.9850000000000003</v>
      </c>
      <c r="AN101" s="2">
        <v>-10.050000000000001</v>
      </c>
      <c r="AO101" s="2"/>
      <c r="AP101" s="1">
        <f t="shared" si="53"/>
        <v>0.54700000000000015</v>
      </c>
      <c r="AQ101" s="22">
        <f t="shared" si="54"/>
        <v>-0.1</v>
      </c>
      <c r="AR101" s="5">
        <v>22.8</v>
      </c>
      <c r="AS101" s="5">
        <v>10.199999999999999</v>
      </c>
      <c r="AT101" s="5">
        <v>8.69</v>
      </c>
      <c r="AU101" s="7">
        <f t="shared" si="66"/>
        <v>0.85199999999999998</v>
      </c>
      <c r="AV101" s="16"/>
      <c r="AW101" s="29">
        <v>0</v>
      </c>
      <c r="AX101" s="29">
        <v>543</v>
      </c>
      <c r="AY101" s="1">
        <f t="shared" si="45"/>
        <v>97.5</v>
      </c>
      <c r="AZ101" s="1">
        <f t="shared" si="46"/>
        <v>89.9</v>
      </c>
      <c r="BA101" s="1">
        <f t="shared" si="47"/>
        <v>71.8</v>
      </c>
      <c r="BB101" s="8">
        <f t="shared" si="48"/>
        <v>0.56000000000000005</v>
      </c>
      <c r="BC101" s="8">
        <f t="shared" si="49"/>
        <v>0.22</v>
      </c>
      <c r="BE101" s="5">
        <f t="shared" si="55"/>
        <v>10.199999999999999</v>
      </c>
      <c r="BF101" s="5">
        <f t="shared" si="56"/>
        <v>8.69</v>
      </c>
      <c r="BG101" s="1">
        <f t="shared" si="73"/>
        <v>-2.1</v>
      </c>
      <c r="BH101" s="1">
        <f t="shared" si="74"/>
        <v>3.4</v>
      </c>
      <c r="BI101" s="1">
        <f t="shared" si="75"/>
        <v>-9</v>
      </c>
      <c r="BJ101" s="1">
        <f t="shared" si="57"/>
        <v>89.9</v>
      </c>
      <c r="BK101" s="1">
        <f t="shared" si="58"/>
        <v>71.8</v>
      </c>
      <c r="BL101" s="1">
        <f t="shared" si="67"/>
        <v>1.1000000000000001</v>
      </c>
      <c r="BM101" s="1">
        <f t="shared" si="68"/>
        <v>5.9</v>
      </c>
      <c r="BN101" s="21">
        <f t="shared" si="59"/>
        <v>0</v>
      </c>
      <c r="BO101" s="7">
        <f t="shared" si="60"/>
        <v>0.54700000000000015</v>
      </c>
      <c r="BP101" s="21">
        <f t="shared" si="42"/>
        <v>-0.1</v>
      </c>
      <c r="BQ101" s="1">
        <f t="shared" si="61"/>
        <v>-6.7</v>
      </c>
      <c r="BR101" s="1">
        <f t="shared" si="62"/>
        <v>0.9</v>
      </c>
      <c r="BS101" s="1">
        <f t="shared" si="63"/>
        <v>-19.399999999999999</v>
      </c>
      <c r="BT101" s="1" t="s">
        <v>113</v>
      </c>
      <c r="BU101" s="1" t="s">
        <v>113</v>
      </c>
      <c r="BV101" s="1" t="s">
        <v>113</v>
      </c>
      <c r="BW101" s="1" t="str">
        <f t="shared" si="69"/>
        <v>NAN</v>
      </c>
      <c r="BX101" s="1">
        <f t="shared" si="70"/>
        <v>0.56000000000000005</v>
      </c>
      <c r="BY101" s="1">
        <f t="shared" si="71"/>
        <v>0.22</v>
      </c>
      <c r="CA101" s="1">
        <f t="shared" si="64"/>
        <v>-2.5</v>
      </c>
      <c r="CB101" s="1">
        <f t="shared" si="65"/>
        <v>-10.399999999999999</v>
      </c>
    </row>
    <row r="102" spans="1:80" x14ac:dyDescent="0.2">
      <c r="A102" s="9">
        <f t="shared" si="72"/>
        <v>43562</v>
      </c>
      <c r="B102" s="2">
        <v>97</v>
      </c>
      <c r="C102" s="2">
        <v>21</v>
      </c>
      <c r="D102" s="2">
        <v>13.15</v>
      </c>
      <c r="E102" s="2">
        <v>14.26</v>
      </c>
      <c r="F102" s="2">
        <v>-6.2249999999999996</v>
      </c>
      <c r="G102" s="2">
        <v>0.36</v>
      </c>
      <c r="H102" s="2">
        <v>75.5</v>
      </c>
      <c r="I102" s="2">
        <v>0.753</v>
      </c>
      <c r="J102" s="2">
        <v>-0.17899999999999999</v>
      </c>
      <c r="K102" s="2">
        <v>-0.17599999999999999</v>
      </c>
      <c r="L102" s="2">
        <v>0.78900000000000003</v>
      </c>
      <c r="M102" s="2">
        <v>6.7050000000000001</v>
      </c>
      <c r="N102" s="2">
        <v>99</v>
      </c>
      <c r="O102" s="2">
        <v>4.7220000000000004</v>
      </c>
      <c r="P102" s="2">
        <v>1.107</v>
      </c>
      <c r="Q102" s="2">
        <v>1.073</v>
      </c>
      <c r="R102" s="2">
        <v>1.577</v>
      </c>
      <c r="S102" s="2">
        <v>-6.8390000000000004</v>
      </c>
      <c r="T102" s="2">
        <v>37.61</v>
      </c>
      <c r="U102" s="2">
        <v>-0.57799999999999996</v>
      </c>
      <c r="V102" s="2">
        <v>-0.71199999999999997</v>
      </c>
      <c r="W102" s="2">
        <v>-0.69399999999999995</v>
      </c>
      <c r="X102" s="2">
        <v>0.378</v>
      </c>
      <c r="Y102" s="2">
        <v>1.921</v>
      </c>
      <c r="Z102" s="2">
        <v>3.81</v>
      </c>
      <c r="AA102" s="2">
        <v>16.739999999999998</v>
      </c>
      <c r="AB102" s="2">
        <v>13.67</v>
      </c>
      <c r="AC102" s="2">
        <v>1.8169999999999999</v>
      </c>
      <c r="AD102" s="2">
        <v>7.41</v>
      </c>
      <c r="AE102" s="2">
        <v>-2.8479999999999999</v>
      </c>
      <c r="AF102" s="2">
        <v>1.3080000000000001</v>
      </c>
      <c r="AG102" s="2">
        <v>-11.22</v>
      </c>
      <c r="AH102" s="2">
        <v>1.3080000000000001</v>
      </c>
      <c r="AI102" s="2">
        <v>-11.22</v>
      </c>
      <c r="AJ102" s="2" t="s">
        <v>113</v>
      </c>
      <c r="AK102" s="2" t="s">
        <v>113</v>
      </c>
      <c r="AL102" s="2">
        <v>0.79800000000000004</v>
      </c>
      <c r="AM102" s="2">
        <v>9.9</v>
      </c>
      <c r="AN102" s="2">
        <v>-7.68</v>
      </c>
      <c r="AO102" s="2"/>
      <c r="AP102" s="1">
        <f t="shared" si="53"/>
        <v>0.52900000000000014</v>
      </c>
      <c r="AQ102" s="22">
        <f t="shared" ref="AQ102:AQ111" si="76">ROUND(AVERAGE(I102:K102),1)</f>
        <v>0.1</v>
      </c>
      <c r="AR102" s="5">
        <v>23.06</v>
      </c>
      <c r="AS102" s="5">
        <v>17.920000000000002</v>
      </c>
      <c r="AT102" s="5">
        <v>13.67</v>
      </c>
      <c r="AU102" s="7">
        <f t="shared" si="66"/>
        <v>0.76300000000000001</v>
      </c>
      <c r="AV102" s="16"/>
      <c r="AW102" s="29">
        <v>1.76</v>
      </c>
      <c r="AX102" s="29">
        <v>525</v>
      </c>
      <c r="AY102" s="1">
        <f t="shared" si="45"/>
        <v>95.5</v>
      </c>
      <c r="AZ102" s="1">
        <f t="shared" si="46"/>
        <v>72.7</v>
      </c>
      <c r="BA102" s="1">
        <f t="shared" si="47"/>
        <v>36</v>
      </c>
      <c r="BB102" s="8">
        <f t="shared" si="48"/>
        <v>0.35299999999999998</v>
      </c>
      <c r="BC102" s="8">
        <f t="shared" si="49"/>
        <v>0.628</v>
      </c>
      <c r="BE102" s="5">
        <f t="shared" si="55"/>
        <v>17.920000000000002</v>
      </c>
      <c r="BF102" s="5">
        <f t="shared" si="56"/>
        <v>13.67</v>
      </c>
      <c r="BG102" s="1">
        <f t="shared" si="73"/>
        <v>0.4</v>
      </c>
      <c r="BH102" s="1">
        <f t="shared" si="74"/>
        <v>6.7</v>
      </c>
      <c r="BI102" s="1">
        <f t="shared" si="75"/>
        <v>-6.8</v>
      </c>
      <c r="BJ102" s="1">
        <f t="shared" si="57"/>
        <v>72.7</v>
      </c>
      <c r="BK102" s="1">
        <f t="shared" si="58"/>
        <v>36</v>
      </c>
      <c r="BL102" s="1">
        <f t="shared" si="67"/>
        <v>1.8</v>
      </c>
      <c r="BM102" s="1">
        <f t="shared" si="68"/>
        <v>7.4</v>
      </c>
      <c r="BN102" s="21">
        <f t="shared" si="59"/>
        <v>1.76</v>
      </c>
      <c r="BO102" s="7">
        <f t="shared" si="60"/>
        <v>0.52900000000000014</v>
      </c>
      <c r="BP102" s="21">
        <f t="shared" ref="BP102:BP130" si="77">IF(AQ102="","NAN",AQ102)</f>
        <v>0.1</v>
      </c>
      <c r="BQ102" s="1">
        <f t="shared" si="61"/>
        <v>-2.8</v>
      </c>
      <c r="BR102" s="1">
        <f t="shared" si="62"/>
        <v>1.3</v>
      </c>
      <c r="BS102" s="1">
        <f t="shared" si="63"/>
        <v>-11.2</v>
      </c>
      <c r="BT102" s="1" t="s">
        <v>113</v>
      </c>
      <c r="BU102" s="1" t="s">
        <v>113</v>
      </c>
      <c r="BV102" s="1" t="s">
        <v>113</v>
      </c>
      <c r="BW102" s="1" t="str">
        <f t="shared" si="69"/>
        <v>NAN</v>
      </c>
      <c r="BX102" s="1">
        <f t="shared" si="70"/>
        <v>0.35299999999999998</v>
      </c>
      <c r="BY102" s="1">
        <f t="shared" si="71"/>
        <v>0.628</v>
      </c>
      <c r="CA102" s="1">
        <f t="shared" si="64"/>
        <v>-5.4</v>
      </c>
      <c r="CB102" s="1">
        <f t="shared" si="65"/>
        <v>-4.3999999999999995</v>
      </c>
    </row>
    <row r="103" spans="1:80" x14ac:dyDescent="0.2">
      <c r="A103" s="9">
        <f t="shared" si="72"/>
        <v>43563</v>
      </c>
      <c r="B103" s="2">
        <v>98</v>
      </c>
      <c r="C103" s="2">
        <v>21</v>
      </c>
      <c r="D103" s="2">
        <v>13.18</v>
      </c>
      <c r="E103" s="2">
        <v>11.08</v>
      </c>
      <c r="F103" s="2">
        <v>-9.58</v>
      </c>
      <c r="G103" s="2">
        <v>-0.495</v>
      </c>
      <c r="H103" s="2">
        <v>86.5</v>
      </c>
      <c r="I103" s="2">
        <v>0.37</v>
      </c>
      <c r="J103" s="2">
        <v>-0.157</v>
      </c>
      <c r="K103" s="2">
        <v>-0.152</v>
      </c>
      <c r="L103" s="2">
        <v>0.79500000000000004</v>
      </c>
      <c r="M103" s="2">
        <v>4.6900000000000004</v>
      </c>
      <c r="N103" s="2">
        <v>101.9</v>
      </c>
      <c r="O103" s="2">
        <v>6.3849999999999998</v>
      </c>
      <c r="P103" s="2">
        <v>1.681</v>
      </c>
      <c r="Q103" s="2">
        <v>1.6339999999999999</v>
      </c>
      <c r="R103" s="2">
        <v>1.837</v>
      </c>
      <c r="S103" s="2">
        <v>-8.51</v>
      </c>
      <c r="T103" s="2">
        <v>55.62</v>
      </c>
      <c r="U103" s="2">
        <v>-2.4980000000000002</v>
      </c>
      <c r="V103" s="2">
        <v>-0.45200000000000001</v>
      </c>
      <c r="W103" s="2">
        <v>-0.44</v>
      </c>
      <c r="X103" s="2">
        <v>0.60199999999999998</v>
      </c>
      <c r="Y103" s="2">
        <v>1.929</v>
      </c>
      <c r="Z103" s="2">
        <v>1.524</v>
      </c>
      <c r="AA103" s="2">
        <v>10.29</v>
      </c>
      <c r="AB103" s="2">
        <v>7.58</v>
      </c>
      <c r="AC103" s="2">
        <v>1.147</v>
      </c>
      <c r="AD103" s="2">
        <v>5.14</v>
      </c>
      <c r="AE103" s="2">
        <v>-3.556</v>
      </c>
      <c r="AF103" s="2">
        <v>1.2070000000000001</v>
      </c>
      <c r="AG103" s="2">
        <v>-12.82</v>
      </c>
      <c r="AH103" s="2">
        <v>1.2070000000000001</v>
      </c>
      <c r="AI103" s="2">
        <v>-12.82</v>
      </c>
      <c r="AJ103" s="2" t="s">
        <v>113</v>
      </c>
      <c r="AK103" s="2" t="s">
        <v>113</v>
      </c>
      <c r="AL103" s="2">
        <v>-0.30099999999999999</v>
      </c>
      <c r="AM103" s="2">
        <v>6.8490000000000002</v>
      </c>
      <c r="AN103" s="2">
        <v>-9.2899999999999991</v>
      </c>
      <c r="AO103" s="2"/>
      <c r="AP103" s="1">
        <f t="shared" si="53"/>
        <v>0.52100000000000013</v>
      </c>
      <c r="AQ103" s="22">
        <f t="shared" si="76"/>
        <v>0</v>
      </c>
      <c r="AR103" s="5">
        <v>23.31</v>
      </c>
      <c r="AS103" s="5">
        <v>10.81</v>
      </c>
      <c r="AT103" s="5">
        <v>7.58</v>
      </c>
      <c r="AU103" s="7">
        <f t="shared" si="66"/>
        <v>0.70099999999999996</v>
      </c>
      <c r="AV103" s="16"/>
      <c r="AW103" s="29">
        <v>2</v>
      </c>
      <c r="AX103" s="29">
        <v>517</v>
      </c>
      <c r="AY103" s="1">
        <f t="shared" si="45"/>
        <v>98.3</v>
      </c>
      <c r="AZ103" s="1">
        <f t="shared" si="46"/>
        <v>83.4</v>
      </c>
      <c r="BA103" s="1">
        <f t="shared" si="47"/>
        <v>53.5</v>
      </c>
      <c r="BB103" s="8">
        <f t="shared" si="48"/>
        <v>0.45600000000000002</v>
      </c>
      <c r="BC103" s="8">
        <f t="shared" si="49"/>
        <v>0.39600000000000002</v>
      </c>
      <c r="BE103" s="5">
        <f t="shared" si="55"/>
        <v>10.81</v>
      </c>
      <c r="BF103" s="5">
        <f t="shared" si="56"/>
        <v>7.58</v>
      </c>
      <c r="BG103" s="1">
        <f t="shared" si="73"/>
        <v>-0.5</v>
      </c>
      <c r="BH103" s="1">
        <f t="shared" si="74"/>
        <v>4.7</v>
      </c>
      <c r="BI103" s="1">
        <f t="shared" si="75"/>
        <v>-8.5</v>
      </c>
      <c r="BJ103" s="1">
        <f t="shared" si="57"/>
        <v>83.4</v>
      </c>
      <c r="BK103" s="1">
        <f t="shared" si="58"/>
        <v>53.5</v>
      </c>
      <c r="BL103" s="1">
        <f t="shared" si="67"/>
        <v>1.1000000000000001</v>
      </c>
      <c r="BM103" s="1">
        <f t="shared" si="68"/>
        <v>5.0999999999999996</v>
      </c>
      <c r="BN103" s="21">
        <f t="shared" si="59"/>
        <v>2</v>
      </c>
      <c r="BO103" s="7">
        <f t="shared" si="60"/>
        <v>0.52100000000000013</v>
      </c>
      <c r="BP103" s="21">
        <f t="shared" si="77"/>
        <v>0</v>
      </c>
      <c r="BQ103" s="1">
        <f t="shared" si="61"/>
        <v>-3.6</v>
      </c>
      <c r="BR103" s="1">
        <f t="shared" si="62"/>
        <v>1.2</v>
      </c>
      <c r="BS103" s="1">
        <f t="shared" si="63"/>
        <v>-12.8</v>
      </c>
      <c r="BT103" s="1" t="s">
        <v>113</v>
      </c>
      <c r="BU103" s="1" t="s">
        <v>113</v>
      </c>
      <c r="BV103" s="1" t="s">
        <v>113</v>
      </c>
      <c r="BW103" s="1" t="str">
        <f t="shared" si="69"/>
        <v>NAN</v>
      </c>
      <c r="BX103" s="1">
        <f t="shared" si="70"/>
        <v>0.45600000000000002</v>
      </c>
      <c r="BY103" s="1">
        <f t="shared" si="71"/>
        <v>0.39600000000000002</v>
      </c>
      <c r="CA103" s="1">
        <f t="shared" si="64"/>
        <v>-3.5</v>
      </c>
      <c r="CB103" s="1">
        <f t="shared" si="65"/>
        <v>-4.3000000000000007</v>
      </c>
    </row>
    <row r="104" spans="1:80" x14ac:dyDescent="0.2">
      <c r="A104" s="9">
        <f t="shared" si="72"/>
        <v>43564</v>
      </c>
      <c r="B104" s="2">
        <v>99</v>
      </c>
      <c r="C104" s="2">
        <v>21</v>
      </c>
      <c r="D104" s="2">
        <v>13.17</v>
      </c>
      <c r="E104" s="2">
        <v>13.46</v>
      </c>
      <c r="F104" s="2">
        <v>-1.373</v>
      </c>
      <c r="G104" s="2">
        <v>0.88500000000000001</v>
      </c>
      <c r="H104" s="2">
        <v>87.9</v>
      </c>
      <c r="I104" s="2">
        <v>1.1160000000000001</v>
      </c>
      <c r="J104" s="2">
        <v>-0.19400000000000001</v>
      </c>
      <c r="K104" s="2">
        <v>-0.185</v>
      </c>
      <c r="L104" s="2">
        <v>0.75800000000000001</v>
      </c>
      <c r="M104" s="2">
        <v>4.9669999999999996</v>
      </c>
      <c r="N104" s="2">
        <v>102</v>
      </c>
      <c r="O104" s="2">
        <v>7.54</v>
      </c>
      <c r="P104" s="2">
        <v>0.84199999999999997</v>
      </c>
      <c r="Q104" s="2">
        <v>0.83099999999999996</v>
      </c>
      <c r="R104" s="2">
        <v>1.3380000000000001</v>
      </c>
      <c r="S104" s="2">
        <v>-1.5740000000000001</v>
      </c>
      <c r="T104" s="2">
        <v>59.92</v>
      </c>
      <c r="U104" s="2">
        <v>-0.374</v>
      </c>
      <c r="V104" s="2">
        <v>-0.67500000000000004</v>
      </c>
      <c r="W104" s="2">
        <v>-0.66300000000000003</v>
      </c>
      <c r="X104" s="2">
        <v>0.38100000000000001</v>
      </c>
      <c r="Y104" s="2">
        <v>1.9339999999999999</v>
      </c>
      <c r="Z104" s="2">
        <v>1.27</v>
      </c>
      <c r="AA104" s="2">
        <v>13.96</v>
      </c>
      <c r="AB104" s="2">
        <v>10.78</v>
      </c>
      <c r="AC104" s="2">
        <v>1.907</v>
      </c>
      <c r="AD104" s="2">
        <v>6.7939999999999996</v>
      </c>
      <c r="AE104" s="2">
        <v>-1.02</v>
      </c>
      <c r="AF104" s="2">
        <v>1.123</v>
      </c>
      <c r="AG104" s="2">
        <v>-5.0490000000000004</v>
      </c>
      <c r="AH104" s="2">
        <v>1.123</v>
      </c>
      <c r="AI104" s="2">
        <v>-5.0490000000000004</v>
      </c>
      <c r="AJ104" s="2" t="s">
        <v>113</v>
      </c>
      <c r="AK104" s="2" t="s">
        <v>113</v>
      </c>
      <c r="AL104" s="2">
        <v>1.4830000000000001</v>
      </c>
      <c r="AM104" s="2">
        <v>8.08</v>
      </c>
      <c r="AN104" s="2">
        <v>-1.796</v>
      </c>
      <c r="AO104" s="2"/>
      <c r="AP104" s="1">
        <f t="shared" si="53"/>
        <v>0.51600000000000024</v>
      </c>
      <c r="AQ104" s="22">
        <f t="shared" si="76"/>
        <v>0.2</v>
      </c>
      <c r="AR104" s="5">
        <v>23.56</v>
      </c>
      <c r="AS104" s="5">
        <v>14.87</v>
      </c>
      <c r="AT104" s="5">
        <v>10.78</v>
      </c>
      <c r="AU104" s="7">
        <f t="shared" si="66"/>
        <v>0.72499999999999998</v>
      </c>
      <c r="AV104" s="16"/>
      <c r="AW104" s="29">
        <v>1</v>
      </c>
      <c r="AX104" s="29">
        <v>512</v>
      </c>
      <c r="AY104" s="1">
        <f t="shared" si="45"/>
        <v>98.4</v>
      </c>
      <c r="AZ104" s="1">
        <f t="shared" si="46"/>
        <v>84.8</v>
      </c>
      <c r="BA104" s="1">
        <f t="shared" si="47"/>
        <v>57.6</v>
      </c>
      <c r="BB104" s="8">
        <f t="shared" si="48"/>
        <v>0.501</v>
      </c>
      <c r="BC104" s="8">
        <f t="shared" si="49"/>
        <v>0.36899999999999999</v>
      </c>
      <c r="BE104" s="5">
        <f t="shared" si="55"/>
        <v>14.87</v>
      </c>
      <c r="BF104" s="5">
        <f t="shared" si="56"/>
        <v>10.78</v>
      </c>
      <c r="BG104" s="1">
        <f t="shared" si="73"/>
        <v>0.9</v>
      </c>
      <c r="BH104" s="1">
        <f t="shared" si="74"/>
        <v>5</v>
      </c>
      <c r="BI104" s="1">
        <f t="shared" si="75"/>
        <v>-1.6</v>
      </c>
      <c r="BJ104" s="1">
        <f t="shared" si="57"/>
        <v>84.8</v>
      </c>
      <c r="BK104" s="1">
        <f t="shared" si="58"/>
        <v>57.6</v>
      </c>
      <c r="BL104" s="1">
        <f t="shared" si="67"/>
        <v>1.9</v>
      </c>
      <c r="BM104" s="1">
        <f t="shared" si="68"/>
        <v>6.8</v>
      </c>
      <c r="BN104" s="21">
        <f t="shared" si="59"/>
        <v>1</v>
      </c>
      <c r="BO104" s="7">
        <f t="shared" si="60"/>
        <v>0.51600000000000024</v>
      </c>
      <c r="BP104" s="21">
        <f t="shared" si="77"/>
        <v>0.2</v>
      </c>
      <c r="BQ104" s="1">
        <f t="shared" si="61"/>
        <v>-1</v>
      </c>
      <c r="BR104" s="1">
        <f t="shared" si="62"/>
        <v>1.1000000000000001</v>
      </c>
      <c r="BS104" s="1">
        <f t="shared" si="63"/>
        <v>-5</v>
      </c>
      <c r="BT104" s="1" t="s">
        <v>113</v>
      </c>
      <c r="BU104" s="1" t="s">
        <v>113</v>
      </c>
      <c r="BV104" s="1" t="s">
        <v>113</v>
      </c>
      <c r="BW104" s="1" t="str">
        <f t="shared" si="69"/>
        <v>NAN</v>
      </c>
      <c r="BX104" s="1">
        <f t="shared" si="70"/>
        <v>0.501</v>
      </c>
      <c r="BY104" s="1">
        <f t="shared" si="71"/>
        <v>0.36899999999999999</v>
      </c>
      <c r="CA104" s="1">
        <f t="shared" si="64"/>
        <v>-3.9</v>
      </c>
      <c r="CB104" s="1">
        <f t="shared" si="65"/>
        <v>-3.4</v>
      </c>
    </row>
    <row r="105" spans="1:80" x14ac:dyDescent="0.2">
      <c r="A105" s="9">
        <f t="shared" si="72"/>
        <v>43565</v>
      </c>
      <c r="B105" s="2">
        <v>100</v>
      </c>
      <c r="C105" s="2">
        <v>21</v>
      </c>
      <c r="D105" s="2">
        <v>13.2</v>
      </c>
      <c r="E105" s="2">
        <v>5.0990000000000002</v>
      </c>
      <c r="F105" s="2">
        <v>-2.9990000000000001</v>
      </c>
      <c r="G105" s="2">
        <v>-1.0089999999999999</v>
      </c>
      <c r="H105" s="2">
        <v>90.5</v>
      </c>
      <c r="I105" s="2">
        <v>0.375</v>
      </c>
      <c r="J105" s="2">
        <v>-0.20599999999999999</v>
      </c>
      <c r="K105" s="2">
        <v>-0.192</v>
      </c>
      <c r="L105" s="2">
        <v>0.755</v>
      </c>
      <c r="M105" s="2">
        <v>2.4460000000000002</v>
      </c>
      <c r="N105" s="2">
        <v>99.9</v>
      </c>
      <c r="O105" s="2">
        <v>3.415</v>
      </c>
      <c r="P105" s="2">
        <v>0.81799999999999995</v>
      </c>
      <c r="Q105" s="2">
        <v>0.81100000000000005</v>
      </c>
      <c r="R105" s="2">
        <v>1.46</v>
      </c>
      <c r="S105" s="2">
        <v>-3.8690000000000002</v>
      </c>
      <c r="T105" s="2">
        <v>62.57</v>
      </c>
      <c r="U105" s="2">
        <v>-0.48399999999999999</v>
      </c>
      <c r="V105" s="2">
        <v>-0.47199999999999998</v>
      </c>
      <c r="W105" s="2">
        <v>-0.44900000000000001</v>
      </c>
      <c r="X105" s="2">
        <v>0.58799999999999997</v>
      </c>
      <c r="Y105" s="2">
        <v>1.8839999999999999</v>
      </c>
      <c r="Z105" s="2">
        <v>1.524</v>
      </c>
      <c r="AA105" s="2">
        <v>7.11</v>
      </c>
      <c r="AB105" s="2">
        <v>6.4660000000000002</v>
      </c>
      <c r="AC105" s="2">
        <v>2.0299999999999998</v>
      </c>
      <c r="AD105" s="2">
        <v>6.5270000000000001</v>
      </c>
      <c r="AE105" s="2">
        <v>-2.9609999999999999</v>
      </c>
      <c r="AF105" s="2">
        <v>-1.4999999999999999E-2</v>
      </c>
      <c r="AG105" s="2">
        <v>-14.32</v>
      </c>
      <c r="AH105" s="2">
        <v>-1.4999999999999999E-2</v>
      </c>
      <c r="AI105" s="2">
        <v>-14.32</v>
      </c>
      <c r="AJ105" s="2" t="s">
        <v>113</v>
      </c>
      <c r="AK105" s="2" t="s">
        <v>113</v>
      </c>
      <c r="AL105" s="2">
        <v>-0.752</v>
      </c>
      <c r="AM105" s="2">
        <v>2.4569999999999999</v>
      </c>
      <c r="AN105" s="2">
        <v>-4.173</v>
      </c>
      <c r="AO105" s="2"/>
      <c r="AP105" s="1">
        <f t="shared" si="53"/>
        <v>0.56600000000000028</v>
      </c>
      <c r="AQ105" s="22">
        <f t="shared" si="76"/>
        <v>0</v>
      </c>
      <c r="AR105" s="5">
        <v>23.81</v>
      </c>
      <c r="AS105" s="5">
        <v>7.88</v>
      </c>
      <c r="AT105" s="5">
        <v>6.47</v>
      </c>
      <c r="AU105" s="7">
        <f t="shared" si="66"/>
        <v>0.82099999999999995</v>
      </c>
      <c r="AV105" s="16"/>
      <c r="AW105" s="29">
        <v>6.49</v>
      </c>
      <c r="AX105" s="29">
        <v>562</v>
      </c>
      <c r="AY105" s="1">
        <f t="shared" si="45"/>
        <v>96.4</v>
      </c>
      <c r="AZ105" s="1">
        <f t="shared" si="46"/>
        <v>87.3</v>
      </c>
      <c r="BA105" s="1">
        <f t="shared" si="47"/>
        <v>60.2</v>
      </c>
      <c r="BB105" s="8">
        <f t="shared" si="48"/>
        <v>0.438</v>
      </c>
      <c r="BC105" s="8">
        <f t="shared" si="49"/>
        <v>0.28999999999999998</v>
      </c>
      <c r="BE105" s="5">
        <f t="shared" si="55"/>
        <v>7.88</v>
      </c>
      <c r="BF105" s="5">
        <f t="shared" si="56"/>
        <v>6.47</v>
      </c>
      <c r="BG105" s="1">
        <f t="shared" si="73"/>
        <v>-1</v>
      </c>
      <c r="BH105" s="1">
        <f t="shared" si="74"/>
        <v>2.4</v>
      </c>
      <c r="BI105" s="1">
        <f t="shared" si="75"/>
        <v>-3.9</v>
      </c>
      <c r="BJ105" s="1">
        <f t="shared" si="57"/>
        <v>87.3</v>
      </c>
      <c r="BK105" s="1">
        <f t="shared" si="58"/>
        <v>60.2</v>
      </c>
      <c r="BL105" s="1">
        <f t="shared" si="67"/>
        <v>2</v>
      </c>
      <c r="BM105" s="1">
        <f t="shared" si="68"/>
        <v>6.5</v>
      </c>
      <c r="BN105" s="21">
        <f t="shared" si="59"/>
        <v>6.49</v>
      </c>
      <c r="BO105" s="7">
        <f t="shared" si="60"/>
        <v>0.56600000000000028</v>
      </c>
      <c r="BP105" s="21">
        <f t="shared" si="77"/>
        <v>0</v>
      </c>
      <c r="BQ105" s="1">
        <f t="shared" si="61"/>
        <v>-3</v>
      </c>
      <c r="BR105" s="1">
        <f t="shared" si="62"/>
        <v>0</v>
      </c>
      <c r="BS105" s="1">
        <f t="shared" si="63"/>
        <v>-14.3</v>
      </c>
      <c r="BT105" s="1" t="s">
        <v>113</v>
      </c>
      <c r="BU105" s="1" t="s">
        <v>113</v>
      </c>
      <c r="BV105" s="1" t="s">
        <v>113</v>
      </c>
      <c r="BW105" s="1" t="str">
        <f t="shared" si="69"/>
        <v>NAN</v>
      </c>
      <c r="BX105" s="1">
        <f t="shared" si="70"/>
        <v>0.438</v>
      </c>
      <c r="BY105" s="1">
        <f t="shared" si="71"/>
        <v>0.28999999999999998</v>
      </c>
      <c r="CA105" s="1">
        <f t="shared" si="64"/>
        <v>-2.4</v>
      </c>
      <c r="CB105" s="1">
        <f t="shared" si="65"/>
        <v>-10.4</v>
      </c>
    </row>
    <row r="106" spans="1:80" x14ac:dyDescent="0.2">
      <c r="A106" s="9">
        <f t="shared" si="72"/>
        <v>43566</v>
      </c>
      <c r="B106" s="2">
        <v>101</v>
      </c>
      <c r="C106" s="2">
        <v>21</v>
      </c>
      <c r="D106" s="2">
        <v>13.17</v>
      </c>
      <c r="E106" s="2">
        <v>15.48</v>
      </c>
      <c r="F106" s="2">
        <v>-6.7309999999999999</v>
      </c>
      <c r="G106" s="2">
        <v>-1.6579999999999999</v>
      </c>
      <c r="H106" s="2">
        <v>82.3</v>
      </c>
      <c r="I106" s="2">
        <v>0.52700000000000002</v>
      </c>
      <c r="J106" s="2">
        <v>-0.154</v>
      </c>
      <c r="K106" s="2">
        <v>-0.13900000000000001</v>
      </c>
      <c r="L106" s="2">
        <v>0.80100000000000005</v>
      </c>
      <c r="M106" s="2">
        <v>5.4119999999999999</v>
      </c>
      <c r="N106" s="2">
        <v>100.3</v>
      </c>
      <c r="O106" s="2">
        <v>4.3259999999999996</v>
      </c>
      <c r="P106" s="2">
        <v>1.226</v>
      </c>
      <c r="Q106" s="2">
        <v>1.204</v>
      </c>
      <c r="R106" s="2">
        <v>1.454</v>
      </c>
      <c r="S106" s="2">
        <v>-6.2009999999999996</v>
      </c>
      <c r="T106" s="2">
        <v>41.97</v>
      </c>
      <c r="U106" s="2">
        <v>-0.58499999999999996</v>
      </c>
      <c r="V106" s="2">
        <v>-0.504</v>
      </c>
      <c r="W106" s="2">
        <v>-0.48</v>
      </c>
      <c r="X106" s="2">
        <v>0.57899999999999996</v>
      </c>
      <c r="Y106" s="2">
        <v>1.919</v>
      </c>
      <c r="Z106" s="2">
        <v>3.556</v>
      </c>
      <c r="AA106" s="2">
        <v>12.83</v>
      </c>
      <c r="AB106" s="2">
        <v>11.08</v>
      </c>
      <c r="AC106" s="2">
        <v>0.90600000000000003</v>
      </c>
      <c r="AD106" s="2">
        <v>3.94</v>
      </c>
      <c r="AE106" s="2">
        <v>-4.915</v>
      </c>
      <c r="AF106" s="2">
        <v>0.76800000000000002</v>
      </c>
      <c r="AG106" s="2">
        <v>-16.38</v>
      </c>
      <c r="AH106" s="2">
        <v>0.76800000000000002</v>
      </c>
      <c r="AI106" s="2">
        <v>-16.38</v>
      </c>
      <c r="AJ106" s="2" t="s">
        <v>113</v>
      </c>
      <c r="AK106" s="2" t="s">
        <v>113</v>
      </c>
      <c r="AL106" s="2">
        <v>-1.2450000000000001</v>
      </c>
      <c r="AM106" s="2">
        <v>7.62</v>
      </c>
      <c r="AN106" s="2">
        <v>-6.6130000000000004</v>
      </c>
      <c r="AO106" s="2"/>
      <c r="AP106" s="1">
        <f t="shared" si="53"/>
        <v>0.53100000000000014</v>
      </c>
      <c r="AQ106" s="22">
        <f t="shared" si="76"/>
        <v>0.1</v>
      </c>
      <c r="AR106" s="5">
        <v>24.05</v>
      </c>
      <c r="AS106" s="5">
        <v>13.54</v>
      </c>
      <c r="AT106" s="5">
        <v>11.06</v>
      </c>
      <c r="AU106" s="7">
        <f t="shared" si="66"/>
        <v>0.81699999999999995</v>
      </c>
      <c r="AV106" s="16"/>
      <c r="AW106" s="29">
        <v>0</v>
      </c>
      <c r="AX106" s="29">
        <v>527</v>
      </c>
      <c r="AY106" s="1">
        <f t="shared" si="45"/>
        <v>96.8</v>
      </c>
      <c r="AZ106" s="1">
        <f t="shared" si="46"/>
        <v>79.3</v>
      </c>
      <c r="BA106" s="1">
        <f t="shared" si="47"/>
        <v>40.200000000000003</v>
      </c>
      <c r="BB106" s="8">
        <f t="shared" si="48"/>
        <v>0.36099999999999999</v>
      </c>
      <c r="BC106" s="8">
        <f t="shared" si="49"/>
        <v>0.53700000000000003</v>
      </c>
      <c r="BE106" s="5">
        <f t="shared" si="55"/>
        <v>13.54</v>
      </c>
      <c r="BF106" s="5">
        <f t="shared" si="56"/>
        <v>11.06</v>
      </c>
      <c r="BG106" s="1">
        <f t="shared" si="73"/>
        <v>-1.7</v>
      </c>
      <c r="BH106" s="1">
        <f t="shared" si="74"/>
        <v>5.4</v>
      </c>
      <c r="BI106" s="1">
        <f t="shared" si="75"/>
        <v>-6.2</v>
      </c>
      <c r="BJ106" s="1">
        <f t="shared" si="57"/>
        <v>79.3</v>
      </c>
      <c r="BK106" s="1">
        <f t="shared" si="58"/>
        <v>40.200000000000003</v>
      </c>
      <c r="BL106" s="1">
        <f t="shared" si="67"/>
        <v>0.9</v>
      </c>
      <c r="BM106" s="1">
        <f t="shared" si="68"/>
        <v>3.9</v>
      </c>
      <c r="BN106" s="21">
        <f t="shared" si="59"/>
        <v>0</v>
      </c>
      <c r="BO106" s="7">
        <f t="shared" si="60"/>
        <v>0.53100000000000014</v>
      </c>
      <c r="BP106" s="21">
        <f t="shared" si="77"/>
        <v>0.1</v>
      </c>
      <c r="BQ106" s="1">
        <f t="shared" si="61"/>
        <v>-4.9000000000000004</v>
      </c>
      <c r="BR106" s="1">
        <f t="shared" si="62"/>
        <v>0.8</v>
      </c>
      <c r="BS106" s="1">
        <f t="shared" si="63"/>
        <v>-16.399999999999999</v>
      </c>
      <c r="BT106" s="1" t="s">
        <v>113</v>
      </c>
      <c r="BU106" s="1" t="s">
        <v>113</v>
      </c>
      <c r="BV106" s="1" t="s">
        <v>113</v>
      </c>
      <c r="BW106" s="1" t="str">
        <f t="shared" si="69"/>
        <v>NAN</v>
      </c>
      <c r="BX106" s="1">
        <f t="shared" si="70"/>
        <v>0.36099999999999999</v>
      </c>
      <c r="BY106" s="1">
        <f t="shared" si="71"/>
        <v>0.53700000000000003</v>
      </c>
      <c r="CA106" s="1">
        <f t="shared" si="64"/>
        <v>-4.6000000000000005</v>
      </c>
      <c r="CB106" s="1">
        <f t="shared" si="65"/>
        <v>-10.199999999999999</v>
      </c>
    </row>
    <row r="107" spans="1:80" x14ac:dyDescent="0.2">
      <c r="A107" s="9">
        <f t="shared" si="72"/>
        <v>43567</v>
      </c>
      <c r="B107" s="2">
        <v>102</v>
      </c>
      <c r="C107" s="2">
        <v>21</v>
      </c>
      <c r="D107" s="2">
        <v>13.16</v>
      </c>
      <c r="E107" s="2">
        <v>10.97</v>
      </c>
      <c r="F107" s="2">
        <v>-9.23</v>
      </c>
      <c r="G107" s="2">
        <v>-1.323</v>
      </c>
      <c r="H107" s="2">
        <v>79.599999999999994</v>
      </c>
      <c r="I107" s="2">
        <v>0.28999999999999998</v>
      </c>
      <c r="J107" s="2">
        <v>-0.14699999999999999</v>
      </c>
      <c r="K107" s="2">
        <v>-0.128</v>
      </c>
      <c r="L107" s="2">
        <v>0.80100000000000005</v>
      </c>
      <c r="M107" s="2">
        <v>4.7610000000000001</v>
      </c>
      <c r="N107" s="2">
        <v>100.5</v>
      </c>
      <c r="O107" s="2">
        <v>5.4080000000000004</v>
      </c>
      <c r="P107" s="2">
        <v>1.6180000000000001</v>
      </c>
      <c r="Q107" s="2">
        <v>1.607</v>
      </c>
      <c r="R107" s="2">
        <v>1.5960000000000001</v>
      </c>
      <c r="S107" s="2">
        <v>-8.31</v>
      </c>
      <c r="T107" s="2">
        <v>47.65</v>
      </c>
      <c r="U107" s="2">
        <v>-1.8580000000000001</v>
      </c>
      <c r="V107" s="2">
        <v>-0.47899999999999998</v>
      </c>
      <c r="W107" s="2">
        <v>-0.45400000000000001</v>
      </c>
      <c r="X107" s="2">
        <v>0.57599999999999996</v>
      </c>
      <c r="Y107" s="2">
        <v>1.921</v>
      </c>
      <c r="Z107" s="2">
        <v>0</v>
      </c>
      <c r="AA107" s="2">
        <v>12.08</v>
      </c>
      <c r="AB107" s="2">
        <v>9.77</v>
      </c>
      <c r="AC107" s="2">
        <v>1.05</v>
      </c>
      <c r="AD107" s="2">
        <v>4.3140000000000001</v>
      </c>
      <c r="AE107" s="2">
        <v>-5.0060000000000002</v>
      </c>
      <c r="AF107" s="2">
        <v>1.363</v>
      </c>
      <c r="AG107" s="2">
        <v>-13.48</v>
      </c>
      <c r="AH107" s="2">
        <v>1.363</v>
      </c>
      <c r="AI107" s="2">
        <v>-13.48</v>
      </c>
      <c r="AJ107" s="2" t="s">
        <v>113</v>
      </c>
      <c r="AK107" s="2" t="s">
        <v>113</v>
      </c>
      <c r="AL107" s="2">
        <v>-0.93100000000000005</v>
      </c>
      <c r="AM107" s="2">
        <v>7.8</v>
      </c>
      <c r="AN107" s="2">
        <v>-9.2799999999999994</v>
      </c>
      <c r="AO107" s="2"/>
      <c r="AP107" s="1">
        <f t="shared" si="53"/>
        <v>0.52900000000000014</v>
      </c>
      <c r="AQ107" s="22">
        <f t="shared" si="76"/>
        <v>0</v>
      </c>
      <c r="AR107" s="5">
        <v>24.3</v>
      </c>
      <c r="AS107" s="5">
        <v>12.69</v>
      </c>
      <c r="AT107" s="5">
        <v>9.75</v>
      </c>
      <c r="AU107" s="7">
        <f t="shared" si="66"/>
        <v>0.76800000000000002</v>
      </c>
      <c r="AV107" s="16"/>
      <c r="AW107" s="29">
        <v>0</v>
      </c>
      <c r="AX107" s="29">
        <v>525</v>
      </c>
      <c r="AY107" s="1">
        <f t="shared" si="45"/>
        <v>97</v>
      </c>
      <c r="AZ107" s="1">
        <f t="shared" si="46"/>
        <v>76.7</v>
      </c>
      <c r="BA107" s="1">
        <f t="shared" si="47"/>
        <v>45.7</v>
      </c>
      <c r="BB107" s="8">
        <f t="shared" si="48"/>
        <v>0.39200000000000002</v>
      </c>
      <c r="BC107" s="8">
        <f t="shared" si="49"/>
        <v>0.46600000000000003</v>
      </c>
      <c r="BE107" s="5">
        <f t="shared" si="55"/>
        <v>12.69</v>
      </c>
      <c r="BF107" s="5">
        <f t="shared" si="56"/>
        <v>9.75</v>
      </c>
      <c r="BG107" s="1">
        <f t="shared" si="73"/>
        <v>-1.3</v>
      </c>
      <c r="BH107" s="1">
        <f t="shared" si="74"/>
        <v>4.8</v>
      </c>
      <c r="BI107" s="1">
        <f t="shared" si="75"/>
        <v>-8.3000000000000007</v>
      </c>
      <c r="BJ107" s="1">
        <f t="shared" si="57"/>
        <v>76.7</v>
      </c>
      <c r="BK107" s="1">
        <f t="shared" si="58"/>
        <v>45.7</v>
      </c>
      <c r="BL107" s="1">
        <f t="shared" si="67"/>
        <v>1.1000000000000001</v>
      </c>
      <c r="BM107" s="1">
        <f t="shared" si="68"/>
        <v>4.3</v>
      </c>
      <c r="BN107" s="21">
        <f t="shared" si="59"/>
        <v>0</v>
      </c>
      <c r="BO107" s="7">
        <f t="shared" si="60"/>
        <v>0.52900000000000014</v>
      </c>
      <c r="BP107" s="21">
        <f t="shared" si="77"/>
        <v>0</v>
      </c>
      <c r="BQ107" s="1">
        <f t="shared" si="61"/>
        <v>-5</v>
      </c>
      <c r="BR107" s="1">
        <f t="shared" si="62"/>
        <v>1.4</v>
      </c>
      <c r="BS107" s="1">
        <f t="shared" si="63"/>
        <v>-13.5</v>
      </c>
      <c r="BT107" s="1" t="s">
        <v>113</v>
      </c>
      <c r="BU107" s="1" t="s">
        <v>113</v>
      </c>
      <c r="BV107" s="1" t="s">
        <v>113</v>
      </c>
      <c r="BW107" s="1" t="str">
        <f t="shared" si="69"/>
        <v>NAN</v>
      </c>
      <c r="BX107" s="1">
        <f t="shared" si="70"/>
        <v>0.39200000000000002</v>
      </c>
      <c r="BY107" s="1">
        <f t="shared" si="71"/>
        <v>0.46600000000000003</v>
      </c>
      <c r="CA107" s="1">
        <f t="shared" si="64"/>
        <v>-3.4</v>
      </c>
      <c r="CB107" s="1">
        <f t="shared" si="65"/>
        <v>-5.1999999999999993</v>
      </c>
    </row>
    <row r="108" spans="1:80" x14ac:dyDescent="0.2">
      <c r="A108" s="9">
        <f t="shared" si="72"/>
        <v>43568</v>
      </c>
      <c r="B108" s="2">
        <v>103</v>
      </c>
      <c r="C108" s="2">
        <v>21</v>
      </c>
      <c r="D108" s="2">
        <v>13.18</v>
      </c>
      <c r="E108" s="2">
        <v>4.2869999999999999</v>
      </c>
      <c r="F108" s="2">
        <v>-6.9850000000000003</v>
      </c>
      <c r="G108" s="2">
        <v>-1.6259999999999999</v>
      </c>
      <c r="H108" s="2">
        <v>94.3</v>
      </c>
      <c r="I108" s="2">
        <v>-1.204</v>
      </c>
      <c r="J108" s="2">
        <v>-0.255</v>
      </c>
      <c r="K108" s="2">
        <v>-0.22900000000000001</v>
      </c>
      <c r="L108" s="2">
        <v>0.73199999999999998</v>
      </c>
      <c r="M108" s="2">
        <v>2.7610000000000001</v>
      </c>
      <c r="N108" s="2">
        <v>100.9</v>
      </c>
      <c r="O108" s="2">
        <v>0.55000000000000004</v>
      </c>
      <c r="P108" s="2">
        <v>0.16900000000000001</v>
      </c>
      <c r="Q108" s="2">
        <v>0.18</v>
      </c>
      <c r="R108" s="2">
        <v>1.0820000000000001</v>
      </c>
      <c r="S108" s="2">
        <v>-6.4379999999999997</v>
      </c>
      <c r="T108" s="2">
        <v>78.7</v>
      </c>
      <c r="U108" s="2">
        <v>-3.0990000000000002</v>
      </c>
      <c r="V108" s="2">
        <v>-0.45</v>
      </c>
      <c r="W108" s="2">
        <v>-0.42599999999999999</v>
      </c>
      <c r="X108" s="2">
        <v>0.63</v>
      </c>
      <c r="Y108" s="2">
        <v>1.855</v>
      </c>
      <c r="Z108" s="2">
        <v>4.5720000000000001</v>
      </c>
      <c r="AA108" s="2">
        <v>3.7360000000000002</v>
      </c>
      <c r="AB108" s="2">
        <v>4.641</v>
      </c>
      <c r="AC108" s="2">
        <v>1.17</v>
      </c>
      <c r="AD108" s="2">
        <v>8.1300000000000008</v>
      </c>
      <c r="AE108" s="2">
        <v>-3.5710000000000002</v>
      </c>
      <c r="AF108" s="2">
        <v>0.34100000000000003</v>
      </c>
      <c r="AG108" s="2">
        <v>-11.74</v>
      </c>
      <c r="AH108" s="2">
        <v>0.34100000000000003</v>
      </c>
      <c r="AI108" s="2">
        <v>-11.74</v>
      </c>
      <c r="AJ108" s="2" t="s">
        <v>113</v>
      </c>
      <c r="AK108" s="2" t="s">
        <v>113</v>
      </c>
      <c r="AL108" s="2">
        <v>-1.5609999999999999</v>
      </c>
      <c r="AM108" s="2">
        <v>3.79</v>
      </c>
      <c r="AN108" s="2">
        <v>-7.36</v>
      </c>
      <c r="AO108" s="2"/>
      <c r="AP108" s="1">
        <f t="shared" si="53"/>
        <v>0.5950000000000002</v>
      </c>
      <c r="AQ108" s="22">
        <f t="shared" si="76"/>
        <v>-0.6</v>
      </c>
      <c r="AR108" s="5">
        <v>24.53</v>
      </c>
      <c r="AS108" s="5">
        <v>5.09</v>
      </c>
      <c r="AT108" s="5">
        <v>4.6399999999999997</v>
      </c>
      <c r="AU108" s="7">
        <f t="shared" si="66"/>
        <v>0.91200000000000003</v>
      </c>
      <c r="AV108" s="16"/>
      <c r="AW108" s="29">
        <v>7.62</v>
      </c>
      <c r="AX108" s="29">
        <v>591</v>
      </c>
      <c r="AY108" s="1">
        <f t="shared" si="45"/>
        <v>97.4</v>
      </c>
      <c r="AZ108" s="1">
        <f t="shared" si="46"/>
        <v>91</v>
      </c>
      <c r="BA108" s="1">
        <f t="shared" si="47"/>
        <v>75.8</v>
      </c>
      <c r="BB108" s="8">
        <f t="shared" si="48"/>
        <v>0.56399999999999995</v>
      </c>
      <c r="BC108" s="8">
        <f t="shared" si="49"/>
        <v>0.18</v>
      </c>
      <c r="BE108" s="5">
        <f t="shared" si="55"/>
        <v>5.09</v>
      </c>
      <c r="BF108" s="5">
        <f t="shared" si="56"/>
        <v>4.6399999999999997</v>
      </c>
      <c r="BG108" s="1">
        <f t="shared" si="73"/>
        <v>-1.6</v>
      </c>
      <c r="BH108" s="1">
        <f t="shared" si="74"/>
        <v>2.8</v>
      </c>
      <c r="BI108" s="1">
        <f t="shared" si="75"/>
        <v>-6.4</v>
      </c>
      <c r="BJ108" s="1">
        <f t="shared" si="57"/>
        <v>91</v>
      </c>
      <c r="BK108" s="1">
        <f t="shared" si="58"/>
        <v>75.8</v>
      </c>
      <c r="BL108" s="1">
        <f t="shared" si="67"/>
        <v>1.2</v>
      </c>
      <c r="BM108" s="1">
        <f t="shared" si="68"/>
        <v>8.1</v>
      </c>
      <c r="BN108" s="21">
        <f t="shared" si="59"/>
        <v>7.62</v>
      </c>
      <c r="BO108" s="7">
        <f t="shared" si="60"/>
        <v>0.5950000000000002</v>
      </c>
      <c r="BP108" s="21">
        <f t="shared" si="77"/>
        <v>-0.6</v>
      </c>
      <c r="BQ108" s="1">
        <f t="shared" si="61"/>
        <v>-3.6</v>
      </c>
      <c r="BR108" s="1">
        <f t="shared" si="62"/>
        <v>0.3</v>
      </c>
      <c r="BS108" s="1">
        <f t="shared" si="63"/>
        <v>-11.7</v>
      </c>
      <c r="BT108" s="1" t="s">
        <v>113</v>
      </c>
      <c r="BU108" s="1" t="s">
        <v>113</v>
      </c>
      <c r="BV108" s="1" t="s">
        <v>113</v>
      </c>
      <c r="BW108" s="1" t="str">
        <f t="shared" si="69"/>
        <v>NAN</v>
      </c>
      <c r="BX108" s="1">
        <f t="shared" si="70"/>
        <v>0.56399999999999995</v>
      </c>
      <c r="BY108" s="1">
        <f t="shared" si="71"/>
        <v>0.18</v>
      </c>
      <c r="CA108" s="1">
        <f t="shared" si="64"/>
        <v>-2.5</v>
      </c>
      <c r="CB108" s="1">
        <f t="shared" si="65"/>
        <v>-5.2999999999999989</v>
      </c>
    </row>
    <row r="109" spans="1:80" x14ac:dyDescent="0.2">
      <c r="A109" s="9">
        <f t="shared" si="72"/>
        <v>43569</v>
      </c>
      <c r="B109" s="2">
        <v>104</v>
      </c>
      <c r="C109" s="2">
        <v>21</v>
      </c>
      <c r="D109" s="2">
        <v>13.16</v>
      </c>
      <c r="E109" s="2">
        <v>12.47</v>
      </c>
      <c r="F109" s="2">
        <v>-4.49</v>
      </c>
      <c r="G109" s="2">
        <v>-1.2589999999999999</v>
      </c>
      <c r="H109" s="2">
        <v>68.67</v>
      </c>
      <c r="I109" s="2">
        <v>0.29799999999999999</v>
      </c>
      <c r="J109" s="2">
        <v>-0.105</v>
      </c>
      <c r="K109" s="2">
        <v>-7.9000000000000001E-2</v>
      </c>
      <c r="L109" s="2">
        <v>0.83599999999999997</v>
      </c>
      <c r="M109" s="2">
        <v>5.1970000000000001</v>
      </c>
      <c r="N109" s="2">
        <v>87.2</v>
      </c>
      <c r="O109" s="2">
        <v>3.8639999999999999</v>
      </c>
      <c r="P109" s="2">
        <v>0.99</v>
      </c>
      <c r="Q109" s="2">
        <v>1.0009999999999999</v>
      </c>
      <c r="R109" s="2">
        <v>1.5029999999999999</v>
      </c>
      <c r="S109" s="2">
        <v>-4.734</v>
      </c>
      <c r="T109" s="2">
        <v>35.89</v>
      </c>
      <c r="U109" s="2">
        <v>-1.0589999999999999</v>
      </c>
      <c r="V109" s="2">
        <v>-0.44400000000000001</v>
      </c>
      <c r="W109" s="2">
        <v>-0.40500000000000003</v>
      </c>
      <c r="X109" s="2">
        <v>0.60299999999999998</v>
      </c>
      <c r="Y109" s="2">
        <v>1.881</v>
      </c>
      <c r="Z109" s="2">
        <v>1.778</v>
      </c>
      <c r="AA109" s="2">
        <v>16.510000000000002</v>
      </c>
      <c r="AB109" s="2">
        <v>14.94</v>
      </c>
      <c r="AC109" s="2">
        <v>2.6110000000000002</v>
      </c>
      <c r="AD109" s="2">
        <v>7.33</v>
      </c>
      <c r="AE109" s="2">
        <v>-4.8010000000000002</v>
      </c>
      <c r="AF109" s="2">
        <v>1.131</v>
      </c>
      <c r="AG109" s="2">
        <v>-10.14</v>
      </c>
      <c r="AH109" s="2">
        <v>1.131</v>
      </c>
      <c r="AI109" s="2">
        <v>-10.14</v>
      </c>
      <c r="AJ109" s="2" t="s">
        <v>113</v>
      </c>
      <c r="AK109" s="2" t="s">
        <v>113</v>
      </c>
      <c r="AL109" s="2">
        <v>-0.82399999999999995</v>
      </c>
      <c r="AM109" s="2">
        <v>6.81</v>
      </c>
      <c r="AN109" s="2">
        <v>-5.2610000000000001</v>
      </c>
      <c r="AO109" s="2"/>
      <c r="AP109" s="1">
        <f t="shared" si="53"/>
        <v>0.56900000000000017</v>
      </c>
      <c r="AQ109" s="22">
        <f t="shared" si="76"/>
        <v>0</v>
      </c>
      <c r="AR109" s="5">
        <v>24.78</v>
      </c>
      <c r="AS109" s="5">
        <v>17.46</v>
      </c>
      <c r="AT109" s="5">
        <v>14.87</v>
      </c>
      <c r="AU109" s="7">
        <f t="shared" si="66"/>
        <v>0.85199999999999998</v>
      </c>
      <c r="AV109" s="16"/>
      <c r="AW109" s="29">
        <v>0</v>
      </c>
      <c r="AX109" s="29">
        <v>565</v>
      </c>
      <c r="AY109" s="1">
        <f t="shared" si="45"/>
        <v>84.1</v>
      </c>
      <c r="AZ109" s="1">
        <f t="shared" si="46"/>
        <v>66.099999999999994</v>
      </c>
      <c r="BA109" s="1">
        <f t="shared" si="47"/>
        <v>34.299999999999997</v>
      </c>
      <c r="BB109" s="8">
        <f t="shared" si="48"/>
        <v>0.30299999999999999</v>
      </c>
      <c r="BC109" s="8">
        <f t="shared" si="49"/>
        <v>0.57999999999999996</v>
      </c>
      <c r="BE109" s="5">
        <f t="shared" si="55"/>
        <v>17.46</v>
      </c>
      <c r="BF109" s="5">
        <f t="shared" si="56"/>
        <v>14.87</v>
      </c>
      <c r="BG109" s="1">
        <f t="shared" si="73"/>
        <v>-1.3</v>
      </c>
      <c r="BH109" s="1">
        <f t="shared" si="74"/>
        <v>5.2</v>
      </c>
      <c r="BI109" s="1">
        <f t="shared" si="75"/>
        <v>-4.7</v>
      </c>
      <c r="BJ109" s="1">
        <f t="shared" si="57"/>
        <v>66.099999999999994</v>
      </c>
      <c r="BK109" s="1">
        <f t="shared" si="58"/>
        <v>34.299999999999997</v>
      </c>
      <c r="BL109" s="1">
        <f t="shared" si="67"/>
        <v>2.6</v>
      </c>
      <c r="BM109" s="1">
        <f t="shared" si="68"/>
        <v>7.3</v>
      </c>
      <c r="BN109" s="21">
        <f t="shared" si="59"/>
        <v>0</v>
      </c>
      <c r="BO109" s="7">
        <f t="shared" si="60"/>
        <v>0.56900000000000017</v>
      </c>
      <c r="BP109" s="21">
        <f t="shared" si="77"/>
        <v>0</v>
      </c>
      <c r="BQ109" s="1">
        <f t="shared" si="61"/>
        <v>-4.8</v>
      </c>
      <c r="BR109" s="1">
        <f t="shared" si="62"/>
        <v>1.1000000000000001</v>
      </c>
      <c r="BS109" s="1">
        <f t="shared" si="63"/>
        <v>-10.1</v>
      </c>
      <c r="BT109" s="1" t="s">
        <v>113</v>
      </c>
      <c r="BU109" s="1" t="s">
        <v>113</v>
      </c>
      <c r="BV109" s="1" t="s">
        <v>113</v>
      </c>
      <c r="BW109" s="1" t="str">
        <f t="shared" si="69"/>
        <v>NAN</v>
      </c>
      <c r="BX109" s="1">
        <f t="shared" si="70"/>
        <v>0.30299999999999999</v>
      </c>
      <c r="BY109" s="1">
        <f t="shared" si="71"/>
        <v>0.57999999999999996</v>
      </c>
      <c r="CA109" s="1">
        <f t="shared" si="64"/>
        <v>-4.0999999999999996</v>
      </c>
      <c r="CB109" s="1">
        <f t="shared" si="65"/>
        <v>-5.3999999999999995</v>
      </c>
    </row>
    <row r="110" spans="1:80" x14ac:dyDescent="0.2">
      <c r="A110" s="9">
        <f t="shared" si="72"/>
        <v>43570</v>
      </c>
      <c r="B110" s="2">
        <v>105</v>
      </c>
      <c r="C110" s="2">
        <v>21</v>
      </c>
      <c r="D110" s="2">
        <v>13.14</v>
      </c>
      <c r="E110" s="2">
        <v>14.86</v>
      </c>
      <c r="F110" s="2">
        <v>-11.31</v>
      </c>
      <c r="G110" s="2">
        <v>-2.5859999999999999</v>
      </c>
      <c r="H110" s="2">
        <v>71.400000000000006</v>
      </c>
      <c r="I110" s="2">
        <v>-0.25700000000000001</v>
      </c>
      <c r="J110" s="2">
        <v>-0.13200000000000001</v>
      </c>
      <c r="K110" s="2">
        <v>-0.104</v>
      </c>
      <c r="L110" s="2">
        <v>0.84799999999999998</v>
      </c>
      <c r="M110" s="2">
        <v>6.5570000000000004</v>
      </c>
      <c r="N110" s="2">
        <v>99.9</v>
      </c>
      <c r="O110" s="2">
        <v>3.859</v>
      </c>
      <c r="P110" s="2">
        <v>1.399</v>
      </c>
      <c r="Q110" s="2">
        <v>1.399</v>
      </c>
      <c r="R110" s="2">
        <v>1.601</v>
      </c>
      <c r="S110" s="2">
        <v>-10.25</v>
      </c>
      <c r="T110" s="2">
        <v>35.35</v>
      </c>
      <c r="U110" s="2">
        <v>-2.0299999999999998</v>
      </c>
      <c r="V110" s="2">
        <v>-0.61699999999999999</v>
      </c>
      <c r="W110" s="2">
        <v>-0.58299999999999996</v>
      </c>
      <c r="X110" s="2">
        <v>0.51100000000000001</v>
      </c>
      <c r="Y110" s="2">
        <v>1.8979999999999999</v>
      </c>
      <c r="Z110" s="2">
        <v>0</v>
      </c>
      <c r="AA110" s="2">
        <v>14.23</v>
      </c>
      <c r="AB110" s="2">
        <v>12.09</v>
      </c>
      <c r="AC110" s="2">
        <v>0.83199999999999996</v>
      </c>
      <c r="AD110" s="2">
        <v>3.46</v>
      </c>
      <c r="AE110" s="2">
        <v>-7.87</v>
      </c>
      <c r="AF110" s="2">
        <v>1.284</v>
      </c>
      <c r="AG110" s="2">
        <v>-18.670000000000002</v>
      </c>
      <c r="AH110" s="2">
        <v>1.284</v>
      </c>
      <c r="AI110" s="2">
        <v>-18.670000000000002</v>
      </c>
      <c r="AJ110" s="2" t="s">
        <v>113</v>
      </c>
      <c r="AK110" s="2" t="s">
        <v>113</v>
      </c>
      <c r="AL110" s="2">
        <v>-1.96</v>
      </c>
      <c r="AM110" s="2">
        <v>9.76</v>
      </c>
      <c r="AN110" s="2">
        <v>-11.56</v>
      </c>
      <c r="AO110" s="2"/>
      <c r="AP110" s="1">
        <f t="shared" si="53"/>
        <v>0.55200000000000027</v>
      </c>
      <c r="AQ110" s="22">
        <f t="shared" si="76"/>
        <v>-0.2</v>
      </c>
      <c r="AR110" s="5">
        <v>25.02</v>
      </c>
      <c r="AS110" s="5">
        <v>14.94</v>
      </c>
      <c r="AT110" s="5">
        <v>12.07</v>
      </c>
      <c r="AU110" s="7">
        <f t="shared" si="66"/>
        <v>0.80800000000000005</v>
      </c>
      <c r="AV110" s="16"/>
      <c r="AW110" s="29">
        <v>0</v>
      </c>
      <c r="AX110" s="29">
        <v>548</v>
      </c>
      <c r="AY110" s="1">
        <f t="shared" si="45"/>
        <v>96.4</v>
      </c>
      <c r="AZ110" s="1">
        <f t="shared" si="46"/>
        <v>68.8</v>
      </c>
      <c r="BA110" s="1">
        <f t="shared" si="47"/>
        <v>33.799999999999997</v>
      </c>
      <c r="BB110" s="8">
        <f t="shared" si="48"/>
        <v>0.32800000000000001</v>
      </c>
      <c r="BC110" s="8">
        <f t="shared" si="49"/>
        <v>0.64200000000000002</v>
      </c>
      <c r="BE110" s="5">
        <f t="shared" si="55"/>
        <v>14.94</v>
      </c>
      <c r="BF110" s="5">
        <f t="shared" si="56"/>
        <v>12.07</v>
      </c>
      <c r="BG110" s="1">
        <f t="shared" si="73"/>
        <v>-2.6</v>
      </c>
      <c r="BH110" s="1">
        <f t="shared" si="74"/>
        <v>6.6</v>
      </c>
      <c r="BI110" s="1">
        <f t="shared" si="75"/>
        <v>-10.3</v>
      </c>
      <c r="BJ110" s="1">
        <f t="shared" si="57"/>
        <v>68.8</v>
      </c>
      <c r="BK110" s="1">
        <f t="shared" si="58"/>
        <v>33.799999999999997</v>
      </c>
      <c r="BL110" s="1">
        <f t="shared" si="67"/>
        <v>0.8</v>
      </c>
      <c r="BM110" s="1">
        <f t="shared" si="68"/>
        <v>3.5</v>
      </c>
      <c r="BN110" s="21">
        <f t="shared" si="59"/>
        <v>0</v>
      </c>
      <c r="BO110" s="7">
        <f t="shared" si="60"/>
        <v>0.55200000000000027</v>
      </c>
      <c r="BP110" s="21">
        <f t="shared" si="77"/>
        <v>-0.2</v>
      </c>
      <c r="BQ110" s="1">
        <f t="shared" si="61"/>
        <v>-7.9</v>
      </c>
      <c r="BR110" s="1">
        <f t="shared" si="62"/>
        <v>1.3</v>
      </c>
      <c r="BS110" s="1">
        <f t="shared" si="63"/>
        <v>-18.7</v>
      </c>
      <c r="BT110" s="1" t="s">
        <v>113</v>
      </c>
      <c r="BU110" s="1" t="s">
        <v>113</v>
      </c>
      <c r="BV110" s="1" t="s">
        <v>113</v>
      </c>
      <c r="BW110" s="1" t="str">
        <f t="shared" si="69"/>
        <v>NAN</v>
      </c>
      <c r="BX110" s="1">
        <f t="shared" si="70"/>
        <v>0.32800000000000001</v>
      </c>
      <c r="BY110" s="1">
        <f t="shared" si="71"/>
        <v>0.64200000000000002</v>
      </c>
      <c r="CA110" s="1">
        <f t="shared" si="64"/>
        <v>-5.3</v>
      </c>
      <c r="CB110" s="1">
        <f t="shared" si="65"/>
        <v>-8.3999999999999986</v>
      </c>
    </row>
    <row r="111" spans="1:80" x14ac:dyDescent="0.2">
      <c r="A111" s="9">
        <f t="shared" si="72"/>
        <v>43571</v>
      </c>
      <c r="B111" s="2">
        <v>106</v>
      </c>
      <c r="C111" s="2">
        <v>21</v>
      </c>
      <c r="D111" s="2">
        <v>13.17</v>
      </c>
      <c r="E111" s="2">
        <v>18.97</v>
      </c>
      <c r="F111" s="2">
        <v>-11.83</v>
      </c>
      <c r="G111" s="2">
        <v>0.80200000000000005</v>
      </c>
      <c r="H111" s="2">
        <v>63.59</v>
      </c>
      <c r="I111" s="2">
        <v>-0.66200000000000003</v>
      </c>
      <c r="J111" s="2">
        <v>-8.0000000000000002E-3</v>
      </c>
      <c r="K111" s="2">
        <v>1.9E-2</v>
      </c>
      <c r="L111" s="2">
        <v>0.88500000000000001</v>
      </c>
      <c r="M111" s="2">
        <v>8.7100000000000009</v>
      </c>
      <c r="N111" s="2">
        <v>100.2</v>
      </c>
      <c r="O111" s="2">
        <v>3.0190000000000001</v>
      </c>
      <c r="P111" s="2">
        <v>1.3879999999999999</v>
      </c>
      <c r="Q111" s="2">
        <v>1.375</v>
      </c>
      <c r="R111" s="2">
        <v>1.6819999999999999</v>
      </c>
      <c r="S111" s="2">
        <v>-10.119999999999999</v>
      </c>
      <c r="T111" s="2">
        <v>25.64</v>
      </c>
      <c r="U111" s="2">
        <v>-4.2869999999999999</v>
      </c>
      <c r="V111" s="2">
        <v>-0.45400000000000001</v>
      </c>
      <c r="W111" s="2">
        <v>-0.41299999999999998</v>
      </c>
      <c r="X111" s="2">
        <v>0.64700000000000002</v>
      </c>
      <c r="Y111" s="2">
        <v>1.909</v>
      </c>
      <c r="Z111" s="2">
        <v>0</v>
      </c>
      <c r="AA111" s="2">
        <v>17.3</v>
      </c>
      <c r="AB111" s="2">
        <v>14.16</v>
      </c>
      <c r="AC111" s="2">
        <v>1.4019999999999999</v>
      </c>
      <c r="AD111" s="2">
        <v>4.367</v>
      </c>
      <c r="AE111" s="2">
        <v>-5.3380000000000001</v>
      </c>
      <c r="AF111" s="2">
        <v>0.99</v>
      </c>
      <c r="AG111" s="2">
        <v>-17.77</v>
      </c>
      <c r="AH111" s="2">
        <v>0.99</v>
      </c>
      <c r="AI111" s="2">
        <v>-17.77</v>
      </c>
      <c r="AJ111" s="2" t="s">
        <v>113</v>
      </c>
      <c r="AK111" s="2" t="s">
        <v>113</v>
      </c>
      <c r="AL111" s="2">
        <v>0.66100000000000003</v>
      </c>
      <c r="AM111" s="2">
        <v>11.1</v>
      </c>
      <c r="AN111" s="2">
        <v>-11.71</v>
      </c>
      <c r="AO111" s="2"/>
      <c r="AP111" s="1">
        <f t="shared" si="53"/>
        <v>0.54100000000000015</v>
      </c>
      <c r="AQ111" s="22">
        <f t="shared" si="76"/>
        <v>-0.2</v>
      </c>
      <c r="AR111" s="5">
        <v>25.26</v>
      </c>
      <c r="AS111" s="5">
        <v>18.18</v>
      </c>
      <c r="AT111" s="5">
        <v>14.15</v>
      </c>
      <c r="AU111" s="7">
        <f t="shared" si="66"/>
        <v>0.77800000000000002</v>
      </c>
      <c r="AV111" s="16"/>
      <c r="AW111" s="29">
        <v>0</v>
      </c>
      <c r="AX111" s="29">
        <v>537</v>
      </c>
      <c r="AY111" s="1">
        <f t="shared" si="45"/>
        <v>96.7</v>
      </c>
      <c r="AZ111" s="1">
        <f t="shared" si="46"/>
        <v>61.2</v>
      </c>
      <c r="BA111" s="1">
        <f t="shared" si="47"/>
        <v>24.4</v>
      </c>
      <c r="BB111" s="8">
        <f t="shared" si="48"/>
        <v>0.27500000000000002</v>
      </c>
      <c r="BC111" s="8">
        <f t="shared" si="49"/>
        <v>0.85199999999999998</v>
      </c>
      <c r="BE111" s="5">
        <f t="shared" si="55"/>
        <v>18.18</v>
      </c>
      <c r="BF111" s="5">
        <f t="shared" si="56"/>
        <v>14.15</v>
      </c>
      <c r="BG111" s="1">
        <f t="shared" si="73"/>
        <v>0.8</v>
      </c>
      <c r="BH111" s="1">
        <f t="shared" si="74"/>
        <v>8.6999999999999993</v>
      </c>
      <c r="BI111" s="1">
        <f t="shared" si="75"/>
        <v>-10.1</v>
      </c>
      <c r="BJ111" s="1">
        <f t="shared" si="57"/>
        <v>61.2</v>
      </c>
      <c r="BK111" s="1">
        <f t="shared" si="58"/>
        <v>24.4</v>
      </c>
      <c r="BL111" s="1">
        <f t="shared" si="67"/>
        <v>1.4</v>
      </c>
      <c r="BM111" s="1">
        <f t="shared" si="68"/>
        <v>4.4000000000000004</v>
      </c>
      <c r="BN111" s="21">
        <f t="shared" si="59"/>
        <v>0</v>
      </c>
      <c r="BO111" s="7">
        <f t="shared" si="60"/>
        <v>0.54100000000000015</v>
      </c>
      <c r="BP111" s="21">
        <f t="shared" si="77"/>
        <v>-0.2</v>
      </c>
      <c r="BQ111" s="1">
        <f t="shared" si="61"/>
        <v>-5.3</v>
      </c>
      <c r="BR111" s="1">
        <f t="shared" si="62"/>
        <v>1</v>
      </c>
      <c r="BS111" s="1">
        <f t="shared" si="63"/>
        <v>-17.8</v>
      </c>
      <c r="BT111" s="1" t="s">
        <v>113</v>
      </c>
      <c r="BU111" s="1" t="s">
        <v>113</v>
      </c>
      <c r="BV111" s="1" t="s">
        <v>113</v>
      </c>
      <c r="BW111" s="1" t="str">
        <f t="shared" si="69"/>
        <v>NAN</v>
      </c>
      <c r="BX111" s="1">
        <f t="shared" si="70"/>
        <v>0.27500000000000002</v>
      </c>
      <c r="BY111" s="1">
        <f t="shared" si="71"/>
        <v>0.85199999999999998</v>
      </c>
      <c r="CA111" s="1">
        <f t="shared" si="64"/>
        <v>-7.6999999999999993</v>
      </c>
      <c r="CB111" s="1">
        <f t="shared" si="65"/>
        <v>-7.7000000000000011</v>
      </c>
    </row>
    <row r="112" spans="1:80" x14ac:dyDescent="0.2">
      <c r="A112" s="9">
        <f t="shared" si="72"/>
        <v>43572</v>
      </c>
      <c r="B112" s="2">
        <v>107</v>
      </c>
      <c r="C112" s="2">
        <v>21</v>
      </c>
      <c r="D112" s="2">
        <v>13.17</v>
      </c>
      <c r="E112" s="2">
        <v>15.45</v>
      </c>
      <c r="F112" s="2">
        <v>0.21099999999999999</v>
      </c>
      <c r="G112" s="2">
        <v>3.879</v>
      </c>
      <c r="H112" s="2">
        <v>62.51</v>
      </c>
      <c r="I112" s="2">
        <v>1.919</v>
      </c>
      <c r="J112" s="2">
        <v>-4.3999999999999997E-2</v>
      </c>
      <c r="K112" s="2">
        <v>-1.6E-2</v>
      </c>
      <c r="L112" s="2">
        <v>0.86399999999999999</v>
      </c>
      <c r="M112" s="2">
        <v>8.77</v>
      </c>
      <c r="N112" s="2">
        <v>93.5</v>
      </c>
      <c r="O112" s="2">
        <v>6.7389999999999999</v>
      </c>
      <c r="P112" s="2">
        <v>0.81499999999999995</v>
      </c>
      <c r="Q112" s="2">
        <v>0.82099999999999995</v>
      </c>
      <c r="R112" s="2">
        <v>1.35</v>
      </c>
      <c r="S112" s="2">
        <v>0.184</v>
      </c>
      <c r="T112" s="2">
        <v>39.08</v>
      </c>
      <c r="U112" s="2">
        <v>-0.28399999999999997</v>
      </c>
      <c r="V112" s="2">
        <v>-0.52700000000000002</v>
      </c>
      <c r="W112" s="2">
        <v>-0.496</v>
      </c>
      <c r="X112" s="2">
        <v>0.60399999999999998</v>
      </c>
      <c r="Y112" s="2">
        <v>1.944</v>
      </c>
      <c r="Z112" s="2">
        <v>0</v>
      </c>
      <c r="AA112" s="2">
        <v>22.04</v>
      </c>
      <c r="AB112" s="2">
        <v>16.079999999999998</v>
      </c>
      <c r="AC112" s="2">
        <v>3.1240000000000001</v>
      </c>
      <c r="AD112" s="2">
        <v>8.07</v>
      </c>
      <c r="AE112" s="2">
        <v>-0.375</v>
      </c>
      <c r="AF112" s="2">
        <v>0.94899999999999995</v>
      </c>
      <c r="AG112" s="2">
        <v>-3.1739999999999999</v>
      </c>
      <c r="AH112" s="2">
        <v>0.94899999999999995</v>
      </c>
      <c r="AI112" s="2">
        <v>-3.1739999999999999</v>
      </c>
      <c r="AJ112" s="2" t="s">
        <v>113</v>
      </c>
      <c r="AK112" s="2" t="s">
        <v>113</v>
      </c>
      <c r="AL112" s="2">
        <v>4.2519999999999998</v>
      </c>
      <c r="AM112" s="2">
        <v>10.65</v>
      </c>
      <c r="AN112" s="2">
        <v>8.6999999999999994E-2</v>
      </c>
      <c r="AO112" s="2"/>
      <c r="AP112" s="1">
        <f t="shared" si="53"/>
        <v>0.50600000000000023</v>
      </c>
      <c r="AQ112" s="23">
        <f t="shared" ref="AQ112:AQ126" si="78">ROUND(AVERAGE(J112:K112),1)</f>
        <v>0</v>
      </c>
      <c r="AR112" s="5">
        <v>25.49</v>
      </c>
      <c r="AS112" s="5">
        <v>23.14</v>
      </c>
      <c r="AT112" s="5">
        <v>16.05</v>
      </c>
      <c r="AU112" s="7">
        <f t="shared" si="66"/>
        <v>0.69399999999999995</v>
      </c>
      <c r="AV112" s="16"/>
      <c r="AW112" s="29">
        <v>0</v>
      </c>
      <c r="AX112" s="29">
        <v>502</v>
      </c>
      <c r="AY112" s="1">
        <f t="shared" si="45"/>
        <v>90.2</v>
      </c>
      <c r="AZ112" s="1">
        <f t="shared" si="46"/>
        <v>60.1</v>
      </c>
      <c r="BA112" s="1">
        <f t="shared" si="47"/>
        <v>37.4</v>
      </c>
      <c r="BB112" s="8">
        <f t="shared" si="48"/>
        <v>0.42299999999999999</v>
      </c>
      <c r="BC112" s="8">
        <f t="shared" si="49"/>
        <v>0.70799999999999996</v>
      </c>
      <c r="BE112" s="5">
        <f t="shared" si="55"/>
        <v>23.14</v>
      </c>
      <c r="BF112" s="5">
        <f t="shared" si="56"/>
        <v>16.05</v>
      </c>
      <c r="BG112" s="1">
        <f t="shared" si="73"/>
        <v>3.9</v>
      </c>
      <c r="BH112" s="1">
        <f t="shared" si="74"/>
        <v>8.8000000000000007</v>
      </c>
      <c r="BI112" s="1">
        <f t="shared" si="75"/>
        <v>0.2</v>
      </c>
      <c r="BJ112" s="1">
        <f t="shared" si="57"/>
        <v>60.1</v>
      </c>
      <c r="BK112" s="1">
        <f t="shared" si="58"/>
        <v>37.4</v>
      </c>
      <c r="BL112" s="1">
        <f t="shared" si="67"/>
        <v>3.1</v>
      </c>
      <c r="BM112" s="1">
        <f t="shared" si="68"/>
        <v>8.1</v>
      </c>
      <c r="BN112" s="21">
        <f t="shared" si="59"/>
        <v>0</v>
      </c>
      <c r="BO112" s="7">
        <f t="shared" si="60"/>
        <v>0.50600000000000023</v>
      </c>
      <c r="BP112" s="21">
        <f t="shared" si="77"/>
        <v>0</v>
      </c>
      <c r="BQ112" s="1">
        <f t="shared" si="61"/>
        <v>-0.4</v>
      </c>
      <c r="BR112" s="1">
        <f t="shared" si="62"/>
        <v>0.9</v>
      </c>
      <c r="BS112" s="1">
        <f t="shared" si="63"/>
        <v>-3.2</v>
      </c>
      <c r="BT112" s="1" t="s">
        <v>113</v>
      </c>
      <c r="BU112" s="1" t="s">
        <v>113</v>
      </c>
      <c r="BV112" s="1" t="s">
        <v>113</v>
      </c>
      <c r="BW112" s="1" t="str">
        <f t="shared" si="69"/>
        <v>NAN</v>
      </c>
      <c r="BX112" s="1">
        <f t="shared" si="70"/>
        <v>0.42299999999999999</v>
      </c>
      <c r="BY112" s="1">
        <f t="shared" si="71"/>
        <v>0.70799999999999996</v>
      </c>
      <c r="CA112" s="1">
        <f t="shared" si="64"/>
        <v>-7.9</v>
      </c>
      <c r="CB112" s="1">
        <f t="shared" si="65"/>
        <v>-3.4000000000000004</v>
      </c>
    </row>
    <row r="113" spans="1:80" x14ac:dyDescent="0.2">
      <c r="A113" s="9">
        <f t="shared" si="72"/>
        <v>43573</v>
      </c>
      <c r="B113" s="2">
        <v>108</v>
      </c>
      <c r="C113" s="2">
        <v>21</v>
      </c>
      <c r="D113" s="2">
        <v>13.19</v>
      </c>
      <c r="E113" s="2">
        <v>12.12</v>
      </c>
      <c r="F113" s="2">
        <v>0.376</v>
      </c>
      <c r="G113" s="2">
        <v>3.3540000000000001</v>
      </c>
      <c r="H113" s="2">
        <v>99.1</v>
      </c>
      <c r="I113" s="2">
        <v>1.129</v>
      </c>
      <c r="J113" s="2">
        <v>-0.158</v>
      </c>
      <c r="K113" s="2">
        <v>-0.129</v>
      </c>
      <c r="L113" s="2">
        <v>0.80400000000000005</v>
      </c>
      <c r="M113" s="2">
        <v>6.5670000000000002</v>
      </c>
      <c r="N113" s="2">
        <v>102.4</v>
      </c>
      <c r="O113" s="2">
        <v>7.77</v>
      </c>
      <c r="P113" s="2">
        <v>0.39800000000000002</v>
      </c>
      <c r="Q113" s="2">
        <v>0.41</v>
      </c>
      <c r="R113" s="2">
        <v>1.2210000000000001</v>
      </c>
      <c r="S113" s="2">
        <v>0.11799999999999999</v>
      </c>
      <c r="T113" s="2">
        <v>92.3</v>
      </c>
      <c r="U113" s="2">
        <v>-0.23799999999999999</v>
      </c>
      <c r="V113" s="2">
        <v>-0.32500000000000001</v>
      </c>
      <c r="W113" s="2">
        <v>-0.29699999999999999</v>
      </c>
      <c r="X113" s="2">
        <v>0.68600000000000005</v>
      </c>
      <c r="Y113" s="2">
        <v>1.9790000000000001</v>
      </c>
      <c r="Z113" s="2">
        <v>17.02</v>
      </c>
      <c r="AA113" s="2">
        <v>8.98</v>
      </c>
      <c r="AB113" s="2">
        <v>6.181</v>
      </c>
      <c r="AC113" s="2">
        <v>0.82599999999999996</v>
      </c>
      <c r="AD113" s="2">
        <v>4.1539999999999999</v>
      </c>
      <c r="AE113" s="2">
        <v>0.41399999999999998</v>
      </c>
      <c r="AF113" s="2">
        <v>1.3660000000000001</v>
      </c>
      <c r="AG113" s="2">
        <v>-0.08</v>
      </c>
      <c r="AH113" s="2">
        <v>1.3660000000000001</v>
      </c>
      <c r="AI113" s="2">
        <v>-0.08</v>
      </c>
      <c r="AJ113" s="2" t="s">
        <v>113</v>
      </c>
      <c r="AK113" s="2" t="s">
        <v>113</v>
      </c>
      <c r="AL113" s="2">
        <v>3.8039999999999998</v>
      </c>
      <c r="AM113" s="2">
        <v>10.09</v>
      </c>
      <c r="AN113" s="2">
        <v>1.7000000000000001E-2</v>
      </c>
      <c r="AO113" s="2"/>
      <c r="AP113" s="1">
        <f t="shared" si="53"/>
        <v>0.47100000000000009</v>
      </c>
      <c r="AQ113" s="23">
        <f t="shared" si="78"/>
        <v>-0.1</v>
      </c>
      <c r="AR113" s="5">
        <v>25.73</v>
      </c>
      <c r="AS113" s="5">
        <v>9.43</v>
      </c>
      <c r="AT113" s="5">
        <v>6.18</v>
      </c>
      <c r="AU113" s="7">
        <f t="shared" si="66"/>
        <v>0.65500000000000003</v>
      </c>
      <c r="AV113" s="16"/>
      <c r="AW113" s="29">
        <v>16</v>
      </c>
      <c r="AX113" s="29">
        <v>467</v>
      </c>
      <c r="AY113" s="1">
        <f t="shared" si="45"/>
        <v>98.8</v>
      </c>
      <c r="AZ113" s="1">
        <f t="shared" si="46"/>
        <v>95.6</v>
      </c>
      <c r="BA113" s="1">
        <f t="shared" si="47"/>
        <v>89</v>
      </c>
      <c r="BB113" s="8">
        <f t="shared" si="48"/>
        <v>0.86499999999999999</v>
      </c>
      <c r="BC113" s="8">
        <f t="shared" si="49"/>
        <v>0.107</v>
      </c>
      <c r="BE113" s="5">
        <f t="shared" si="55"/>
        <v>9.43</v>
      </c>
      <c r="BF113" s="5">
        <f t="shared" si="56"/>
        <v>6.18</v>
      </c>
      <c r="BG113" s="1">
        <f t="shared" si="73"/>
        <v>3.4</v>
      </c>
      <c r="BH113" s="1">
        <f t="shared" si="74"/>
        <v>6.6</v>
      </c>
      <c r="BI113" s="1">
        <f t="shared" si="75"/>
        <v>0.1</v>
      </c>
      <c r="BJ113" s="1">
        <f t="shared" si="57"/>
        <v>95.6</v>
      </c>
      <c r="BK113" s="1">
        <f t="shared" si="58"/>
        <v>89</v>
      </c>
      <c r="BL113" s="1">
        <f t="shared" si="67"/>
        <v>0.8</v>
      </c>
      <c r="BM113" s="1">
        <f t="shared" si="68"/>
        <v>4.2</v>
      </c>
      <c r="BN113" s="21">
        <f t="shared" si="59"/>
        <v>16</v>
      </c>
      <c r="BO113" s="7">
        <f t="shared" si="60"/>
        <v>0.47100000000000009</v>
      </c>
      <c r="BP113" s="21">
        <f t="shared" si="77"/>
        <v>-0.1</v>
      </c>
      <c r="BQ113" s="1">
        <f t="shared" si="61"/>
        <v>0.4</v>
      </c>
      <c r="BR113" s="1">
        <f t="shared" si="62"/>
        <v>1.4</v>
      </c>
      <c r="BS113" s="1">
        <f t="shared" si="63"/>
        <v>-0.1</v>
      </c>
      <c r="BT113" s="1" t="s">
        <v>113</v>
      </c>
      <c r="BU113" s="1" t="s">
        <v>113</v>
      </c>
      <c r="BV113" s="1" t="s">
        <v>113</v>
      </c>
      <c r="BW113" s="1" t="str">
        <f t="shared" si="69"/>
        <v>NAN</v>
      </c>
      <c r="BX113" s="1">
        <f t="shared" si="70"/>
        <v>0.86499999999999999</v>
      </c>
      <c r="BY113" s="1">
        <f t="shared" si="71"/>
        <v>0.107</v>
      </c>
      <c r="CA113" s="1">
        <f t="shared" si="64"/>
        <v>-5.1999999999999993</v>
      </c>
      <c r="CB113" s="1">
        <f t="shared" si="65"/>
        <v>-0.2</v>
      </c>
    </row>
    <row r="114" spans="1:80" x14ac:dyDescent="0.2">
      <c r="A114" s="9">
        <f t="shared" si="72"/>
        <v>43574</v>
      </c>
      <c r="B114" s="2">
        <v>109</v>
      </c>
      <c r="C114" s="2">
        <v>21</v>
      </c>
      <c r="D114" s="2">
        <v>13.19</v>
      </c>
      <c r="E114" s="2">
        <v>14.43</v>
      </c>
      <c r="F114" s="2">
        <v>1.34</v>
      </c>
      <c r="G114" s="2">
        <v>4.7460000000000004</v>
      </c>
      <c r="H114" s="2">
        <v>87.4</v>
      </c>
      <c r="I114" s="2">
        <v>1.736</v>
      </c>
      <c r="J114" s="2">
        <v>-0.112</v>
      </c>
      <c r="K114" s="2">
        <v>-8.8999999999999996E-2</v>
      </c>
      <c r="L114" s="2">
        <v>0.76500000000000001</v>
      </c>
      <c r="M114" s="2">
        <v>9.5</v>
      </c>
      <c r="N114" s="2">
        <v>102.6</v>
      </c>
      <c r="O114" s="2">
        <v>9.48</v>
      </c>
      <c r="P114" s="2">
        <v>0.92600000000000005</v>
      </c>
      <c r="Q114" s="2">
        <v>0.92600000000000005</v>
      </c>
      <c r="R114" s="2">
        <v>1.365</v>
      </c>
      <c r="S114" s="2">
        <v>0.752</v>
      </c>
      <c r="T114" s="2">
        <v>63.89</v>
      </c>
      <c r="U114" s="2">
        <v>-0.32700000000000001</v>
      </c>
      <c r="V114" s="2">
        <v>-0.33300000000000002</v>
      </c>
      <c r="W114" s="2">
        <v>-0.30399999999999999</v>
      </c>
      <c r="X114" s="2">
        <v>0.61</v>
      </c>
      <c r="Y114" s="2">
        <v>2.016</v>
      </c>
      <c r="Z114" s="2">
        <v>8.1300000000000008</v>
      </c>
      <c r="AA114" s="2">
        <v>10.17</v>
      </c>
      <c r="AB114" s="2">
        <v>6.6619999999999999</v>
      </c>
      <c r="AC114" s="2">
        <v>1.6779999999999999</v>
      </c>
      <c r="AD114" s="2">
        <v>5.3</v>
      </c>
      <c r="AE114" s="2">
        <v>0.58799999999999997</v>
      </c>
      <c r="AF114" s="2">
        <v>2.1280000000000001</v>
      </c>
      <c r="AG114" s="2">
        <v>-0.34699999999999998</v>
      </c>
      <c r="AH114" s="2">
        <v>2.1280000000000001</v>
      </c>
      <c r="AI114" s="2">
        <v>-0.34699999999999998</v>
      </c>
      <c r="AJ114" s="2" t="s">
        <v>113</v>
      </c>
      <c r="AK114" s="2" t="s">
        <v>113</v>
      </c>
      <c r="AL114" s="2">
        <v>4.6779999999999999</v>
      </c>
      <c r="AM114" s="2">
        <v>9.94</v>
      </c>
      <c r="AN114" s="2">
        <v>0.41699999999999998</v>
      </c>
      <c r="AO114" s="2"/>
      <c r="AP114" s="1">
        <f t="shared" si="53"/>
        <v>0.43400000000000016</v>
      </c>
      <c r="AQ114" s="23">
        <f t="shared" si="78"/>
        <v>-0.1</v>
      </c>
      <c r="AR114" s="5">
        <v>25.96</v>
      </c>
      <c r="AS114" s="5">
        <v>10.68</v>
      </c>
      <c r="AT114" s="5">
        <v>6.66</v>
      </c>
      <c r="AU114" s="7">
        <f t="shared" si="66"/>
        <v>0.624</v>
      </c>
      <c r="AV114" s="16"/>
      <c r="AW114" s="29">
        <v>8</v>
      </c>
      <c r="AX114" s="29">
        <v>430</v>
      </c>
      <c r="AY114" s="1">
        <f t="shared" si="45"/>
        <v>99</v>
      </c>
      <c r="AZ114" s="1">
        <f t="shared" si="46"/>
        <v>84.3</v>
      </c>
      <c r="BA114" s="1">
        <f t="shared" si="47"/>
        <v>61.5</v>
      </c>
      <c r="BB114" s="8">
        <f t="shared" si="48"/>
        <v>0.73</v>
      </c>
      <c r="BC114" s="8">
        <f t="shared" si="49"/>
        <v>0.45700000000000002</v>
      </c>
      <c r="BE114" s="5">
        <f t="shared" si="55"/>
        <v>10.68</v>
      </c>
      <c r="BF114" s="5">
        <f t="shared" si="56"/>
        <v>6.66</v>
      </c>
      <c r="BG114" s="1">
        <f t="shared" si="73"/>
        <v>4.7</v>
      </c>
      <c r="BH114" s="1">
        <f t="shared" si="74"/>
        <v>9.5</v>
      </c>
      <c r="BI114" s="1">
        <f t="shared" si="75"/>
        <v>0.8</v>
      </c>
      <c r="BJ114" s="1">
        <f t="shared" si="57"/>
        <v>84.3</v>
      </c>
      <c r="BK114" s="1">
        <f t="shared" si="58"/>
        <v>61.5</v>
      </c>
      <c r="BL114" s="1">
        <f t="shared" si="67"/>
        <v>1.7</v>
      </c>
      <c r="BM114" s="1">
        <f t="shared" si="68"/>
        <v>5.3</v>
      </c>
      <c r="BN114" s="21">
        <f t="shared" si="59"/>
        <v>8</v>
      </c>
      <c r="BO114" s="7">
        <f t="shared" si="60"/>
        <v>0.43400000000000016</v>
      </c>
      <c r="BP114" s="21">
        <f t="shared" si="77"/>
        <v>-0.1</v>
      </c>
      <c r="BQ114" s="1">
        <f t="shared" si="61"/>
        <v>0.6</v>
      </c>
      <c r="BR114" s="1">
        <f t="shared" si="62"/>
        <v>2.1</v>
      </c>
      <c r="BS114" s="1">
        <f t="shared" si="63"/>
        <v>-0.3</v>
      </c>
      <c r="BT114" s="1" t="s">
        <v>113</v>
      </c>
      <c r="BU114" s="1" t="s">
        <v>113</v>
      </c>
      <c r="BV114" s="1" t="s">
        <v>113</v>
      </c>
      <c r="BW114" s="1" t="str">
        <f t="shared" si="69"/>
        <v>NAN</v>
      </c>
      <c r="BX114" s="1">
        <f t="shared" si="70"/>
        <v>0.73</v>
      </c>
      <c r="BY114" s="1">
        <f t="shared" si="71"/>
        <v>0.45700000000000002</v>
      </c>
      <c r="CA114" s="1">
        <f t="shared" si="64"/>
        <v>-7.4</v>
      </c>
      <c r="CB114" s="1">
        <f t="shared" si="65"/>
        <v>-1.1000000000000001</v>
      </c>
    </row>
    <row r="115" spans="1:80" x14ac:dyDescent="0.2">
      <c r="A115" s="9">
        <f t="shared" si="72"/>
        <v>43575</v>
      </c>
      <c r="B115" s="2">
        <v>110</v>
      </c>
      <c r="C115" s="2">
        <v>21</v>
      </c>
      <c r="D115" s="2">
        <v>13.14</v>
      </c>
      <c r="E115" s="2">
        <v>14.3</v>
      </c>
      <c r="F115" s="2">
        <v>-6.5</v>
      </c>
      <c r="G115" s="2">
        <v>0.61799999999999999</v>
      </c>
      <c r="H115" s="2">
        <v>73.3</v>
      </c>
      <c r="I115" s="2">
        <v>1.0960000000000001</v>
      </c>
      <c r="J115" s="2">
        <v>-0.16500000000000001</v>
      </c>
      <c r="K115" s="2">
        <v>-0.13600000000000001</v>
      </c>
      <c r="L115" s="2">
        <v>0.69199999999999995</v>
      </c>
      <c r="M115" s="2">
        <v>5.2809999999999997</v>
      </c>
      <c r="N115" s="2">
        <v>99.3</v>
      </c>
      <c r="O115" s="2">
        <v>12.35</v>
      </c>
      <c r="P115" s="2">
        <v>1.1819999999999999</v>
      </c>
      <c r="Q115" s="2">
        <v>1.1819999999999999</v>
      </c>
      <c r="R115" s="2">
        <v>1.462</v>
      </c>
      <c r="S115" s="2">
        <v>-6.3010000000000002</v>
      </c>
      <c r="T115" s="2">
        <v>39.01</v>
      </c>
      <c r="U115" s="2">
        <v>-7.83</v>
      </c>
      <c r="V115" s="2">
        <v>-0.69499999999999995</v>
      </c>
      <c r="W115" s="2">
        <v>-0.66500000000000004</v>
      </c>
      <c r="X115" s="2">
        <v>0.33700000000000002</v>
      </c>
      <c r="Y115" s="2">
        <v>2.0249999999999999</v>
      </c>
      <c r="Z115" s="2">
        <v>0</v>
      </c>
      <c r="AA115" s="2">
        <v>20.62</v>
      </c>
      <c r="AB115" s="2">
        <v>13.82</v>
      </c>
      <c r="AC115" s="2">
        <v>2.3719999999999999</v>
      </c>
      <c r="AD115" s="2">
        <v>6.9269999999999996</v>
      </c>
      <c r="AE115" s="2">
        <v>-2.7639999999999998</v>
      </c>
      <c r="AF115" s="2">
        <v>0.54</v>
      </c>
      <c r="AG115" s="2">
        <v>-10.9</v>
      </c>
      <c r="AH115" s="2">
        <v>0.54</v>
      </c>
      <c r="AI115" s="2">
        <v>-10.9</v>
      </c>
      <c r="AJ115" s="2" t="s">
        <v>113</v>
      </c>
      <c r="AK115" s="2" t="s">
        <v>113</v>
      </c>
      <c r="AL115" s="2">
        <v>1.367</v>
      </c>
      <c r="AM115" s="2">
        <v>9.31</v>
      </c>
      <c r="AN115" s="2">
        <v>-7.28</v>
      </c>
      <c r="AO115" s="2"/>
      <c r="AP115" s="1">
        <f t="shared" si="53"/>
        <v>0.42500000000000027</v>
      </c>
      <c r="AQ115" s="23">
        <f t="shared" si="78"/>
        <v>-0.2</v>
      </c>
      <c r="AR115" s="5">
        <v>26.18</v>
      </c>
      <c r="AS115" s="5">
        <v>21.65</v>
      </c>
      <c r="AT115" s="5">
        <v>13.82</v>
      </c>
      <c r="AU115" s="7">
        <f t="shared" si="66"/>
        <v>0.63800000000000001</v>
      </c>
      <c r="AV115" s="16"/>
      <c r="AW115" s="29">
        <v>0</v>
      </c>
      <c r="AX115" s="29">
        <v>421</v>
      </c>
      <c r="AY115" s="1">
        <f t="shared" si="45"/>
        <v>95.8</v>
      </c>
      <c r="AZ115" s="1">
        <f t="shared" si="46"/>
        <v>70.599999999999994</v>
      </c>
      <c r="BA115" s="1">
        <f t="shared" si="47"/>
        <v>37.299999999999997</v>
      </c>
      <c r="BB115" s="8">
        <f t="shared" si="48"/>
        <v>0.33200000000000002</v>
      </c>
      <c r="BC115" s="8">
        <f t="shared" si="49"/>
        <v>0.55800000000000005</v>
      </c>
      <c r="BE115" s="5">
        <f t="shared" si="55"/>
        <v>21.65</v>
      </c>
      <c r="BF115" s="5">
        <f t="shared" si="56"/>
        <v>13.82</v>
      </c>
      <c r="BG115" s="1">
        <f t="shared" si="73"/>
        <v>0.6</v>
      </c>
      <c r="BH115" s="1">
        <f t="shared" si="74"/>
        <v>5.3</v>
      </c>
      <c r="BI115" s="1">
        <f t="shared" si="75"/>
        <v>-6.3</v>
      </c>
      <c r="BJ115" s="1">
        <f t="shared" si="57"/>
        <v>70.599999999999994</v>
      </c>
      <c r="BK115" s="1">
        <f t="shared" si="58"/>
        <v>37.299999999999997</v>
      </c>
      <c r="BL115" s="1">
        <f t="shared" si="67"/>
        <v>2.4</v>
      </c>
      <c r="BM115" s="1">
        <f t="shared" si="68"/>
        <v>6.9</v>
      </c>
      <c r="BN115" s="21">
        <f t="shared" si="59"/>
        <v>0</v>
      </c>
      <c r="BO115" s="7">
        <f t="shared" si="60"/>
        <v>0.42500000000000027</v>
      </c>
      <c r="BP115" s="21">
        <f t="shared" si="77"/>
        <v>-0.2</v>
      </c>
      <c r="BQ115" s="1">
        <f t="shared" si="61"/>
        <v>-2.8</v>
      </c>
      <c r="BR115" s="1">
        <f t="shared" si="62"/>
        <v>0.5</v>
      </c>
      <c r="BS115" s="1">
        <f t="shared" si="63"/>
        <v>-10.9</v>
      </c>
      <c r="BT115" s="1" t="s">
        <v>113</v>
      </c>
      <c r="BU115" s="1" t="s">
        <v>113</v>
      </c>
      <c r="BV115" s="1" t="s">
        <v>113</v>
      </c>
      <c r="BW115" s="1" t="str">
        <f t="shared" si="69"/>
        <v>NAN</v>
      </c>
      <c r="BX115" s="1">
        <f t="shared" si="70"/>
        <v>0.33200000000000002</v>
      </c>
      <c r="BY115" s="1">
        <f t="shared" si="71"/>
        <v>0.55800000000000005</v>
      </c>
      <c r="CA115" s="1">
        <f t="shared" si="64"/>
        <v>-4.8</v>
      </c>
      <c r="CB115" s="1">
        <f t="shared" si="65"/>
        <v>-4.6000000000000005</v>
      </c>
    </row>
    <row r="116" spans="1:80" x14ac:dyDescent="0.2">
      <c r="A116" s="9">
        <f t="shared" si="72"/>
        <v>43576</v>
      </c>
      <c r="B116" s="2">
        <v>111</v>
      </c>
      <c r="C116" s="2">
        <v>21</v>
      </c>
      <c r="D116" s="2">
        <v>13.16</v>
      </c>
      <c r="E116" s="2">
        <v>21.43</v>
      </c>
      <c r="F116" s="2">
        <v>-10.45</v>
      </c>
      <c r="G116" s="2">
        <v>2.8260000000000001</v>
      </c>
      <c r="H116" s="2">
        <v>55.19</v>
      </c>
      <c r="I116" s="2">
        <v>0.81699999999999995</v>
      </c>
      <c r="J116" s="2">
        <v>-2.9000000000000001E-2</v>
      </c>
      <c r="K116" s="2">
        <v>-4.0000000000000001E-3</v>
      </c>
      <c r="L116" s="2">
        <v>0.745</v>
      </c>
      <c r="M116" s="2">
        <v>13.07</v>
      </c>
      <c r="N116" s="2">
        <v>99</v>
      </c>
      <c r="O116" s="2">
        <v>14.36</v>
      </c>
      <c r="P116" s="2">
        <v>1.47</v>
      </c>
      <c r="Q116" s="2">
        <v>1.47</v>
      </c>
      <c r="R116" s="2">
        <v>1.605</v>
      </c>
      <c r="S116" s="2">
        <v>-8.59</v>
      </c>
      <c r="T116" s="2">
        <v>15.35</v>
      </c>
      <c r="U116" s="2">
        <v>-10.66</v>
      </c>
      <c r="V116" s="2">
        <v>-0.54900000000000004</v>
      </c>
      <c r="W116" s="2">
        <v>-0.51500000000000001</v>
      </c>
      <c r="X116" s="2">
        <v>0.43</v>
      </c>
      <c r="Y116" s="2">
        <v>2.0569999999999999</v>
      </c>
      <c r="Z116" s="2">
        <v>0</v>
      </c>
      <c r="AA116" s="2">
        <v>23.07</v>
      </c>
      <c r="AB116" s="2">
        <v>15.75</v>
      </c>
      <c r="AC116" s="2">
        <v>1.3260000000000001</v>
      </c>
      <c r="AD116" s="2">
        <v>4.9539999999999997</v>
      </c>
      <c r="AE116" s="2">
        <v>-4.4029999999999996</v>
      </c>
      <c r="AF116" s="2">
        <v>1.2390000000000001</v>
      </c>
      <c r="AG116" s="2">
        <v>-13.85</v>
      </c>
      <c r="AH116" s="2">
        <v>1.2390000000000001</v>
      </c>
      <c r="AI116" s="2">
        <v>-13.85</v>
      </c>
      <c r="AJ116" s="2" t="s">
        <v>113</v>
      </c>
      <c r="AK116" s="2" t="s">
        <v>113</v>
      </c>
      <c r="AL116" s="2">
        <v>2.8210000000000002</v>
      </c>
      <c r="AM116" s="2">
        <v>15.15</v>
      </c>
      <c r="AN116" s="2">
        <v>-9.75</v>
      </c>
      <c r="AO116" s="2"/>
      <c r="AP116" s="1">
        <f t="shared" si="53"/>
        <v>0.39300000000000024</v>
      </c>
      <c r="AQ116" s="23">
        <f t="shared" si="78"/>
        <v>0</v>
      </c>
      <c r="AR116" s="5">
        <v>26.41</v>
      </c>
      <c r="AS116" s="5">
        <v>24.22</v>
      </c>
      <c r="AT116" s="5">
        <v>15.74</v>
      </c>
      <c r="AU116" s="7">
        <f t="shared" si="66"/>
        <v>0.65</v>
      </c>
      <c r="AV116" s="16"/>
      <c r="AW116" s="29">
        <v>0</v>
      </c>
      <c r="AX116" s="29">
        <v>389</v>
      </c>
      <c r="AY116" s="1">
        <f t="shared" si="45"/>
        <v>95.5</v>
      </c>
      <c r="AZ116" s="1">
        <f t="shared" si="46"/>
        <v>53</v>
      </c>
      <c r="BA116" s="1">
        <f t="shared" si="47"/>
        <v>14.4</v>
      </c>
      <c r="BB116" s="8">
        <f t="shared" si="48"/>
        <v>0.217</v>
      </c>
      <c r="BC116" s="8">
        <f t="shared" si="49"/>
        <v>1.29</v>
      </c>
      <c r="BE116" s="5">
        <f t="shared" si="55"/>
        <v>24.22</v>
      </c>
      <c r="BF116" s="5">
        <f t="shared" si="56"/>
        <v>15.74</v>
      </c>
      <c r="BG116" s="1">
        <f t="shared" si="73"/>
        <v>2.8</v>
      </c>
      <c r="BH116" s="1">
        <f t="shared" si="74"/>
        <v>13.1</v>
      </c>
      <c r="BI116" s="1">
        <f t="shared" si="75"/>
        <v>-8.6</v>
      </c>
      <c r="BJ116" s="1">
        <f t="shared" si="57"/>
        <v>53</v>
      </c>
      <c r="BK116" s="1">
        <f t="shared" si="58"/>
        <v>14.4</v>
      </c>
      <c r="BL116" s="1">
        <f t="shared" si="67"/>
        <v>1.3</v>
      </c>
      <c r="BM116" s="1">
        <f t="shared" si="68"/>
        <v>5</v>
      </c>
      <c r="BN116" s="21">
        <f t="shared" si="59"/>
        <v>0</v>
      </c>
      <c r="BO116" s="7">
        <f t="shared" si="60"/>
        <v>0.39300000000000024</v>
      </c>
      <c r="BP116" s="21">
        <f t="shared" si="77"/>
        <v>0</v>
      </c>
      <c r="BQ116" s="1">
        <f t="shared" si="61"/>
        <v>-4.4000000000000004</v>
      </c>
      <c r="BR116" s="1">
        <f t="shared" si="62"/>
        <v>1.2</v>
      </c>
      <c r="BS116" s="1">
        <f t="shared" si="63"/>
        <v>-13.9</v>
      </c>
      <c r="BT116" s="1" t="s">
        <v>113</v>
      </c>
      <c r="BU116" s="1" t="s">
        <v>113</v>
      </c>
      <c r="BV116" s="1" t="s">
        <v>113</v>
      </c>
      <c r="BW116" s="1" t="str">
        <f t="shared" si="69"/>
        <v>NAN</v>
      </c>
      <c r="BX116" s="1">
        <f t="shared" si="70"/>
        <v>0.217</v>
      </c>
      <c r="BY116" s="1">
        <f t="shared" si="71"/>
        <v>1.29</v>
      </c>
      <c r="CA116" s="1">
        <f t="shared" si="64"/>
        <v>-11.9</v>
      </c>
      <c r="CB116" s="1">
        <f t="shared" si="65"/>
        <v>-5.3000000000000007</v>
      </c>
    </row>
    <row r="117" spans="1:80" x14ac:dyDescent="0.2">
      <c r="A117" s="9">
        <f t="shared" si="72"/>
        <v>43577</v>
      </c>
      <c r="B117" s="2">
        <v>112</v>
      </c>
      <c r="C117" s="2">
        <v>21</v>
      </c>
      <c r="D117" s="2">
        <v>13.18</v>
      </c>
      <c r="E117" s="2">
        <v>14.48</v>
      </c>
      <c r="F117" s="2">
        <v>-5.8440000000000003</v>
      </c>
      <c r="G117" s="2">
        <v>3.3460000000000001</v>
      </c>
      <c r="H117" s="2">
        <v>73.099999999999994</v>
      </c>
      <c r="I117" s="2">
        <v>0.96299999999999997</v>
      </c>
      <c r="J117" s="2">
        <v>-0.14799999999999999</v>
      </c>
      <c r="K117" s="2">
        <v>-0.115</v>
      </c>
      <c r="L117" s="2">
        <v>0.68500000000000005</v>
      </c>
      <c r="M117" s="2">
        <v>10.42</v>
      </c>
      <c r="N117" s="2">
        <v>99</v>
      </c>
      <c r="O117" s="2">
        <v>12.94</v>
      </c>
      <c r="P117" s="2">
        <v>0.92600000000000005</v>
      </c>
      <c r="Q117" s="2">
        <v>0.92800000000000005</v>
      </c>
      <c r="R117" s="2">
        <v>1.288</v>
      </c>
      <c r="S117" s="2">
        <v>-4.7539999999999996</v>
      </c>
      <c r="T117" s="2">
        <v>42.37</v>
      </c>
      <c r="U117" s="2">
        <v>-7.58</v>
      </c>
      <c r="V117" s="2">
        <v>-0.45700000000000002</v>
      </c>
      <c r="W117" s="2">
        <v>-0.41299999999999998</v>
      </c>
      <c r="X117" s="2">
        <v>0.52200000000000002</v>
      </c>
      <c r="Y117" s="2">
        <v>2.073</v>
      </c>
      <c r="Z117" s="2">
        <v>0</v>
      </c>
      <c r="AA117" s="2">
        <v>7.35</v>
      </c>
      <c r="AB117" s="2">
        <v>4.867</v>
      </c>
      <c r="AC117" s="2">
        <v>0.92300000000000004</v>
      </c>
      <c r="AD117" s="2">
        <v>3.86</v>
      </c>
      <c r="AE117" s="2">
        <v>-1.5649999999999999</v>
      </c>
      <c r="AF117" s="2">
        <v>1.1499999999999999</v>
      </c>
      <c r="AG117" s="2">
        <v>-8.1</v>
      </c>
      <c r="AH117" s="2">
        <v>1.1499999999999999</v>
      </c>
      <c r="AI117" s="2">
        <v>-8.1</v>
      </c>
      <c r="AJ117" s="2" t="s">
        <v>113</v>
      </c>
      <c r="AK117" s="2" t="s">
        <v>113</v>
      </c>
      <c r="AL117" s="2">
        <v>3.2789999999999999</v>
      </c>
      <c r="AM117" s="2">
        <v>11.87</v>
      </c>
      <c r="AN117" s="2">
        <v>-5.657</v>
      </c>
      <c r="AO117" s="2"/>
      <c r="AP117" s="1">
        <f t="shared" si="53"/>
        <v>0.37700000000000022</v>
      </c>
      <c r="AQ117" s="23">
        <f t="shared" si="78"/>
        <v>-0.1</v>
      </c>
      <c r="AR117" s="5">
        <v>26.63</v>
      </c>
      <c r="AS117" s="5">
        <v>7.72</v>
      </c>
      <c r="AT117" s="5">
        <v>4.8600000000000003</v>
      </c>
      <c r="AU117" s="7">
        <f t="shared" si="66"/>
        <v>0.63</v>
      </c>
      <c r="AV117" s="16"/>
      <c r="AW117" s="29">
        <v>0</v>
      </c>
      <c r="AX117" s="29">
        <v>373</v>
      </c>
      <c r="AY117" s="1">
        <f t="shared" si="45"/>
        <v>95.5</v>
      </c>
      <c r="AZ117" s="1">
        <f t="shared" si="46"/>
        <v>70.400000000000006</v>
      </c>
      <c r="BA117" s="1">
        <f t="shared" si="47"/>
        <v>40.6</v>
      </c>
      <c r="BB117" s="8">
        <f t="shared" si="48"/>
        <v>0.51300000000000001</v>
      </c>
      <c r="BC117" s="8">
        <f t="shared" si="49"/>
        <v>0.751</v>
      </c>
      <c r="BE117" s="5">
        <f t="shared" si="55"/>
        <v>7.72</v>
      </c>
      <c r="BF117" s="5">
        <f t="shared" si="56"/>
        <v>4.8600000000000003</v>
      </c>
      <c r="BG117" s="1">
        <f t="shared" si="73"/>
        <v>3.3</v>
      </c>
      <c r="BH117" s="1">
        <f t="shared" si="74"/>
        <v>10.4</v>
      </c>
      <c r="BI117" s="1">
        <f t="shared" si="75"/>
        <v>-4.8</v>
      </c>
      <c r="BJ117" s="1">
        <f t="shared" si="57"/>
        <v>70.400000000000006</v>
      </c>
      <c r="BK117" s="1">
        <f t="shared" si="58"/>
        <v>40.6</v>
      </c>
      <c r="BL117" s="1">
        <f t="shared" si="67"/>
        <v>0.9</v>
      </c>
      <c r="BM117" s="1">
        <f t="shared" si="68"/>
        <v>3.9</v>
      </c>
      <c r="BN117" s="21">
        <f t="shared" si="59"/>
        <v>0</v>
      </c>
      <c r="BO117" s="7">
        <f t="shared" si="60"/>
        <v>0.37700000000000022</v>
      </c>
      <c r="BP117" s="21">
        <f t="shared" si="77"/>
        <v>-0.1</v>
      </c>
      <c r="BQ117" s="1">
        <f t="shared" si="61"/>
        <v>-1.6</v>
      </c>
      <c r="BR117" s="1">
        <f t="shared" si="62"/>
        <v>1.2</v>
      </c>
      <c r="BS117" s="1">
        <f t="shared" si="63"/>
        <v>-8.1</v>
      </c>
      <c r="BT117" s="1" t="s">
        <v>113</v>
      </c>
      <c r="BU117" s="1" t="s">
        <v>113</v>
      </c>
      <c r="BV117" s="1" t="s">
        <v>113</v>
      </c>
      <c r="BW117" s="1" t="str">
        <f t="shared" si="69"/>
        <v>NAN</v>
      </c>
      <c r="BX117" s="1">
        <f t="shared" si="70"/>
        <v>0.51300000000000001</v>
      </c>
      <c r="BY117" s="1">
        <f t="shared" si="71"/>
        <v>0.751</v>
      </c>
      <c r="CA117" s="1">
        <f t="shared" si="64"/>
        <v>-9.2000000000000011</v>
      </c>
      <c r="CB117" s="1">
        <f t="shared" si="65"/>
        <v>-3.3</v>
      </c>
    </row>
    <row r="118" spans="1:80" x14ac:dyDescent="0.2">
      <c r="A118" s="9">
        <f t="shared" si="72"/>
        <v>43578</v>
      </c>
      <c r="B118" s="2">
        <v>113</v>
      </c>
      <c r="C118" s="2">
        <v>21</v>
      </c>
      <c r="D118" s="2">
        <v>13.16</v>
      </c>
      <c r="E118" s="2">
        <v>15.05</v>
      </c>
      <c r="F118" s="2">
        <v>-3.3090000000000002</v>
      </c>
      <c r="G118" s="2">
        <v>3.9780000000000002</v>
      </c>
      <c r="H118" s="2">
        <v>72.5</v>
      </c>
      <c r="I118" s="2">
        <v>2.6669999999999998</v>
      </c>
      <c r="J118" s="2">
        <v>-0.13900000000000001</v>
      </c>
      <c r="K118" s="2">
        <v>-0.105</v>
      </c>
      <c r="L118" s="2">
        <v>0.71699999999999997</v>
      </c>
      <c r="M118" s="2">
        <v>9.15</v>
      </c>
      <c r="N118" s="2">
        <v>95.5</v>
      </c>
      <c r="O118" s="2">
        <v>15.1</v>
      </c>
      <c r="P118" s="2">
        <v>1.246</v>
      </c>
      <c r="Q118" s="2">
        <v>1.246</v>
      </c>
      <c r="R118" s="2">
        <v>1.339</v>
      </c>
      <c r="S118" s="2">
        <v>-3.2090000000000001</v>
      </c>
      <c r="T118" s="2">
        <v>39.22</v>
      </c>
      <c r="U118" s="2">
        <v>-7.51</v>
      </c>
      <c r="V118" s="2">
        <v>-0.61499999999999999</v>
      </c>
      <c r="W118" s="2">
        <v>-0.57099999999999995</v>
      </c>
      <c r="X118" s="2">
        <v>0.40100000000000002</v>
      </c>
      <c r="Y118" s="2">
        <v>2.113</v>
      </c>
      <c r="Z118" s="2">
        <v>0</v>
      </c>
      <c r="AA118" s="2">
        <v>16.32</v>
      </c>
      <c r="AB118" s="2">
        <v>10.6</v>
      </c>
      <c r="AC118" s="2">
        <v>2.254</v>
      </c>
      <c r="AD118" s="2">
        <v>6.98</v>
      </c>
      <c r="AE118" s="2">
        <v>-0.86799999999999999</v>
      </c>
      <c r="AF118" s="2">
        <v>1.274</v>
      </c>
      <c r="AG118" s="2">
        <v>-7.21</v>
      </c>
      <c r="AH118" s="2">
        <v>1.274</v>
      </c>
      <c r="AI118" s="2">
        <v>-7.21</v>
      </c>
      <c r="AJ118" s="2" t="s">
        <v>113</v>
      </c>
      <c r="AK118" s="2" t="s">
        <v>113</v>
      </c>
      <c r="AL118" s="2">
        <v>4.1429999999999998</v>
      </c>
      <c r="AM118" s="2">
        <v>10.56</v>
      </c>
      <c r="AN118" s="2">
        <v>-4.2240000000000002</v>
      </c>
      <c r="AO118" s="2"/>
      <c r="AP118" s="1">
        <f t="shared" si="53"/>
        <v>0.33700000000000019</v>
      </c>
      <c r="AQ118" s="23">
        <f t="shared" si="78"/>
        <v>-0.1</v>
      </c>
      <c r="AR118" s="5">
        <v>26.85</v>
      </c>
      <c r="AS118" s="5">
        <v>17.14</v>
      </c>
      <c r="AT118" s="5">
        <v>10.59</v>
      </c>
      <c r="AU118" s="7">
        <f t="shared" si="66"/>
        <v>0.61799999999999999</v>
      </c>
      <c r="AV118" s="16"/>
      <c r="AW118" s="29">
        <v>0</v>
      </c>
      <c r="AX118" s="29">
        <v>333</v>
      </c>
      <c r="AY118" s="1">
        <f t="shared" si="45"/>
        <v>92.1</v>
      </c>
      <c r="AZ118" s="1">
        <f t="shared" si="46"/>
        <v>69.8</v>
      </c>
      <c r="BA118" s="1">
        <f t="shared" si="47"/>
        <v>37.5</v>
      </c>
      <c r="BB118" s="8">
        <f t="shared" si="48"/>
        <v>0.435</v>
      </c>
      <c r="BC118" s="8">
        <f t="shared" si="49"/>
        <v>0.72499999999999998</v>
      </c>
      <c r="BE118" s="5">
        <f t="shared" si="55"/>
        <v>17.14</v>
      </c>
      <c r="BF118" s="5">
        <f t="shared" si="56"/>
        <v>10.59</v>
      </c>
      <c r="BG118" s="1">
        <f t="shared" si="73"/>
        <v>4</v>
      </c>
      <c r="BH118" s="1">
        <f t="shared" si="74"/>
        <v>9.1999999999999993</v>
      </c>
      <c r="BI118" s="1">
        <f t="shared" si="75"/>
        <v>-3.2</v>
      </c>
      <c r="BJ118" s="1">
        <f t="shared" si="57"/>
        <v>69.8</v>
      </c>
      <c r="BK118" s="1">
        <f t="shared" si="58"/>
        <v>37.5</v>
      </c>
      <c r="BL118" s="1">
        <f t="shared" si="67"/>
        <v>2.2999999999999998</v>
      </c>
      <c r="BM118" s="1">
        <f t="shared" si="68"/>
        <v>7</v>
      </c>
      <c r="BN118" s="21">
        <f t="shared" si="59"/>
        <v>0</v>
      </c>
      <c r="BO118" s="7">
        <f t="shared" si="60"/>
        <v>0.33700000000000019</v>
      </c>
      <c r="BP118" s="21">
        <f t="shared" si="77"/>
        <v>-0.1</v>
      </c>
      <c r="BQ118" s="1">
        <f t="shared" si="61"/>
        <v>-0.9</v>
      </c>
      <c r="BR118" s="1">
        <f t="shared" si="62"/>
        <v>1.3</v>
      </c>
      <c r="BS118" s="1">
        <f t="shared" si="63"/>
        <v>-7.2</v>
      </c>
      <c r="BT118" s="1" t="s">
        <v>113</v>
      </c>
      <c r="BU118" s="1" t="s">
        <v>113</v>
      </c>
      <c r="BV118" s="1" t="s">
        <v>113</v>
      </c>
      <c r="BW118" s="1" t="str">
        <f t="shared" si="69"/>
        <v>NAN</v>
      </c>
      <c r="BX118" s="1">
        <f t="shared" si="70"/>
        <v>0.435</v>
      </c>
      <c r="BY118" s="1">
        <f t="shared" si="71"/>
        <v>0.72499999999999998</v>
      </c>
      <c r="CA118" s="1">
        <f t="shared" si="64"/>
        <v>-7.8999999999999995</v>
      </c>
      <c r="CB118" s="1">
        <f t="shared" si="65"/>
        <v>-4</v>
      </c>
    </row>
    <row r="119" spans="1:80" x14ac:dyDescent="0.2">
      <c r="A119" s="9">
        <f t="shared" si="72"/>
        <v>43579</v>
      </c>
      <c r="B119" s="2">
        <v>114</v>
      </c>
      <c r="C119" s="2">
        <v>21</v>
      </c>
      <c r="D119" s="2">
        <v>13.14</v>
      </c>
      <c r="E119" s="2">
        <v>16.239999999999998</v>
      </c>
      <c r="F119" s="2">
        <v>-6.056</v>
      </c>
      <c r="G119" s="2">
        <v>0.26600000000000001</v>
      </c>
      <c r="H119" s="2">
        <v>70</v>
      </c>
      <c r="I119" s="2">
        <v>-0.22900000000000001</v>
      </c>
      <c r="J119" s="2">
        <v>-0.16500000000000001</v>
      </c>
      <c r="K119" s="2">
        <v>-0.127</v>
      </c>
      <c r="L119" s="2">
        <v>0.69899999999999995</v>
      </c>
      <c r="M119" s="2">
        <v>6.8659999999999997</v>
      </c>
      <c r="N119" s="2">
        <v>99.3</v>
      </c>
      <c r="O119" s="2">
        <v>13.68</v>
      </c>
      <c r="P119" s="2">
        <v>1.085</v>
      </c>
      <c r="Q119" s="2">
        <v>1.0960000000000001</v>
      </c>
      <c r="R119" s="2">
        <v>1.329</v>
      </c>
      <c r="S119" s="2">
        <v>-6.0449999999999999</v>
      </c>
      <c r="T119" s="2">
        <v>34.93</v>
      </c>
      <c r="U119" s="2">
        <v>-10.82</v>
      </c>
      <c r="V119" s="2">
        <v>-0.75600000000000001</v>
      </c>
      <c r="W119" s="2">
        <v>-0.72199999999999998</v>
      </c>
      <c r="X119" s="2">
        <v>0.27400000000000002</v>
      </c>
      <c r="Y119" s="2">
        <v>2.1240000000000001</v>
      </c>
      <c r="Z119" s="2">
        <v>0</v>
      </c>
      <c r="AA119" s="2">
        <v>19.45</v>
      </c>
      <c r="AB119" s="2">
        <v>12.92</v>
      </c>
      <c r="AC119" s="2">
        <v>1.621</v>
      </c>
      <c r="AD119" s="2">
        <v>5.9669999999999996</v>
      </c>
      <c r="AE119" s="2">
        <v>-3.6320000000000001</v>
      </c>
      <c r="AF119" s="2">
        <v>1.0900000000000001</v>
      </c>
      <c r="AG119" s="2">
        <v>-10.35</v>
      </c>
      <c r="AH119" s="2">
        <v>1.0900000000000001</v>
      </c>
      <c r="AI119" s="2">
        <v>-10.35</v>
      </c>
      <c r="AJ119" s="2" t="s">
        <v>113</v>
      </c>
      <c r="AK119" s="2" t="s">
        <v>113</v>
      </c>
      <c r="AL119" s="2">
        <v>0.86199999999999999</v>
      </c>
      <c r="AM119" s="2">
        <v>10.27</v>
      </c>
      <c r="AN119" s="2">
        <v>-7.26</v>
      </c>
      <c r="AO119" s="2"/>
      <c r="AP119" s="1">
        <f t="shared" si="53"/>
        <v>0.32600000000000007</v>
      </c>
      <c r="AQ119" s="23">
        <f t="shared" si="78"/>
        <v>-0.1</v>
      </c>
      <c r="AR119" s="5">
        <v>27.07</v>
      </c>
      <c r="AS119" s="5">
        <v>20.420000000000002</v>
      </c>
      <c r="AT119" s="5">
        <v>12.92</v>
      </c>
      <c r="AU119" s="7">
        <f t="shared" si="66"/>
        <v>0.63300000000000001</v>
      </c>
      <c r="AV119" s="16"/>
      <c r="AW119" s="29">
        <v>0</v>
      </c>
      <c r="AX119" s="29">
        <v>322</v>
      </c>
      <c r="AY119" s="1">
        <f t="shared" si="45"/>
        <v>95.8</v>
      </c>
      <c r="AZ119" s="1">
        <f t="shared" si="46"/>
        <v>67.400000000000006</v>
      </c>
      <c r="BA119" s="1">
        <f t="shared" si="47"/>
        <v>33.4</v>
      </c>
      <c r="BB119" s="8">
        <f t="shared" si="48"/>
        <v>0.33100000000000002</v>
      </c>
      <c r="BC119" s="8">
        <f t="shared" si="49"/>
        <v>0.66</v>
      </c>
      <c r="BE119" s="5">
        <f t="shared" si="55"/>
        <v>20.420000000000002</v>
      </c>
      <c r="BF119" s="5">
        <f t="shared" si="56"/>
        <v>12.92</v>
      </c>
      <c r="BG119" s="1">
        <f t="shared" si="73"/>
        <v>0.3</v>
      </c>
      <c r="BH119" s="1">
        <f t="shared" si="74"/>
        <v>6.9</v>
      </c>
      <c r="BI119" s="1">
        <f t="shared" si="75"/>
        <v>-6</v>
      </c>
      <c r="BJ119" s="1">
        <f t="shared" si="57"/>
        <v>67.400000000000006</v>
      </c>
      <c r="BK119" s="1">
        <f t="shared" si="58"/>
        <v>33.4</v>
      </c>
      <c r="BL119" s="1">
        <f t="shared" si="67"/>
        <v>1.6</v>
      </c>
      <c r="BM119" s="1">
        <f t="shared" si="68"/>
        <v>6</v>
      </c>
      <c r="BN119" s="21">
        <f t="shared" si="59"/>
        <v>0</v>
      </c>
      <c r="BO119" s="7">
        <f t="shared" si="60"/>
        <v>0.32600000000000007</v>
      </c>
      <c r="BP119" s="21">
        <f t="shared" si="77"/>
        <v>-0.1</v>
      </c>
      <c r="BQ119" s="1">
        <f t="shared" si="61"/>
        <v>-3.6</v>
      </c>
      <c r="BR119" s="1">
        <f t="shared" si="62"/>
        <v>1.1000000000000001</v>
      </c>
      <c r="BS119" s="1">
        <f t="shared" si="63"/>
        <v>-10.4</v>
      </c>
      <c r="BT119" s="1" t="s">
        <v>113</v>
      </c>
      <c r="BU119" s="1" t="s">
        <v>113</v>
      </c>
      <c r="BV119" s="1" t="s">
        <v>113</v>
      </c>
      <c r="BW119" s="1" t="str">
        <f t="shared" si="69"/>
        <v>NAN</v>
      </c>
      <c r="BX119" s="1">
        <f t="shared" si="70"/>
        <v>0.33100000000000002</v>
      </c>
      <c r="BY119" s="1">
        <f t="shared" si="71"/>
        <v>0.66</v>
      </c>
      <c r="CA119" s="1">
        <f t="shared" si="64"/>
        <v>-5.8000000000000007</v>
      </c>
      <c r="CB119" s="1">
        <f t="shared" si="65"/>
        <v>-4.4000000000000004</v>
      </c>
    </row>
    <row r="120" spans="1:80" x14ac:dyDescent="0.2">
      <c r="A120" s="9">
        <f t="shared" si="72"/>
        <v>43580</v>
      </c>
      <c r="B120" s="2">
        <v>115</v>
      </c>
      <c r="C120" s="2">
        <v>21</v>
      </c>
      <c r="D120" s="2">
        <v>13.18</v>
      </c>
      <c r="E120" s="2">
        <v>21.17</v>
      </c>
      <c r="F120" s="2">
        <v>-10.11</v>
      </c>
      <c r="G120" s="2">
        <v>2.2320000000000002</v>
      </c>
      <c r="H120" s="2">
        <v>60.33</v>
      </c>
      <c r="I120" s="2">
        <v>0.55000000000000004</v>
      </c>
      <c r="J120" s="2">
        <v>-6.0000000000000001E-3</v>
      </c>
      <c r="K120" s="2">
        <v>3.2000000000000001E-2</v>
      </c>
      <c r="L120" s="2">
        <v>0.751</v>
      </c>
      <c r="M120" s="2">
        <v>11.06</v>
      </c>
      <c r="N120" s="2">
        <v>98.9</v>
      </c>
      <c r="O120" s="2">
        <v>15.84</v>
      </c>
      <c r="P120" s="2">
        <v>1.103</v>
      </c>
      <c r="Q120" s="2">
        <v>1.115</v>
      </c>
      <c r="R120" s="2">
        <v>1.4530000000000001</v>
      </c>
      <c r="S120" s="2">
        <v>-8.19</v>
      </c>
      <c r="T120" s="2">
        <v>19.09</v>
      </c>
      <c r="U120" s="2">
        <v>-13.74</v>
      </c>
      <c r="V120" s="2">
        <v>-0.46</v>
      </c>
      <c r="W120" s="2">
        <v>-0.40600000000000003</v>
      </c>
      <c r="X120" s="2">
        <v>0.31900000000000001</v>
      </c>
      <c r="Y120" s="2">
        <v>2.1509999999999998</v>
      </c>
      <c r="Z120" s="2">
        <v>0.254</v>
      </c>
      <c r="AA120" s="2">
        <v>20.07</v>
      </c>
      <c r="AB120" s="2">
        <v>13.68</v>
      </c>
      <c r="AC120" s="2">
        <v>0.96499999999999997</v>
      </c>
      <c r="AD120" s="2">
        <v>4.34</v>
      </c>
      <c r="AE120" s="2">
        <v>-3.4860000000000002</v>
      </c>
      <c r="AF120" s="2">
        <v>1.423</v>
      </c>
      <c r="AG120" s="2">
        <v>-13.45</v>
      </c>
      <c r="AH120" s="2">
        <v>1.423</v>
      </c>
      <c r="AI120" s="2">
        <v>-13.45</v>
      </c>
      <c r="AJ120" s="2" t="s">
        <v>113</v>
      </c>
      <c r="AK120" s="2" t="s">
        <v>113</v>
      </c>
      <c r="AL120" s="2">
        <v>2.5449999999999999</v>
      </c>
      <c r="AM120" s="2">
        <v>14.99</v>
      </c>
      <c r="AN120" s="2">
        <v>-9.7200000000000006</v>
      </c>
      <c r="AO120" s="2"/>
      <c r="AP120" s="1">
        <f t="shared" si="53"/>
        <v>0.29900000000000038</v>
      </c>
      <c r="AQ120" s="23">
        <f t="shared" si="78"/>
        <v>0</v>
      </c>
      <c r="AR120" s="5">
        <v>27.29</v>
      </c>
      <c r="AS120" s="5">
        <v>21.07</v>
      </c>
      <c r="AT120" s="5">
        <v>13.67</v>
      </c>
      <c r="AU120" s="7">
        <f t="shared" si="66"/>
        <v>0.64900000000000002</v>
      </c>
      <c r="AV120" s="16"/>
      <c r="AW120" s="29">
        <v>0</v>
      </c>
      <c r="AX120" s="29">
        <v>295</v>
      </c>
      <c r="AY120" s="1">
        <f t="shared" si="45"/>
        <v>95.4</v>
      </c>
      <c r="AZ120" s="1">
        <f t="shared" si="46"/>
        <v>58</v>
      </c>
      <c r="BA120" s="1">
        <f t="shared" si="47"/>
        <v>18</v>
      </c>
      <c r="BB120" s="8">
        <f t="shared" si="48"/>
        <v>0.23699999999999999</v>
      </c>
      <c r="BC120" s="8">
        <f t="shared" si="49"/>
        <v>1.08</v>
      </c>
      <c r="BE120" s="5">
        <f t="shared" si="55"/>
        <v>21.07</v>
      </c>
      <c r="BF120" s="5">
        <f t="shared" si="56"/>
        <v>13.67</v>
      </c>
      <c r="BG120" s="1">
        <f t="shared" si="73"/>
        <v>2.2000000000000002</v>
      </c>
      <c r="BH120" s="1">
        <f t="shared" si="74"/>
        <v>11.1</v>
      </c>
      <c r="BI120" s="1">
        <f t="shared" si="75"/>
        <v>-8.1999999999999993</v>
      </c>
      <c r="BJ120" s="1">
        <f t="shared" si="57"/>
        <v>58</v>
      </c>
      <c r="BK120" s="1">
        <f t="shared" si="58"/>
        <v>18</v>
      </c>
      <c r="BL120" s="1">
        <f t="shared" si="67"/>
        <v>1</v>
      </c>
      <c r="BM120" s="1">
        <f t="shared" si="68"/>
        <v>4.3</v>
      </c>
      <c r="BN120" s="21">
        <f t="shared" si="59"/>
        <v>0</v>
      </c>
      <c r="BO120" s="7">
        <f t="shared" si="60"/>
        <v>0.29900000000000038</v>
      </c>
      <c r="BP120" s="21">
        <f t="shared" si="77"/>
        <v>0</v>
      </c>
      <c r="BQ120" s="1">
        <f t="shared" si="61"/>
        <v>-3.5</v>
      </c>
      <c r="BR120" s="1">
        <f t="shared" si="62"/>
        <v>1.4</v>
      </c>
      <c r="BS120" s="1">
        <f t="shared" si="63"/>
        <v>-13.5</v>
      </c>
      <c r="BT120" s="1" t="s">
        <v>113</v>
      </c>
      <c r="BU120" s="1" t="s">
        <v>113</v>
      </c>
      <c r="BV120" s="1" t="s">
        <v>113</v>
      </c>
      <c r="BW120" s="1" t="str">
        <f t="shared" si="69"/>
        <v>NAN</v>
      </c>
      <c r="BX120" s="1">
        <f t="shared" si="70"/>
        <v>0.23699999999999999</v>
      </c>
      <c r="BY120" s="1">
        <f t="shared" si="71"/>
        <v>1.08</v>
      </c>
      <c r="CA120" s="1">
        <f t="shared" si="64"/>
        <v>-9.6999999999999993</v>
      </c>
      <c r="CB120" s="1">
        <f t="shared" si="65"/>
        <v>-5.3000000000000007</v>
      </c>
    </row>
    <row r="121" spans="1:80" x14ac:dyDescent="0.2">
      <c r="A121" s="9">
        <f t="shared" si="72"/>
        <v>43581</v>
      </c>
      <c r="B121" s="2">
        <v>116</v>
      </c>
      <c r="C121" s="2">
        <v>21</v>
      </c>
      <c r="D121" s="2">
        <v>13.18</v>
      </c>
      <c r="E121" s="2">
        <v>16.57</v>
      </c>
      <c r="F121" s="2">
        <v>-3.5139999999999998</v>
      </c>
      <c r="G121" s="2">
        <v>3.3039999999999998</v>
      </c>
      <c r="H121" s="2">
        <v>56.36</v>
      </c>
      <c r="I121" s="2">
        <v>2.9990000000000001</v>
      </c>
      <c r="J121" s="2">
        <v>-6.0999999999999999E-2</v>
      </c>
      <c r="K121" s="2">
        <v>-0.02</v>
      </c>
      <c r="L121" s="2">
        <v>0.72799999999999998</v>
      </c>
      <c r="M121" s="2">
        <v>9.39</v>
      </c>
      <c r="N121" s="2">
        <v>98.4</v>
      </c>
      <c r="O121" s="2">
        <v>13.8</v>
      </c>
      <c r="P121" s="2">
        <v>1.3819999999999999</v>
      </c>
      <c r="Q121" s="2">
        <v>1.3879999999999999</v>
      </c>
      <c r="R121" s="2">
        <v>1.637</v>
      </c>
      <c r="S121" s="2">
        <v>-2.9969999999999999</v>
      </c>
      <c r="T121" s="2">
        <v>21.84</v>
      </c>
      <c r="U121" s="2">
        <v>-6.1820000000000004</v>
      </c>
      <c r="V121" s="2">
        <v>-0.44600000000000001</v>
      </c>
      <c r="W121" s="2">
        <v>-0.38500000000000001</v>
      </c>
      <c r="X121" s="2">
        <v>0.43099999999999999</v>
      </c>
      <c r="Y121" s="2">
        <v>2.1739999999999999</v>
      </c>
      <c r="Z121" s="2">
        <v>0</v>
      </c>
      <c r="AA121" s="2">
        <v>19.79</v>
      </c>
      <c r="AB121" s="2">
        <v>13.15</v>
      </c>
      <c r="AC121" s="2">
        <v>2.4609999999999999</v>
      </c>
      <c r="AD121" s="2">
        <v>7.81</v>
      </c>
      <c r="AE121" s="2">
        <v>-1.415</v>
      </c>
      <c r="AF121" s="2">
        <v>1.573</v>
      </c>
      <c r="AG121" s="2">
        <v>-6.556</v>
      </c>
      <c r="AH121" s="2">
        <v>1.573</v>
      </c>
      <c r="AI121" s="2">
        <v>-6.556</v>
      </c>
      <c r="AJ121" s="2" t="s">
        <v>113</v>
      </c>
      <c r="AK121" s="2" t="s">
        <v>113</v>
      </c>
      <c r="AL121" s="2">
        <v>3.6619999999999999</v>
      </c>
      <c r="AM121" s="2">
        <v>11.15</v>
      </c>
      <c r="AN121" s="2">
        <v>-4.0049999999999999</v>
      </c>
      <c r="AO121" s="2"/>
      <c r="AP121" s="1">
        <f t="shared" si="53"/>
        <v>0.27600000000000025</v>
      </c>
      <c r="AQ121" s="23">
        <f t="shared" si="78"/>
        <v>0</v>
      </c>
      <c r="AR121" s="5">
        <v>27.5</v>
      </c>
      <c r="AS121" s="5">
        <v>20.77</v>
      </c>
      <c r="AT121" s="5">
        <v>13.14</v>
      </c>
      <c r="AU121" s="7">
        <f t="shared" si="66"/>
        <v>0.63300000000000001</v>
      </c>
      <c r="AV121" s="16"/>
      <c r="AW121" s="29">
        <v>0</v>
      </c>
      <c r="AX121" s="29">
        <v>272</v>
      </c>
      <c r="AY121" s="1">
        <f t="shared" si="45"/>
        <v>94.9</v>
      </c>
      <c r="AZ121" s="1">
        <f t="shared" si="46"/>
        <v>54.2</v>
      </c>
      <c r="BA121" s="1">
        <f t="shared" si="47"/>
        <v>20.7</v>
      </c>
      <c r="BB121" s="8">
        <f t="shared" si="48"/>
        <v>0.24399999999999999</v>
      </c>
      <c r="BC121" s="8">
        <f t="shared" si="49"/>
        <v>0.93500000000000005</v>
      </c>
      <c r="BE121" s="5">
        <f t="shared" si="55"/>
        <v>20.77</v>
      </c>
      <c r="BF121" s="5">
        <f t="shared" si="56"/>
        <v>13.14</v>
      </c>
      <c r="BG121" s="1">
        <f t="shared" si="73"/>
        <v>3.3</v>
      </c>
      <c r="BH121" s="1">
        <f t="shared" si="74"/>
        <v>9.4</v>
      </c>
      <c r="BI121" s="1">
        <f t="shared" si="75"/>
        <v>-3</v>
      </c>
      <c r="BJ121" s="1">
        <f t="shared" si="57"/>
        <v>54.2</v>
      </c>
      <c r="BK121" s="1">
        <f t="shared" si="58"/>
        <v>20.7</v>
      </c>
      <c r="BL121" s="1">
        <f t="shared" si="67"/>
        <v>2.5</v>
      </c>
      <c r="BM121" s="1">
        <f t="shared" si="68"/>
        <v>7.8</v>
      </c>
      <c r="BN121" s="21">
        <f t="shared" si="59"/>
        <v>0</v>
      </c>
      <c r="BO121" s="7">
        <f t="shared" si="60"/>
        <v>0.27600000000000025</v>
      </c>
      <c r="BP121" s="21">
        <f t="shared" si="77"/>
        <v>0</v>
      </c>
      <c r="BQ121" s="1">
        <f t="shared" si="61"/>
        <v>-1.4</v>
      </c>
      <c r="BR121" s="1">
        <f t="shared" si="62"/>
        <v>1.6</v>
      </c>
      <c r="BS121" s="1">
        <f t="shared" si="63"/>
        <v>-6.6</v>
      </c>
      <c r="BT121" s="1" t="s">
        <v>113</v>
      </c>
      <c r="BU121" s="1" t="s">
        <v>113</v>
      </c>
      <c r="BV121" s="1" t="s">
        <v>113</v>
      </c>
      <c r="BW121" s="1" t="str">
        <f t="shared" si="69"/>
        <v>NAN</v>
      </c>
      <c r="BX121" s="1">
        <f t="shared" si="70"/>
        <v>0.24399999999999999</v>
      </c>
      <c r="BY121" s="1">
        <f t="shared" si="71"/>
        <v>0.93500000000000005</v>
      </c>
      <c r="CA121" s="1">
        <f t="shared" si="64"/>
        <v>-7.8000000000000007</v>
      </c>
      <c r="CB121" s="1">
        <f t="shared" si="65"/>
        <v>-3.5999999999999996</v>
      </c>
    </row>
    <row r="122" spans="1:80" x14ac:dyDescent="0.2">
      <c r="A122" s="9">
        <f t="shared" si="72"/>
        <v>43582</v>
      </c>
      <c r="B122" s="2">
        <v>117</v>
      </c>
      <c r="C122" s="2">
        <v>21</v>
      </c>
      <c r="D122" s="2">
        <v>13.21</v>
      </c>
      <c r="E122" s="2">
        <v>5.657</v>
      </c>
      <c r="F122" s="2">
        <v>-3.2050000000000001</v>
      </c>
      <c r="G122" s="2">
        <v>-2.778</v>
      </c>
      <c r="H122" s="2">
        <v>78.7</v>
      </c>
      <c r="I122" s="2">
        <v>-2.294</v>
      </c>
      <c r="J122" s="2">
        <v>-0.19800000000000001</v>
      </c>
      <c r="K122" s="2">
        <v>-0.14299999999999999</v>
      </c>
      <c r="L122" s="2">
        <v>0.63100000000000001</v>
      </c>
      <c r="M122" s="2">
        <v>-4.1000000000000002E-2</v>
      </c>
      <c r="N122" s="2">
        <v>96.8</v>
      </c>
      <c r="O122" s="2">
        <v>4.3230000000000004</v>
      </c>
      <c r="P122" s="2">
        <v>0.51900000000000002</v>
      </c>
      <c r="Q122" s="2">
        <v>0.55300000000000005</v>
      </c>
      <c r="R122" s="2">
        <v>1.022</v>
      </c>
      <c r="S122" s="2">
        <v>-4.8490000000000002</v>
      </c>
      <c r="T122" s="2">
        <v>56.71</v>
      </c>
      <c r="U122" s="2">
        <v>-6.2169999999999996</v>
      </c>
      <c r="V122" s="2">
        <v>-0.42599999999999999</v>
      </c>
      <c r="W122" s="2">
        <v>-0.36299999999999999</v>
      </c>
      <c r="X122" s="2">
        <v>0.499</v>
      </c>
      <c r="Y122" s="2">
        <v>2.1619999999999999</v>
      </c>
      <c r="Z122" s="2">
        <v>0.254</v>
      </c>
      <c r="AA122" s="2">
        <v>14.33</v>
      </c>
      <c r="AB122" s="2">
        <v>10.98</v>
      </c>
      <c r="AC122" s="2">
        <v>2.8359999999999999</v>
      </c>
      <c r="AD122" s="2">
        <v>7.94</v>
      </c>
      <c r="AE122" s="2">
        <v>-3.6059999999999999</v>
      </c>
      <c r="AF122" s="2">
        <v>-0.189</v>
      </c>
      <c r="AG122" s="2">
        <v>-9.74</v>
      </c>
      <c r="AH122" s="2">
        <v>-0.189</v>
      </c>
      <c r="AI122" s="2">
        <v>-9.74</v>
      </c>
      <c r="AJ122" s="2" t="s">
        <v>113</v>
      </c>
      <c r="AK122" s="2" t="s">
        <v>113</v>
      </c>
      <c r="AL122" s="2">
        <v>-2.2799999999999998</v>
      </c>
      <c r="AM122" s="2">
        <v>-0.28199999999999997</v>
      </c>
      <c r="AN122" s="2">
        <v>-4.0960000000000001</v>
      </c>
      <c r="AO122" s="2"/>
      <c r="AP122" s="1">
        <f t="shared" si="53"/>
        <v>0.28800000000000026</v>
      </c>
      <c r="AQ122" s="23">
        <f t="shared" si="78"/>
        <v>-0.2</v>
      </c>
      <c r="AR122" s="5">
        <v>27.71</v>
      </c>
      <c r="AS122" s="5">
        <v>15.04</v>
      </c>
      <c r="AT122" s="5">
        <v>10.98</v>
      </c>
      <c r="AU122" s="7">
        <f t="shared" si="66"/>
        <v>0.73</v>
      </c>
      <c r="AV122" s="16"/>
      <c r="AW122" s="29">
        <v>4.51</v>
      </c>
      <c r="AX122" s="29">
        <v>295</v>
      </c>
      <c r="AY122" s="1">
        <f t="shared" si="45"/>
        <v>93.4</v>
      </c>
      <c r="AZ122" s="1">
        <f t="shared" si="46"/>
        <v>75.8</v>
      </c>
      <c r="BA122" s="1">
        <f t="shared" si="47"/>
        <v>54.5</v>
      </c>
      <c r="BB122" s="8">
        <f t="shared" si="48"/>
        <v>0.33200000000000002</v>
      </c>
      <c r="BC122" s="8">
        <f t="shared" si="49"/>
        <v>0.27700000000000002</v>
      </c>
      <c r="BE122" s="5">
        <f t="shared" si="55"/>
        <v>15.04</v>
      </c>
      <c r="BF122" s="5">
        <f t="shared" si="56"/>
        <v>10.98</v>
      </c>
      <c r="BG122" s="1">
        <f t="shared" si="73"/>
        <v>-2.8</v>
      </c>
      <c r="BH122" s="1">
        <f t="shared" si="74"/>
        <v>0</v>
      </c>
      <c r="BI122" s="1">
        <f t="shared" si="75"/>
        <v>-4.8</v>
      </c>
      <c r="BJ122" s="1">
        <f t="shared" si="57"/>
        <v>75.8</v>
      </c>
      <c r="BK122" s="1">
        <f t="shared" si="58"/>
        <v>54.5</v>
      </c>
      <c r="BL122" s="1">
        <f t="shared" si="67"/>
        <v>2.8</v>
      </c>
      <c r="BM122" s="1">
        <f t="shared" si="68"/>
        <v>7.9</v>
      </c>
      <c r="BN122" s="21">
        <f t="shared" si="59"/>
        <v>4.51</v>
      </c>
      <c r="BO122" s="7">
        <f t="shared" si="60"/>
        <v>0.28800000000000026</v>
      </c>
      <c r="BP122" s="21">
        <f t="shared" si="77"/>
        <v>-0.2</v>
      </c>
      <c r="BQ122" s="1">
        <f t="shared" si="61"/>
        <v>-3.6</v>
      </c>
      <c r="BR122" s="1">
        <f t="shared" si="62"/>
        <v>-0.2</v>
      </c>
      <c r="BS122" s="1">
        <f t="shared" si="63"/>
        <v>-9.6999999999999993</v>
      </c>
      <c r="BT122" s="1" t="s">
        <v>113</v>
      </c>
      <c r="BU122" s="1" t="s">
        <v>113</v>
      </c>
      <c r="BV122" s="1" t="s">
        <v>113</v>
      </c>
      <c r="BW122" s="1" t="str">
        <f t="shared" si="69"/>
        <v>NAN</v>
      </c>
      <c r="BX122" s="1">
        <f t="shared" si="70"/>
        <v>0.33200000000000002</v>
      </c>
      <c r="BY122" s="1">
        <f t="shared" si="71"/>
        <v>0.27700000000000002</v>
      </c>
      <c r="CA122" s="1">
        <f t="shared" si="64"/>
        <v>-0.2</v>
      </c>
      <c r="CB122" s="1">
        <f t="shared" si="65"/>
        <v>-4.8999999999999995</v>
      </c>
    </row>
    <row r="123" spans="1:80" x14ac:dyDescent="0.2">
      <c r="A123" s="9">
        <f t="shared" si="72"/>
        <v>43583</v>
      </c>
      <c r="B123" s="2">
        <v>118</v>
      </c>
      <c r="C123" s="2">
        <v>21</v>
      </c>
      <c r="D123" s="2">
        <v>13.18</v>
      </c>
      <c r="E123" s="2">
        <v>14.54</v>
      </c>
      <c r="F123" s="2">
        <v>-7.22</v>
      </c>
      <c r="G123" s="2">
        <v>-1.615</v>
      </c>
      <c r="H123" s="2">
        <v>74.2</v>
      </c>
      <c r="I123" s="2">
        <v>-1.4450000000000001</v>
      </c>
      <c r="J123" s="2">
        <v>-2.9000000000000001E-2</v>
      </c>
      <c r="K123" s="2">
        <v>2.8000000000000001E-2</v>
      </c>
      <c r="L123" s="2">
        <v>0.748</v>
      </c>
      <c r="M123" s="2">
        <v>4.3979999999999997</v>
      </c>
      <c r="N123" s="2">
        <v>98.9</v>
      </c>
      <c r="O123" s="2">
        <v>10.88</v>
      </c>
      <c r="P123" s="2">
        <v>1.1479999999999999</v>
      </c>
      <c r="Q123" s="2">
        <v>1.1850000000000001</v>
      </c>
      <c r="R123" s="2">
        <v>1.3280000000000001</v>
      </c>
      <c r="S123" s="2">
        <v>-7.11</v>
      </c>
      <c r="T123" s="2">
        <v>35.07</v>
      </c>
      <c r="U123" s="2">
        <v>-11.75</v>
      </c>
      <c r="V123" s="2">
        <v>-0.46800000000000003</v>
      </c>
      <c r="W123" s="2">
        <v>-0.40600000000000003</v>
      </c>
      <c r="X123" s="2">
        <v>0.46899999999999997</v>
      </c>
      <c r="Y123" s="2">
        <v>2.1850000000000001</v>
      </c>
      <c r="Z123" s="2">
        <v>1.524</v>
      </c>
      <c r="AA123" s="2">
        <v>20.7</v>
      </c>
      <c r="AB123" s="2">
        <v>17.05</v>
      </c>
      <c r="AC123" s="2">
        <v>2.2759999999999998</v>
      </c>
      <c r="AD123" s="2">
        <v>7.41</v>
      </c>
      <c r="AE123" s="2">
        <v>-5.1230000000000002</v>
      </c>
      <c r="AF123" s="2">
        <v>0.78900000000000003</v>
      </c>
      <c r="AG123" s="2">
        <v>-12.44</v>
      </c>
      <c r="AH123" s="2">
        <v>0.78900000000000003</v>
      </c>
      <c r="AI123" s="2">
        <v>-12.44</v>
      </c>
      <c r="AJ123" s="2" t="s">
        <v>113</v>
      </c>
      <c r="AK123" s="2" t="s">
        <v>113</v>
      </c>
      <c r="AL123" s="2">
        <v>-0.80300000000000005</v>
      </c>
      <c r="AM123" s="2">
        <v>8.4700000000000006</v>
      </c>
      <c r="AN123" s="2">
        <v>-8.27</v>
      </c>
      <c r="AO123" s="2"/>
      <c r="AP123" s="1">
        <f t="shared" si="53"/>
        <v>0.26500000000000012</v>
      </c>
      <c r="AQ123" s="23">
        <f t="shared" si="78"/>
        <v>0</v>
      </c>
      <c r="AR123" s="5">
        <v>27.92</v>
      </c>
      <c r="AS123" s="5">
        <v>21.74</v>
      </c>
      <c r="AT123" s="5">
        <v>17.04</v>
      </c>
      <c r="AU123" s="7">
        <f t="shared" si="66"/>
        <v>0.78400000000000003</v>
      </c>
      <c r="AV123" s="16"/>
      <c r="AW123" s="29">
        <v>0</v>
      </c>
      <c r="AX123" s="29">
        <v>261</v>
      </c>
      <c r="AY123" s="1">
        <f t="shared" si="45"/>
        <v>95.4</v>
      </c>
      <c r="AZ123" s="1">
        <f t="shared" si="46"/>
        <v>71.5</v>
      </c>
      <c r="BA123" s="1">
        <f t="shared" si="47"/>
        <v>33.5</v>
      </c>
      <c r="BB123" s="8">
        <f t="shared" si="48"/>
        <v>0.28000000000000003</v>
      </c>
      <c r="BC123" s="8">
        <f t="shared" si="49"/>
        <v>0.55600000000000005</v>
      </c>
      <c r="BE123" s="5">
        <f t="shared" si="55"/>
        <v>21.74</v>
      </c>
      <c r="BF123" s="5">
        <f t="shared" si="56"/>
        <v>17.04</v>
      </c>
      <c r="BG123" s="1">
        <f t="shared" si="73"/>
        <v>-1.6</v>
      </c>
      <c r="BH123" s="1">
        <f t="shared" si="74"/>
        <v>4.4000000000000004</v>
      </c>
      <c r="BI123" s="1">
        <f t="shared" si="75"/>
        <v>-7.1</v>
      </c>
      <c r="BJ123" s="1">
        <f t="shared" si="57"/>
        <v>71.5</v>
      </c>
      <c r="BK123" s="1">
        <f t="shared" si="58"/>
        <v>33.5</v>
      </c>
      <c r="BL123" s="1">
        <f t="shared" si="67"/>
        <v>2.2999999999999998</v>
      </c>
      <c r="BM123" s="1">
        <f t="shared" si="68"/>
        <v>7.4</v>
      </c>
      <c r="BN123" s="21">
        <f t="shared" si="59"/>
        <v>0</v>
      </c>
      <c r="BO123" s="7">
        <f t="shared" si="60"/>
        <v>0.26500000000000012</v>
      </c>
      <c r="BP123" s="21">
        <f t="shared" si="77"/>
        <v>0</v>
      </c>
      <c r="BQ123" s="1">
        <f t="shared" si="61"/>
        <v>-5.0999999999999996</v>
      </c>
      <c r="BR123" s="1">
        <f t="shared" si="62"/>
        <v>0.8</v>
      </c>
      <c r="BS123" s="1">
        <f t="shared" si="63"/>
        <v>-12.4</v>
      </c>
      <c r="BT123" s="1" t="s">
        <v>113</v>
      </c>
      <c r="BU123" s="1" t="s">
        <v>113</v>
      </c>
      <c r="BV123" s="1" t="s">
        <v>113</v>
      </c>
      <c r="BW123" s="1" t="str">
        <f t="shared" si="69"/>
        <v>NAN</v>
      </c>
      <c r="BX123" s="1">
        <f t="shared" si="70"/>
        <v>0.28000000000000003</v>
      </c>
      <c r="BY123" s="1">
        <f t="shared" si="71"/>
        <v>0.55600000000000005</v>
      </c>
      <c r="CA123" s="1">
        <f t="shared" si="64"/>
        <v>-3.6000000000000005</v>
      </c>
      <c r="CB123" s="1">
        <f t="shared" si="65"/>
        <v>-5.3000000000000007</v>
      </c>
    </row>
    <row r="124" spans="1:80" x14ac:dyDescent="0.2">
      <c r="A124" s="9">
        <f t="shared" si="72"/>
        <v>43584</v>
      </c>
      <c r="B124" s="2">
        <v>119</v>
      </c>
      <c r="C124" s="2">
        <v>21</v>
      </c>
      <c r="D124" s="2">
        <v>13.13</v>
      </c>
      <c r="E124" s="2">
        <v>13.92</v>
      </c>
      <c r="F124" s="2">
        <v>-11.47</v>
      </c>
      <c r="G124" s="2">
        <v>-2.4769999999999999</v>
      </c>
      <c r="H124" s="2">
        <v>73</v>
      </c>
      <c r="I124" s="2">
        <v>-3.21</v>
      </c>
      <c r="J124" s="2">
        <v>-0.157</v>
      </c>
      <c r="K124" s="2">
        <v>-9.2999999999999999E-2</v>
      </c>
      <c r="L124" s="2">
        <v>0.70699999999999996</v>
      </c>
      <c r="M124" s="2">
        <v>5.335</v>
      </c>
      <c r="N124" s="2">
        <v>100</v>
      </c>
      <c r="O124" s="2">
        <v>14.06</v>
      </c>
      <c r="P124" s="2">
        <v>1.2330000000000001</v>
      </c>
      <c r="Q124" s="2">
        <v>1.264</v>
      </c>
      <c r="R124" s="2">
        <v>1.5189999999999999</v>
      </c>
      <c r="S124" s="2">
        <v>-9.4499999999999993</v>
      </c>
      <c r="T124" s="2">
        <v>36.28</v>
      </c>
      <c r="U124" s="2">
        <v>-14.59</v>
      </c>
      <c r="V124" s="2">
        <v>-0.73699999999999999</v>
      </c>
      <c r="W124" s="2">
        <v>-0.66200000000000003</v>
      </c>
      <c r="X124" s="2">
        <v>5.7000000000000002E-2</v>
      </c>
      <c r="Y124" s="2">
        <v>2.1880000000000002</v>
      </c>
      <c r="Z124" s="2">
        <v>0</v>
      </c>
      <c r="AA124" s="2">
        <v>15.53</v>
      </c>
      <c r="AB124" s="2">
        <v>12.01</v>
      </c>
      <c r="AC124" s="2">
        <v>1.0429999999999999</v>
      </c>
      <c r="AD124" s="2">
        <v>5.4870000000000001</v>
      </c>
      <c r="AE124" s="2">
        <v>-7.51</v>
      </c>
      <c r="AF124" s="2">
        <v>1.2809999999999999</v>
      </c>
      <c r="AG124" s="2">
        <v>-15.6</v>
      </c>
      <c r="AH124" s="2">
        <v>1.2809999999999999</v>
      </c>
      <c r="AI124" s="2">
        <v>-15.6</v>
      </c>
      <c r="AJ124" s="2" t="s">
        <v>113</v>
      </c>
      <c r="AK124" s="2" t="s">
        <v>113</v>
      </c>
      <c r="AL124" s="2">
        <v>-2.0299999999999998</v>
      </c>
      <c r="AM124" s="2">
        <v>9.81</v>
      </c>
      <c r="AN124" s="2">
        <v>-11</v>
      </c>
      <c r="AO124" s="2"/>
      <c r="AP124" s="1">
        <f t="shared" si="53"/>
        <v>0.26200000000000001</v>
      </c>
      <c r="AQ124" s="23">
        <f t="shared" si="78"/>
        <v>-0.1</v>
      </c>
      <c r="AR124" s="5">
        <v>28.12</v>
      </c>
      <c r="AS124" s="5">
        <v>16.309999999999999</v>
      </c>
      <c r="AT124" s="5">
        <v>12</v>
      </c>
      <c r="AU124" s="7">
        <f t="shared" si="66"/>
        <v>0.73599999999999999</v>
      </c>
      <c r="AV124" s="16"/>
      <c r="AW124" s="29">
        <v>0</v>
      </c>
      <c r="AX124" s="29">
        <v>258</v>
      </c>
      <c r="AY124" s="1">
        <f t="shared" si="45"/>
        <v>96.5</v>
      </c>
      <c r="AZ124" s="1">
        <f t="shared" si="46"/>
        <v>70.3</v>
      </c>
      <c r="BA124" s="1">
        <f t="shared" si="47"/>
        <v>34.700000000000003</v>
      </c>
      <c r="BB124" s="8">
        <f t="shared" si="48"/>
        <v>0.31</v>
      </c>
      <c r="BC124" s="8">
        <f t="shared" si="49"/>
        <v>0.58299999999999996</v>
      </c>
      <c r="BE124" s="5">
        <f t="shared" si="55"/>
        <v>16.309999999999999</v>
      </c>
      <c r="BF124" s="5">
        <f t="shared" si="56"/>
        <v>12</v>
      </c>
      <c r="BG124" s="1">
        <f t="shared" si="73"/>
        <v>-2.5</v>
      </c>
      <c r="BH124" s="1">
        <f t="shared" si="74"/>
        <v>5.3</v>
      </c>
      <c r="BI124" s="1">
        <f t="shared" si="75"/>
        <v>-9.5</v>
      </c>
      <c r="BJ124" s="1">
        <f t="shared" si="57"/>
        <v>70.3</v>
      </c>
      <c r="BK124" s="1">
        <f t="shared" si="58"/>
        <v>34.700000000000003</v>
      </c>
      <c r="BL124" s="1">
        <f t="shared" si="67"/>
        <v>1</v>
      </c>
      <c r="BM124" s="1">
        <f t="shared" si="68"/>
        <v>5.5</v>
      </c>
      <c r="BN124" s="21">
        <f t="shared" si="59"/>
        <v>0</v>
      </c>
      <c r="BO124" s="7">
        <f t="shared" si="60"/>
        <v>0.26200000000000001</v>
      </c>
      <c r="BP124" s="21">
        <f t="shared" si="77"/>
        <v>-0.1</v>
      </c>
      <c r="BQ124" s="1">
        <f t="shared" si="61"/>
        <v>-7.5</v>
      </c>
      <c r="BR124" s="1">
        <f t="shared" si="62"/>
        <v>1.3</v>
      </c>
      <c r="BS124" s="1">
        <f t="shared" si="63"/>
        <v>-15.6</v>
      </c>
      <c r="BT124" s="1" t="s">
        <v>113</v>
      </c>
      <c r="BU124" s="1" t="s">
        <v>113</v>
      </c>
      <c r="BV124" s="1" t="s">
        <v>113</v>
      </c>
      <c r="BW124" s="1" t="str">
        <f t="shared" si="69"/>
        <v>NAN</v>
      </c>
      <c r="BX124" s="1">
        <f t="shared" si="70"/>
        <v>0.31</v>
      </c>
      <c r="BY124" s="1">
        <f t="shared" si="71"/>
        <v>0.58299999999999996</v>
      </c>
      <c r="CA124" s="1">
        <f t="shared" si="64"/>
        <v>-4</v>
      </c>
      <c r="CB124" s="1">
        <f t="shared" si="65"/>
        <v>-6.1</v>
      </c>
    </row>
    <row r="125" spans="1:80" x14ac:dyDescent="0.2">
      <c r="A125" s="9">
        <f t="shared" si="72"/>
        <v>43585</v>
      </c>
      <c r="B125" s="2">
        <v>120</v>
      </c>
      <c r="C125" s="2">
        <v>21</v>
      </c>
      <c r="D125" s="2">
        <v>13.17</v>
      </c>
      <c r="E125" s="2">
        <v>15.77</v>
      </c>
      <c r="F125" s="2">
        <v>-12.49</v>
      </c>
      <c r="G125" s="2">
        <v>-0.88600000000000001</v>
      </c>
      <c r="H125" s="2">
        <v>61.95</v>
      </c>
      <c r="I125" s="2">
        <v>-1.302</v>
      </c>
      <c r="J125" s="2">
        <v>-4.7E-2</v>
      </c>
      <c r="K125" s="2">
        <v>2.1999999999999999E-2</v>
      </c>
      <c r="L125" s="2">
        <v>0.75700000000000001</v>
      </c>
      <c r="M125" s="2">
        <v>5.3659999999999997</v>
      </c>
      <c r="N125" s="2">
        <v>99.8</v>
      </c>
      <c r="O125" s="2">
        <v>11.29</v>
      </c>
      <c r="P125" s="2">
        <v>1.0720000000000001</v>
      </c>
      <c r="Q125" s="2">
        <v>1.117</v>
      </c>
      <c r="R125" s="2">
        <v>1.4279999999999999</v>
      </c>
      <c r="S125" s="2">
        <v>-10.029999999999999</v>
      </c>
      <c r="T125" s="2">
        <v>30.87</v>
      </c>
      <c r="U125" s="2">
        <v>-15.5</v>
      </c>
      <c r="V125" s="2">
        <v>-0.54100000000000004</v>
      </c>
      <c r="W125" s="2">
        <v>-0.47199999999999998</v>
      </c>
      <c r="X125" s="2">
        <v>0.44900000000000001</v>
      </c>
      <c r="Y125" s="2">
        <v>2.1880000000000002</v>
      </c>
      <c r="Z125" s="2">
        <v>0</v>
      </c>
      <c r="AA125" s="2">
        <v>20.75</v>
      </c>
      <c r="AB125" s="2">
        <v>15.41</v>
      </c>
      <c r="AC125" s="2">
        <v>1.3009999999999999</v>
      </c>
      <c r="AD125" s="2">
        <v>5.7539999999999996</v>
      </c>
      <c r="AE125" s="2">
        <v>-5.9660000000000002</v>
      </c>
      <c r="AF125" s="2">
        <v>1.0429999999999999</v>
      </c>
      <c r="AG125" s="2">
        <v>-17.27</v>
      </c>
      <c r="AH125" s="2">
        <v>1.0429999999999999</v>
      </c>
      <c r="AI125" s="2">
        <v>-17.27</v>
      </c>
      <c r="AJ125" s="2" t="s">
        <v>113</v>
      </c>
      <c r="AK125" s="2" t="s">
        <v>113</v>
      </c>
      <c r="AL125" s="2">
        <v>-0.51200000000000001</v>
      </c>
      <c r="AM125" s="2">
        <v>9.2799999999999994</v>
      </c>
      <c r="AN125" s="2">
        <v>-12.11</v>
      </c>
      <c r="AO125" s="2"/>
      <c r="AP125" s="1">
        <f t="shared" si="53"/>
        <v>0.26200000000000001</v>
      </c>
      <c r="AQ125" s="23">
        <f t="shared" si="78"/>
        <v>0</v>
      </c>
      <c r="AR125" s="5">
        <v>28.32</v>
      </c>
      <c r="AS125" s="5">
        <v>21.81</v>
      </c>
      <c r="AT125" s="5">
        <v>15.4</v>
      </c>
      <c r="AU125" s="7">
        <f t="shared" si="66"/>
        <v>0.70599999999999996</v>
      </c>
      <c r="AV125" s="16"/>
      <c r="AW125" s="29">
        <v>0</v>
      </c>
      <c r="AX125" s="29">
        <v>258</v>
      </c>
      <c r="AY125" s="1">
        <f t="shared" si="45"/>
        <v>96.3</v>
      </c>
      <c r="AZ125" s="1">
        <f t="shared" si="46"/>
        <v>59.6</v>
      </c>
      <c r="BA125" s="1">
        <f t="shared" si="47"/>
        <v>29.4</v>
      </c>
      <c r="BB125" s="8">
        <f t="shared" si="48"/>
        <v>0.26300000000000001</v>
      </c>
      <c r="BC125" s="8">
        <f t="shared" si="49"/>
        <v>0.63200000000000001</v>
      </c>
      <c r="BE125" s="5">
        <f t="shared" si="55"/>
        <v>21.81</v>
      </c>
      <c r="BF125" s="5">
        <f t="shared" si="56"/>
        <v>15.4</v>
      </c>
      <c r="BG125" s="1">
        <f t="shared" si="73"/>
        <v>-0.9</v>
      </c>
      <c r="BH125" s="1">
        <f t="shared" si="74"/>
        <v>5.4</v>
      </c>
      <c r="BI125" s="1">
        <f t="shared" si="75"/>
        <v>-10</v>
      </c>
      <c r="BJ125" s="1">
        <f t="shared" si="57"/>
        <v>59.6</v>
      </c>
      <c r="BK125" s="1">
        <f t="shared" si="58"/>
        <v>29.4</v>
      </c>
      <c r="BL125" s="1">
        <f t="shared" si="67"/>
        <v>1.3</v>
      </c>
      <c r="BM125" s="1">
        <f t="shared" si="68"/>
        <v>5.8</v>
      </c>
      <c r="BN125" s="21">
        <f t="shared" si="59"/>
        <v>0</v>
      </c>
      <c r="BO125" s="7">
        <f t="shared" si="60"/>
        <v>0.26200000000000001</v>
      </c>
      <c r="BP125" s="21">
        <f t="shared" si="77"/>
        <v>0</v>
      </c>
      <c r="BQ125" s="1">
        <f t="shared" si="61"/>
        <v>-6</v>
      </c>
      <c r="BR125" s="1">
        <f t="shared" si="62"/>
        <v>1</v>
      </c>
      <c r="BS125" s="1">
        <f t="shared" si="63"/>
        <v>-17.3</v>
      </c>
      <c r="BT125" s="1" t="s">
        <v>113</v>
      </c>
      <c r="BU125" s="1" t="s">
        <v>113</v>
      </c>
      <c r="BV125" s="1" t="s">
        <v>113</v>
      </c>
      <c r="BW125" s="1" t="str">
        <f t="shared" si="69"/>
        <v>NAN</v>
      </c>
      <c r="BX125" s="1">
        <f t="shared" si="70"/>
        <v>0.26300000000000001</v>
      </c>
      <c r="BY125" s="1">
        <f t="shared" si="71"/>
        <v>0.63200000000000001</v>
      </c>
      <c r="CA125" s="1">
        <f t="shared" si="64"/>
        <v>-4.4000000000000004</v>
      </c>
      <c r="CB125" s="1">
        <f t="shared" si="65"/>
        <v>-7.3000000000000007</v>
      </c>
    </row>
    <row r="126" spans="1:80" x14ac:dyDescent="0.2">
      <c r="A126" s="9">
        <f t="shared" si="72"/>
        <v>43586</v>
      </c>
      <c r="B126" s="2">
        <v>121</v>
      </c>
      <c r="C126" s="2">
        <v>21</v>
      </c>
      <c r="D126" s="2">
        <v>13.17</v>
      </c>
      <c r="E126" s="2">
        <v>14.57</v>
      </c>
      <c r="F126" s="2">
        <v>-3.2669999999999999</v>
      </c>
      <c r="G126" s="2">
        <v>2.2170000000000001</v>
      </c>
      <c r="H126" s="2">
        <v>55.09</v>
      </c>
      <c r="I126" s="2">
        <v>2.2000000000000002</v>
      </c>
      <c r="J126" s="2">
        <v>-0.122</v>
      </c>
      <c r="K126" s="2">
        <v>-4.5999999999999999E-2</v>
      </c>
      <c r="L126" s="2">
        <v>0.71899999999999997</v>
      </c>
      <c r="M126" s="2">
        <v>7.55</v>
      </c>
      <c r="N126" s="2">
        <v>90.3</v>
      </c>
      <c r="O126" s="2">
        <v>13.19</v>
      </c>
      <c r="P126" s="2">
        <v>0.68300000000000005</v>
      </c>
      <c r="Q126" s="2">
        <v>0.74199999999999999</v>
      </c>
      <c r="R126" s="2">
        <v>1.085</v>
      </c>
      <c r="S126" s="2">
        <v>-2.9319999999999999</v>
      </c>
      <c r="T126" s="2">
        <v>36.47</v>
      </c>
      <c r="U126" s="2">
        <v>-5.4729999999999999</v>
      </c>
      <c r="V126" s="2">
        <v>-0.46800000000000003</v>
      </c>
      <c r="W126" s="2">
        <v>-0.38400000000000001</v>
      </c>
      <c r="X126" s="2">
        <v>0.39100000000000001</v>
      </c>
      <c r="Y126" s="2">
        <v>2.2320000000000002</v>
      </c>
      <c r="Z126" s="2">
        <v>0</v>
      </c>
      <c r="AA126" s="2">
        <v>17.510000000000002</v>
      </c>
      <c r="AB126" s="2">
        <v>11.75</v>
      </c>
      <c r="AC126" s="2">
        <v>2.0670000000000002</v>
      </c>
      <c r="AD126" s="2">
        <v>6.1539999999999999</v>
      </c>
      <c r="AE126" s="2">
        <v>-1.633</v>
      </c>
      <c r="AF126" s="2">
        <v>1.4390000000000001</v>
      </c>
      <c r="AG126" s="2">
        <v>-6.4610000000000003</v>
      </c>
      <c r="AH126" s="2">
        <v>1.4390000000000001</v>
      </c>
      <c r="AI126" s="2">
        <v>-6.4610000000000003</v>
      </c>
      <c r="AJ126" s="2" t="s">
        <v>113</v>
      </c>
      <c r="AK126" s="2" t="s">
        <v>113</v>
      </c>
      <c r="AL126" s="2">
        <v>2.5289999999999999</v>
      </c>
      <c r="AM126" s="2">
        <v>10.27</v>
      </c>
      <c r="AN126" s="2">
        <v>-3.5409999999999999</v>
      </c>
      <c r="AO126" s="2"/>
      <c r="AP126" s="1">
        <f t="shared" si="53"/>
        <v>0.21799999999999997</v>
      </c>
      <c r="AQ126" s="23">
        <f t="shared" si="78"/>
        <v>-0.1</v>
      </c>
      <c r="AR126" s="5">
        <v>28.52</v>
      </c>
      <c r="AS126" s="5">
        <v>18.39</v>
      </c>
      <c r="AT126" s="5">
        <v>11.74</v>
      </c>
      <c r="AU126" s="7">
        <f t="shared" si="66"/>
        <v>0.63800000000000001</v>
      </c>
      <c r="AV126" s="16"/>
      <c r="AW126" s="29">
        <v>0</v>
      </c>
      <c r="AX126" s="29">
        <v>214</v>
      </c>
      <c r="AY126" s="1">
        <f t="shared" ref="AY126:AY189" si="79">ROUND(AZ$1*N126+AZ$2,1)</f>
        <v>87.1</v>
      </c>
      <c r="AZ126" s="1">
        <f t="shared" ref="AZ126:AZ189" si="80">ROUND(H126*AZ$1+AZ$2,1)</f>
        <v>52.9</v>
      </c>
      <c r="BA126" s="1">
        <f t="shared" ref="BA126:BA189" si="81">ROUND(T126*AZ$1+AZ$2,1)</f>
        <v>34.9</v>
      </c>
      <c r="BB126" s="8">
        <f t="shared" ref="BB126:BB189" si="82">ROUND((0.6105*(EXP((17.273*M126)/(M126+237.3))))*BA126/100,3)</f>
        <v>0.36299999999999999</v>
      </c>
      <c r="BC126" s="8">
        <f t="shared" ref="BC126:BC189" si="83">ROUND(BB126/BA126*(100-BA126),3)</f>
        <v>0.67700000000000005</v>
      </c>
      <c r="BE126" s="5">
        <f t="shared" si="55"/>
        <v>18.39</v>
      </c>
      <c r="BF126" s="5">
        <f t="shared" si="56"/>
        <v>11.74</v>
      </c>
      <c r="BG126" s="1">
        <f t="shared" ref="BG126:BG157" si="84">IF(G126="NAN","NAN",ROUND(G126,1))</f>
        <v>2.2000000000000002</v>
      </c>
      <c r="BH126" s="1">
        <f t="shared" ref="BH126:BH157" si="85">IF(M126="NAN","NAN",ROUND(M126,1))</f>
        <v>7.6</v>
      </c>
      <c r="BI126" s="1">
        <f t="shared" ref="BI126:BI157" si="86">IF(S126="NAN","NAN",ROUND(S126,1))</f>
        <v>-2.9</v>
      </c>
      <c r="BJ126" s="1">
        <f t="shared" si="57"/>
        <v>52.9</v>
      </c>
      <c r="BK126" s="1">
        <f t="shared" si="58"/>
        <v>34.9</v>
      </c>
      <c r="BL126" s="1">
        <f t="shared" si="67"/>
        <v>2.1</v>
      </c>
      <c r="BM126" s="1">
        <f t="shared" si="68"/>
        <v>6.2</v>
      </c>
      <c r="BN126" s="21">
        <f t="shared" si="59"/>
        <v>0</v>
      </c>
      <c r="BO126" s="7">
        <f t="shared" si="60"/>
        <v>0.21799999999999997</v>
      </c>
      <c r="BP126" s="21">
        <f t="shared" si="77"/>
        <v>-0.1</v>
      </c>
      <c r="BQ126" s="1">
        <f t="shared" si="61"/>
        <v>-1.6</v>
      </c>
      <c r="BR126" s="1">
        <f t="shared" si="62"/>
        <v>1.4</v>
      </c>
      <c r="BS126" s="1">
        <f t="shared" si="63"/>
        <v>-6.5</v>
      </c>
      <c r="BT126" s="1" t="s">
        <v>113</v>
      </c>
      <c r="BU126" s="1" t="s">
        <v>113</v>
      </c>
      <c r="BV126" s="1" t="s">
        <v>113</v>
      </c>
      <c r="BW126" s="1" t="str">
        <f t="shared" si="69"/>
        <v>NAN</v>
      </c>
      <c r="BX126" s="1">
        <f t="shared" si="70"/>
        <v>0.36299999999999999</v>
      </c>
      <c r="BY126" s="1">
        <f t="shared" si="71"/>
        <v>0.67700000000000005</v>
      </c>
      <c r="CA126" s="1">
        <f t="shared" si="64"/>
        <v>-6.1999999999999993</v>
      </c>
      <c r="CB126" s="1">
        <f t="shared" si="65"/>
        <v>-3.6</v>
      </c>
    </row>
    <row r="127" spans="1:80" x14ac:dyDescent="0.2">
      <c r="A127" s="9">
        <f t="shared" si="72"/>
        <v>43587</v>
      </c>
      <c r="B127" s="2">
        <v>122</v>
      </c>
      <c r="C127" s="2">
        <v>21</v>
      </c>
      <c r="D127" s="2">
        <v>13.15</v>
      </c>
      <c r="E127" s="2">
        <v>16.329999999999998</v>
      </c>
      <c r="F127" s="2">
        <v>-3.3290000000000002</v>
      </c>
      <c r="G127" s="2">
        <v>2.4350000000000001</v>
      </c>
      <c r="H127" s="2">
        <v>69.930000000000007</v>
      </c>
      <c r="I127" s="2">
        <v>2.5139999999999998</v>
      </c>
      <c r="J127" s="2">
        <v>-0.155</v>
      </c>
      <c r="K127" s="2">
        <v>-6.8000000000000005E-2</v>
      </c>
      <c r="L127" s="2">
        <v>0.71499999999999997</v>
      </c>
      <c r="M127" s="2">
        <v>9.68</v>
      </c>
      <c r="N127" s="2">
        <v>99.3</v>
      </c>
      <c r="O127" s="2">
        <v>15.88</v>
      </c>
      <c r="P127" s="2">
        <v>0.94899999999999995</v>
      </c>
      <c r="Q127" s="2">
        <v>1.012</v>
      </c>
      <c r="R127" s="2">
        <v>1.2370000000000001</v>
      </c>
      <c r="S127" s="2">
        <v>-3.5350000000000001</v>
      </c>
      <c r="T127" s="2">
        <v>43.57</v>
      </c>
      <c r="U127" s="2">
        <v>-5.9930000000000003</v>
      </c>
      <c r="V127" s="2">
        <v>-0.71499999999999997</v>
      </c>
      <c r="W127" s="2">
        <v>-0.61299999999999999</v>
      </c>
      <c r="X127" s="2">
        <v>0.316</v>
      </c>
      <c r="Y127" s="2">
        <v>2.242</v>
      </c>
      <c r="Z127" s="2">
        <v>0.76200000000000001</v>
      </c>
      <c r="AA127" s="2">
        <v>15.72</v>
      </c>
      <c r="AB127" s="2">
        <v>10.61</v>
      </c>
      <c r="AC127" s="2">
        <v>1.9890000000000001</v>
      </c>
      <c r="AD127" s="2">
        <v>5.407</v>
      </c>
      <c r="AE127" s="2">
        <v>-1.363</v>
      </c>
      <c r="AF127" s="2">
        <v>1.8129999999999999</v>
      </c>
      <c r="AG127" s="2">
        <v>-6.8380000000000001</v>
      </c>
      <c r="AH127" s="2">
        <v>1.8129999999999999</v>
      </c>
      <c r="AI127" s="2">
        <v>-6.8380000000000001</v>
      </c>
      <c r="AJ127" s="2" t="s">
        <v>113</v>
      </c>
      <c r="AK127" s="2" t="s">
        <v>113</v>
      </c>
      <c r="AL127" s="2">
        <v>2.7170000000000001</v>
      </c>
      <c r="AM127" s="2">
        <v>11.33</v>
      </c>
      <c r="AN127" s="2">
        <v>-4.3529999999999998</v>
      </c>
      <c r="AO127" s="2"/>
      <c r="AP127" s="1">
        <f t="shared" si="53"/>
        <v>0.20800000000000018</v>
      </c>
      <c r="AQ127" s="24">
        <f>ROUND(K127,1)</f>
        <v>-0.1</v>
      </c>
      <c r="AR127" s="5">
        <v>28.7</v>
      </c>
      <c r="AS127" s="5">
        <v>16.55</v>
      </c>
      <c r="AT127" s="5">
        <v>10.61</v>
      </c>
      <c r="AU127" s="7">
        <f t="shared" si="66"/>
        <v>0.64100000000000001</v>
      </c>
      <c r="AV127" s="16"/>
      <c r="AW127" s="29">
        <v>0</v>
      </c>
      <c r="AX127" s="29">
        <v>204</v>
      </c>
      <c r="AY127" s="1">
        <f t="shared" si="79"/>
        <v>95.8</v>
      </c>
      <c r="AZ127" s="1">
        <f t="shared" si="80"/>
        <v>67.3</v>
      </c>
      <c r="BA127" s="1">
        <f t="shared" si="81"/>
        <v>41.8</v>
      </c>
      <c r="BB127" s="8">
        <f t="shared" si="82"/>
        <v>0.502</v>
      </c>
      <c r="BC127" s="8">
        <f t="shared" si="83"/>
        <v>0.69899999999999995</v>
      </c>
      <c r="BE127" s="5">
        <f t="shared" si="55"/>
        <v>16.55</v>
      </c>
      <c r="BF127" s="5">
        <f t="shared" si="56"/>
        <v>10.61</v>
      </c>
      <c r="BG127" s="1">
        <f t="shared" si="84"/>
        <v>2.4</v>
      </c>
      <c r="BH127" s="1">
        <f t="shared" si="85"/>
        <v>9.6999999999999993</v>
      </c>
      <c r="BI127" s="1">
        <f t="shared" si="86"/>
        <v>-3.5</v>
      </c>
      <c r="BJ127" s="1">
        <f t="shared" si="57"/>
        <v>67.3</v>
      </c>
      <c r="BK127" s="1">
        <f t="shared" si="58"/>
        <v>41.8</v>
      </c>
      <c r="BL127" s="1">
        <f t="shared" si="67"/>
        <v>2</v>
      </c>
      <c r="BM127" s="1">
        <f t="shared" si="68"/>
        <v>5.4</v>
      </c>
      <c r="BN127" s="21">
        <f t="shared" si="59"/>
        <v>0</v>
      </c>
      <c r="BO127" s="7">
        <f t="shared" si="60"/>
        <v>0.20800000000000018</v>
      </c>
      <c r="BP127" s="21">
        <f t="shared" si="77"/>
        <v>-0.1</v>
      </c>
      <c r="BQ127" s="1">
        <f t="shared" si="61"/>
        <v>-1.4</v>
      </c>
      <c r="BR127" s="1">
        <f t="shared" si="62"/>
        <v>1.8</v>
      </c>
      <c r="BS127" s="1">
        <f t="shared" si="63"/>
        <v>-6.8</v>
      </c>
      <c r="BT127" s="1" t="s">
        <v>113</v>
      </c>
      <c r="BU127" s="1" t="s">
        <v>113</v>
      </c>
      <c r="BV127" s="1" t="s">
        <v>113</v>
      </c>
      <c r="BW127" s="1" t="str">
        <f t="shared" si="69"/>
        <v>NAN</v>
      </c>
      <c r="BX127" s="1">
        <f t="shared" si="70"/>
        <v>0.502</v>
      </c>
      <c r="BY127" s="1">
        <f t="shared" si="71"/>
        <v>0.69899999999999995</v>
      </c>
      <c r="CA127" s="1">
        <f t="shared" si="64"/>
        <v>-7.8999999999999995</v>
      </c>
      <c r="CB127" s="1">
        <f t="shared" si="65"/>
        <v>-3.3</v>
      </c>
    </row>
    <row r="128" spans="1:80" x14ac:dyDescent="0.2">
      <c r="A128" s="9">
        <f t="shared" si="72"/>
        <v>43588</v>
      </c>
      <c r="B128" s="2">
        <v>123</v>
      </c>
      <c r="C128" s="2">
        <v>21</v>
      </c>
      <c r="D128" s="2">
        <v>13.16</v>
      </c>
      <c r="E128" s="2">
        <v>20.8</v>
      </c>
      <c r="F128" s="2">
        <v>-4.7779999999999996</v>
      </c>
      <c r="G128" s="2">
        <v>4.13</v>
      </c>
      <c r="H128" s="2">
        <v>69.31</v>
      </c>
      <c r="I128" s="2">
        <v>4.0839999999999996</v>
      </c>
      <c r="J128" s="2">
        <v>-6.3E-2</v>
      </c>
      <c r="K128" s="2">
        <v>7.2999999999999995E-2</v>
      </c>
      <c r="L128" s="2">
        <v>0.70799999999999996</v>
      </c>
      <c r="M128" s="2">
        <v>13.1</v>
      </c>
      <c r="N128" s="2">
        <v>100.2</v>
      </c>
      <c r="O128" s="2">
        <v>19.34</v>
      </c>
      <c r="P128" s="2">
        <v>1.1950000000000001</v>
      </c>
      <c r="Q128" s="2">
        <v>1.242</v>
      </c>
      <c r="R128" s="2">
        <v>1.5860000000000001</v>
      </c>
      <c r="S128" s="2">
        <v>-3.6859999999999999</v>
      </c>
      <c r="T128" s="2">
        <v>34.18</v>
      </c>
      <c r="U128" s="2">
        <v>-6.3109999999999999</v>
      </c>
      <c r="V128" s="2">
        <v>-0.71799999999999997</v>
      </c>
      <c r="W128" s="2">
        <v>-0.503</v>
      </c>
      <c r="X128" s="2">
        <v>0.30499999999999999</v>
      </c>
      <c r="Y128" s="2">
        <v>2.2829999999999999</v>
      </c>
      <c r="Z128" s="2">
        <v>0</v>
      </c>
      <c r="AA128" s="2">
        <v>24.31</v>
      </c>
      <c r="AB128" s="2">
        <v>14.65</v>
      </c>
      <c r="AC128" s="2">
        <v>1.2709999999999999</v>
      </c>
      <c r="AD128" s="2">
        <v>4.9000000000000004</v>
      </c>
      <c r="AE128" s="2">
        <v>-1.8120000000000001</v>
      </c>
      <c r="AF128" s="2">
        <v>3.4009999999999998</v>
      </c>
      <c r="AG128" s="2">
        <v>-8.4499999999999993</v>
      </c>
      <c r="AH128" s="2">
        <v>3.4009999999999998</v>
      </c>
      <c r="AI128" s="2">
        <v>-8.4499999999999993</v>
      </c>
      <c r="AJ128" s="2" t="s">
        <v>113</v>
      </c>
      <c r="AK128" s="2" t="s">
        <v>113</v>
      </c>
      <c r="AL128" s="2">
        <v>4.798</v>
      </c>
      <c r="AM128" s="2">
        <v>16.170000000000002</v>
      </c>
      <c r="AN128" s="2">
        <v>-4.4729999999999999</v>
      </c>
      <c r="AO128" s="2"/>
      <c r="AP128" s="1">
        <f t="shared" si="53"/>
        <v>0.16700000000000026</v>
      </c>
      <c r="AQ128" s="24">
        <f>ROUND(K128,1)</f>
        <v>0.1</v>
      </c>
      <c r="AR128" s="5">
        <v>28.89</v>
      </c>
      <c r="AS128" s="5">
        <v>25.53</v>
      </c>
      <c r="AT128" s="5">
        <v>14.64</v>
      </c>
      <c r="AU128" s="7">
        <f t="shared" si="66"/>
        <v>0.57299999999999995</v>
      </c>
      <c r="AV128" s="16"/>
      <c r="AW128" s="29">
        <v>0</v>
      </c>
      <c r="AX128" s="29">
        <v>163</v>
      </c>
      <c r="AY128" s="1">
        <f t="shared" si="79"/>
        <v>96.7</v>
      </c>
      <c r="AZ128" s="1">
        <f t="shared" si="80"/>
        <v>66.7</v>
      </c>
      <c r="BA128" s="1">
        <f t="shared" si="81"/>
        <v>32.700000000000003</v>
      </c>
      <c r="BB128" s="8">
        <f t="shared" si="82"/>
        <v>0.49299999999999999</v>
      </c>
      <c r="BC128" s="8">
        <f t="shared" si="83"/>
        <v>1.0149999999999999</v>
      </c>
      <c r="BE128" s="5">
        <f t="shared" si="55"/>
        <v>25.53</v>
      </c>
      <c r="BF128" s="5">
        <f t="shared" si="56"/>
        <v>14.64</v>
      </c>
      <c r="BG128" s="1">
        <f t="shared" si="84"/>
        <v>4.0999999999999996</v>
      </c>
      <c r="BH128" s="1">
        <f t="shared" si="85"/>
        <v>13.1</v>
      </c>
      <c r="BI128" s="1">
        <f t="shared" si="86"/>
        <v>-3.7</v>
      </c>
      <c r="BJ128" s="1">
        <f t="shared" si="57"/>
        <v>66.7</v>
      </c>
      <c r="BK128" s="1">
        <f t="shared" si="58"/>
        <v>32.700000000000003</v>
      </c>
      <c r="BL128" s="1">
        <f t="shared" si="67"/>
        <v>1.3</v>
      </c>
      <c r="BM128" s="1">
        <f t="shared" si="68"/>
        <v>4.9000000000000004</v>
      </c>
      <c r="BN128" s="21">
        <f t="shared" si="59"/>
        <v>0</v>
      </c>
      <c r="BO128" s="7">
        <f t="shared" si="60"/>
        <v>0.16700000000000026</v>
      </c>
      <c r="BP128" s="21">
        <f t="shared" si="77"/>
        <v>0.1</v>
      </c>
      <c r="BQ128" s="1">
        <f t="shared" si="61"/>
        <v>-1.8</v>
      </c>
      <c r="BR128" s="1">
        <f t="shared" si="62"/>
        <v>3.4</v>
      </c>
      <c r="BS128" s="1">
        <f t="shared" si="63"/>
        <v>-8.5</v>
      </c>
      <c r="BT128" s="1" t="s">
        <v>113</v>
      </c>
      <c r="BU128" s="1" t="s">
        <v>113</v>
      </c>
      <c r="BV128" s="1" t="s">
        <v>113</v>
      </c>
      <c r="BW128" s="1" t="str">
        <f t="shared" si="69"/>
        <v>NAN</v>
      </c>
      <c r="BX128" s="1">
        <f t="shared" si="70"/>
        <v>0.49299999999999999</v>
      </c>
      <c r="BY128" s="1">
        <f t="shared" si="71"/>
        <v>1.0149999999999999</v>
      </c>
      <c r="CA128" s="1">
        <f t="shared" si="64"/>
        <v>-9.6999999999999993</v>
      </c>
      <c r="CB128" s="1">
        <f t="shared" si="65"/>
        <v>-4.8</v>
      </c>
    </row>
    <row r="129" spans="1:80" x14ac:dyDescent="0.2">
      <c r="A129" s="9">
        <f t="shared" si="72"/>
        <v>43589</v>
      </c>
      <c r="B129" s="2">
        <v>124</v>
      </c>
      <c r="C129" s="2">
        <v>21</v>
      </c>
      <c r="D129" s="2">
        <v>13.18</v>
      </c>
      <c r="E129" s="2">
        <v>19.28</v>
      </c>
      <c r="F129" s="2">
        <v>-3.3479999999999999</v>
      </c>
      <c r="G129" s="2">
        <v>5.5209999999999999</v>
      </c>
      <c r="H129" s="2">
        <v>72.3</v>
      </c>
      <c r="I129" s="2">
        <v>5.1059999999999999</v>
      </c>
      <c r="J129" s="2">
        <v>-5.2999999999999999E-2</v>
      </c>
      <c r="K129" s="2">
        <v>0.215</v>
      </c>
      <c r="L129" s="2">
        <v>0.70699999999999996</v>
      </c>
      <c r="M129" s="2">
        <v>13.28</v>
      </c>
      <c r="N129" s="2">
        <v>100.9</v>
      </c>
      <c r="O129" s="2">
        <v>16.829999999999998</v>
      </c>
      <c r="P129" s="2">
        <v>1.042</v>
      </c>
      <c r="Q129" s="2">
        <v>1.121</v>
      </c>
      <c r="R129" s="2">
        <v>1.3979999999999999</v>
      </c>
      <c r="S129" s="2">
        <v>-2.9489999999999998</v>
      </c>
      <c r="T129" s="2">
        <v>40.32</v>
      </c>
      <c r="U129" s="2">
        <v>-5.03</v>
      </c>
      <c r="V129" s="2">
        <v>-0.44700000000000001</v>
      </c>
      <c r="W129" s="2">
        <v>-0.33200000000000002</v>
      </c>
      <c r="X129" s="2">
        <v>0.53</v>
      </c>
      <c r="Y129" s="2">
        <v>2.343</v>
      </c>
      <c r="Z129" s="2">
        <v>0</v>
      </c>
      <c r="AA129" s="2">
        <v>16.97</v>
      </c>
      <c r="AB129" s="2">
        <v>8.82</v>
      </c>
      <c r="AC129" s="2">
        <v>1.403</v>
      </c>
      <c r="AD129" s="2">
        <v>5.5940000000000003</v>
      </c>
      <c r="AE129" s="2">
        <v>0.30299999999999999</v>
      </c>
      <c r="AF129" s="2">
        <v>4.8150000000000004</v>
      </c>
      <c r="AG129" s="2">
        <v>-6.0279999999999996</v>
      </c>
      <c r="AH129" s="2">
        <v>4.8150000000000004</v>
      </c>
      <c r="AI129" s="2">
        <v>-6.0279999999999996</v>
      </c>
      <c r="AJ129" s="2" t="s">
        <v>113</v>
      </c>
      <c r="AK129" s="2" t="s">
        <v>113</v>
      </c>
      <c r="AL129" s="2">
        <v>5.6440000000000001</v>
      </c>
      <c r="AM129" s="2">
        <v>13.85</v>
      </c>
      <c r="AN129" s="2">
        <v>-3.8519999999999999</v>
      </c>
      <c r="AO129" s="2"/>
      <c r="AP129" s="1">
        <f t="shared" si="53"/>
        <v>0.10700000000000021</v>
      </c>
      <c r="AQ129" s="24">
        <f>ROUND(K129,1)</f>
        <v>0.2</v>
      </c>
      <c r="AR129" s="5">
        <v>29.07</v>
      </c>
      <c r="AS129" s="5">
        <v>17.82</v>
      </c>
      <c r="AT129" s="5">
        <v>8.82</v>
      </c>
      <c r="AU129" s="7">
        <f t="shared" si="66"/>
        <v>0.495</v>
      </c>
      <c r="AV129" s="16"/>
      <c r="AW129" s="29">
        <v>0</v>
      </c>
      <c r="AX129" s="29">
        <v>112</v>
      </c>
      <c r="AY129" s="1">
        <f t="shared" si="79"/>
        <v>97.4</v>
      </c>
      <c r="AZ129" s="1">
        <f t="shared" si="80"/>
        <v>69.599999999999994</v>
      </c>
      <c r="BA129" s="1">
        <f t="shared" si="81"/>
        <v>38.6</v>
      </c>
      <c r="BB129" s="8">
        <f t="shared" si="82"/>
        <v>0.58899999999999997</v>
      </c>
      <c r="BC129" s="8">
        <f t="shared" si="83"/>
        <v>0.93700000000000006</v>
      </c>
      <c r="BE129" s="5">
        <f t="shared" si="55"/>
        <v>17.82</v>
      </c>
      <c r="BF129" s="5">
        <f t="shared" si="56"/>
        <v>8.82</v>
      </c>
      <c r="BG129" s="1">
        <f t="shared" si="84"/>
        <v>5.5</v>
      </c>
      <c r="BH129" s="1">
        <f t="shared" si="85"/>
        <v>13.3</v>
      </c>
      <c r="BI129" s="1">
        <f t="shared" si="86"/>
        <v>-2.9</v>
      </c>
      <c r="BJ129" s="1">
        <f t="shared" si="57"/>
        <v>69.599999999999994</v>
      </c>
      <c r="BK129" s="1">
        <f t="shared" si="58"/>
        <v>38.6</v>
      </c>
      <c r="BL129" s="1">
        <f t="shared" si="67"/>
        <v>1.4</v>
      </c>
      <c r="BM129" s="1">
        <f t="shared" si="68"/>
        <v>5.6</v>
      </c>
      <c r="BN129" s="21">
        <f t="shared" si="59"/>
        <v>0</v>
      </c>
      <c r="BO129" s="7">
        <f t="shared" si="60"/>
        <v>0.10700000000000021</v>
      </c>
      <c r="BP129" s="21">
        <f t="shared" si="77"/>
        <v>0.2</v>
      </c>
      <c r="BQ129" s="1">
        <f t="shared" si="61"/>
        <v>0.3</v>
      </c>
      <c r="BR129" s="1">
        <f t="shared" si="62"/>
        <v>4.8</v>
      </c>
      <c r="BS129" s="1">
        <f t="shared" si="63"/>
        <v>-6</v>
      </c>
      <c r="BT129" s="1" t="s">
        <v>113</v>
      </c>
      <c r="BU129" s="1" t="s">
        <v>113</v>
      </c>
      <c r="BV129" s="1" t="s">
        <v>113</v>
      </c>
      <c r="BW129" s="1" t="str">
        <f t="shared" si="69"/>
        <v>NAN</v>
      </c>
      <c r="BX129" s="1">
        <f t="shared" si="70"/>
        <v>0.58899999999999997</v>
      </c>
      <c r="BY129" s="1">
        <f t="shared" si="71"/>
        <v>0.93700000000000006</v>
      </c>
      <c r="CA129" s="1">
        <f t="shared" si="64"/>
        <v>-8.5</v>
      </c>
      <c r="CB129" s="1">
        <f t="shared" si="65"/>
        <v>-3.1</v>
      </c>
    </row>
    <row r="130" spans="1:80" x14ac:dyDescent="0.2">
      <c r="A130" s="9">
        <f t="shared" si="72"/>
        <v>43590</v>
      </c>
      <c r="B130" s="2">
        <v>125</v>
      </c>
      <c r="C130" s="2">
        <v>21</v>
      </c>
      <c r="D130" s="2">
        <v>13.16</v>
      </c>
      <c r="E130" s="2">
        <v>18.739999999999998</v>
      </c>
      <c r="F130" s="2">
        <v>-4.7990000000000004</v>
      </c>
      <c r="G130" s="2">
        <v>3.984</v>
      </c>
      <c r="H130" s="2">
        <v>65.650000000000006</v>
      </c>
      <c r="I130" s="2">
        <v>4.0339999999999998</v>
      </c>
      <c r="J130" s="2">
        <v>-1.0999999999999999E-2</v>
      </c>
      <c r="K130" s="2">
        <v>1.02</v>
      </c>
      <c r="L130" s="2">
        <v>0.70599999999999996</v>
      </c>
      <c r="M130" s="2">
        <v>11.4</v>
      </c>
      <c r="N130" s="2">
        <v>100.6</v>
      </c>
      <c r="O130" s="2">
        <v>21.25</v>
      </c>
      <c r="P130" s="2">
        <v>1.24</v>
      </c>
      <c r="Q130" s="2">
        <v>2.8</v>
      </c>
      <c r="R130" s="2">
        <v>1.611</v>
      </c>
      <c r="S130" s="2">
        <v>-3.964</v>
      </c>
      <c r="T130" s="2">
        <v>34.32</v>
      </c>
      <c r="U130" s="2">
        <v>-6.1340000000000003</v>
      </c>
      <c r="V130" s="2">
        <v>-0.46200000000000002</v>
      </c>
      <c r="W130" s="2">
        <v>-0.33800000000000002</v>
      </c>
      <c r="X130" s="2">
        <v>0.33300000000000002</v>
      </c>
      <c r="Y130" s="2">
        <v>2.39</v>
      </c>
      <c r="Z130" s="2">
        <v>0</v>
      </c>
      <c r="AA130" s="2">
        <v>22</v>
      </c>
      <c r="AB130" s="2">
        <v>9.2200000000000006</v>
      </c>
      <c r="AC130" s="2">
        <v>1.397</v>
      </c>
      <c r="AD130" s="2">
        <v>5.3540000000000001</v>
      </c>
      <c r="AE130" s="2">
        <v>0.64100000000000001</v>
      </c>
      <c r="AF130" s="2">
        <v>10.37</v>
      </c>
      <c r="AG130" s="2">
        <v>-6.9749999999999996</v>
      </c>
      <c r="AH130" s="2">
        <v>10.37</v>
      </c>
      <c r="AI130" s="2">
        <v>-6.9749999999999996</v>
      </c>
      <c r="AJ130" s="2" t="s">
        <v>113</v>
      </c>
      <c r="AK130" s="2" t="s">
        <v>113</v>
      </c>
      <c r="AL130" s="2">
        <v>4.3769999999999998</v>
      </c>
      <c r="AM130" s="2">
        <v>14.27</v>
      </c>
      <c r="AN130" s="2">
        <v>-4.7569999999999997</v>
      </c>
      <c r="AO130" s="2"/>
      <c r="AP130" s="1">
        <f t="shared" si="53"/>
        <v>6.0000000000000053E-2</v>
      </c>
      <c r="AQ130" s="10"/>
      <c r="AR130" s="5">
        <v>29.25</v>
      </c>
      <c r="AS130" s="5">
        <v>23.1</v>
      </c>
      <c r="AT130" s="5">
        <v>9.2200000000000006</v>
      </c>
      <c r="AU130" s="7">
        <f t="shared" si="66"/>
        <v>0.39900000000000002</v>
      </c>
      <c r="AV130" s="16"/>
      <c r="AW130" s="29">
        <v>0</v>
      </c>
      <c r="AX130" s="29">
        <v>56</v>
      </c>
      <c r="AY130" s="1">
        <f t="shared" si="79"/>
        <v>97.1</v>
      </c>
      <c r="AZ130" s="1">
        <f t="shared" si="80"/>
        <v>63.2</v>
      </c>
      <c r="BA130" s="1">
        <f t="shared" si="81"/>
        <v>32.799999999999997</v>
      </c>
      <c r="BB130" s="8">
        <f t="shared" si="82"/>
        <v>0.442</v>
      </c>
      <c r="BC130" s="8">
        <f t="shared" si="83"/>
        <v>0.90600000000000003</v>
      </c>
      <c r="BE130" s="5">
        <f t="shared" si="55"/>
        <v>23.1</v>
      </c>
      <c r="BF130" s="5">
        <f t="shared" si="56"/>
        <v>9.2200000000000006</v>
      </c>
      <c r="BG130" s="1">
        <f t="shared" si="84"/>
        <v>4</v>
      </c>
      <c r="BH130" s="1">
        <f t="shared" si="85"/>
        <v>11.4</v>
      </c>
      <c r="BI130" s="1">
        <f t="shared" si="86"/>
        <v>-4</v>
      </c>
      <c r="BJ130" s="1">
        <f t="shared" si="57"/>
        <v>63.2</v>
      </c>
      <c r="BK130" s="1">
        <f t="shared" si="58"/>
        <v>32.799999999999997</v>
      </c>
      <c r="BL130" s="1">
        <f t="shared" si="67"/>
        <v>1.4</v>
      </c>
      <c r="BM130" s="1">
        <f t="shared" si="68"/>
        <v>5.4</v>
      </c>
      <c r="BN130" s="21">
        <f t="shared" si="59"/>
        <v>0</v>
      </c>
      <c r="BO130" s="7">
        <f t="shared" si="60"/>
        <v>6.0000000000000053E-2</v>
      </c>
      <c r="BP130" s="21" t="str">
        <f t="shared" si="77"/>
        <v>NAN</v>
      </c>
      <c r="BQ130" s="1">
        <f t="shared" si="61"/>
        <v>0.6</v>
      </c>
      <c r="BR130" s="1">
        <f t="shared" si="62"/>
        <v>10.4</v>
      </c>
      <c r="BS130" s="1">
        <f t="shared" si="63"/>
        <v>-7</v>
      </c>
      <c r="BT130" s="1" t="s">
        <v>113</v>
      </c>
      <c r="BU130" s="1" t="s">
        <v>113</v>
      </c>
      <c r="BV130" s="1" t="s">
        <v>113</v>
      </c>
      <c r="BW130" s="1" t="str">
        <f t="shared" si="69"/>
        <v>NAN</v>
      </c>
      <c r="BX130" s="1">
        <f t="shared" si="70"/>
        <v>0.442</v>
      </c>
      <c r="BY130" s="1">
        <f t="shared" si="71"/>
        <v>0.90600000000000003</v>
      </c>
      <c r="CA130" s="1">
        <f t="shared" si="64"/>
        <v>-1</v>
      </c>
      <c r="CB130" s="1">
        <f t="shared" si="65"/>
        <v>-3</v>
      </c>
    </row>
    <row r="131" spans="1:80" x14ac:dyDescent="0.2">
      <c r="A131" s="9">
        <f t="shared" si="72"/>
        <v>43591</v>
      </c>
      <c r="B131" s="2">
        <v>126</v>
      </c>
      <c r="C131" s="2">
        <v>21</v>
      </c>
      <c r="D131" s="2">
        <v>13.19</v>
      </c>
      <c r="E131" s="2">
        <v>20.85</v>
      </c>
      <c r="F131" s="2">
        <v>-3.907</v>
      </c>
      <c r="G131" s="2">
        <v>6.327</v>
      </c>
      <c r="H131" s="2">
        <v>62.17</v>
      </c>
      <c r="I131" s="2">
        <v>6.6879999999999997</v>
      </c>
      <c r="J131" s="2">
        <v>6.032</v>
      </c>
      <c r="K131" s="2">
        <v>5.2370000000000001</v>
      </c>
      <c r="L131" s="2">
        <v>0.82</v>
      </c>
      <c r="M131" s="2">
        <v>14.06</v>
      </c>
      <c r="N131" s="2">
        <v>100.3</v>
      </c>
      <c r="O131" s="2">
        <v>22.01</v>
      </c>
      <c r="P131" s="2">
        <v>18.329999999999998</v>
      </c>
      <c r="Q131" s="2">
        <v>11.85</v>
      </c>
      <c r="R131" s="2">
        <v>1.52</v>
      </c>
      <c r="S131" s="2">
        <v>-3.169</v>
      </c>
      <c r="T131" s="2">
        <v>32.979999999999997</v>
      </c>
      <c r="U131" s="2">
        <v>-5.085</v>
      </c>
      <c r="V131" s="2">
        <v>-0.45300000000000001</v>
      </c>
      <c r="W131" s="2">
        <v>-0.16300000000000001</v>
      </c>
      <c r="X131" s="2">
        <v>0.53500000000000003</v>
      </c>
      <c r="Y131" s="2">
        <v>2.4660000000000002</v>
      </c>
      <c r="Z131" s="2">
        <v>0</v>
      </c>
      <c r="AA131" s="2">
        <v>23.6</v>
      </c>
      <c r="AB131" s="2">
        <v>6.4930000000000003</v>
      </c>
      <c r="AC131" s="2">
        <v>1.538</v>
      </c>
      <c r="AD131" s="2">
        <v>6.66</v>
      </c>
      <c r="AE131" s="2">
        <v>5.7530000000000001</v>
      </c>
      <c r="AF131" s="2">
        <v>21.9</v>
      </c>
      <c r="AG131" s="2">
        <v>-5.3639999999999999</v>
      </c>
      <c r="AH131" s="2">
        <v>21.9</v>
      </c>
      <c r="AI131" s="2">
        <v>-5.3639999999999999</v>
      </c>
      <c r="AJ131" s="2" t="s">
        <v>113</v>
      </c>
      <c r="AK131" s="2" t="s">
        <v>113</v>
      </c>
      <c r="AL131" s="2">
        <v>6.7530000000000001</v>
      </c>
      <c r="AM131" s="2">
        <v>16.510000000000002</v>
      </c>
      <c r="AN131" s="2">
        <v>-3.9689999999999999</v>
      </c>
      <c r="AO131" s="2"/>
      <c r="AP131" s="26">
        <v>0</v>
      </c>
      <c r="AQ131" s="10"/>
      <c r="AR131" s="5">
        <v>29.43</v>
      </c>
      <c r="AS131" s="5">
        <v>24.78</v>
      </c>
      <c r="AT131" s="5">
        <v>6.49</v>
      </c>
      <c r="AU131" s="7">
        <f t="shared" si="66"/>
        <v>0.26200000000000001</v>
      </c>
      <c r="AV131" s="16"/>
      <c r="AW131" s="29">
        <v>0</v>
      </c>
      <c r="AX131" s="29">
        <v>0</v>
      </c>
      <c r="AY131" s="1">
        <f t="shared" si="79"/>
        <v>96.8</v>
      </c>
      <c r="AZ131" s="1">
        <f t="shared" si="80"/>
        <v>59.8</v>
      </c>
      <c r="BA131" s="1">
        <f t="shared" si="81"/>
        <v>31.5</v>
      </c>
      <c r="BB131" s="8">
        <f t="shared" si="82"/>
        <v>0.505</v>
      </c>
      <c r="BC131" s="8">
        <f t="shared" si="83"/>
        <v>1.0980000000000001</v>
      </c>
      <c r="BE131" s="5">
        <f t="shared" si="55"/>
        <v>24.78</v>
      </c>
      <c r="BF131" s="5">
        <f t="shared" si="56"/>
        <v>6.49</v>
      </c>
      <c r="BG131" s="1">
        <f t="shared" si="84"/>
        <v>6.3</v>
      </c>
      <c r="BH131" s="1">
        <f t="shared" si="85"/>
        <v>14.1</v>
      </c>
      <c r="BI131" s="1">
        <f t="shared" si="86"/>
        <v>-3.2</v>
      </c>
      <c r="BJ131" s="1">
        <f t="shared" si="57"/>
        <v>59.8</v>
      </c>
      <c r="BK131" s="1">
        <f t="shared" si="58"/>
        <v>31.5</v>
      </c>
      <c r="BL131" s="1">
        <f t="shared" si="67"/>
        <v>1.5</v>
      </c>
      <c r="BM131" s="1">
        <f t="shared" si="68"/>
        <v>6.7</v>
      </c>
      <c r="BN131" s="21">
        <f t="shared" si="59"/>
        <v>0</v>
      </c>
      <c r="BO131" s="7">
        <f t="shared" si="60"/>
        <v>0</v>
      </c>
      <c r="BP131" s="21" t="str">
        <f t="shared" ref="BP131:BP194" si="87">IF(AQ131="","NAN",AQ131)</f>
        <v>NAN</v>
      </c>
      <c r="BQ131" s="1">
        <f t="shared" si="61"/>
        <v>5.8</v>
      </c>
      <c r="BR131" s="1">
        <f t="shared" si="62"/>
        <v>21.9</v>
      </c>
      <c r="BS131" s="1">
        <f t="shared" si="63"/>
        <v>-5.4</v>
      </c>
      <c r="BT131" s="1" t="s">
        <v>113</v>
      </c>
      <c r="BU131" s="1" t="s">
        <v>113</v>
      </c>
      <c r="BV131" s="1" t="s">
        <v>113</v>
      </c>
      <c r="BW131" s="1" t="str">
        <f t="shared" si="69"/>
        <v>NAN</v>
      </c>
      <c r="BX131" s="1">
        <f t="shared" si="70"/>
        <v>0.505</v>
      </c>
      <c r="BY131" s="1">
        <f t="shared" si="71"/>
        <v>1.0980000000000001</v>
      </c>
      <c r="CA131" s="1">
        <f t="shared" si="64"/>
        <v>7.7999999999999989</v>
      </c>
      <c r="CB131" s="1">
        <f t="shared" si="65"/>
        <v>-2.2000000000000002</v>
      </c>
    </row>
    <row r="132" spans="1:80" x14ac:dyDescent="0.2">
      <c r="A132" s="9">
        <f t="shared" si="72"/>
        <v>43592</v>
      </c>
      <c r="B132" s="2">
        <v>127</v>
      </c>
      <c r="C132" s="2">
        <v>21</v>
      </c>
      <c r="D132" s="2">
        <v>13.16</v>
      </c>
      <c r="E132" s="2">
        <v>19.98</v>
      </c>
      <c r="F132" s="2">
        <v>-3.06</v>
      </c>
      <c r="G132" s="2">
        <v>5.5330000000000004</v>
      </c>
      <c r="H132" s="2">
        <v>68.22</v>
      </c>
      <c r="I132" s="2">
        <v>6.2910000000000004</v>
      </c>
      <c r="J132" s="2">
        <v>8.76</v>
      </c>
      <c r="K132" s="2">
        <v>6.9989999999999997</v>
      </c>
      <c r="L132" s="2">
        <v>1.4419999999999999</v>
      </c>
      <c r="M132" s="2">
        <v>12.59</v>
      </c>
      <c r="N132" s="2">
        <v>100.7</v>
      </c>
      <c r="O132" s="2">
        <v>19.46</v>
      </c>
      <c r="P132" s="2">
        <v>21.8</v>
      </c>
      <c r="Q132" s="2">
        <v>14.08</v>
      </c>
      <c r="R132" s="2">
        <v>2.0209999999999999</v>
      </c>
      <c r="S132" s="2">
        <v>-2.5960000000000001</v>
      </c>
      <c r="T132" s="2">
        <v>37.450000000000003</v>
      </c>
      <c r="U132" s="2">
        <v>-4.4169999999999998</v>
      </c>
      <c r="V132" s="2">
        <v>0.126</v>
      </c>
      <c r="W132" s="2">
        <v>1.4710000000000001</v>
      </c>
      <c r="X132" s="2">
        <v>0.96699999999999997</v>
      </c>
      <c r="Y132" s="2">
        <v>2.4660000000000002</v>
      </c>
      <c r="Z132" s="2">
        <v>0</v>
      </c>
      <c r="AA132" s="2">
        <v>25.73</v>
      </c>
      <c r="AB132" s="2">
        <v>4.63</v>
      </c>
      <c r="AC132" s="2">
        <v>1.6240000000000001</v>
      </c>
      <c r="AD132" s="2">
        <v>6.0739999999999998</v>
      </c>
      <c r="AE132" s="2">
        <v>8.31</v>
      </c>
      <c r="AF132" s="2">
        <v>27.5</v>
      </c>
      <c r="AG132" s="2">
        <v>-2.9990000000000001</v>
      </c>
      <c r="AH132" s="2">
        <v>27.5</v>
      </c>
      <c r="AI132" s="2">
        <v>-2.9990000000000001</v>
      </c>
      <c r="AJ132" s="2" t="s">
        <v>113</v>
      </c>
      <c r="AK132" s="2" t="s">
        <v>113</v>
      </c>
      <c r="AL132" s="2">
        <v>6.1120000000000001</v>
      </c>
      <c r="AM132" s="2">
        <v>15.74</v>
      </c>
      <c r="AN132" s="2">
        <v>-3.226</v>
      </c>
      <c r="AO132" s="2"/>
      <c r="AP132" s="2"/>
      <c r="AQ132" s="10"/>
      <c r="AR132" s="5">
        <v>29.61</v>
      </c>
      <c r="AS132" s="5">
        <v>27.02</v>
      </c>
      <c r="AT132" s="5">
        <v>4.63</v>
      </c>
      <c r="AU132" s="7">
        <f t="shared" si="66"/>
        <v>0.17100000000000001</v>
      </c>
      <c r="AV132" s="16"/>
      <c r="AW132" s="29">
        <v>0</v>
      </c>
      <c r="AX132" s="29">
        <v>0</v>
      </c>
      <c r="AY132" s="1">
        <f t="shared" si="79"/>
        <v>97.2</v>
      </c>
      <c r="AZ132" s="1">
        <f t="shared" si="80"/>
        <v>65.7</v>
      </c>
      <c r="BA132" s="1">
        <f t="shared" si="81"/>
        <v>35.799999999999997</v>
      </c>
      <c r="BB132" s="8">
        <f t="shared" si="82"/>
        <v>0.52200000000000002</v>
      </c>
      <c r="BC132" s="8">
        <f t="shared" si="83"/>
        <v>0.93600000000000005</v>
      </c>
      <c r="BD132" s="5"/>
      <c r="BE132" s="5">
        <f t="shared" si="55"/>
        <v>27.02</v>
      </c>
      <c r="BF132" s="5">
        <f t="shared" si="56"/>
        <v>4.63</v>
      </c>
      <c r="BG132" s="1">
        <f t="shared" si="84"/>
        <v>5.5</v>
      </c>
      <c r="BH132" s="1">
        <f t="shared" si="85"/>
        <v>12.6</v>
      </c>
      <c r="BI132" s="1">
        <f t="shared" si="86"/>
        <v>-2.6</v>
      </c>
      <c r="BJ132" s="1">
        <f t="shared" si="57"/>
        <v>65.7</v>
      </c>
      <c r="BK132" s="1">
        <f t="shared" si="58"/>
        <v>35.799999999999997</v>
      </c>
      <c r="BL132" s="1">
        <f t="shared" si="67"/>
        <v>1.6</v>
      </c>
      <c r="BM132" s="1">
        <f t="shared" si="68"/>
        <v>6.1</v>
      </c>
      <c r="BN132" s="21">
        <f t="shared" si="59"/>
        <v>0</v>
      </c>
      <c r="BO132" s="7">
        <f t="shared" si="60"/>
        <v>0</v>
      </c>
      <c r="BP132" s="21" t="str">
        <f t="shared" si="87"/>
        <v>NAN</v>
      </c>
      <c r="BQ132" s="1">
        <f t="shared" si="61"/>
        <v>8.3000000000000007</v>
      </c>
      <c r="BR132" s="1">
        <f t="shared" si="62"/>
        <v>27.5</v>
      </c>
      <c r="BS132" s="1">
        <f t="shared" si="63"/>
        <v>-3</v>
      </c>
      <c r="BT132" s="1" t="s">
        <v>113</v>
      </c>
      <c r="BU132" s="1" t="s">
        <v>113</v>
      </c>
      <c r="BV132" s="1" t="s">
        <v>113</v>
      </c>
      <c r="BW132" s="1" t="str">
        <f t="shared" si="69"/>
        <v>NAN</v>
      </c>
      <c r="BX132" s="1">
        <f t="shared" si="70"/>
        <v>0.52200000000000002</v>
      </c>
      <c r="BY132" s="1">
        <f t="shared" si="71"/>
        <v>0.93600000000000005</v>
      </c>
      <c r="CA132" s="1">
        <f t="shared" si="64"/>
        <v>14.9</v>
      </c>
      <c r="CB132" s="1">
        <f t="shared" si="65"/>
        <v>-0.39999999999999991</v>
      </c>
    </row>
    <row r="133" spans="1:80" x14ac:dyDescent="0.2">
      <c r="A133" s="9">
        <f t="shared" si="72"/>
        <v>43593</v>
      </c>
      <c r="B133" s="2">
        <v>128</v>
      </c>
      <c r="C133" s="2">
        <v>21</v>
      </c>
      <c r="D133" s="2">
        <v>13.17</v>
      </c>
      <c r="E133" s="2">
        <v>19.91</v>
      </c>
      <c r="F133" s="2">
        <v>-0.67300000000000004</v>
      </c>
      <c r="G133" s="2">
        <v>6.3680000000000003</v>
      </c>
      <c r="H133" s="2">
        <v>69.17</v>
      </c>
      <c r="I133" s="2">
        <v>6.6890000000000001</v>
      </c>
      <c r="J133" s="2">
        <v>9.15</v>
      </c>
      <c r="K133" s="2">
        <v>7.74</v>
      </c>
      <c r="L133" s="2">
        <v>2.2410000000000001</v>
      </c>
      <c r="M133" s="2">
        <v>13.28</v>
      </c>
      <c r="N133" s="2">
        <v>97.6</v>
      </c>
      <c r="O133" s="2">
        <v>20.83</v>
      </c>
      <c r="P133" s="2">
        <v>22.07</v>
      </c>
      <c r="Q133" s="2">
        <v>14.11</v>
      </c>
      <c r="R133" s="2">
        <v>2.6509999999999998</v>
      </c>
      <c r="S133" s="2">
        <v>-1.782</v>
      </c>
      <c r="T133" s="2">
        <v>38.520000000000003</v>
      </c>
      <c r="U133" s="2">
        <v>-3.851</v>
      </c>
      <c r="V133" s="2">
        <v>1.236</v>
      </c>
      <c r="W133" s="2">
        <v>2.8130000000000002</v>
      </c>
      <c r="X133" s="2">
        <v>1.6910000000000001</v>
      </c>
      <c r="Y133" s="2">
        <v>2.464</v>
      </c>
      <c r="Z133" s="2">
        <v>0</v>
      </c>
      <c r="AA133" s="2">
        <v>20.98</v>
      </c>
      <c r="AB133" s="2">
        <v>3.6739999999999999</v>
      </c>
      <c r="AC133" s="2">
        <v>1.5660000000000001</v>
      </c>
      <c r="AD133" s="2">
        <v>6.1539999999999999</v>
      </c>
      <c r="AE133" s="2">
        <v>8.9600000000000009</v>
      </c>
      <c r="AF133" s="2">
        <v>32.299999999999997</v>
      </c>
      <c r="AG133" s="2">
        <v>-3.48</v>
      </c>
      <c r="AH133" s="2">
        <v>32.299999999999997</v>
      </c>
      <c r="AI133" s="2">
        <v>-3.48</v>
      </c>
      <c r="AJ133" s="2" t="s">
        <v>113</v>
      </c>
      <c r="AK133" s="2" t="s">
        <v>113</v>
      </c>
      <c r="AL133" s="2">
        <v>6.7990000000000004</v>
      </c>
      <c r="AM133" s="2">
        <v>15.67</v>
      </c>
      <c r="AN133" s="2">
        <v>-2.355</v>
      </c>
      <c r="AO133" s="2"/>
      <c r="AP133" s="2"/>
      <c r="AQ133" s="10"/>
      <c r="AR133" s="5">
        <v>29.77</v>
      </c>
      <c r="AS133" s="5">
        <v>22.03</v>
      </c>
      <c r="AT133" s="5">
        <v>3.67</v>
      </c>
      <c r="AU133" s="7">
        <f t="shared" si="66"/>
        <v>0.16700000000000001</v>
      </c>
      <c r="AV133" s="16"/>
      <c r="AW133" s="29">
        <v>0</v>
      </c>
      <c r="AX133" s="29">
        <v>0</v>
      </c>
      <c r="AY133" s="1">
        <f t="shared" si="79"/>
        <v>94.2</v>
      </c>
      <c r="AZ133" s="1">
        <f t="shared" si="80"/>
        <v>66.599999999999994</v>
      </c>
      <c r="BA133" s="1">
        <f t="shared" si="81"/>
        <v>36.9</v>
      </c>
      <c r="BB133" s="8">
        <f t="shared" si="82"/>
        <v>0.56299999999999994</v>
      </c>
      <c r="BC133" s="8">
        <f t="shared" si="83"/>
        <v>0.96299999999999997</v>
      </c>
      <c r="BD133" s="5"/>
      <c r="BE133" s="5">
        <f t="shared" si="55"/>
        <v>22.03</v>
      </c>
      <c r="BF133" s="5">
        <f t="shared" si="56"/>
        <v>3.67</v>
      </c>
      <c r="BG133" s="1">
        <f t="shared" si="84"/>
        <v>6.4</v>
      </c>
      <c r="BH133" s="1">
        <f t="shared" si="85"/>
        <v>13.3</v>
      </c>
      <c r="BI133" s="1">
        <f t="shared" si="86"/>
        <v>-1.8</v>
      </c>
      <c r="BJ133" s="1">
        <f t="shared" si="57"/>
        <v>66.599999999999994</v>
      </c>
      <c r="BK133" s="1">
        <f t="shared" si="58"/>
        <v>36.9</v>
      </c>
      <c r="BL133" s="1">
        <f t="shared" si="67"/>
        <v>1.6</v>
      </c>
      <c r="BM133" s="1">
        <f t="shared" si="68"/>
        <v>6.2</v>
      </c>
      <c r="BN133" s="21">
        <f t="shared" si="59"/>
        <v>0</v>
      </c>
      <c r="BO133" s="7">
        <f t="shared" si="60"/>
        <v>0</v>
      </c>
      <c r="BP133" s="21" t="str">
        <f t="shared" si="87"/>
        <v>NAN</v>
      </c>
      <c r="BQ133" s="1">
        <f t="shared" si="61"/>
        <v>9</v>
      </c>
      <c r="BR133" s="1">
        <f t="shared" si="62"/>
        <v>32.299999999999997</v>
      </c>
      <c r="BS133" s="1">
        <f t="shared" si="63"/>
        <v>-3.5</v>
      </c>
      <c r="BT133" s="1" t="s">
        <v>113</v>
      </c>
      <c r="BU133" s="1" t="s">
        <v>113</v>
      </c>
      <c r="BV133" s="1" t="s">
        <v>113</v>
      </c>
      <c r="BW133" s="1" t="str">
        <f t="shared" si="69"/>
        <v>NAN</v>
      </c>
      <c r="BX133" s="1">
        <f t="shared" si="70"/>
        <v>0.56299999999999994</v>
      </c>
      <c r="BY133" s="1">
        <f t="shared" si="71"/>
        <v>0.96299999999999997</v>
      </c>
      <c r="CA133" s="1">
        <f t="shared" si="64"/>
        <v>18.999999999999996</v>
      </c>
      <c r="CB133" s="1">
        <f t="shared" si="65"/>
        <v>-1.7</v>
      </c>
    </row>
    <row r="134" spans="1:80" x14ac:dyDescent="0.2">
      <c r="A134" s="9">
        <f t="shared" si="72"/>
        <v>43594</v>
      </c>
      <c r="B134" s="2">
        <v>129</v>
      </c>
      <c r="C134" s="2">
        <v>21</v>
      </c>
      <c r="D134" s="2">
        <v>13.16</v>
      </c>
      <c r="E134" s="2">
        <v>24.55</v>
      </c>
      <c r="F134" s="2">
        <v>-4.7149999999999999</v>
      </c>
      <c r="G134" s="2">
        <v>7.07</v>
      </c>
      <c r="H134" s="2">
        <v>60.98</v>
      </c>
      <c r="I134" s="2">
        <v>7.81</v>
      </c>
      <c r="J134" s="2">
        <v>9.9499999999999993</v>
      </c>
      <c r="K134" s="2">
        <v>8.42</v>
      </c>
      <c r="L134" s="2">
        <v>2.8879999999999999</v>
      </c>
      <c r="M134" s="2">
        <v>16.47</v>
      </c>
      <c r="N134" s="2">
        <v>99.8</v>
      </c>
      <c r="O134" s="2">
        <v>22.94</v>
      </c>
      <c r="P134" s="2">
        <v>23.39</v>
      </c>
      <c r="Q134" s="2">
        <v>16.62</v>
      </c>
      <c r="R134" s="2">
        <v>3.8010000000000002</v>
      </c>
      <c r="S134" s="2">
        <v>-3.6080000000000001</v>
      </c>
      <c r="T134" s="2">
        <v>25.69</v>
      </c>
      <c r="U134" s="2">
        <v>-5.7869999999999999</v>
      </c>
      <c r="V134" s="2">
        <v>-9.8000000000000004E-2</v>
      </c>
      <c r="W134" s="2">
        <v>1.93</v>
      </c>
      <c r="X134" s="2">
        <v>2.504</v>
      </c>
      <c r="Y134" s="2">
        <v>2.464</v>
      </c>
      <c r="Z134" s="2">
        <v>0</v>
      </c>
      <c r="AA134" s="2">
        <v>26.91</v>
      </c>
      <c r="AB134" s="2">
        <v>4.7329999999999997</v>
      </c>
      <c r="AC134" s="2">
        <v>1.2989999999999999</v>
      </c>
      <c r="AD134" s="2">
        <v>5.54</v>
      </c>
      <c r="AE134" s="2">
        <v>10.15</v>
      </c>
      <c r="AF134" s="2">
        <v>31.54</v>
      </c>
      <c r="AG134" s="2">
        <v>-5.1879999999999997</v>
      </c>
      <c r="AH134" s="2">
        <v>31.54</v>
      </c>
      <c r="AI134" s="2">
        <v>-5.1879999999999997</v>
      </c>
      <c r="AJ134" s="2" t="s">
        <v>113</v>
      </c>
      <c r="AK134" s="2" t="s">
        <v>113</v>
      </c>
      <c r="AL134" s="2">
        <v>7.71</v>
      </c>
      <c r="AM134" s="2">
        <v>19.559999999999999</v>
      </c>
      <c r="AN134" s="2">
        <v>-4.2759999999999998</v>
      </c>
      <c r="AO134" s="2"/>
      <c r="AP134" s="2"/>
      <c r="AQ134" s="10"/>
      <c r="AR134" s="5">
        <v>29.94</v>
      </c>
      <c r="AS134" s="5">
        <v>28.26</v>
      </c>
      <c r="AT134" s="5">
        <v>4.7300000000000004</v>
      </c>
      <c r="AU134" s="7">
        <f t="shared" si="66"/>
        <v>0.16700000000000001</v>
      </c>
      <c r="AV134" s="16"/>
      <c r="AW134" s="29">
        <v>0</v>
      </c>
      <c r="AX134" s="29">
        <v>0</v>
      </c>
      <c r="AY134" s="1">
        <f t="shared" si="79"/>
        <v>96.3</v>
      </c>
      <c r="AZ134" s="1">
        <f t="shared" si="80"/>
        <v>58.7</v>
      </c>
      <c r="BA134" s="1">
        <f t="shared" si="81"/>
        <v>24.4</v>
      </c>
      <c r="BB134" s="8">
        <f t="shared" si="82"/>
        <v>0.45700000000000002</v>
      </c>
      <c r="BC134" s="8">
        <f t="shared" si="83"/>
        <v>1.4159999999999999</v>
      </c>
      <c r="BD134" s="5"/>
      <c r="BE134" s="5">
        <f t="shared" ref="BE134:BE197" si="88">AS134</f>
        <v>28.26</v>
      </c>
      <c r="BF134" s="5">
        <f t="shared" ref="BF134:BF197" si="89">AT134</f>
        <v>4.7300000000000004</v>
      </c>
      <c r="BG134" s="1">
        <f t="shared" si="84"/>
        <v>7.1</v>
      </c>
      <c r="BH134" s="1">
        <f t="shared" si="85"/>
        <v>16.5</v>
      </c>
      <c r="BI134" s="1">
        <f t="shared" si="86"/>
        <v>-3.6</v>
      </c>
      <c r="BJ134" s="1">
        <f t="shared" ref="BJ134:BJ197" si="90">AZ134</f>
        <v>58.7</v>
      </c>
      <c r="BK134" s="1">
        <f t="shared" ref="BK134:BK197" si="91">BA134</f>
        <v>24.4</v>
      </c>
      <c r="BL134" s="1">
        <f t="shared" si="67"/>
        <v>1.3</v>
      </c>
      <c r="BM134" s="1">
        <f t="shared" si="68"/>
        <v>5.5</v>
      </c>
      <c r="BN134" s="21">
        <f t="shared" ref="BN134:BN197" si="92">AW134</f>
        <v>0</v>
      </c>
      <c r="BO134" s="7">
        <f t="shared" ref="BO134:BO197" si="93">AP134</f>
        <v>0</v>
      </c>
      <c r="BP134" s="21" t="str">
        <f t="shared" si="87"/>
        <v>NAN</v>
      </c>
      <c r="BQ134" s="1">
        <f t="shared" ref="BQ134:BQ197" si="94">IF(AE134="NAN", "NAN", ROUND(AE134,1))</f>
        <v>10.199999999999999</v>
      </c>
      <c r="BR134" s="1">
        <f t="shared" ref="BR134:BR197" si="95">IF(AF134="NAN", "NAN", ROUND(AF134,1))</f>
        <v>31.5</v>
      </c>
      <c r="BS134" s="1">
        <f t="shared" ref="BS134:BS197" si="96">IF(AG134="NAN", "NAN", ROUND(AG134,1))</f>
        <v>-5.2</v>
      </c>
      <c r="BT134" s="1" t="s">
        <v>113</v>
      </c>
      <c r="BU134" s="1" t="s">
        <v>113</v>
      </c>
      <c r="BV134" s="1" t="s">
        <v>113</v>
      </c>
      <c r="BW134" s="1" t="str">
        <f t="shared" si="69"/>
        <v>NAN</v>
      </c>
      <c r="BX134" s="1">
        <f t="shared" si="70"/>
        <v>0.45700000000000002</v>
      </c>
      <c r="BY134" s="1">
        <f t="shared" si="71"/>
        <v>1.4159999999999999</v>
      </c>
      <c r="CA134" s="1">
        <f t="shared" ref="CA134:CA197" si="97">IF(BR134="NAN","NAN",BR134-BH134)</f>
        <v>15</v>
      </c>
      <c r="CB134" s="1">
        <f t="shared" ref="CB134:CB197" si="98">IF(BS134="NAN","NAN",BS134-BI134)</f>
        <v>-1.6</v>
      </c>
    </row>
    <row r="135" spans="1:80" x14ac:dyDescent="0.2">
      <c r="A135" s="9">
        <f t="shared" si="72"/>
        <v>43595</v>
      </c>
      <c r="B135" s="2">
        <v>130</v>
      </c>
      <c r="C135" s="2">
        <v>21</v>
      </c>
      <c r="D135" s="2">
        <v>13.17</v>
      </c>
      <c r="E135" s="2">
        <v>27.52</v>
      </c>
      <c r="F135" s="2">
        <v>-2.5219999999999998</v>
      </c>
      <c r="G135" s="2">
        <v>9.25</v>
      </c>
      <c r="H135" s="2">
        <v>65.650000000000006</v>
      </c>
      <c r="I135" s="2">
        <v>9.9499999999999993</v>
      </c>
      <c r="J135" s="2">
        <v>11.05</v>
      </c>
      <c r="K135" s="2">
        <v>9.58</v>
      </c>
      <c r="L135" s="2">
        <v>3.4729999999999999</v>
      </c>
      <c r="M135" s="2">
        <v>18.45</v>
      </c>
      <c r="N135" s="2">
        <v>100.4</v>
      </c>
      <c r="O135" s="2">
        <v>26.41</v>
      </c>
      <c r="P135" s="2">
        <v>24.64</v>
      </c>
      <c r="Q135" s="2">
        <v>16.75</v>
      </c>
      <c r="R135" s="2">
        <v>4.306</v>
      </c>
      <c r="S135" s="2">
        <v>-1.615</v>
      </c>
      <c r="T135" s="2">
        <v>34.43</v>
      </c>
      <c r="U135" s="2">
        <v>-3.8359999999999999</v>
      </c>
      <c r="V135" s="2">
        <v>0.61499999999999999</v>
      </c>
      <c r="W135" s="2">
        <v>2.6339999999999999</v>
      </c>
      <c r="X135" s="2">
        <v>3.0259999999999998</v>
      </c>
      <c r="Y135" s="2">
        <v>2.4670000000000001</v>
      </c>
      <c r="Z135" s="2">
        <v>0</v>
      </c>
      <c r="AA135" s="2">
        <v>23.56</v>
      </c>
      <c r="AB135" s="2">
        <v>4.18</v>
      </c>
      <c r="AC135" s="2">
        <v>1.2270000000000001</v>
      </c>
      <c r="AD135" s="2">
        <v>4.8739999999999997</v>
      </c>
      <c r="AE135" s="2">
        <v>11.88</v>
      </c>
      <c r="AF135" s="2">
        <v>36.01</v>
      </c>
      <c r="AG135" s="2">
        <v>-3.61</v>
      </c>
      <c r="AH135" s="2">
        <v>36.01</v>
      </c>
      <c r="AI135" s="2">
        <v>-3.61</v>
      </c>
      <c r="AJ135" s="2" t="s">
        <v>113</v>
      </c>
      <c r="AK135" s="2" t="s">
        <v>113</v>
      </c>
      <c r="AL135" s="2">
        <v>9.89</v>
      </c>
      <c r="AM135" s="2">
        <v>22.55</v>
      </c>
      <c r="AN135" s="2">
        <v>-2.3050000000000002</v>
      </c>
      <c r="AO135" s="2"/>
      <c r="AP135" s="2"/>
      <c r="AQ135" s="10"/>
      <c r="AR135" s="5">
        <v>30.1</v>
      </c>
      <c r="AS135" s="5">
        <v>24.74</v>
      </c>
      <c r="AT135" s="5">
        <v>4.18</v>
      </c>
      <c r="AU135" s="7">
        <f t="shared" ref="AU135:AU198" si="99">IF(OR(AS135="NAN",AT135="NAN"),"NAN",ROUND(AT135/AS135,3))</f>
        <v>0.16900000000000001</v>
      </c>
      <c r="AV135" s="16"/>
      <c r="AW135" s="29">
        <v>0</v>
      </c>
      <c r="AX135" s="29">
        <v>0</v>
      </c>
      <c r="AY135" s="1">
        <f t="shared" si="79"/>
        <v>96.9</v>
      </c>
      <c r="AZ135" s="1">
        <f t="shared" si="80"/>
        <v>63.2</v>
      </c>
      <c r="BA135" s="1">
        <f t="shared" si="81"/>
        <v>32.9</v>
      </c>
      <c r="BB135" s="8">
        <f t="shared" si="82"/>
        <v>0.69799999999999995</v>
      </c>
      <c r="BC135" s="8">
        <f t="shared" si="83"/>
        <v>1.4239999999999999</v>
      </c>
      <c r="BD135" s="5"/>
      <c r="BE135" s="5">
        <f t="shared" si="88"/>
        <v>24.74</v>
      </c>
      <c r="BF135" s="5">
        <f t="shared" si="89"/>
        <v>4.18</v>
      </c>
      <c r="BG135" s="1">
        <f t="shared" si="84"/>
        <v>9.3000000000000007</v>
      </c>
      <c r="BH135" s="1">
        <f t="shared" si="85"/>
        <v>18.5</v>
      </c>
      <c r="BI135" s="1">
        <f t="shared" si="86"/>
        <v>-1.6</v>
      </c>
      <c r="BJ135" s="1">
        <f t="shared" si="90"/>
        <v>63.2</v>
      </c>
      <c r="BK135" s="1">
        <f t="shared" si="91"/>
        <v>32.9</v>
      </c>
      <c r="BL135" s="1">
        <f t="shared" ref="BL135:BL198" si="100">ROUND(AC135,1)</f>
        <v>1.2</v>
      </c>
      <c r="BM135" s="1">
        <f t="shared" ref="BM135:BM198" si="101">ROUND(AD135,1)</f>
        <v>4.9000000000000004</v>
      </c>
      <c r="BN135" s="21">
        <f t="shared" si="92"/>
        <v>0</v>
      </c>
      <c r="BO135" s="7">
        <f t="shared" si="93"/>
        <v>0</v>
      </c>
      <c r="BP135" s="21" t="str">
        <f t="shared" si="87"/>
        <v>NAN</v>
      </c>
      <c r="BQ135" s="1">
        <f t="shared" si="94"/>
        <v>11.9</v>
      </c>
      <c r="BR135" s="1">
        <f t="shared" si="95"/>
        <v>36</v>
      </c>
      <c r="BS135" s="1">
        <f t="shared" si="96"/>
        <v>-3.6</v>
      </c>
      <c r="BT135" s="1" t="s">
        <v>113</v>
      </c>
      <c r="BU135" s="1" t="s">
        <v>113</v>
      </c>
      <c r="BV135" s="1" t="s">
        <v>113</v>
      </c>
      <c r="BW135" s="1" t="str">
        <f t="shared" ref="BW135:BW198" si="102">AK135</f>
        <v>NAN</v>
      </c>
      <c r="BX135" s="1">
        <f t="shared" ref="BX135:BX198" si="103">BB135</f>
        <v>0.69799999999999995</v>
      </c>
      <c r="BY135" s="1">
        <f t="shared" ref="BY135:BY198" si="104">BC135</f>
        <v>1.4239999999999999</v>
      </c>
      <c r="CA135" s="1">
        <f t="shared" si="97"/>
        <v>17.5</v>
      </c>
      <c r="CB135" s="1">
        <f t="shared" si="98"/>
        <v>-2</v>
      </c>
    </row>
    <row r="136" spans="1:80" x14ac:dyDescent="0.2">
      <c r="A136" s="9">
        <f t="shared" ref="A136:A199" si="105">A135+1</f>
        <v>43596</v>
      </c>
      <c r="B136" s="2">
        <v>131</v>
      </c>
      <c r="C136" s="2">
        <v>21</v>
      </c>
      <c r="D136" s="2">
        <v>13.21</v>
      </c>
      <c r="E136" s="2">
        <v>28.62</v>
      </c>
      <c r="F136" s="2">
        <v>-1.0640000000000001</v>
      </c>
      <c r="G136" s="2">
        <v>12.53</v>
      </c>
      <c r="H136" s="2">
        <v>56.89</v>
      </c>
      <c r="I136" s="2">
        <v>12.69</v>
      </c>
      <c r="J136" s="2">
        <v>12.14</v>
      </c>
      <c r="K136" s="2">
        <v>10.57</v>
      </c>
      <c r="L136" s="2">
        <v>4.101</v>
      </c>
      <c r="M136" s="2">
        <v>21.06</v>
      </c>
      <c r="N136" s="2">
        <v>102</v>
      </c>
      <c r="O136" s="2">
        <v>27.65</v>
      </c>
      <c r="P136" s="2">
        <v>25.19</v>
      </c>
      <c r="Q136" s="2">
        <v>18.09</v>
      </c>
      <c r="R136" s="2">
        <v>4.899</v>
      </c>
      <c r="S136" s="2">
        <v>0.13800000000000001</v>
      </c>
      <c r="T136" s="2">
        <v>28.81</v>
      </c>
      <c r="U136" s="2">
        <v>-2.7909999999999999</v>
      </c>
      <c r="V136" s="2">
        <v>1.333</v>
      </c>
      <c r="W136" s="2">
        <v>3.3559999999999999</v>
      </c>
      <c r="X136" s="2">
        <v>3.77</v>
      </c>
      <c r="Y136" s="2">
        <v>2.4620000000000002</v>
      </c>
      <c r="Z136" s="2">
        <v>0</v>
      </c>
      <c r="AA136" s="2">
        <v>22.18</v>
      </c>
      <c r="AB136" s="2">
        <v>3.9569999999999999</v>
      </c>
      <c r="AC136" s="2">
        <v>1.6240000000000001</v>
      </c>
      <c r="AD136" s="2">
        <v>6.7140000000000004</v>
      </c>
      <c r="AE136" s="2">
        <v>13.97</v>
      </c>
      <c r="AF136" s="2">
        <v>37.96</v>
      </c>
      <c r="AG136" s="2">
        <v>-2.7120000000000002</v>
      </c>
      <c r="AH136" s="2">
        <v>37.96</v>
      </c>
      <c r="AI136" s="2">
        <v>-2.7120000000000002</v>
      </c>
      <c r="AJ136" s="2" t="s">
        <v>113</v>
      </c>
      <c r="AK136" s="2" t="s">
        <v>113</v>
      </c>
      <c r="AL136" s="2">
        <v>12.48</v>
      </c>
      <c r="AM136" s="2">
        <v>23.29</v>
      </c>
      <c r="AN136" s="2">
        <v>-0.81399999999999995</v>
      </c>
      <c r="AO136" s="2"/>
      <c r="AP136" s="2"/>
      <c r="AQ136" s="10"/>
      <c r="AR136" s="5">
        <v>30.26</v>
      </c>
      <c r="AS136" s="5">
        <v>23.29</v>
      </c>
      <c r="AT136" s="5">
        <v>3.96</v>
      </c>
      <c r="AU136" s="7">
        <f t="shared" si="99"/>
        <v>0.17</v>
      </c>
      <c r="AV136" s="16"/>
      <c r="AW136" s="29">
        <v>0</v>
      </c>
      <c r="AX136" s="29">
        <v>0</v>
      </c>
      <c r="AY136" s="1">
        <f t="shared" si="79"/>
        <v>98.4</v>
      </c>
      <c r="AZ136" s="1">
        <f t="shared" si="80"/>
        <v>54.7</v>
      </c>
      <c r="BA136" s="1">
        <f t="shared" si="81"/>
        <v>27.4</v>
      </c>
      <c r="BB136" s="8">
        <f t="shared" si="82"/>
        <v>0.68400000000000005</v>
      </c>
      <c r="BC136" s="8">
        <f t="shared" si="83"/>
        <v>1.8120000000000001</v>
      </c>
      <c r="BD136" s="5"/>
      <c r="BE136" s="5">
        <f t="shared" si="88"/>
        <v>23.29</v>
      </c>
      <c r="BF136" s="5">
        <f t="shared" si="89"/>
        <v>3.96</v>
      </c>
      <c r="BG136" s="1">
        <f t="shared" si="84"/>
        <v>12.5</v>
      </c>
      <c r="BH136" s="1">
        <f t="shared" si="85"/>
        <v>21.1</v>
      </c>
      <c r="BI136" s="1">
        <f t="shared" si="86"/>
        <v>0.1</v>
      </c>
      <c r="BJ136" s="1">
        <f t="shared" si="90"/>
        <v>54.7</v>
      </c>
      <c r="BK136" s="1">
        <f t="shared" si="91"/>
        <v>27.4</v>
      </c>
      <c r="BL136" s="1">
        <f t="shared" si="100"/>
        <v>1.6</v>
      </c>
      <c r="BM136" s="1">
        <f t="shared" si="101"/>
        <v>6.7</v>
      </c>
      <c r="BN136" s="21">
        <f t="shared" si="92"/>
        <v>0</v>
      </c>
      <c r="BO136" s="7">
        <f t="shared" si="93"/>
        <v>0</v>
      </c>
      <c r="BP136" s="21" t="str">
        <f t="shared" si="87"/>
        <v>NAN</v>
      </c>
      <c r="BQ136" s="1">
        <f t="shared" si="94"/>
        <v>14</v>
      </c>
      <c r="BR136" s="1">
        <f t="shared" si="95"/>
        <v>38</v>
      </c>
      <c r="BS136" s="1">
        <f t="shared" si="96"/>
        <v>-2.7</v>
      </c>
      <c r="BT136" s="1" t="s">
        <v>113</v>
      </c>
      <c r="BU136" s="1" t="s">
        <v>113</v>
      </c>
      <c r="BV136" s="1" t="s">
        <v>113</v>
      </c>
      <c r="BW136" s="1" t="str">
        <f t="shared" si="102"/>
        <v>NAN</v>
      </c>
      <c r="BX136" s="1">
        <f t="shared" si="103"/>
        <v>0.68400000000000005</v>
      </c>
      <c r="BY136" s="1">
        <f t="shared" si="104"/>
        <v>1.8120000000000001</v>
      </c>
      <c r="CA136" s="1">
        <f t="shared" si="97"/>
        <v>16.899999999999999</v>
      </c>
      <c r="CB136" s="1">
        <f t="shared" si="98"/>
        <v>-2.8000000000000003</v>
      </c>
    </row>
    <row r="137" spans="1:80" x14ac:dyDescent="0.2">
      <c r="A137" s="9">
        <f t="shared" si="105"/>
        <v>43597</v>
      </c>
      <c r="B137" s="2">
        <v>132</v>
      </c>
      <c r="C137" s="2">
        <v>21</v>
      </c>
      <c r="D137" s="2">
        <v>13.2</v>
      </c>
      <c r="E137" s="2">
        <v>26.55</v>
      </c>
      <c r="F137" s="2">
        <v>1.113</v>
      </c>
      <c r="G137" s="2">
        <v>11.89</v>
      </c>
      <c r="H137" s="2">
        <v>43.2</v>
      </c>
      <c r="I137" s="2">
        <v>12.63</v>
      </c>
      <c r="J137" s="2">
        <v>13.29</v>
      </c>
      <c r="K137" s="2">
        <v>11.69</v>
      </c>
      <c r="L137" s="2">
        <v>4.702</v>
      </c>
      <c r="M137" s="2">
        <v>19.36</v>
      </c>
      <c r="N137" s="2">
        <v>90.9</v>
      </c>
      <c r="O137" s="2">
        <v>27.46</v>
      </c>
      <c r="P137" s="2">
        <v>26.35</v>
      </c>
      <c r="Q137" s="2">
        <v>19.489999999999998</v>
      </c>
      <c r="R137" s="2">
        <v>5.5190000000000001</v>
      </c>
      <c r="S137" s="2">
        <v>0.76300000000000001</v>
      </c>
      <c r="T137" s="2">
        <v>20.61</v>
      </c>
      <c r="U137" s="2">
        <v>-2.5179999999999998</v>
      </c>
      <c r="V137" s="2">
        <v>1.7929999999999999</v>
      </c>
      <c r="W137" s="2">
        <v>4.4580000000000002</v>
      </c>
      <c r="X137" s="2">
        <v>4.3620000000000001</v>
      </c>
      <c r="Y137" s="2">
        <v>2.4689999999999999</v>
      </c>
      <c r="Z137" s="2">
        <v>0</v>
      </c>
      <c r="AA137" s="2">
        <v>27.23</v>
      </c>
      <c r="AB137" s="2">
        <v>4.9269999999999996</v>
      </c>
      <c r="AC137" s="2">
        <v>1.8380000000000001</v>
      </c>
      <c r="AD137" s="2">
        <v>5.9939999999999998</v>
      </c>
      <c r="AE137" s="2">
        <v>15.53</v>
      </c>
      <c r="AF137" s="2">
        <v>40.22</v>
      </c>
      <c r="AG137" s="2">
        <v>-2.9969999999999999</v>
      </c>
      <c r="AH137" s="2">
        <v>40.22</v>
      </c>
      <c r="AI137" s="2">
        <v>-2.9969999999999999</v>
      </c>
      <c r="AJ137" s="2" t="s">
        <v>113</v>
      </c>
      <c r="AK137" s="2" t="s">
        <v>113</v>
      </c>
      <c r="AL137" s="2">
        <v>12.37</v>
      </c>
      <c r="AM137" s="2">
        <v>22.48</v>
      </c>
      <c r="AN137" s="2">
        <v>-5.8999999999999997E-2</v>
      </c>
      <c r="AO137" s="2"/>
      <c r="AP137" s="2"/>
      <c r="AQ137" s="10"/>
      <c r="AR137" s="5">
        <v>30.42</v>
      </c>
      <c r="AS137" s="5">
        <v>28.58</v>
      </c>
      <c r="AT137" s="5">
        <v>4.92</v>
      </c>
      <c r="AU137" s="7">
        <f t="shared" si="99"/>
        <v>0.17199999999999999</v>
      </c>
      <c r="AV137" s="16"/>
      <c r="AW137" s="29">
        <v>0</v>
      </c>
      <c r="AX137" s="29">
        <v>0</v>
      </c>
      <c r="AY137" s="1">
        <f t="shared" si="79"/>
        <v>87.7</v>
      </c>
      <c r="AZ137" s="1">
        <f t="shared" si="80"/>
        <v>41.4</v>
      </c>
      <c r="BA137" s="1">
        <f t="shared" si="81"/>
        <v>19.5</v>
      </c>
      <c r="BB137" s="8">
        <f t="shared" si="82"/>
        <v>0.438</v>
      </c>
      <c r="BC137" s="8">
        <f t="shared" si="83"/>
        <v>1.8080000000000001</v>
      </c>
      <c r="BD137" s="5"/>
      <c r="BE137" s="5">
        <f t="shared" si="88"/>
        <v>28.58</v>
      </c>
      <c r="BF137" s="5">
        <f t="shared" si="89"/>
        <v>4.92</v>
      </c>
      <c r="BG137" s="1">
        <f t="shared" si="84"/>
        <v>11.9</v>
      </c>
      <c r="BH137" s="1">
        <f t="shared" si="85"/>
        <v>19.399999999999999</v>
      </c>
      <c r="BI137" s="1">
        <f t="shared" si="86"/>
        <v>0.8</v>
      </c>
      <c r="BJ137" s="1">
        <f t="shared" si="90"/>
        <v>41.4</v>
      </c>
      <c r="BK137" s="1">
        <f t="shared" si="91"/>
        <v>19.5</v>
      </c>
      <c r="BL137" s="1">
        <f t="shared" si="100"/>
        <v>1.8</v>
      </c>
      <c r="BM137" s="1">
        <f t="shared" si="101"/>
        <v>6</v>
      </c>
      <c r="BN137" s="21">
        <f t="shared" si="92"/>
        <v>0</v>
      </c>
      <c r="BO137" s="7">
        <f t="shared" si="93"/>
        <v>0</v>
      </c>
      <c r="BP137" s="21" t="str">
        <f t="shared" si="87"/>
        <v>NAN</v>
      </c>
      <c r="BQ137" s="1">
        <f t="shared" si="94"/>
        <v>15.5</v>
      </c>
      <c r="BR137" s="1">
        <f t="shared" si="95"/>
        <v>40.200000000000003</v>
      </c>
      <c r="BS137" s="1">
        <f t="shared" si="96"/>
        <v>-3</v>
      </c>
      <c r="BT137" s="1" t="s">
        <v>113</v>
      </c>
      <c r="BU137" s="1" t="s">
        <v>113</v>
      </c>
      <c r="BV137" s="1" t="s">
        <v>113</v>
      </c>
      <c r="BW137" s="1" t="str">
        <f t="shared" si="102"/>
        <v>NAN</v>
      </c>
      <c r="BX137" s="1">
        <f t="shared" si="103"/>
        <v>0.438</v>
      </c>
      <c r="BY137" s="1">
        <f t="shared" si="104"/>
        <v>1.8080000000000001</v>
      </c>
      <c r="CA137" s="1">
        <f t="shared" si="97"/>
        <v>20.800000000000004</v>
      </c>
      <c r="CB137" s="1">
        <f t="shared" si="98"/>
        <v>-3.8</v>
      </c>
    </row>
    <row r="138" spans="1:80" x14ac:dyDescent="0.2">
      <c r="A138" s="9">
        <f t="shared" si="105"/>
        <v>43598</v>
      </c>
      <c r="B138" s="2">
        <v>133</v>
      </c>
      <c r="C138" s="2">
        <v>21</v>
      </c>
      <c r="D138" s="2">
        <v>13.18</v>
      </c>
      <c r="E138" s="2">
        <v>25.41</v>
      </c>
      <c r="F138" s="2">
        <v>-1.4530000000000001</v>
      </c>
      <c r="G138" s="2">
        <v>9.4</v>
      </c>
      <c r="H138" s="2">
        <v>51.23</v>
      </c>
      <c r="I138" s="2">
        <v>9.8699999999999992</v>
      </c>
      <c r="J138" s="2">
        <v>12.33</v>
      </c>
      <c r="K138" s="2">
        <v>11.22</v>
      </c>
      <c r="L138" s="2">
        <v>5.3090000000000002</v>
      </c>
      <c r="M138" s="2">
        <v>16.93</v>
      </c>
      <c r="N138" s="2">
        <v>94.9</v>
      </c>
      <c r="O138" s="2">
        <v>24.18</v>
      </c>
      <c r="P138" s="2">
        <v>26.82</v>
      </c>
      <c r="Q138" s="2">
        <v>18.38</v>
      </c>
      <c r="R138" s="2">
        <v>6.056</v>
      </c>
      <c r="S138" s="2">
        <v>-2.4220000000000002</v>
      </c>
      <c r="T138" s="2">
        <v>28.09</v>
      </c>
      <c r="U138" s="2">
        <v>-4.5739999999999998</v>
      </c>
      <c r="V138" s="2">
        <v>1.379</v>
      </c>
      <c r="W138" s="2">
        <v>4.4630000000000001</v>
      </c>
      <c r="X138" s="2">
        <v>4.9859999999999998</v>
      </c>
      <c r="Y138" s="2">
        <v>2.464</v>
      </c>
      <c r="Z138" s="2">
        <v>0</v>
      </c>
      <c r="AA138" s="2">
        <v>21.94</v>
      </c>
      <c r="AB138" s="2">
        <v>4.0350000000000001</v>
      </c>
      <c r="AC138" s="2">
        <v>1.3540000000000001</v>
      </c>
      <c r="AD138" s="2">
        <v>5.62</v>
      </c>
      <c r="AE138" s="2">
        <v>13.29</v>
      </c>
      <c r="AF138" s="2">
        <v>39.909999999999997</v>
      </c>
      <c r="AG138" s="2">
        <v>-5.109</v>
      </c>
      <c r="AH138" s="2">
        <v>39.909999999999997</v>
      </c>
      <c r="AI138" s="2">
        <v>-5.109</v>
      </c>
      <c r="AJ138" s="2" t="s">
        <v>113</v>
      </c>
      <c r="AK138" s="2" t="s">
        <v>113</v>
      </c>
      <c r="AL138" s="2">
        <v>9.94</v>
      </c>
      <c r="AM138" s="2">
        <v>20.76</v>
      </c>
      <c r="AN138" s="2">
        <v>-3.173</v>
      </c>
      <c r="AO138" s="2"/>
      <c r="AP138" s="2"/>
      <c r="AQ138" s="10"/>
      <c r="AR138" s="5">
        <v>30.57</v>
      </c>
      <c r="AS138" s="5">
        <v>23.04</v>
      </c>
      <c r="AT138" s="5">
        <v>4.03</v>
      </c>
      <c r="AU138" s="7">
        <f t="shared" si="99"/>
        <v>0.17499999999999999</v>
      </c>
      <c r="AV138" s="16"/>
      <c r="AW138" s="29">
        <v>0</v>
      </c>
      <c r="AX138" s="29">
        <v>0</v>
      </c>
      <c r="AY138" s="1">
        <f t="shared" si="79"/>
        <v>91.6</v>
      </c>
      <c r="AZ138" s="1">
        <f t="shared" si="80"/>
        <v>49.2</v>
      </c>
      <c r="BA138" s="1">
        <f t="shared" si="81"/>
        <v>26.7</v>
      </c>
      <c r="BB138" s="8">
        <f t="shared" si="82"/>
        <v>0.51500000000000001</v>
      </c>
      <c r="BC138" s="8">
        <f t="shared" si="83"/>
        <v>1.4139999999999999</v>
      </c>
      <c r="BD138" s="5"/>
      <c r="BE138" s="5">
        <f t="shared" si="88"/>
        <v>23.04</v>
      </c>
      <c r="BF138" s="5">
        <f t="shared" si="89"/>
        <v>4.03</v>
      </c>
      <c r="BG138" s="1">
        <f t="shared" si="84"/>
        <v>9.4</v>
      </c>
      <c r="BH138" s="1">
        <f t="shared" si="85"/>
        <v>16.899999999999999</v>
      </c>
      <c r="BI138" s="1">
        <f t="shared" si="86"/>
        <v>-2.4</v>
      </c>
      <c r="BJ138" s="1">
        <f t="shared" si="90"/>
        <v>49.2</v>
      </c>
      <c r="BK138" s="1">
        <f t="shared" si="91"/>
        <v>26.7</v>
      </c>
      <c r="BL138" s="1">
        <f t="shared" si="100"/>
        <v>1.4</v>
      </c>
      <c r="BM138" s="1">
        <f t="shared" si="101"/>
        <v>5.6</v>
      </c>
      <c r="BN138" s="21">
        <f t="shared" si="92"/>
        <v>0</v>
      </c>
      <c r="BO138" s="7">
        <f t="shared" si="93"/>
        <v>0</v>
      </c>
      <c r="BP138" s="21" t="str">
        <f t="shared" si="87"/>
        <v>NAN</v>
      </c>
      <c r="BQ138" s="1">
        <f t="shared" si="94"/>
        <v>13.3</v>
      </c>
      <c r="BR138" s="1">
        <f t="shared" si="95"/>
        <v>39.9</v>
      </c>
      <c r="BS138" s="1">
        <f t="shared" si="96"/>
        <v>-5.0999999999999996</v>
      </c>
      <c r="BT138" s="1" t="s">
        <v>113</v>
      </c>
      <c r="BU138" s="1" t="s">
        <v>113</v>
      </c>
      <c r="BV138" s="1" t="s">
        <v>113</v>
      </c>
      <c r="BW138" s="1" t="str">
        <f t="shared" si="102"/>
        <v>NAN</v>
      </c>
      <c r="BX138" s="1">
        <f t="shared" si="103"/>
        <v>0.51500000000000001</v>
      </c>
      <c r="BY138" s="1">
        <f t="shared" si="104"/>
        <v>1.4139999999999999</v>
      </c>
      <c r="CA138" s="1">
        <f t="shared" si="97"/>
        <v>23</v>
      </c>
      <c r="CB138" s="1">
        <f t="shared" si="98"/>
        <v>-2.6999999999999997</v>
      </c>
    </row>
    <row r="139" spans="1:80" x14ac:dyDescent="0.2">
      <c r="A139" s="9">
        <f t="shared" si="105"/>
        <v>43599</v>
      </c>
      <c r="B139" s="2">
        <v>134</v>
      </c>
      <c r="C139" s="2">
        <v>21</v>
      </c>
      <c r="D139" s="2">
        <v>13.2</v>
      </c>
      <c r="E139" s="2">
        <v>14.79</v>
      </c>
      <c r="F139" s="2">
        <v>-2.8730000000000002</v>
      </c>
      <c r="G139" s="2">
        <v>4.8620000000000001</v>
      </c>
      <c r="H139" s="2">
        <v>83.1</v>
      </c>
      <c r="I139" s="2">
        <v>4.5810000000000004</v>
      </c>
      <c r="J139" s="2">
        <v>6.5119999999999996</v>
      </c>
      <c r="K139" s="2">
        <v>7.16</v>
      </c>
      <c r="L139" s="2">
        <v>5.6369999999999996</v>
      </c>
      <c r="M139" s="2">
        <v>12.41</v>
      </c>
      <c r="N139" s="2">
        <v>101.7</v>
      </c>
      <c r="O139" s="2">
        <v>15.33</v>
      </c>
      <c r="P139" s="2">
        <v>12.99</v>
      </c>
      <c r="Q139" s="2">
        <v>10.16</v>
      </c>
      <c r="R139" s="2">
        <v>5.9880000000000004</v>
      </c>
      <c r="S139" s="2">
        <v>-2.2130000000000001</v>
      </c>
      <c r="T139" s="2">
        <v>40.86</v>
      </c>
      <c r="U139" s="2">
        <v>-4.4950000000000001</v>
      </c>
      <c r="V139" s="2">
        <v>0.94799999999999995</v>
      </c>
      <c r="W139" s="2">
        <v>3.843</v>
      </c>
      <c r="X139" s="2">
        <v>5.4349999999999996</v>
      </c>
      <c r="Y139" s="2">
        <v>2.464</v>
      </c>
      <c r="Z139" s="2">
        <v>9.65</v>
      </c>
      <c r="AA139" s="2">
        <v>8.4</v>
      </c>
      <c r="AB139" s="2">
        <v>1.498</v>
      </c>
      <c r="AC139" s="2">
        <v>1.375</v>
      </c>
      <c r="AD139" s="2">
        <v>6.2069999999999999</v>
      </c>
      <c r="AE139" s="2">
        <v>5.8419999999999996</v>
      </c>
      <c r="AF139" s="2">
        <v>21.37</v>
      </c>
      <c r="AG139" s="2">
        <v>-4.9340000000000002</v>
      </c>
      <c r="AH139" s="2">
        <v>21.37</v>
      </c>
      <c r="AI139" s="2">
        <v>-4.9340000000000002</v>
      </c>
      <c r="AJ139" s="2" t="s">
        <v>113</v>
      </c>
      <c r="AK139" s="2" t="s">
        <v>113</v>
      </c>
      <c r="AL139" s="2">
        <v>4.6790000000000003</v>
      </c>
      <c r="AM139" s="2">
        <v>12.92</v>
      </c>
      <c r="AN139" s="2">
        <v>-3.14</v>
      </c>
      <c r="AO139" s="2"/>
      <c r="AP139" s="2"/>
      <c r="AQ139" s="10"/>
      <c r="AR139" s="5">
        <v>30.71</v>
      </c>
      <c r="AS139" s="5">
        <v>8.82</v>
      </c>
      <c r="AT139" s="5">
        <v>1.5</v>
      </c>
      <c r="AU139" s="7">
        <f t="shared" si="99"/>
        <v>0.17</v>
      </c>
      <c r="AV139" s="16"/>
      <c r="AW139" s="29">
        <v>9.6519999999999992</v>
      </c>
      <c r="AX139" s="29">
        <v>0</v>
      </c>
      <c r="AY139" s="1">
        <f t="shared" si="79"/>
        <v>98.1</v>
      </c>
      <c r="AZ139" s="1">
        <f t="shared" si="80"/>
        <v>80.099999999999994</v>
      </c>
      <c r="BA139" s="1">
        <f t="shared" si="81"/>
        <v>39.1</v>
      </c>
      <c r="BB139" s="8">
        <f t="shared" si="82"/>
        <v>0.56299999999999994</v>
      </c>
      <c r="BC139" s="8">
        <f t="shared" si="83"/>
        <v>0.877</v>
      </c>
      <c r="BE139" s="5">
        <f t="shared" si="88"/>
        <v>8.82</v>
      </c>
      <c r="BF139" s="5">
        <f t="shared" si="89"/>
        <v>1.5</v>
      </c>
      <c r="BG139" s="1">
        <f t="shared" si="84"/>
        <v>4.9000000000000004</v>
      </c>
      <c r="BH139" s="1">
        <f t="shared" si="85"/>
        <v>12.4</v>
      </c>
      <c r="BI139" s="1">
        <f t="shared" si="86"/>
        <v>-2.2000000000000002</v>
      </c>
      <c r="BJ139" s="1">
        <f t="shared" si="90"/>
        <v>80.099999999999994</v>
      </c>
      <c r="BK139" s="1">
        <f t="shared" si="91"/>
        <v>39.1</v>
      </c>
      <c r="BL139" s="1">
        <f t="shared" si="100"/>
        <v>1.4</v>
      </c>
      <c r="BM139" s="1">
        <f t="shared" si="101"/>
        <v>6.2</v>
      </c>
      <c r="BN139" s="21">
        <f t="shared" si="92"/>
        <v>9.6519999999999992</v>
      </c>
      <c r="BO139" s="7">
        <f t="shared" si="93"/>
        <v>0</v>
      </c>
      <c r="BP139" s="21" t="str">
        <f t="shared" si="87"/>
        <v>NAN</v>
      </c>
      <c r="BQ139" s="1">
        <f t="shared" si="94"/>
        <v>5.8</v>
      </c>
      <c r="BR139" s="1">
        <f t="shared" si="95"/>
        <v>21.4</v>
      </c>
      <c r="BS139" s="1">
        <f t="shared" si="96"/>
        <v>-4.9000000000000004</v>
      </c>
      <c r="BT139" s="1" t="s">
        <v>113</v>
      </c>
      <c r="BU139" s="1" t="s">
        <v>113</v>
      </c>
      <c r="BV139" s="1" t="s">
        <v>113</v>
      </c>
      <c r="BW139" s="1" t="str">
        <f t="shared" si="102"/>
        <v>NAN</v>
      </c>
      <c r="BX139" s="1">
        <f t="shared" si="103"/>
        <v>0.56299999999999994</v>
      </c>
      <c r="BY139" s="1">
        <f t="shared" si="104"/>
        <v>0.877</v>
      </c>
      <c r="CA139" s="1">
        <f t="shared" si="97"/>
        <v>8.9999999999999982</v>
      </c>
      <c r="CB139" s="1">
        <f t="shared" si="98"/>
        <v>-2.7</v>
      </c>
    </row>
    <row r="140" spans="1:80" x14ac:dyDescent="0.2">
      <c r="A140" s="9">
        <f t="shared" si="105"/>
        <v>43600</v>
      </c>
      <c r="B140" s="2">
        <v>135</v>
      </c>
      <c r="C140" s="2">
        <v>21</v>
      </c>
      <c r="D140" s="2">
        <v>13.18</v>
      </c>
      <c r="E140" s="2">
        <v>22.14</v>
      </c>
      <c r="F140" s="2">
        <v>-3.6789999999999998</v>
      </c>
      <c r="G140" s="2">
        <v>6.4489999999999998</v>
      </c>
      <c r="H140" s="2">
        <v>73</v>
      </c>
      <c r="I140" s="2">
        <v>7.66</v>
      </c>
      <c r="J140" s="2">
        <v>10.88</v>
      </c>
      <c r="K140" s="2">
        <v>9.3699999999999992</v>
      </c>
      <c r="L140" s="2">
        <v>5.4240000000000004</v>
      </c>
      <c r="M140" s="2">
        <v>13.82</v>
      </c>
      <c r="N140" s="2">
        <v>102.1</v>
      </c>
      <c r="O140" s="2">
        <v>23.18</v>
      </c>
      <c r="P140" s="2">
        <v>25</v>
      </c>
      <c r="Q140" s="2">
        <v>17.36</v>
      </c>
      <c r="R140" s="2">
        <v>6.2779999999999996</v>
      </c>
      <c r="S140" s="2">
        <v>-2.7480000000000002</v>
      </c>
      <c r="T140" s="2">
        <v>41.05</v>
      </c>
      <c r="U140" s="2">
        <v>-4.6769999999999996</v>
      </c>
      <c r="V140" s="2">
        <v>6.7000000000000004E-2</v>
      </c>
      <c r="W140" s="2">
        <v>2.1669999999999998</v>
      </c>
      <c r="X140" s="2">
        <v>4.9530000000000003</v>
      </c>
      <c r="Y140" s="2">
        <v>2.4569999999999999</v>
      </c>
      <c r="Z140" s="2">
        <v>0</v>
      </c>
      <c r="AA140" s="2">
        <v>25.41</v>
      </c>
      <c r="AB140" s="2">
        <v>4.4390000000000001</v>
      </c>
      <c r="AC140" s="2">
        <v>1.399</v>
      </c>
      <c r="AD140" s="2">
        <v>5.38</v>
      </c>
      <c r="AE140" s="2">
        <v>10.28</v>
      </c>
      <c r="AF140" s="2">
        <v>30.01</v>
      </c>
      <c r="AG140" s="2">
        <v>-3.27</v>
      </c>
      <c r="AH140" s="2">
        <v>30.01</v>
      </c>
      <c r="AI140" s="2">
        <v>-3.27</v>
      </c>
      <c r="AJ140" s="2" t="s">
        <v>113</v>
      </c>
      <c r="AK140" s="2" t="s">
        <v>113</v>
      </c>
      <c r="AL140" s="2">
        <v>7.41</v>
      </c>
      <c r="AM140" s="2">
        <v>18.53</v>
      </c>
      <c r="AN140" s="2">
        <v>-3.468</v>
      </c>
      <c r="AO140" s="2"/>
      <c r="AP140" s="2"/>
      <c r="AQ140" s="10"/>
      <c r="AR140" s="5">
        <v>30.86</v>
      </c>
      <c r="AS140" s="5">
        <v>26.69</v>
      </c>
      <c r="AT140" s="5">
        <v>4.4400000000000004</v>
      </c>
      <c r="AU140" s="7">
        <f t="shared" si="99"/>
        <v>0.16600000000000001</v>
      </c>
      <c r="AV140" s="16"/>
      <c r="AW140" s="29">
        <v>0</v>
      </c>
      <c r="AX140" s="29">
        <v>0</v>
      </c>
      <c r="AY140" s="1">
        <f t="shared" si="79"/>
        <v>98.5</v>
      </c>
      <c r="AZ140" s="1">
        <f t="shared" si="80"/>
        <v>70.3</v>
      </c>
      <c r="BA140" s="1">
        <f t="shared" si="81"/>
        <v>39.299999999999997</v>
      </c>
      <c r="BB140" s="8">
        <f t="shared" si="82"/>
        <v>0.621</v>
      </c>
      <c r="BC140" s="8">
        <f t="shared" si="83"/>
        <v>0.95899999999999996</v>
      </c>
      <c r="BE140" s="5">
        <f t="shared" si="88"/>
        <v>26.69</v>
      </c>
      <c r="BF140" s="5">
        <f t="shared" si="89"/>
        <v>4.4400000000000004</v>
      </c>
      <c r="BG140" s="1">
        <f t="shared" si="84"/>
        <v>6.4</v>
      </c>
      <c r="BH140" s="1">
        <f t="shared" si="85"/>
        <v>13.8</v>
      </c>
      <c r="BI140" s="1">
        <f t="shared" si="86"/>
        <v>-2.7</v>
      </c>
      <c r="BJ140" s="1">
        <f t="shared" si="90"/>
        <v>70.3</v>
      </c>
      <c r="BK140" s="1">
        <f t="shared" si="91"/>
        <v>39.299999999999997</v>
      </c>
      <c r="BL140" s="1">
        <f t="shared" si="100"/>
        <v>1.4</v>
      </c>
      <c r="BM140" s="1">
        <f t="shared" si="101"/>
        <v>5.4</v>
      </c>
      <c r="BN140" s="21">
        <f t="shared" si="92"/>
        <v>0</v>
      </c>
      <c r="BO140" s="7">
        <f t="shared" si="93"/>
        <v>0</v>
      </c>
      <c r="BP140" s="21" t="str">
        <f t="shared" si="87"/>
        <v>NAN</v>
      </c>
      <c r="BQ140" s="1">
        <f t="shared" si="94"/>
        <v>10.3</v>
      </c>
      <c r="BR140" s="1">
        <f t="shared" si="95"/>
        <v>30</v>
      </c>
      <c r="BS140" s="1">
        <f t="shared" si="96"/>
        <v>-3.3</v>
      </c>
      <c r="BT140" s="1" t="s">
        <v>113</v>
      </c>
      <c r="BU140" s="1" t="s">
        <v>113</v>
      </c>
      <c r="BV140" s="1" t="s">
        <v>113</v>
      </c>
      <c r="BW140" s="1" t="str">
        <f t="shared" si="102"/>
        <v>NAN</v>
      </c>
      <c r="BX140" s="1">
        <f t="shared" si="103"/>
        <v>0.621</v>
      </c>
      <c r="BY140" s="1">
        <f t="shared" si="104"/>
        <v>0.95899999999999996</v>
      </c>
      <c r="CA140" s="1">
        <f t="shared" si="97"/>
        <v>16.2</v>
      </c>
      <c r="CB140" s="1">
        <f t="shared" si="98"/>
        <v>-0.59999999999999964</v>
      </c>
    </row>
    <row r="141" spans="1:80" x14ac:dyDescent="0.2">
      <c r="A141" s="9">
        <f t="shared" si="105"/>
        <v>43601</v>
      </c>
      <c r="B141" s="2">
        <v>136</v>
      </c>
      <c r="C141" s="2">
        <v>21</v>
      </c>
      <c r="D141" s="2">
        <v>13.2</v>
      </c>
      <c r="E141" s="2">
        <v>14.99</v>
      </c>
      <c r="F141" s="2">
        <v>5.3879999999999999</v>
      </c>
      <c r="G141" s="2">
        <v>7.38</v>
      </c>
      <c r="H141" s="2">
        <v>95.4</v>
      </c>
      <c r="I141" s="2">
        <v>7.75</v>
      </c>
      <c r="J141" s="2">
        <v>10.6</v>
      </c>
      <c r="K141" s="2">
        <v>9.9</v>
      </c>
      <c r="L141" s="2">
        <v>5.6529999999999996</v>
      </c>
      <c r="M141" s="2">
        <v>11.4</v>
      </c>
      <c r="N141" s="2">
        <v>100.8</v>
      </c>
      <c r="O141" s="2">
        <v>16.7</v>
      </c>
      <c r="P141" s="2">
        <v>19.41</v>
      </c>
      <c r="Q141" s="2">
        <v>13.47</v>
      </c>
      <c r="R141" s="2">
        <v>5.9139999999999997</v>
      </c>
      <c r="S141" s="2">
        <v>5.17</v>
      </c>
      <c r="T141" s="2">
        <v>75.900000000000006</v>
      </c>
      <c r="U141" s="2">
        <v>4.7169999999999996</v>
      </c>
      <c r="V141" s="2">
        <v>6.0359999999999996</v>
      </c>
      <c r="W141" s="2">
        <v>6.9630000000000001</v>
      </c>
      <c r="X141" s="2">
        <v>5.3949999999999996</v>
      </c>
      <c r="Y141" s="2">
        <v>2.4580000000000002</v>
      </c>
      <c r="Z141" s="2">
        <v>5.08</v>
      </c>
      <c r="AA141" s="2">
        <v>10.69</v>
      </c>
      <c r="AB141" s="2">
        <v>1.639</v>
      </c>
      <c r="AC141" s="2">
        <v>1.599</v>
      </c>
      <c r="AD141" s="2">
        <v>4.8739999999999997</v>
      </c>
      <c r="AE141" s="2">
        <v>9.85</v>
      </c>
      <c r="AF141" s="2">
        <v>22.34</v>
      </c>
      <c r="AG141" s="2">
        <v>5.0999999999999996</v>
      </c>
      <c r="AH141" s="2">
        <v>22.34</v>
      </c>
      <c r="AI141" s="2">
        <v>5.0999999999999996</v>
      </c>
      <c r="AJ141" s="2" t="s">
        <v>113</v>
      </c>
      <c r="AK141" s="2" t="s">
        <v>113</v>
      </c>
      <c r="AL141" s="2">
        <v>7.77</v>
      </c>
      <c r="AM141" s="2">
        <v>13.24</v>
      </c>
      <c r="AN141" s="2">
        <v>5.0519999999999996</v>
      </c>
      <c r="AO141" s="2"/>
      <c r="AP141" s="2"/>
      <c r="AQ141" s="10"/>
      <c r="AR141" s="5">
        <v>31</v>
      </c>
      <c r="AS141" s="5">
        <v>11.23</v>
      </c>
      <c r="AT141" s="5">
        <v>1.63</v>
      </c>
      <c r="AU141" s="7">
        <f t="shared" si="99"/>
        <v>0.14499999999999999</v>
      </c>
      <c r="AV141" s="16"/>
      <c r="AW141" s="29">
        <v>5.08</v>
      </c>
      <c r="AX141" s="29">
        <v>0</v>
      </c>
      <c r="AY141" s="1">
        <f t="shared" si="79"/>
        <v>97.3</v>
      </c>
      <c r="AZ141" s="1">
        <f t="shared" si="80"/>
        <v>92</v>
      </c>
      <c r="BA141" s="1">
        <f t="shared" si="81"/>
        <v>73.099999999999994</v>
      </c>
      <c r="BB141" s="8">
        <f t="shared" si="82"/>
        <v>0.98499999999999999</v>
      </c>
      <c r="BC141" s="8">
        <f t="shared" si="83"/>
        <v>0.36199999999999999</v>
      </c>
      <c r="BE141" s="5">
        <f t="shared" si="88"/>
        <v>11.23</v>
      </c>
      <c r="BF141" s="5">
        <f t="shared" si="89"/>
        <v>1.63</v>
      </c>
      <c r="BG141" s="1">
        <f t="shared" si="84"/>
        <v>7.4</v>
      </c>
      <c r="BH141" s="1">
        <f t="shared" si="85"/>
        <v>11.4</v>
      </c>
      <c r="BI141" s="1">
        <f t="shared" si="86"/>
        <v>5.2</v>
      </c>
      <c r="BJ141" s="1">
        <f t="shared" si="90"/>
        <v>92</v>
      </c>
      <c r="BK141" s="1">
        <f t="shared" si="91"/>
        <v>73.099999999999994</v>
      </c>
      <c r="BL141" s="1">
        <f t="shared" si="100"/>
        <v>1.6</v>
      </c>
      <c r="BM141" s="1">
        <f t="shared" si="101"/>
        <v>4.9000000000000004</v>
      </c>
      <c r="BN141" s="21">
        <f t="shared" si="92"/>
        <v>5.08</v>
      </c>
      <c r="BO141" s="7">
        <f t="shared" si="93"/>
        <v>0</v>
      </c>
      <c r="BP141" s="21" t="str">
        <f t="shared" si="87"/>
        <v>NAN</v>
      </c>
      <c r="BQ141" s="1">
        <f t="shared" si="94"/>
        <v>9.9</v>
      </c>
      <c r="BR141" s="1">
        <f t="shared" si="95"/>
        <v>22.3</v>
      </c>
      <c r="BS141" s="1">
        <f t="shared" si="96"/>
        <v>5.0999999999999996</v>
      </c>
      <c r="BT141" s="1" t="s">
        <v>113</v>
      </c>
      <c r="BU141" s="1" t="s">
        <v>113</v>
      </c>
      <c r="BV141" s="1" t="s">
        <v>113</v>
      </c>
      <c r="BW141" s="1" t="str">
        <f t="shared" si="102"/>
        <v>NAN</v>
      </c>
      <c r="BX141" s="1">
        <f t="shared" si="103"/>
        <v>0.98499999999999999</v>
      </c>
      <c r="BY141" s="1">
        <f t="shared" si="104"/>
        <v>0.36199999999999999</v>
      </c>
      <c r="CA141" s="1">
        <f t="shared" si="97"/>
        <v>10.9</v>
      </c>
      <c r="CB141" s="1">
        <f t="shared" si="98"/>
        <v>-0.10000000000000053</v>
      </c>
    </row>
    <row r="142" spans="1:80" x14ac:dyDescent="0.2">
      <c r="A142" s="9">
        <f t="shared" si="105"/>
        <v>43602</v>
      </c>
      <c r="B142" s="2">
        <v>137</v>
      </c>
      <c r="C142" s="2">
        <v>21</v>
      </c>
      <c r="D142" s="2">
        <v>13.18</v>
      </c>
      <c r="E142" s="2">
        <v>11.43</v>
      </c>
      <c r="F142" s="2">
        <v>1.258</v>
      </c>
      <c r="G142" s="2">
        <v>5.0339999999999998</v>
      </c>
      <c r="H142" s="2">
        <v>90.4</v>
      </c>
      <c r="I142" s="2">
        <v>5.1929999999999996</v>
      </c>
      <c r="J142" s="2">
        <v>8.68</v>
      </c>
      <c r="K142" s="2">
        <v>8.51</v>
      </c>
      <c r="L142" s="2">
        <v>5.9089999999999998</v>
      </c>
      <c r="M142" s="2">
        <v>7.78</v>
      </c>
      <c r="N142" s="2">
        <v>101.3</v>
      </c>
      <c r="O142" s="2">
        <v>11.49</v>
      </c>
      <c r="P142" s="2">
        <v>14.21</v>
      </c>
      <c r="Q142" s="2">
        <v>10.95</v>
      </c>
      <c r="R142" s="2">
        <v>6.1429999999999998</v>
      </c>
      <c r="S142" s="2">
        <v>-7.0000000000000001E-3</v>
      </c>
      <c r="T142" s="2">
        <v>72.400000000000006</v>
      </c>
      <c r="U142" s="2">
        <v>-1.3169999999999999</v>
      </c>
      <c r="V142" s="2">
        <v>2.9830000000000001</v>
      </c>
      <c r="W142" s="2">
        <v>5.3209999999999997</v>
      </c>
      <c r="X142" s="2">
        <v>5.76</v>
      </c>
      <c r="Y142" s="2">
        <v>2.4590000000000001</v>
      </c>
      <c r="Z142" s="2">
        <v>4.8259999999999996</v>
      </c>
      <c r="AA142" s="2">
        <v>10.56</v>
      </c>
      <c r="AB142" s="2">
        <v>1.542</v>
      </c>
      <c r="AC142" s="2">
        <v>1.8109999999999999</v>
      </c>
      <c r="AD142" s="2">
        <v>7.38</v>
      </c>
      <c r="AE142" s="2">
        <v>7.55</v>
      </c>
      <c r="AF142" s="2">
        <v>15.3</v>
      </c>
      <c r="AG142" s="2">
        <v>-0.50800000000000001</v>
      </c>
      <c r="AH142" s="2">
        <v>15.3</v>
      </c>
      <c r="AI142" s="2">
        <v>-0.50800000000000001</v>
      </c>
      <c r="AJ142" s="2" t="s">
        <v>113</v>
      </c>
      <c r="AK142" s="2" t="s">
        <v>113</v>
      </c>
      <c r="AL142" s="2">
        <v>5.1449999999999996</v>
      </c>
      <c r="AM142" s="2">
        <v>8.5500000000000007</v>
      </c>
      <c r="AN142" s="2">
        <v>-0.14199999999999999</v>
      </c>
      <c r="AO142" s="2"/>
      <c r="AP142" s="2"/>
      <c r="AQ142" s="10"/>
      <c r="AR142" s="5">
        <v>31.14</v>
      </c>
      <c r="AS142" s="5">
        <v>11.08</v>
      </c>
      <c r="AT142" s="5">
        <v>1.54</v>
      </c>
      <c r="AU142" s="7">
        <f t="shared" si="99"/>
        <v>0.13900000000000001</v>
      </c>
      <c r="AV142" s="16"/>
      <c r="AW142" s="29">
        <v>4.8259999999999996</v>
      </c>
      <c r="AX142" s="29">
        <v>0</v>
      </c>
      <c r="AY142" s="1">
        <f t="shared" si="79"/>
        <v>97.8</v>
      </c>
      <c r="AZ142" s="1">
        <f t="shared" si="80"/>
        <v>87.2</v>
      </c>
      <c r="BA142" s="1">
        <f t="shared" si="81"/>
        <v>69.7</v>
      </c>
      <c r="BB142" s="8">
        <f t="shared" si="82"/>
        <v>0.73599999999999999</v>
      </c>
      <c r="BC142" s="8">
        <f t="shared" si="83"/>
        <v>0.32</v>
      </c>
      <c r="BD142" s="5"/>
      <c r="BE142" s="5">
        <f t="shared" si="88"/>
        <v>11.08</v>
      </c>
      <c r="BF142" s="5">
        <f t="shared" si="89"/>
        <v>1.54</v>
      </c>
      <c r="BG142" s="1">
        <f t="shared" si="84"/>
        <v>5</v>
      </c>
      <c r="BH142" s="1">
        <f t="shared" si="85"/>
        <v>7.8</v>
      </c>
      <c r="BI142" s="1">
        <f t="shared" si="86"/>
        <v>0</v>
      </c>
      <c r="BJ142" s="1">
        <f t="shared" si="90"/>
        <v>87.2</v>
      </c>
      <c r="BK142" s="1">
        <f t="shared" si="91"/>
        <v>69.7</v>
      </c>
      <c r="BL142" s="1">
        <f t="shared" si="100"/>
        <v>1.8</v>
      </c>
      <c r="BM142" s="1">
        <f t="shared" si="101"/>
        <v>7.4</v>
      </c>
      <c r="BN142" s="21">
        <f t="shared" si="92"/>
        <v>4.8259999999999996</v>
      </c>
      <c r="BO142" s="7">
        <f t="shared" si="93"/>
        <v>0</v>
      </c>
      <c r="BP142" s="21" t="str">
        <f t="shared" si="87"/>
        <v>NAN</v>
      </c>
      <c r="BQ142" s="1">
        <f t="shared" si="94"/>
        <v>7.6</v>
      </c>
      <c r="BR142" s="1">
        <f t="shared" si="95"/>
        <v>15.3</v>
      </c>
      <c r="BS142" s="1">
        <f t="shared" si="96"/>
        <v>-0.5</v>
      </c>
      <c r="BT142" s="1" t="s">
        <v>113</v>
      </c>
      <c r="BU142" s="1" t="s">
        <v>113</v>
      </c>
      <c r="BV142" s="1" t="s">
        <v>113</v>
      </c>
      <c r="BW142" s="1" t="str">
        <f t="shared" si="102"/>
        <v>NAN</v>
      </c>
      <c r="BX142" s="1">
        <f t="shared" si="103"/>
        <v>0.73599999999999999</v>
      </c>
      <c r="BY142" s="1">
        <f t="shared" si="104"/>
        <v>0.32</v>
      </c>
      <c r="CA142" s="1">
        <f t="shared" si="97"/>
        <v>7.5000000000000009</v>
      </c>
      <c r="CB142" s="1">
        <f t="shared" si="98"/>
        <v>-0.5</v>
      </c>
    </row>
    <row r="143" spans="1:80" x14ac:dyDescent="0.2">
      <c r="A143" s="9">
        <f t="shared" si="105"/>
        <v>43603</v>
      </c>
      <c r="B143" s="2">
        <v>138</v>
      </c>
      <c r="C143" s="2">
        <v>21</v>
      </c>
      <c r="D143" s="2">
        <v>13.19</v>
      </c>
      <c r="E143" s="2">
        <v>15.21</v>
      </c>
      <c r="F143" s="2">
        <v>1.01</v>
      </c>
      <c r="G143" s="2">
        <v>4.3680000000000003</v>
      </c>
      <c r="H143" s="2">
        <v>87.2</v>
      </c>
      <c r="I143" s="2">
        <v>5.218</v>
      </c>
      <c r="J143" s="2">
        <v>8.19</v>
      </c>
      <c r="K143" s="2">
        <v>7.68</v>
      </c>
      <c r="L143" s="2">
        <v>5.87</v>
      </c>
      <c r="M143" s="2">
        <v>10.210000000000001</v>
      </c>
      <c r="N143" s="2">
        <v>97.9</v>
      </c>
      <c r="O143" s="2">
        <v>19.07</v>
      </c>
      <c r="P143" s="2">
        <v>18.579999999999998</v>
      </c>
      <c r="Q143" s="2">
        <v>12.18</v>
      </c>
      <c r="R143" s="2">
        <v>6.1669999999999998</v>
      </c>
      <c r="S143" s="2">
        <v>0.57999999999999996</v>
      </c>
      <c r="T143" s="2">
        <v>64.14</v>
      </c>
      <c r="U143" s="2">
        <v>9.6000000000000002E-2</v>
      </c>
      <c r="V143" s="2">
        <v>1.921</v>
      </c>
      <c r="W143" s="2">
        <v>3.931</v>
      </c>
      <c r="X143" s="2">
        <v>5.6059999999999999</v>
      </c>
      <c r="Y143" s="2">
        <v>2.4590000000000001</v>
      </c>
      <c r="Z143" s="2">
        <v>0.50800000000000001</v>
      </c>
      <c r="AA143" s="2">
        <v>11.66</v>
      </c>
      <c r="AB143" s="2">
        <v>1.992</v>
      </c>
      <c r="AC143" s="2">
        <v>1.3919999999999999</v>
      </c>
      <c r="AD143" s="2">
        <v>4.18</v>
      </c>
      <c r="AE143" s="2">
        <v>7.42</v>
      </c>
      <c r="AF143" s="2">
        <v>24.32</v>
      </c>
      <c r="AG143" s="2">
        <v>0.24399999999999999</v>
      </c>
      <c r="AH143" s="2">
        <v>24.32</v>
      </c>
      <c r="AI143" s="2">
        <v>0.24399999999999999</v>
      </c>
      <c r="AJ143" s="2" t="s">
        <v>113</v>
      </c>
      <c r="AK143" s="2" t="s">
        <v>113</v>
      </c>
      <c r="AL143" s="2">
        <v>5.085</v>
      </c>
      <c r="AM143" s="2">
        <v>13.32</v>
      </c>
      <c r="AN143" s="2">
        <v>0.58899999999999997</v>
      </c>
      <c r="AO143" s="2"/>
      <c r="AP143" s="2"/>
      <c r="AQ143" s="10"/>
      <c r="AR143" s="5">
        <v>31.27</v>
      </c>
      <c r="AS143" s="5">
        <v>12.25</v>
      </c>
      <c r="AT143" s="5">
        <v>1.99</v>
      </c>
      <c r="AU143" s="7">
        <f t="shared" si="99"/>
        <v>0.16200000000000001</v>
      </c>
      <c r="AV143" s="16"/>
      <c r="AW143" s="29">
        <v>0.50800000000000001</v>
      </c>
      <c r="AX143" s="29">
        <v>0</v>
      </c>
      <c r="AY143" s="1">
        <f t="shared" si="79"/>
        <v>94.5</v>
      </c>
      <c r="AZ143" s="1">
        <f t="shared" si="80"/>
        <v>84.1</v>
      </c>
      <c r="BA143" s="1">
        <f t="shared" si="81"/>
        <v>61.7</v>
      </c>
      <c r="BB143" s="8">
        <f t="shared" si="82"/>
        <v>0.76800000000000002</v>
      </c>
      <c r="BC143" s="8">
        <f t="shared" si="83"/>
        <v>0.47699999999999998</v>
      </c>
      <c r="BD143" s="5"/>
      <c r="BE143" s="5">
        <f t="shared" si="88"/>
        <v>12.25</v>
      </c>
      <c r="BF143" s="5">
        <f t="shared" si="89"/>
        <v>1.99</v>
      </c>
      <c r="BG143" s="1">
        <f t="shared" si="84"/>
        <v>4.4000000000000004</v>
      </c>
      <c r="BH143" s="1">
        <f t="shared" si="85"/>
        <v>10.199999999999999</v>
      </c>
      <c r="BI143" s="1">
        <f t="shared" si="86"/>
        <v>0.6</v>
      </c>
      <c r="BJ143" s="1">
        <f t="shared" si="90"/>
        <v>84.1</v>
      </c>
      <c r="BK143" s="1">
        <f t="shared" si="91"/>
        <v>61.7</v>
      </c>
      <c r="BL143" s="1">
        <f t="shared" si="100"/>
        <v>1.4</v>
      </c>
      <c r="BM143" s="1">
        <f t="shared" si="101"/>
        <v>4.2</v>
      </c>
      <c r="BN143" s="21">
        <f t="shared" si="92"/>
        <v>0.50800000000000001</v>
      </c>
      <c r="BO143" s="7">
        <f t="shared" si="93"/>
        <v>0</v>
      </c>
      <c r="BP143" s="21" t="str">
        <f t="shared" si="87"/>
        <v>NAN</v>
      </c>
      <c r="BQ143" s="1">
        <f t="shared" si="94"/>
        <v>7.4</v>
      </c>
      <c r="BR143" s="1">
        <f t="shared" si="95"/>
        <v>24.3</v>
      </c>
      <c r="BS143" s="1">
        <f t="shared" si="96"/>
        <v>0.2</v>
      </c>
      <c r="BT143" s="1" t="s">
        <v>113</v>
      </c>
      <c r="BU143" s="1" t="s">
        <v>113</v>
      </c>
      <c r="BV143" s="1" t="s">
        <v>113</v>
      </c>
      <c r="BW143" s="1" t="str">
        <f t="shared" si="102"/>
        <v>NAN</v>
      </c>
      <c r="BX143" s="1">
        <f t="shared" si="103"/>
        <v>0.76800000000000002</v>
      </c>
      <c r="BY143" s="1">
        <f t="shared" si="104"/>
        <v>0.47699999999999998</v>
      </c>
      <c r="CA143" s="1">
        <f t="shared" si="97"/>
        <v>14.100000000000001</v>
      </c>
      <c r="CB143" s="1">
        <f t="shared" si="98"/>
        <v>-0.39999999999999997</v>
      </c>
    </row>
    <row r="144" spans="1:80" x14ac:dyDescent="0.2">
      <c r="A144" s="9">
        <f t="shared" si="105"/>
        <v>43604</v>
      </c>
      <c r="B144" s="2">
        <v>139</v>
      </c>
      <c r="C144" s="2">
        <v>21</v>
      </c>
      <c r="D144" s="2">
        <v>13.19</v>
      </c>
      <c r="E144" s="2">
        <v>19.14</v>
      </c>
      <c r="F144" s="2">
        <v>2.7</v>
      </c>
      <c r="G144" s="2">
        <v>6.5</v>
      </c>
      <c r="H144" s="2">
        <v>76.3</v>
      </c>
      <c r="I144" s="2">
        <v>7.16</v>
      </c>
      <c r="J144" s="2">
        <v>9.77</v>
      </c>
      <c r="K144" s="2">
        <v>8.91</v>
      </c>
      <c r="L144" s="2">
        <v>5.84</v>
      </c>
      <c r="M144" s="2">
        <v>10.31</v>
      </c>
      <c r="N144" s="2">
        <v>94</v>
      </c>
      <c r="O144" s="2">
        <v>16.7</v>
      </c>
      <c r="P144" s="2">
        <v>20.9</v>
      </c>
      <c r="Q144" s="2">
        <v>13.39</v>
      </c>
      <c r="R144" s="2">
        <v>6.3520000000000003</v>
      </c>
      <c r="S144" s="2">
        <v>2.79</v>
      </c>
      <c r="T144" s="2">
        <v>51.81</v>
      </c>
      <c r="U144" s="2">
        <v>1.873</v>
      </c>
      <c r="V144" s="2">
        <v>3.4670000000000001</v>
      </c>
      <c r="W144" s="2">
        <v>4.9249999999999998</v>
      </c>
      <c r="X144" s="2">
        <v>5.593</v>
      </c>
      <c r="Y144" s="2">
        <v>2.4630000000000001</v>
      </c>
      <c r="Z144" s="2">
        <v>0</v>
      </c>
      <c r="AA144" s="2">
        <v>14.67</v>
      </c>
      <c r="AB144" s="2">
        <v>2.7229999999999999</v>
      </c>
      <c r="AC144" s="2">
        <v>1.508</v>
      </c>
      <c r="AD144" s="2">
        <v>4.66</v>
      </c>
      <c r="AE144" s="2">
        <v>9.31</v>
      </c>
      <c r="AF144" s="2">
        <v>29.18</v>
      </c>
      <c r="AG144" s="2">
        <v>1.7889999999999999</v>
      </c>
      <c r="AH144" s="2">
        <v>29.18</v>
      </c>
      <c r="AI144" s="2">
        <v>1.7889999999999999</v>
      </c>
      <c r="AJ144" s="2" t="s">
        <v>113</v>
      </c>
      <c r="AK144" s="2" t="s">
        <v>113</v>
      </c>
      <c r="AL144" s="2">
        <v>7.16</v>
      </c>
      <c r="AM144" s="2">
        <v>12.8</v>
      </c>
      <c r="AN144" s="2">
        <v>2.5710000000000002</v>
      </c>
      <c r="AO144" s="2"/>
      <c r="AP144" s="2"/>
      <c r="AQ144" s="10"/>
      <c r="AR144" s="5">
        <v>31.4</v>
      </c>
      <c r="AS144" s="5">
        <v>15.4</v>
      </c>
      <c r="AT144" s="5">
        <v>2.72</v>
      </c>
      <c r="AU144" s="7">
        <f t="shared" si="99"/>
        <v>0.17699999999999999</v>
      </c>
      <c r="AV144" s="16"/>
      <c r="AW144" s="29">
        <v>0</v>
      </c>
      <c r="AX144" s="29">
        <v>0</v>
      </c>
      <c r="AY144" s="1">
        <f t="shared" si="79"/>
        <v>90.7</v>
      </c>
      <c r="AZ144" s="1">
        <f t="shared" si="80"/>
        <v>73.5</v>
      </c>
      <c r="BA144" s="1">
        <f t="shared" si="81"/>
        <v>49.8</v>
      </c>
      <c r="BB144" s="8">
        <f t="shared" si="82"/>
        <v>0.624</v>
      </c>
      <c r="BC144" s="8">
        <f t="shared" si="83"/>
        <v>0.629</v>
      </c>
      <c r="BE144" s="5">
        <f t="shared" si="88"/>
        <v>15.4</v>
      </c>
      <c r="BF144" s="5">
        <f t="shared" si="89"/>
        <v>2.72</v>
      </c>
      <c r="BG144" s="1">
        <f t="shared" si="84"/>
        <v>6.5</v>
      </c>
      <c r="BH144" s="1">
        <f t="shared" si="85"/>
        <v>10.3</v>
      </c>
      <c r="BI144" s="1">
        <f t="shared" si="86"/>
        <v>2.8</v>
      </c>
      <c r="BJ144" s="1">
        <f t="shared" si="90"/>
        <v>73.5</v>
      </c>
      <c r="BK144" s="1">
        <f t="shared" si="91"/>
        <v>49.8</v>
      </c>
      <c r="BL144" s="1">
        <f t="shared" si="100"/>
        <v>1.5</v>
      </c>
      <c r="BM144" s="1">
        <f t="shared" si="101"/>
        <v>4.7</v>
      </c>
      <c r="BN144" s="21">
        <f t="shared" si="92"/>
        <v>0</v>
      </c>
      <c r="BO144" s="7">
        <f t="shared" si="93"/>
        <v>0</v>
      </c>
      <c r="BP144" s="21" t="str">
        <f t="shared" si="87"/>
        <v>NAN</v>
      </c>
      <c r="BQ144" s="1">
        <f t="shared" si="94"/>
        <v>9.3000000000000007</v>
      </c>
      <c r="BR144" s="1">
        <f t="shared" si="95"/>
        <v>29.2</v>
      </c>
      <c r="BS144" s="1">
        <f t="shared" si="96"/>
        <v>1.8</v>
      </c>
      <c r="BT144" s="1" t="s">
        <v>113</v>
      </c>
      <c r="BU144" s="1" t="s">
        <v>113</v>
      </c>
      <c r="BV144" s="1" t="s">
        <v>113</v>
      </c>
      <c r="BW144" s="1" t="str">
        <f t="shared" si="102"/>
        <v>NAN</v>
      </c>
      <c r="BX144" s="1">
        <f t="shared" si="103"/>
        <v>0.624</v>
      </c>
      <c r="BY144" s="1">
        <f t="shared" si="104"/>
        <v>0.629</v>
      </c>
      <c r="CA144" s="1">
        <f t="shared" si="97"/>
        <v>18.899999999999999</v>
      </c>
      <c r="CB144" s="1">
        <f t="shared" si="98"/>
        <v>-0.99999999999999978</v>
      </c>
    </row>
    <row r="145" spans="1:80" x14ac:dyDescent="0.2">
      <c r="A145" s="9">
        <f t="shared" si="105"/>
        <v>43605</v>
      </c>
      <c r="B145" s="2">
        <v>140</v>
      </c>
      <c r="C145" s="2">
        <v>21</v>
      </c>
      <c r="D145" s="2">
        <v>13.19</v>
      </c>
      <c r="E145" s="2">
        <v>19.940000000000001</v>
      </c>
      <c r="F145" s="2">
        <v>2.8450000000000002</v>
      </c>
      <c r="G145" s="2">
        <v>6.2430000000000003</v>
      </c>
      <c r="H145" s="2">
        <v>59.09</v>
      </c>
      <c r="I145" s="2">
        <v>7.18</v>
      </c>
      <c r="J145" s="2">
        <v>9.7100000000000009</v>
      </c>
      <c r="K145" s="2">
        <v>9.1199999999999992</v>
      </c>
      <c r="L145" s="2">
        <v>5.9619999999999997</v>
      </c>
      <c r="M145" s="2">
        <v>11.11</v>
      </c>
      <c r="N145" s="2">
        <v>95</v>
      </c>
      <c r="O145" s="2">
        <v>20.89</v>
      </c>
      <c r="P145" s="2">
        <v>20.51</v>
      </c>
      <c r="Q145" s="2">
        <v>13.15</v>
      </c>
      <c r="R145" s="2">
        <v>6.5209999999999999</v>
      </c>
      <c r="S145" s="2">
        <v>2.448</v>
      </c>
      <c r="T145" s="2">
        <v>41.06</v>
      </c>
      <c r="U145" s="2">
        <v>1.9610000000000001</v>
      </c>
      <c r="V145" s="2">
        <v>3.2349999999999999</v>
      </c>
      <c r="W145" s="2">
        <v>4.9269999999999996</v>
      </c>
      <c r="X145" s="2">
        <v>5.6840000000000002</v>
      </c>
      <c r="Y145" s="2">
        <v>2.4620000000000002</v>
      </c>
      <c r="Z145" s="2">
        <v>0</v>
      </c>
      <c r="AA145" s="2">
        <v>16.350000000000001</v>
      </c>
      <c r="AB145" s="2">
        <v>3.11</v>
      </c>
      <c r="AC145" s="2">
        <v>1.5660000000000001</v>
      </c>
      <c r="AD145" s="2">
        <v>4.74</v>
      </c>
      <c r="AE145" s="2">
        <v>9.6999999999999993</v>
      </c>
      <c r="AF145" s="2">
        <v>29.38</v>
      </c>
      <c r="AG145" s="2">
        <v>1.8340000000000001</v>
      </c>
      <c r="AH145" s="2">
        <v>29.38</v>
      </c>
      <c r="AI145" s="2">
        <v>1.8340000000000001</v>
      </c>
      <c r="AJ145" s="2" t="s">
        <v>113</v>
      </c>
      <c r="AK145" s="2" t="s">
        <v>113</v>
      </c>
      <c r="AL145" s="2">
        <v>6.9969999999999999</v>
      </c>
      <c r="AM145" s="2">
        <v>13.92</v>
      </c>
      <c r="AN145" s="2">
        <v>2.4790000000000001</v>
      </c>
      <c r="AO145" s="2"/>
      <c r="AP145" s="2"/>
      <c r="AQ145" s="10"/>
      <c r="AR145" s="5">
        <v>31.52</v>
      </c>
      <c r="AS145" s="5">
        <v>17.170000000000002</v>
      </c>
      <c r="AT145" s="5">
        <v>3.11</v>
      </c>
      <c r="AU145" s="7">
        <f t="shared" si="99"/>
        <v>0.18099999999999999</v>
      </c>
      <c r="AV145" s="16"/>
      <c r="AW145" s="29">
        <v>0</v>
      </c>
      <c r="AX145" s="29">
        <v>0</v>
      </c>
      <c r="AY145" s="1">
        <f t="shared" si="79"/>
        <v>91.7</v>
      </c>
      <c r="AZ145" s="1">
        <f t="shared" si="80"/>
        <v>56.8</v>
      </c>
      <c r="BA145" s="1">
        <f t="shared" si="81"/>
        <v>39.299999999999997</v>
      </c>
      <c r="BB145" s="8">
        <f t="shared" si="82"/>
        <v>0.51900000000000002</v>
      </c>
      <c r="BC145" s="8">
        <f t="shared" si="83"/>
        <v>0.80200000000000005</v>
      </c>
      <c r="BE145" s="5">
        <f t="shared" si="88"/>
        <v>17.170000000000002</v>
      </c>
      <c r="BF145" s="5">
        <f t="shared" si="89"/>
        <v>3.11</v>
      </c>
      <c r="BG145" s="1">
        <f t="shared" si="84"/>
        <v>6.2</v>
      </c>
      <c r="BH145" s="1">
        <f t="shared" si="85"/>
        <v>11.1</v>
      </c>
      <c r="BI145" s="1">
        <f t="shared" si="86"/>
        <v>2.4</v>
      </c>
      <c r="BJ145" s="1">
        <f t="shared" si="90"/>
        <v>56.8</v>
      </c>
      <c r="BK145" s="1">
        <f t="shared" si="91"/>
        <v>39.299999999999997</v>
      </c>
      <c r="BL145" s="1">
        <f t="shared" si="100"/>
        <v>1.6</v>
      </c>
      <c r="BM145" s="1">
        <f t="shared" si="101"/>
        <v>4.7</v>
      </c>
      <c r="BN145" s="21">
        <f t="shared" si="92"/>
        <v>0</v>
      </c>
      <c r="BO145" s="7">
        <f t="shared" si="93"/>
        <v>0</v>
      </c>
      <c r="BP145" s="21" t="str">
        <f t="shared" si="87"/>
        <v>NAN</v>
      </c>
      <c r="BQ145" s="1">
        <f t="shared" si="94"/>
        <v>9.6999999999999993</v>
      </c>
      <c r="BR145" s="1">
        <f t="shared" si="95"/>
        <v>29.4</v>
      </c>
      <c r="BS145" s="1">
        <f t="shared" si="96"/>
        <v>1.8</v>
      </c>
      <c r="BT145" s="1" t="s">
        <v>113</v>
      </c>
      <c r="BU145" s="1" t="s">
        <v>113</v>
      </c>
      <c r="BV145" s="1" t="s">
        <v>113</v>
      </c>
      <c r="BW145" s="1" t="str">
        <f t="shared" si="102"/>
        <v>NAN</v>
      </c>
      <c r="BX145" s="1">
        <f t="shared" si="103"/>
        <v>0.51900000000000002</v>
      </c>
      <c r="BY145" s="1">
        <f t="shared" si="104"/>
        <v>0.80200000000000005</v>
      </c>
      <c r="CA145" s="1">
        <f t="shared" si="97"/>
        <v>18.299999999999997</v>
      </c>
      <c r="CB145" s="1">
        <f t="shared" si="98"/>
        <v>-0.59999999999999987</v>
      </c>
    </row>
    <row r="146" spans="1:80" x14ac:dyDescent="0.2">
      <c r="A146" s="9">
        <f t="shared" si="105"/>
        <v>43606</v>
      </c>
      <c r="B146" s="2">
        <v>141</v>
      </c>
      <c r="C146" s="2">
        <v>21</v>
      </c>
      <c r="D146" s="2">
        <v>13.21</v>
      </c>
      <c r="E146" s="2">
        <v>13.94</v>
      </c>
      <c r="F146" s="2">
        <v>2.2029999999999998</v>
      </c>
      <c r="G146" s="2">
        <v>5.5979999999999999</v>
      </c>
      <c r="H146" s="2">
        <v>64.790000000000006</v>
      </c>
      <c r="I146" s="2">
        <v>6.0380000000000003</v>
      </c>
      <c r="J146" s="2">
        <v>7.51</v>
      </c>
      <c r="K146" s="2">
        <v>7.54</v>
      </c>
      <c r="L146" s="2">
        <v>6.0510000000000002</v>
      </c>
      <c r="M146" s="2">
        <v>8.91</v>
      </c>
      <c r="N146" s="2">
        <v>82.2</v>
      </c>
      <c r="O146" s="2">
        <v>13.3</v>
      </c>
      <c r="P146" s="2">
        <v>14.95</v>
      </c>
      <c r="Q146" s="2">
        <v>11.22</v>
      </c>
      <c r="R146" s="2">
        <v>6.2709999999999999</v>
      </c>
      <c r="S146" s="2">
        <v>2.15</v>
      </c>
      <c r="T146" s="2">
        <v>50.85</v>
      </c>
      <c r="U146" s="2">
        <v>1.276</v>
      </c>
      <c r="V146" s="2">
        <v>2.7839999999999998</v>
      </c>
      <c r="W146" s="2">
        <v>4.6180000000000003</v>
      </c>
      <c r="X146" s="2">
        <v>5.9489999999999998</v>
      </c>
      <c r="Y146" s="2">
        <v>2.4649999999999999</v>
      </c>
      <c r="Z146" s="2">
        <v>0</v>
      </c>
      <c r="AA146" s="2">
        <v>10.14</v>
      </c>
      <c r="AB146" s="2">
        <v>1.9319999999999999</v>
      </c>
      <c r="AC146" s="2">
        <v>1.456</v>
      </c>
      <c r="AD146" s="2">
        <v>5.46</v>
      </c>
      <c r="AE146" s="2">
        <v>7.57</v>
      </c>
      <c r="AF146" s="2">
        <v>19.84</v>
      </c>
      <c r="AG146" s="2">
        <v>1.069</v>
      </c>
      <c r="AH146" s="2">
        <v>19.84</v>
      </c>
      <c r="AI146" s="2">
        <v>1.069</v>
      </c>
      <c r="AJ146" s="2" t="s">
        <v>113</v>
      </c>
      <c r="AK146" s="2" t="s">
        <v>113</v>
      </c>
      <c r="AL146" s="2">
        <v>6.1</v>
      </c>
      <c r="AM146" s="2">
        <v>11.22</v>
      </c>
      <c r="AN146" s="2">
        <v>2.0139999999999998</v>
      </c>
      <c r="AO146" s="2"/>
      <c r="AP146" s="2"/>
      <c r="AQ146" s="10"/>
      <c r="AR146" s="5">
        <v>31.65</v>
      </c>
      <c r="AS146" s="5">
        <v>10.65</v>
      </c>
      <c r="AT146" s="5">
        <v>1.93</v>
      </c>
      <c r="AU146" s="7">
        <f t="shared" si="99"/>
        <v>0.18099999999999999</v>
      </c>
      <c r="AV146" s="16"/>
      <c r="AW146" s="29">
        <v>0</v>
      </c>
      <c r="AX146" s="29">
        <v>0</v>
      </c>
      <c r="AY146" s="1">
        <f t="shared" si="79"/>
        <v>79.2</v>
      </c>
      <c r="AZ146" s="1">
        <f t="shared" si="80"/>
        <v>62.3</v>
      </c>
      <c r="BA146" s="1">
        <f t="shared" si="81"/>
        <v>48.8</v>
      </c>
      <c r="BB146" s="8">
        <f t="shared" si="82"/>
        <v>0.55700000000000005</v>
      </c>
      <c r="BC146" s="8">
        <f t="shared" si="83"/>
        <v>0.58399999999999996</v>
      </c>
      <c r="BE146" s="5">
        <f t="shared" si="88"/>
        <v>10.65</v>
      </c>
      <c r="BF146" s="5">
        <f t="shared" si="89"/>
        <v>1.93</v>
      </c>
      <c r="BG146" s="1">
        <f t="shared" si="84"/>
        <v>5.6</v>
      </c>
      <c r="BH146" s="1">
        <f t="shared" si="85"/>
        <v>8.9</v>
      </c>
      <c r="BI146" s="1">
        <f t="shared" si="86"/>
        <v>2.2000000000000002</v>
      </c>
      <c r="BJ146" s="1">
        <f t="shared" si="90"/>
        <v>62.3</v>
      </c>
      <c r="BK146" s="1">
        <f t="shared" si="91"/>
        <v>48.8</v>
      </c>
      <c r="BL146" s="1">
        <f t="shared" si="100"/>
        <v>1.5</v>
      </c>
      <c r="BM146" s="1">
        <f t="shared" si="101"/>
        <v>5.5</v>
      </c>
      <c r="BN146" s="21">
        <f t="shared" si="92"/>
        <v>0</v>
      </c>
      <c r="BO146" s="7">
        <f t="shared" si="93"/>
        <v>0</v>
      </c>
      <c r="BP146" s="21" t="str">
        <f t="shared" si="87"/>
        <v>NAN</v>
      </c>
      <c r="BQ146" s="1">
        <f t="shared" si="94"/>
        <v>7.6</v>
      </c>
      <c r="BR146" s="1">
        <f t="shared" si="95"/>
        <v>19.8</v>
      </c>
      <c r="BS146" s="1">
        <f t="shared" si="96"/>
        <v>1.1000000000000001</v>
      </c>
      <c r="BT146" s="1" t="s">
        <v>113</v>
      </c>
      <c r="BU146" s="1" t="s">
        <v>113</v>
      </c>
      <c r="BV146" s="1" t="s">
        <v>113</v>
      </c>
      <c r="BW146" s="1" t="str">
        <f t="shared" si="102"/>
        <v>NAN</v>
      </c>
      <c r="BX146" s="1">
        <f t="shared" si="103"/>
        <v>0.55700000000000005</v>
      </c>
      <c r="BY146" s="1">
        <f t="shared" si="104"/>
        <v>0.58399999999999996</v>
      </c>
      <c r="CA146" s="1">
        <f t="shared" si="97"/>
        <v>10.9</v>
      </c>
      <c r="CB146" s="1">
        <f t="shared" si="98"/>
        <v>-1.1000000000000001</v>
      </c>
    </row>
    <row r="147" spans="1:80" x14ac:dyDescent="0.2">
      <c r="A147" s="9">
        <f t="shared" si="105"/>
        <v>43607</v>
      </c>
      <c r="B147" s="2">
        <v>142</v>
      </c>
      <c r="C147" s="2">
        <v>21</v>
      </c>
      <c r="D147" s="2">
        <v>13.17</v>
      </c>
      <c r="E147" s="2">
        <v>20.87</v>
      </c>
      <c r="F147" s="2">
        <v>-2.2570000000000001</v>
      </c>
      <c r="G147" s="2">
        <v>6.6479999999999997</v>
      </c>
      <c r="H147" s="2">
        <v>72.900000000000006</v>
      </c>
      <c r="I147" s="2">
        <v>7.02</v>
      </c>
      <c r="J147" s="2">
        <v>9.44</v>
      </c>
      <c r="K147" s="2">
        <v>8.94</v>
      </c>
      <c r="L147" s="2">
        <v>5.9669999999999996</v>
      </c>
      <c r="M147" s="2">
        <v>13.78</v>
      </c>
      <c r="N147" s="2">
        <v>100.9</v>
      </c>
      <c r="O147" s="2">
        <v>23.64</v>
      </c>
      <c r="P147" s="2">
        <v>23.97</v>
      </c>
      <c r="Q147" s="2">
        <v>14.9</v>
      </c>
      <c r="R147" s="2">
        <v>6.5410000000000004</v>
      </c>
      <c r="S147" s="2">
        <v>-2.2250000000000001</v>
      </c>
      <c r="T147" s="2">
        <v>37.53</v>
      </c>
      <c r="U147" s="2">
        <v>-4.3390000000000004</v>
      </c>
      <c r="V147" s="2">
        <v>0.435</v>
      </c>
      <c r="W147" s="2">
        <v>2.89</v>
      </c>
      <c r="X147" s="2">
        <v>5.665</v>
      </c>
      <c r="Y147" s="2">
        <v>2.4660000000000002</v>
      </c>
      <c r="Z147" s="2">
        <v>0</v>
      </c>
      <c r="AA147" s="2">
        <v>16.350000000000001</v>
      </c>
      <c r="AB147" s="2">
        <v>3.1240000000000001</v>
      </c>
      <c r="AC147" s="2">
        <v>0.84899999999999998</v>
      </c>
      <c r="AD147" s="2">
        <v>4.367</v>
      </c>
      <c r="AE147" s="2">
        <v>9.6300000000000008</v>
      </c>
      <c r="AF147" s="2">
        <v>37.869999999999997</v>
      </c>
      <c r="AG147" s="2">
        <v>-3.8690000000000002</v>
      </c>
      <c r="AH147" s="2">
        <v>37.869999999999997</v>
      </c>
      <c r="AI147" s="2">
        <v>-3.8690000000000002</v>
      </c>
      <c r="AJ147" s="2" t="s">
        <v>113</v>
      </c>
      <c r="AK147" s="2" t="s">
        <v>113</v>
      </c>
      <c r="AL147" s="2">
        <v>7.42</v>
      </c>
      <c r="AM147" s="2">
        <v>16.82</v>
      </c>
      <c r="AN147" s="2">
        <v>-2.8490000000000002</v>
      </c>
      <c r="AO147" s="2"/>
      <c r="AP147" s="2"/>
      <c r="AQ147" s="2"/>
      <c r="AR147" s="5">
        <v>31.76</v>
      </c>
      <c r="AS147" s="5">
        <v>17.170000000000002</v>
      </c>
      <c r="AT147" s="5">
        <v>3.12</v>
      </c>
      <c r="AU147" s="7">
        <f t="shared" si="99"/>
        <v>0.182</v>
      </c>
      <c r="AV147" s="16"/>
      <c r="AW147" s="29">
        <v>0</v>
      </c>
      <c r="AX147" s="29">
        <v>0</v>
      </c>
      <c r="AY147" s="1">
        <f t="shared" si="79"/>
        <v>97.4</v>
      </c>
      <c r="AZ147" s="1">
        <f t="shared" si="80"/>
        <v>70.2</v>
      </c>
      <c r="BA147" s="1">
        <f t="shared" si="81"/>
        <v>35.9</v>
      </c>
      <c r="BB147" s="8">
        <f t="shared" si="82"/>
        <v>0.56599999999999995</v>
      </c>
      <c r="BC147" s="8">
        <f t="shared" si="83"/>
        <v>1.0109999999999999</v>
      </c>
      <c r="BE147" s="5">
        <f t="shared" si="88"/>
        <v>17.170000000000002</v>
      </c>
      <c r="BF147" s="5">
        <f t="shared" si="89"/>
        <v>3.12</v>
      </c>
      <c r="BG147" s="1">
        <f t="shared" si="84"/>
        <v>6.6</v>
      </c>
      <c r="BH147" s="1">
        <f t="shared" si="85"/>
        <v>13.8</v>
      </c>
      <c r="BI147" s="1">
        <f t="shared" si="86"/>
        <v>-2.2000000000000002</v>
      </c>
      <c r="BJ147" s="1">
        <f t="shared" si="90"/>
        <v>70.2</v>
      </c>
      <c r="BK147" s="1">
        <f t="shared" si="91"/>
        <v>35.9</v>
      </c>
      <c r="BL147" s="1">
        <f t="shared" si="100"/>
        <v>0.8</v>
      </c>
      <c r="BM147" s="1">
        <f t="shared" si="101"/>
        <v>4.4000000000000004</v>
      </c>
      <c r="BN147" s="21">
        <f t="shared" si="92"/>
        <v>0</v>
      </c>
      <c r="BO147" s="7">
        <f t="shared" si="93"/>
        <v>0</v>
      </c>
      <c r="BP147" s="21" t="str">
        <f t="shared" si="87"/>
        <v>NAN</v>
      </c>
      <c r="BQ147" s="1">
        <f t="shared" si="94"/>
        <v>9.6</v>
      </c>
      <c r="BR147" s="1">
        <f t="shared" si="95"/>
        <v>37.9</v>
      </c>
      <c r="BS147" s="1">
        <f t="shared" si="96"/>
        <v>-3.9</v>
      </c>
      <c r="BT147" s="1" t="s">
        <v>113</v>
      </c>
      <c r="BU147" s="1" t="s">
        <v>113</v>
      </c>
      <c r="BV147" s="1" t="s">
        <v>113</v>
      </c>
      <c r="BW147" s="1" t="str">
        <f t="shared" si="102"/>
        <v>NAN</v>
      </c>
      <c r="BX147" s="1">
        <f t="shared" si="103"/>
        <v>0.56599999999999995</v>
      </c>
      <c r="BY147" s="1">
        <f t="shared" si="104"/>
        <v>1.0109999999999999</v>
      </c>
      <c r="CA147" s="1">
        <f t="shared" si="97"/>
        <v>24.099999999999998</v>
      </c>
      <c r="CB147" s="1">
        <f t="shared" si="98"/>
        <v>-1.6999999999999997</v>
      </c>
    </row>
    <row r="148" spans="1:80" x14ac:dyDescent="0.2">
      <c r="A148" s="9">
        <f t="shared" si="105"/>
        <v>43608</v>
      </c>
      <c r="B148" s="2">
        <v>143</v>
      </c>
      <c r="C148" s="2">
        <v>21</v>
      </c>
      <c r="D148" s="2">
        <v>13.18</v>
      </c>
      <c r="E148" s="2">
        <v>20.38</v>
      </c>
      <c r="F148" s="2">
        <v>0.16900000000000001</v>
      </c>
      <c r="G148" s="2">
        <v>7.14</v>
      </c>
      <c r="H148" s="2">
        <v>79.5</v>
      </c>
      <c r="I148" s="2">
        <v>7.79</v>
      </c>
      <c r="J148" s="2">
        <v>11.01</v>
      </c>
      <c r="K148" s="2">
        <v>9.9</v>
      </c>
      <c r="L148" s="2">
        <v>6.1059999999999999</v>
      </c>
      <c r="M148" s="2">
        <v>13.69</v>
      </c>
      <c r="N148" s="2">
        <v>101.3</v>
      </c>
      <c r="O148" s="2">
        <v>22.48</v>
      </c>
      <c r="P148" s="2">
        <v>25.42</v>
      </c>
      <c r="Q148" s="2">
        <v>16.96</v>
      </c>
      <c r="R148" s="2">
        <v>6.42</v>
      </c>
      <c r="S148" s="2">
        <v>-0.78200000000000003</v>
      </c>
      <c r="T148" s="2">
        <v>42.39</v>
      </c>
      <c r="U148" s="2">
        <v>-2.7549999999999999</v>
      </c>
      <c r="V148" s="2">
        <v>2.2650000000000001</v>
      </c>
      <c r="W148" s="2">
        <v>5.0209999999999999</v>
      </c>
      <c r="X148" s="2">
        <v>5.7350000000000003</v>
      </c>
      <c r="Y148" s="2">
        <v>2.4670000000000001</v>
      </c>
      <c r="Z148" s="2">
        <v>0</v>
      </c>
      <c r="AA148" s="2">
        <v>18.72</v>
      </c>
      <c r="AB148" s="2">
        <v>3.5630000000000002</v>
      </c>
      <c r="AC148" s="2">
        <v>1.304</v>
      </c>
      <c r="AD148" s="2">
        <v>6.0739999999999998</v>
      </c>
      <c r="AE148" s="2">
        <v>10.85</v>
      </c>
      <c r="AF148" s="2">
        <v>33.47</v>
      </c>
      <c r="AG148" s="2">
        <v>-2.4950000000000001</v>
      </c>
      <c r="AH148" s="2">
        <v>33.47</v>
      </c>
      <c r="AI148" s="2">
        <v>-2.4950000000000001</v>
      </c>
      <c r="AJ148" s="2" t="s">
        <v>113</v>
      </c>
      <c r="AK148" s="2" t="s">
        <v>113</v>
      </c>
      <c r="AL148" s="2">
        <v>7.64</v>
      </c>
      <c r="AM148" s="2">
        <v>16.600000000000001</v>
      </c>
      <c r="AN148" s="2">
        <v>-1.33</v>
      </c>
      <c r="AO148" s="2"/>
      <c r="AP148" s="2"/>
      <c r="AQ148" s="2"/>
      <c r="AR148" s="5">
        <v>31.88</v>
      </c>
      <c r="AS148" s="5">
        <v>19.66</v>
      </c>
      <c r="AT148" s="5">
        <v>3.56</v>
      </c>
      <c r="AU148" s="7">
        <f t="shared" si="99"/>
        <v>0.18099999999999999</v>
      </c>
      <c r="AV148" s="16"/>
      <c r="AW148" s="29">
        <v>0</v>
      </c>
      <c r="AX148" s="29">
        <v>0</v>
      </c>
      <c r="AY148" s="1">
        <f t="shared" si="79"/>
        <v>97.8</v>
      </c>
      <c r="AZ148" s="1">
        <f t="shared" si="80"/>
        <v>76.599999999999994</v>
      </c>
      <c r="BA148" s="1">
        <f t="shared" si="81"/>
        <v>40.6</v>
      </c>
      <c r="BB148" s="8">
        <f t="shared" si="82"/>
        <v>0.63600000000000001</v>
      </c>
      <c r="BC148" s="8">
        <f t="shared" si="83"/>
        <v>0.93100000000000005</v>
      </c>
      <c r="BE148" s="5">
        <f t="shared" si="88"/>
        <v>19.66</v>
      </c>
      <c r="BF148" s="5">
        <f t="shared" si="89"/>
        <v>3.56</v>
      </c>
      <c r="BG148" s="1">
        <f t="shared" si="84"/>
        <v>7.1</v>
      </c>
      <c r="BH148" s="1">
        <f t="shared" si="85"/>
        <v>13.7</v>
      </c>
      <c r="BI148" s="1">
        <f t="shared" si="86"/>
        <v>-0.8</v>
      </c>
      <c r="BJ148" s="1">
        <f t="shared" si="90"/>
        <v>76.599999999999994</v>
      </c>
      <c r="BK148" s="1">
        <f t="shared" si="91"/>
        <v>40.6</v>
      </c>
      <c r="BL148" s="1">
        <f t="shared" si="100"/>
        <v>1.3</v>
      </c>
      <c r="BM148" s="1">
        <f t="shared" si="101"/>
        <v>6.1</v>
      </c>
      <c r="BN148" s="21">
        <f t="shared" si="92"/>
        <v>0</v>
      </c>
      <c r="BO148" s="7">
        <f t="shared" si="93"/>
        <v>0</v>
      </c>
      <c r="BP148" s="21" t="str">
        <f t="shared" si="87"/>
        <v>NAN</v>
      </c>
      <c r="BQ148" s="1">
        <f t="shared" si="94"/>
        <v>10.9</v>
      </c>
      <c r="BR148" s="1">
        <f t="shared" si="95"/>
        <v>33.5</v>
      </c>
      <c r="BS148" s="1">
        <f t="shared" si="96"/>
        <v>-2.5</v>
      </c>
      <c r="BT148" s="1" t="s">
        <v>113</v>
      </c>
      <c r="BU148" s="1" t="s">
        <v>113</v>
      </c>
      <c r="BV148" s="1" t="s">
        <v>113</v>
      </c>
      <c r="BW148" s="1" t="str">
        <f t="shared" si="102"/>
        <v>NAN</v>
      </c>
      <c r="BX148" s="1">
        <f t="shared" si="103"/>
        <v>0.63600000000000001</v>
      </c>
      <c r="BY148" s="1">
        <f t="shared" si="104"/>
        <v>0.93100000000000005</v>
      </c>
      <c r="CA148" s="1">
        <f t="shared" si="97"/>
        <v>19.8</v>
      </c>
      <c r="CB148" s="1">
        <f t="shared" si="98"/>
        <v>-1.7</v>
      </c>
    </row>
    <row r="149" spans="1:80" x14ac:dyDescent="0.2">
      <c r="A149" s="9">
        <f t="shared" si="105"/>
        <v>43609</v>
      </c>
      <c r="B149" s="2">
        <v>144</v>
      </c>
      <c r="C149" s="2">
        <v>21</v>
      </c>
      <c r="D149" s="2">
        <v>13.19</v>
      </c>
      <c r="E149" s="2">
        <v>20.57</v>
      </c>
      <c r="F149" s="2">
        <v>-0.98099999999999998</v>
      </c>
      <c r="G149" s="2">
        <v>6.2530000000000001</v>
      </c>
      <c r="H149" s="2">
        <v>87.3</v>
      </c>
      <c r="I149" s="2">
        <v>7.06</v>
      </c>
      <c r="J149" s="2">
        <v>11.12</v>
      </c>
      <c r="K149" s="2">
        <v>9.92</v>
      </c>
      <c r="L149" s="2">
        <v>6.3760000000000003</v>
      </c>
      <c r="M149" s="2">
        <v>13.41</v>
      </c>
      <c r="N149" s="2">
        <v>102</v>
      </c>
      <c r="O149" s="2">
        <v>20.34</v>
      </c>
      <c r="P149" s="2">
        <v>25.98</v>
      </c>
      <c r="Q149" s="2">
        <v>17.86</v>
      </c>
      <c r="R149" s="2">
        <v>6.9530000000000003</v>
      </c>
      <c r="S149" s="2">
        <v>-0.59299999999999997</v>
      </c>
      <c r="T149" s="2">
        <v>43.93</v>
      </c>
      <c r="U149" s="2">
        <v>-2.5830000000000002</v>
      </c>
      <c r="V149" s="2">
        <v>1.3260000000000001</v>
      </c>
      <c r="W149" s="2">
        <v>3.8580000000000001</v>
      </c>
      <c r="X149" s="2">
        <v>5.99</v>
      </c>
      <c r="Y149" s="2">
        <v>2.4670000000000001</v>
      </c>
      <c r="Z149" s="2">
        <v>3.556</v>
      </c>
      <c r="AA149" s="2">
        <v>20.309999999999999</v>
      </c>
      <c r="AB149" s="2">
        <v>3.8260000000000001</v>
      </c>
      <c r="AC149" s="2">
        <v>1.448</v>
      </c>
      <c r="AD149" s="2">
        <v>6.3940000000000001</v>
      </c>
      <c r="AE149" s="2">
        <v>10.94</v>
      </c>
      <c r="AF149" s="2">
        <v>33.869999999999997</v>
      </c>
      <c r="AG149" s="2">
        <v>-2.4950000000000001</v>
      </c>
      <c r="AH149" s="2">
        <v>33.869999999999997</v>
      </c>
      <c r="AI149" s="2">
        <v>-2.4950000000000001</v>
      </c>
      <c r="AJ149" s="2" t="s">
        <v>113</v>
      </c>
      <c r="AK149" s="2" t="s">
        <v>113</v>
      </c>
      <c r="AL149" s="2">
        <v>6.7240000000000002</v>
      </c>
      <c r="AM149" s="2">
        <v>16.690000000000001</v>
      </c>
      <c r="AN149" s="2">
        <v>-1.335</v>
      </c>
      <c r="AO149" s="2"/>
      <c r="AP149" s="2"/>
      <c r="AQ149" s="2"/>
      <c r="AR149" s="5">
        <v>31.99</v>
      </c>
      <c r="AS149" s="5">
        <v>21.32</v>
      </c>
      <c r="AT149" s="5">
        <v>3.82</v>
      </c>
      <c r="AU149" s="7">
        <f t="shared" si="99"/>
        <v>0.17899999999999999</v>
      </c>
      <c r="AV149" s="16"/>
      <c r="AW149" s="29">
        <v>3.556</v>
      </c>
      <c r="AX149" s="29">
        <v>0</v>
      </c>
      <c r="AY149" s="1">
        <f t="shared" si="79"/>
        <v>98.4</v>
      </c>
      <c r="AZ149" s="1">
        <f t="shared" si="80"/>
        <v>84.2</v>
      </c>
      <c r="BA149" s="1">
        <f t="shared" si="81"/>
        <v>42.1</v>
      </c>
      <c r="BB149" s="8">
        <f t="shared" si="82"/>
        <v>0.64700000000000002</v>
      </c>
      <c r="BC149" s="8">
        <f t="shared" si="83"/>
        <v>0.89</v>
      </c>
      <c r="BE149" s="5">
        <f t="shared" si="88"/>
        <v>21.32</v>
      </c>
      <c r="BF149" s="5">
        <f t="shared" si="89"/>
        <v>3.82</v>
      </c>
      <c r="BG149" s="1">
        <f t="shared" si="84"/>
        <v>6.3</v>
      </c>
      <c r="BH149" s="1">
        <f t="shared" si="85"/>
        <v>13.4</v>
      </c>
      <c r="BI149" s="1">
        <f t="shared" si="86"/>
        <v>-0.6</v>
      </c>
      <c r="BJ149" s="1">
        <f t="shared" si="90"/>
        <v>84.2</v>
      </c>
      <c r="BK149" s="1">
        <f t="shared" si="91"/>
        <v>42.1</v>
      </c>
      <c r="BL149" s="1">
        <f t="shared" si="100"/>
        <v>1.4</v>
      </c>
      <c r="BM149" s="1">
        <f t="shared" si="101"/>
        <v>6.4</v>
      </c>
      <c r="BN149" s="21">
        <f t="shared" si="92"/>
        <v>3.556</v>
      </c>
      <c r="BO149" s="7">
        <f t="shared" si="93"/>
        <v>0</v>
      </c>
      <c r="BP149" s="21" t="str">
        <f t="shared" si="87"/>
        <v>NAN</v>
      </c>
      <c r="BQ149" s="1">
        <f t="shared" si="94"/>
        <v>10.9</v>
      </c>
      <c r="BR149" s="1">
        <f t="shared" si="95"/>
        <v>33.9</v>
      </c>
      <c r="BS149" s="1">
        <f t="shared" si="96"/>
        <v>-2.5</v>
      </c>
      <c r="BT149" s="1" t="s">
        <v>113</v>
      </c>
      <c r="BU149" s="1" t="s">
        <v>113</v>
      </c>
      <c r="BV149" s="1" t="s">
        <v>113</v>
      </c>
      <c r="BW149" s="1" t="str">
        <f t="shared" si="102"/>
        <v>NAN</v>
      </c>
      <c r="BX149" s="1">
        <f t="shared" si="103"/>
        <v>0.64700000000000002</v>
      </c>
      <c r="BY149" s="1">
        <f t="shared" si="104"/>
        <v>0.89</v>
      </c>
      <c r="CA149" s="1">
        <f t="shared" si="97"/>
        <v>20.5</v>
      </c>
      <c r="CB149" s="1">
        <f t="shared" si="98"/>
        <v>-1.9</v>
      </c>
    </row>
    <row r="150" spans="1:80" x14ac:dyDescent="0.2">
      <c r="A150" s="9">
        <f t="shared" si="105"/>
        <v>43610</v>
      </c>
      <c r="B150" s="2">
        <v>145</v>
      </c>
      <c r="C150" s="2">
        <v>21</v>
      </c>
      <c r="D150" s="2">
        <v>13.19</v>
      </c>
      <c r="E150" s="2">
        <v>12.97</v>
      </c>
      <c r="F150" s="2">
        <v>3.585</v>
      </c>
      <c r="G150" s="2">
        <v>5.9290000000000003</v>
      </c>
      <c r="H150" s="2">
        <v>97</v>
      </c>
      <c r="I150" s="2">
        <v>6.2729999999999997</v>
      </c>
      <c r="J150" s="2">
        <v>9.85</v>
      </c>
      <c r="K150" s="2">
        <v>9.58</v>
      </c>
      <c r="L150" s="2">
        <v>6.6589999999999998</v>
      </c>
      <c r="M150" s="2">
        <v>8.67</v>
      </c>
      <c r="N150" s="2">
        <v>102</v>
      </c>
      <c r="O150" s="2">
        <v>13.51</v>
      </c>
      <c r="P150" s="2">
        <v>19.760000000000002</v>
      </c>
      <c r="Q150" s="2">
        <v>13.33</v>
      </c>
      <c r="R150" s="2">
        <v>7.08</v>
      </c>
      <c r="S150" s="2">
        <v>3.2010000000000001</v>
      </c>
      <c r="T150" s="2">
        <v>84.6</v>
      </c>
      <c r="U150" s="2">
        <v>1.5409999999999999</v>
      </c>
      <c r="V150" s="2">
        <v>4.4379999999999997</v>
      </c>
      <c r="W150" s="2">
        <v>6.7789999999999999</v>
      </c>
      <c r="X150" s="2">
        <v>6.468</v>
      </c>
      <c r="Y150" s="2">
        <v>2.46</v>
      </c>
      <c r="Z150" s="2">
        <v>3.81</v>
      </c>
      <c r="AA150" s="2">
        <v>10.42</v>
      </c>
      <c r="AB150" s="2">
        <v>1.5960000000000001</v>
      </c>
      <c r="AC150" s="2">
        <v>0.878</v>
      </c>
      <c r="AD150" s="2">
        <v>3.5139999999999998</v>
      </c>
      <c r="AE150" s="2">
        <v>8.6</v>
      </c>
      <c r="AF150" s="2">
        <v>21.58</v>
      </c>
      <c r="AG150" s="2">
        <v>1.851</v>
      </c>
      <c r="AH150" s="2">
        <v>21.58</v>
      </c>
      <c r="AI150" s="2">
        <v>1.851</v>
      </c>
      <c r="AJ150" s="2" t="s">
        <v>113</v>
      </c>
      <c r="AK150" s="2" t="s">
        <v>113</v>
      </c>
      <c r="AL150" s="2">
        <v>6.3970000000000002</v>
      </c>
      <c r="AM150" s="2">
        <v>10.3</v>
      </c>
      <c r="AN150" s="2">
        <v>2.9870000000000001</v>
      </c>
      <c r="AO150" s="2"/>
      <c r="AP150" s="2"/>
      <c r="AQ150" s="2"/>
      <c r="AR150" s="5">
        <v>32.090000000000003</v>
      </c>
      <c r="AS150" s="5">
        <v>10.94</v>
      </c>
      <c r="AT150" s="5">
        <v>1.59</v>
      </c>
      <c r="AU150" s="7">
        <f t="shared" si="99"/>
        <v>0.14499999999999999</v>
      </c>
      <c r="AV150" s="16"/>
      <c r="AW150" s="29">
        <v>3.81</v>
      </c>
      <c r="AX150" s="29">
        <v>0</v>
      </c>
      <c r="AY150" s="1">
        <f t="shared" si="79"/>
        <v>98.4</v>
      </c>
      <c r="AZ150" s="1">
        <f t="shared" si="80"/>
        <v>93.6</v>
      </c>
      <c r="BA150" s="1">
        <f t="shared" si="81"/>
        <v>81.599999999999994</v>
      </c>
      <c r="BB150" s="8">
        <f t="shared" si="82"/>
        <v>0.91600000000000004</v>
      </c>
      <c r="BC150" s="8">
        <f t="shared" si="83"/>
        <v>0.20699999999999999</v>
      </c>
      <c r="BE150" s="5">
        <f t="shared" si="88"/>
        <v>10.94</v>
      </c>
      <c r="BF150" s="5">
        <f t="shared" si="89"/>
        <v>1.59</v>
      </c>
      <c r="BG150" s="1">
        <f t="shared" si="84"/>
        <v>5.9</v>
      </c>
      <c r="BH150" s="1">
        <f t="shared" si="85"/>
        <v>8.6999999999999993</v>
      </c>
      <c r="BI150" s="1">
        <f t="shared" si="86"/>
        <v>3.2</v>
      </c>
      <c r="BJ150" s="1">
        <f t="shared" si="90"/>
        <v>93.6</v>
      </c>
      <c r="BK150" s="1">
        <f t="shared" si="91"/>
        <v>81.599999999999994</v>
      </c>
      <c r="BL150" s="1">
        <f t="shared" si="100"/>
        <v>0.9</v>
      </c>
      <c r="BM150" s="1">
        <f t="shared" si="101"/>
        <v>3.5</v>
      </c>
      <c r="BN150" s="21">
        <f t="shared" si="92"/>
        <v>3.81</v>
      </c>
      <c r="BO150" s="7">
        <f t="shared" si="93"/>
        <v>0</v>
      </c>
      <c r="BP150" s="21" t="str">
        <f t="shared" si="87"/>
        <v>NAN</v>
      </c>
      <c r="BQ150" s="1">
        <f t="shared" si="94"/>
        <v>8.6</v>
      </c>
      <c r="BR150" s="1">
        <f t="shared" si="95"/>
        <v>21.6</v>
      </c>
      <c r="BS150" s="1">
        <f t="shared" si="96"/>
        <v>1.9</v>
      </c>
      <c r="BT150" s="1" t="s">
        <v>113</v>
      </c>
      <c r="BU150" s="1" t="s">
        <v>113</v>
      </c>
      <c r="BV150" s="1" t="s">
        <v>113</v>
      </c>
      <c r="BW150" s="1" t="str">
        <f t="shared" si="102"/>
        <v>NAN</v>
      </c>
      <c r="BX150" s="1">
        <f t="shared" si="103"/>
        <v>0.91600000000000004</v>
      </c>
      <c r="BY150" s="1">
        <f t="shared" si="104"/>
        <v>0.20699999999999999</v>
      </c>
      <c r="CA150" s="1">
        <f t="shared" si="97"/>
        <v>12.900000000000002</v>
      </c>
      <c r="CB150" s="1">
        <f t="shared" si="98"/>
        <v>-1.3000000000000003</v>
      </c>
    </row>
    <row r="151" spans="1:80" x14ac:dyDescent="0.2">
      <c r="A151" s="9">
        <f t="shared" si="105"/>
        <v>43611</v>
      </c>
      <c r="B151" s="2">
        <v>146</v>
      </c>
      <c r="C151" s="2">
        <v>21</v>
      </c>
      <c r="D151" s="2">
        <v>13.17</v>
      </c>
      <c r="E151" s="2">
        <v>18.79</v>
      </c>
      <c r="F151" s="2">
        <v>1.895</v>
      </c>
      <c r="G151" s="2">
        <v>7.46</v>
      </c>
      <c r="H151" s="2">
        <v>77.2</v>
      </c>
      <c r="I151" s="2">
        <v>7.69</v>
      </c>
      <c r="J151" s="2">
        <v>10.16</v>
      </c>
      <c r="K151" s="2">
        <v>9.5299999999999994</v>
      </c>
      <c r="L151" s="2">
        <v>6.7380000000000004</v>
      </c>
      <c r="M151" s="2">
        <v>12.84</v>
      </c>
      <c r="N151" s="2">
        <v>100.8</v>
      </c>
      <c r="O151" s="2">
        <v>22.78</v>
      </c>
      <c r="P151" s="2">
        <v>23.78</v>
      </c>
      <c r="Q151" s="2">
        <v>14.77</v>
      </c>
      <c r="R151" s="2">
        <v>7.22</v>
      </c>
      <c r="S151" s="2">
        <v>0.38100000000000001</v>
      </c>
      <c r="T151" s="2">
        <v>50.31</v>
      </c>
      <c r="U151" s="2">
        <v>-1.758</v>
      </c>
      <c r="V151" s="2">
        <v>2.39</v>
      </c>
      <c r="W151" s="2">
        <v>4.883</v>
      </c>
      <c r="X151" s="2">
        <v>6.4420000000000002</v>
      </c>
      <c r="Y151" s="2">
        <v>2.4630000000000001</v>
      </c>
      <c r="Z151" s="2">
        <v>0.254</v>
      </c>
      <c r="AA151" s="2">
        <v>15.79</v>
      </c>
      <c r="AB151" s="2">
        <v>2.8690000000000002</v>
      </c>
      <c r="AC151" s="2">
        <v>1.288</v>
      </c>
      <c r="AD151" s="2">
        <v>5.274</v>
      </c>
      <c r="AE151" s="2">
        <v>9.2100000000000009</v>
      </c>
      <c r="AF151" s="2">
        <v>30.37</v>
      </c>
      <c r="AG151" s="2">
        <v>-1.2589999999999999</v>
      </c>
      <c r="AH151" s="2">
        <v>30.37</v>
      </c>
      <c r="AI151" s="2">
        <v>-1.2589999999999999</v>
      </c>
      <c r="AJ151" s="2" t="s">
        <v>113</v>
      </c>
      <c r="AK151" s="2" t="s">
        <v>113</v>
      </c>
      <c r="AL151" s="2">
        <v>7.97</v>
      </c>
      <c r="AM151" s="2">
        <v>16.78</v>
      </c>
      <c r="AN151" s="2">
        <v>0.20100000000000001</v>
      </c>
      <c r="AO151" s="2"/>
      <c r="AP151" s="2"/>
      <c r="AQ151" s="2"/>
      <c r="AR151" s="5">
        <v>32.200000000000003</v>
      </c>
      <c r="AS151" s="5">
        <v>16.579999999999998</v>
      </c>
      <c r="AT151" s="5">
        <v>2.87</v>
      </c>
      <c r="AU151" s="7">
        <f t="shared" si="99"/>
        <v>0.17299999999999999</v>
      </c>
      <c r="AV151" s="16"/>
      <c r="AW151" s="29">
        <v>0.254</v>
      </c>
      <c r="AX151" s="29">
        <v>0</v>
      </c>
      <c r="AY151" s="1">
        <f t="shared" si="79"/>
        <v>97.3</v>
      </c>
      <c r="AZ151" s="1">
        <f t="shared" si="80"/>
        <v>74.400000000000006</v>
      </c>
      <c r="BA151" s="1">
        <f t="shared" si="81"/>
        <v>48.3</v>
      </c>
      <c r="BB151" s="8">
        <f t="shared" si="82"/>
        <v>0.71599999999999997</v>
      </c>
      <c r="BC151" s="8">
        <f t="shared" si="83"/>
        <v>0.76600000000000001</v>
      </c>
      <c r="BE151" s="5">
        <f t="shared" si="88"/>
        <v>16.579999999999998</v>
      </c>
      <c r="BF151" s="5">
        <f t="shared" si="89"/>
        <v>2.87</v>
      </c>
      <c r="BG151" s="1">
        <f t="shared" si="84"/>
        <v>7.5</v>
      </c>
      <c r="BH151" s="1">
        <f t="shared" si="85"/>
        <v>12.8</v>
      </c>
      <c r="BI151" s="1">
        <f t="shared" si="86"/>
        <v>0.4</v>
      </c>
      <c r="BJ151" s="1">
        <f t="shared" si="90"/>
        <v>74.400000000000006</v>
      </c>
      <c r="BK151" s="1">
        <f t="shared" si="91"/>
        <v>48.3</v>
      </c>
      <c r="BL151" s="1">
        <f t="shared" si="100"/>
        <v>1.3</v>
      </c>
      <c r="BM151" s="1">
        <f t="shared" si="101"/>
        <v>5.3</v>
      </c>
      <c r="BN151" s="21">
        <f t="shared" si="92"/>
        <v>0.254</v>
      </c>
      <c r="BO151" s="7">
        <f t="shared" si="93"/>
        <v>0</v>
      </c>
      <c r="BP151" s="21" t="str">
        <f t="shared" si="87"/>
        <v>NAN</v>
      </c>
      <c r="BQ151" s="1">
        <f t="shared" si="94"/>
        <v>9.1999999999999993</v>
      </c>
      <c r="BR151" s="1">
        <f t="shared" si="95"/>
        <v>30.4</v>
      </c>
      <c r="BS151" s="1">
        <f t="shared" si="96"/>
        <v>-1.3</v>
      </c>
      <c r="BT151" s="1" t="s">
        <v>113</v>
      </c>
      <c r="BU151" s="1" t="s">
        <v>113</v>
      </c>
      <c r="BV151" s="1" t="s">
        <v>113</v>
      </c>
      <c r="BW151" s="1" t="str">
        <f t="shared" si="102"/>
        <v>NAN</v>
      </c>
      <c r="BX151" s="1">
        <f t="shared" si="103"/>
        <v>0.71599999999999997</v>
      </c>
      <c r="BY151" s="1">
        <f t="shared" si="104"/>
        <v>0.76600000000000001</v>
      </c>
      <c r="CA151" s="1">
        <f t="shared" si="97"/>
        <v>17.599999999999998</v>
      </c>
      <c r="CB151" s="1">
        <f t="shared" si="98"/>
        <v>-1.7000000000000002</v>
      </c>
    </row>
    <row r="152" spans="1:80" x14ac:dyDescent="0.2">
      <c r="A152" s="9">
        <f t="shared" si="105"/>
        <v>43612</v>
      </c>
      <c r="B152" s="2">
        <v>147</v>
      </c>
      <c r="C152" s="2">
        <v>21</v>
      </c>
      <c r="D152" s="2">
        <v>13.17</v>
      </c>
      <c r="E152" s="2">
        <v>24.72</v>
      </c>
      <c r="F152" s="2">
        <v>-2.379</v>
      </c>
      <c r="G152" s="2">
        <v>9.09</v>
      </c>
      <c r="H152" s="2">
        <v>62.31</v>
      </c>
      <c r="I152" s="2">
        <v>9.67</v>
      </c>
      <c r="J152" s="2">
        <v>12.41</v>
      </c>
      <c r="K152" s="2">
        <v>10.7</v>
      </c>
      <c r="L152" s="2">
        <v>6.7629999999999999</v>
      </c>
      <c r="M152" s="2">
        <v>17.68</v>
      </c>
      <c r="N152" s="2">
        <v>101.8</v>
      </c>
      <c r="O152" s="2">
        <v>24.83</v>
      </c>
      <c r="P152" s="2">
        <v>27.07</v>
      </c>
      <c r="Q152" s="2">
        <v>18.36</v>
      </c>
      <c r="R152" s="2">
        <v>7.6</v>
      </c>
      <c r="S152" s="2">
        <v>-1.5669999999999999</v>
      </c>
      <c r="T152" s="2">
        <v>26.28</v>
      </c>
      <c r="U152" s="2">
        <v>-3.9750000000000001</v>
      </c>
      <c r="V152" s="2">
        <v>0.58899999999999997</v>
      </c>
      <c r="W152" s="2">
        <v>3.4580000000000002</v>
      </c>
      <c r="X152" s="2">
        <v>6.3339999999999996</v>
      </c>
      <c r="Y152" s="2">
        <v>2.4649999999999999</v>
      </c>
      <c r="Z152" s="2">
        <v>0</v>
      </c>
      <c r="AA152" s="2">
        <v>28.73</v>
      </c>
      <c r="AB152" s="2">
        <v>5.6109999999999998</v>
      </c>
      <c r="AC152" s="2">
        <v>1.946</v>
      </c>
      <c r="AD152" s="2">
        <v>6.367</v>
      </c>
      <c r="AE152" s="2">
        <v>12.04</v>
      </c>
      <c r="AF152" s="2">
        <v>33.979999999999997</v>
      </c>
      <c r="AG152" s="2">
        <v>-3.0179999999999998</v>
      </c>
      <c r="AH152" s="2">
        <v>33.979999999999997</v>
      </c>
      <c r="AI152" s="2">
        <v>-3.0179999999999998</v>
      </c>
      <c r="AJ152" s="2" t="s">
        <v>113</v>
      </c>
      <c r="AK152" s="2" t="s">
        <v>113</v>
      </c>
      <c r="AL152" s="2">
        <v>9.5</v>
      </c>
      <c r="AM152" s="2">
        <v>20.89</v>
      </c>
      <c r="AN152" s="2">
        <v>-2.3050000000000002</v>
      </c>
      <c r="AO152" s="2"/>
      <c r="AP152" s="2"/>
      <c r="AQ152" s="2"/>
      <c r="AR152" s="5">
        <v>32.29</v>
      </c>
      <c r="AS152" s="5">
        <v>30.17</v>
      </c>
      <c r="AT152" s="5">
        <v>5.61</v>
      </c>
      <c r="AU152" s="7">
        <f t="shared" si="99"/>
        <v>0.186</v>
      </c>
      <c r="AV152" s="16"/>
      <c r="AW152" s="29">
        <v>0</v>
      </c>
      <c r="AX152" s="29">
        <v>0</v>
      </c>
      <c r="AY152" s="1">
        <f t="shared" si="79"/>
        <v>98.2</v>
      </c>
      <c r="AZ152" s="1">
        <f t="shared" si="80"/>
        <v>59.9</v>
      </c>
      <c r="BA152" s="1">
        <f t="shared" si="81"/>
        <v>25</v>
      </c>
      <c r="BB152" s="8">
        <f t="shared" si="82"/>
        <v>0.50600000000000001</v>
      </c>
      <c r="BC152" s="8">
        <f t="shared" si="83"/>
        <v>1.518</v>
      </c>
      <c r="BE152" s="5">
        <f t="shared" si="88"/>
        <v>30.17</v>
      </c>
      <c r="BF152" s="5">
        <f t="shared" si="89"/>
        <v>5.61</v>
      </c>
      <c r="BG152" s="1">
        <f t="shared" si="84"/>
        <v>9.1</v>
      </c>
      <c r="BH152" s="1">
        <f t="shared" si="85"/>
        <v>17.7</v>
      </c>
      <c r="BI152" s="1">
        <f t="shared" si="86"/>
        <v>-1.6</v>
      </c>
      <c r="BJ152" s="1">
        <f t="shared" si="90"/>
        <v>59.9</v>
      </c>
      <c r="BK152" s="1">
        <f t="shared" si="91"/>
        <v>25</v>
      </c>
      <c r="BL152" s="1">
        <f t="shared" si="100"/>
        <v>1.9</v>
      </c>
      <c r="BM152" s="1">
        <f t="shared" si="101"/>
        <v>6.4</v>
      </c>
      <c r="BN152" s="21">
        <f t="shared" si="92"/>
        <v>0</v>
      </c>
      <c r="BO152" s="7">
        <f t="shared" si="93"/>
        <v>0</v>
      </c>
      <c r="BP152" s="21" t="str">
        <f t="shared" si="87"/>
        <v>NAN</v>
      </c>
      <c r="BQ152" s="1">
        <f t="shared" si="94"/>
        <v>12</v>
      </c>
      <c r="BR152" s="1">
        <f t="shared" si="95"/>
        <v>34</v>
      </c>
      <c r="BS152" s="1">
        <f t="shared" si="96"/>
        <v>-3</v>
      </c>
      <c r="BT152" s="1" t="s">
        <v>113</v>
      </c>
      <c r="BU152" s="1" t="s">
        <v>113</v>
      </c>
      <c r="BV152" s="1" t="s">
        <v>113</v>
      </c>
      <c r="BW152" s="1" t="str">
        <f t="shared" si="102"/>
        <v>NAN</v>
      </c>
      <c r="BX152" s="1">
        <f t="shared" si="103"/>
        <v>0.50600000000000001</v>
      </c>
      <c r="BY152" s="1">
        <f t="shared" si="104"/>
        <v>1.518</v>
      </c>
      <c r="CA152" s="1">
        <f t="shared" si="97"/>
        <v>16.3</v>
      </c>
      <c r="CB152" s="1">
        <f t="shared" si="98"/>
        <v>-1.4</v>
      </c>
    </row>
    <row r="153" spans="1:80" x14ac:dyDescent="0.2">
      <c r="A153" s="9">
        <f t="shared" si="105"/>
        <v>43613</v>
      </c>
      <c r="B153" s="2">
        <v>148</v>
      </c>
      <c r="C153" s="2">
        <v>21</v>
      </c>
      <c r="D153" s="2">
        <v>13.2</v>
      </c>
      <c r="E153" s="2">
        <v>29.31</v>
      </c>
      <c r="F153" s="2">
        <v>-1.843</v>
      </c>
      <c r="G153" s="2">
        <v>12.18</v>
      </c>
      <c r="H153" s="2">
        <v>52.05</v>
      </c>
      <c r="I153" s="2">
        <v>12.87</v>
      </c>
      <c r="J153" s="2">
        <v>13.88</v>
      </c>
      <c r="K153" s="2">
        <v>12.22</v>
      </c>
      <c r="L153" s="2">
        <v>7.04</v>
      </c>
      <c r="M153" s="2">
        <v>21.08</v>
      </c>
      <c r="N153" s="2">
        <v>101</v>
      </c>
      <c r="O153" s="2">
        <v>29.68</v>
      </c>
      <c r="P153" s="2">
        <v>30.18</v>
      </c>
      <c r="Q153" s="2">
        <v>19.43</v>
      </c>
      <c r="R153" s="2">
        <v>7.97</v>
      </c>
      <c r="S153" s="2">
        <v>-0.78500000000000003</v>
      </c>
      <c r="T153" s="2">
        <v>17.47</v>
      </c>
      <c r="U153" s="2">
        <v>-3.4740000000000002</v>
      </c>
      <c r="V153" s="2">
        <v>0.89900000000000002</v>
      </c>
      <c r="W153" s="2">
        <v>4.0490000000000004</v>
      </c>
      <c r="X153" s="2">
        <v>6.585</v>
      </c>
      <c r="Y153" s="2">
        <v>2.476</v>
      </c>
      <c r="Z153" s="2">
        <v>0</v>
      </c>
      <c r="AA153" s="2">
        <v>25.71</v>
      </c>
      <c r="AB153" s="2">
        <v>5.1509999999999998</v>
      </c>
      <c r="AC153" s="2">
        <v>1.4850000000000001</v>
      </c>
      <c r="AD153" s="2">
        <v>5.8339999999999996</v>
      </c>
      <c r="AE153" s="2">
        <v>15.1</v>
      </c>
      <c r="AF153" s="2">
        <v>42.85</v>
      </c>
      <c r="AG153" s="2">
        <v>-3.5019999999999998</v>
      </c>
      <c r="AH153" s="2">
        <v>42.85</v>
      </c>
      <c r="AI153" s="2">
        <v>-3.5019999999999998</v>
      </c>
      <c r="AJ153" s="2" t="s">
        <v>113</v>
      </c>
      <c r="AK153" s="2" t="s">
        <v>113</v>
      </c>
      <c r="AL153" s="2">
        <v>12.69</v>
      </c>
      <c r="AM153" s="2">
        <v>24.91</v>
      </c>
      <c r="AN153" s="2">
        <v>-1.64</v>
      </c>
      <c r="AO153" s="2"/>
      <c r="AP153" s="2"/>
      <c r="AQ153" s="2"/>
      <c r="AR153" s="5">
        <v>32.39</v>
      </c>
      <c r="AS153" s="5">
        <v>27</v>
      </c>
      <c r="AT153" s="5">
        <v>5.15</v>
      </c>
      <c r="AU153" s="7">
        <f t="shared" si="99"/>
        <v>0.191</v>
      </c>
      <c r="AV153" s="16"/>
      <c r="AW153" s="29">
        <v>0</v>
      </c>
      <c r="AX153" s="29">
        <v>0</v>
      </c>
      <c r="AY153" s="1">
        <f t="shared" si="79"/>
        <v>97.5</v>
      </c>
      <c r="AZ153" s="1">
        <f t="shared" si="80"/>
        <v>50</v>
      </c>
      <c r="BA153" s="1">
        <f t="shared" si="81"/>
        <v>16.399999999999999</v>
      </c>
      <c r="BB153" s="8">
        <f t="shared" si="82"/>
        <v>0.41</v>
      </c>
      <c r="BC153" s="8">
        <f t="shared" si="83"/>
        <v>2.09</v>
      </c>
      <c r="BE153" s="5">
        <f t="shared" si="88"/>
        <v>27</v>
      </c>
      <c r="BF153" s="5">
        <f t="shared" si="89"/>
        <v>5.15</v>
      </c>
      <c r="BG153" s="1">
        <f t="shared" si="84"/>
        <v>12.2</v>
      </c>
      <c r="BH153" s="1">
        <f t="shared" si="85"/>
        <v>21.1</v>
      </c>
      <c r="BI153" s="1">
        <f t="shared" si="86"/>
        <v>-0.8</v>
      </c>
      <c r="BJ153" s="1">
        <f t="shared" si="90"/>
        <v>50</v>
      </c>
      <c r="BK153" s="1">
        <f t="shared" si="91"/>
        <v>16.399999999999999</v>
      </c>
      <c r="BL153" s="1">
        <f t="shared" si="100"/>
        <v>1.5</v>
      </c>
      <c r="BM153" s="1">
        <f t="shared" si="101"/>
        <v>5.8</v>
      </c>
      <c r="BN153" s="21">
        <f t="shared" si="92"/>
        <v>0</v>
      </c>
      <c r="BO153" s="7">
        <f t="shared" si="93"/>
        <v>0</v>
      </c>
      <c r="BP153" s="21" t="str">
        <f t="shared" si="87"/>
        <v>NAN</v>
      </c>
      <c r="BQ153" s="1">
        <f t="shared" si="94"/>
        <v>15.1</v>
      </c>
      <c r="BR153" s="1">
        <f t="shared" si="95"/>
        <v>42.9</v>
      </c>
      <c r="BS153" s="1">
        <f t="shared" si="96"/>
        <v>-3.5</v>
      </c>
      <c r="BT153" s="1" t="s">
        <v>113</v>
      </c>
      <c r="BU153" s="1" t="s">
        <v>113</v>
      </c>
      <c r="BV153" s="1" t="s">
        <v>113</v>
      </c>
      <c r="BW153" s="1" t="str">
        <f t="shared" si="102"/>
        <v>NAN</v>
      </c>
      <c r="BX153" s="1">
        <f t="shared" si="103"/>
        <v>0.41</v>
      </c>
      <c r="BY153" s="1">
        <f t="shared" si="104"/>
        <v>2.09</v>
      </c>
      <c r="CA153" s="1">
        <f t="shared" si="97"/>
        <v>21.799999999999997</v>
      </c>
      <c r="CB153" s="1">
        <f t="shared" si="98"/>
        <v>-2.7</v>
      </c>
    </row>
    <row r="154" spans="1:80" x14ac:dyDescent="0.2">
      <c r="A154" s="9">
        <f t="shared" si="105"/>
        <v>43614</v>
      </c>
      <c r="B154" s="2">
        <v>149</v>
      </c>
      <c r="C154" s="2">
        <v>21</v>
      </c>
      <c r="D154" s="2">
        <v>13.2</v>
      </c>
      <c r="E154" s="2">
        <v>27.77</v>
      </c>
      <c r="F154" s="2">
        <v>0.33400000000000002</v>
      </c>
      <c r="G154" s="2">
        <v>12.59</v>
      </c>
      <c r="H154" s="2">
        <v>59.71</v>
      </c>
      <c r="I154" s="2">
        <v>13.17</v>
      </c>
      <c r="J154" s="2">
        <v>15.4</v>
      </c>
      <c r="K154" s="2">
        <v>13.72</v>
      </c>
      <c r="L154" s="2">
        <v>7.5</v>
      </c>
      <c r="M154" s="2">
        <v>21.39</v>
      </c>
      <c r="N154" s="2">
        <v>100.3</v>
      </c>
      <c r="O154" s="2">
        <v>29.06</v>
      </c>
      <c r="P154" s="2">
        <v>31.32</v>
      </c>
      <c r="Q154" s="2">
        <v>20.91</v>
      </c>
      <c r="R154" s="2">
        <v>8.3000000000000007</v>
      </c>
      <c r="S154" s="2">
        <v>0.876</v>
      </c>
      <c r="T154" s="2">
        <v>22.94</v>
      </c>
      <c r="U154" s="2">
        <v>-2.327</v>
      </c>
      <c r="V154" s="2">
        <v>2.2360000000000002</v>
      </c>
      <c r="W154" s="2">
        <v>5.8940000000000001</v>
      </c>
      <c r="X154" s="2">
        <v>6.9480000000000004</v>
      </c>
      <c r="Y154" s="2">
        <v>2.452</v>
      </c>
      <c r="Z154" s="2">
        <v>0</v>
      </c>
      <c r="AA154" s="2">
        <v>25.21</v>
      </c>
      <c r="AB154" s="2">
        <v>5.14</v>
      </c>
      <c r="AC154" s="2">
        <v>1.468</v>
      </c>
      <c r="AD154" s="2">
        <v>5.9669999999999996</v>
      </c>
      <c r="AE154" s="2">
        <v>16.27</v>
      </c>
      <c r="AF154" s="2">
        <v>42.87</v>
      </c>
      <c r="AG154" s="2">
        <v>-2.339</v>
      </c>
      <c r="AH154" s="2">
        <v>42.87</v>
      </c>
      <c r="AI154" s="2">
        <v>-2.339</v>
      </c>
      <c r="AJ154" s="2" t="s">
        <v>113</v>
      </c>
      <c r="AK154" s="2" t="s">
        <v>113</v>
      </c>
      <c r="AL154" s="2">
        <v>13.05</v>
      </c>
      <c r="AM154" s="2">
        <v>24.96</v>
      </c>
      <c r="AN154" s="2">
        <v>-3.3000000000000002E-2</v>
      </c>
      <c r="AO154" s="2"/>
      <c r="AP154" s="2"/>
      <c r="AQ154" s="2"/>
      <c r="AR154" s="5">
        <v>32.479999999999997</v>
      </c>
      <c r="AS154" s="5">
        <v>26.46</v>
      </c>
      <c r="AT154" s="5">
        <v>5.14</v>
      </c>
      <c r="AU154" s="7">
        <f t="shared" si="99"/>
        <v>0.19400000000000001</v>
      </c>
      <c r="AV154" s="16"/>
      <c r="AW154" s="29">
        <v>0</v>
      </c>
      <c r="AX154" s="29">
        <v>0</v>
      </c>
      <c r="AY154" s="1">
        <f t="shared" si="79"/>
        <v>96.8</v>
      </c>
      <c r="AZ154" s="1">
        <f t="shared" si="80"/>
        <v>57.4</v>
      </c>
      <c r="BA154" s="1">
        <f t="shared" si="81"/>
        <v>21.8</v>
      </c>
      <c r="BB154" s="8">
        <f t="shared" si="82"/>
        <v>0.55500000000000005</v>
      </c>
      <c r="BC154" s="8">
        <f t="shared" si="83"/>
        <v>1.9910000000000001</v>
      </c>
      <c r="BE154" s="5">
        <f t="shared" si="88"/>
        <v>26.46</v>
      </c>
      <c r="BF154" s="5">
        <f t="shared" si="89"/>
        <v>5.14</v>
      </c>
      <c r="BG154" s="1">
        <f t="shared" si="84"/>
        <v>12.6</v>
      </c>
      <c r="BH154" s="1">
        <f t="shared" si="85"/>
        <v>21.4</v>
      </c>
      <c r="BI154" s="1">
        <f t="shared" si="86"/>
        <v>0.9</v>
      </c>
      <c r="BJ154" s="1">
        <f t="shared" si="90"/>
        <v>57.4</v>
      </c>
      <c r="BK154" s="1">
        <f t="shared" si="91"/>
        <v>21.8</v>
      </c>
      <c r="BL154" s="1">
        <f t="shared" si="100"/>
        <v>1.5</v>
      </c>
      <c r="BM154" s="1">
        <f t="shared" si="101"/>
        <v>6</v>
      </c>
      <c r="BN154" s="21">
        <f t="shared" si="92"/>
        <v>0</v>
      </c>
      <c r="BO154" s="7">
        <f t="shared" si="93"/>
        <v>0</v>
      </c>
      <c r="BP154" s="21" t="str">
        <f t="shared" si="87"/>
        <v>NAN</v>
      </c>
      <c r="BQ154" s="1">
        <f t="shared" si="94"/>
        <v>16.3</v>
      </c>
      <c r="BR154" s="1">
        <f t="shared" si="95"/>
        <v>42.9</v>
      </c>
      <c r="BS154" s="1">
        <f t="shared" si="96"/>
        <v>-2.2999999999999998</v>
      </c>
      <c r="BT154" s="1" t="s">
        <v>113</v>
      </c>
      <c r="BU154" s="1" t="s">
        <v>113</v>
      </c>
      <c r="BV154" s="1" t="s">
        <v>113</v>
      </c>
      <c r="BW154" s="1" t="str">
        <f t="shared" si="102"/>
        <v>NAN</v>
      </c>
      <c r="BX154" s="1">
        <f t="shared" si="103"/>
        <v>0.55500000000000005</v>
      </c>
      <c r="BY154" s="1">
        <f t="shared" si="104"/>
        <v>1.9910000000000001</v>
      </c>
      <c r="CA154" s="1">
        <f t="shared" si="97"/>
        <v>21.5</v>
      </c>
      <c r="CB154" s="1">
        <f t="shared" si="98"/>
        <v>-3.1999999999999997</v>
      </c>
    </row>
    <row r="155" spans="1:80" x14ac:dyDescent="0.2">
      <c r="A155" s="9">
        <f t="shared" si="105"/>
        <v>43615</v>
      </c>
      <c r="B155" s="2">
        <v>150</v>
      </c>
      <c r="C155" s="2">
        <v>21</v>
      </c>
      <c r="D155" s="2">
        <v>13.2</v>
      </c>
      <c r="E155" s="2">
        <v>27.13</v>
      </c>
      <c r="F155" s="2">
        <v>1.897</v>
      </c>
      <c r="G155" s="2">
        <v>11.1</v>
      </c>
      <c r="H155" s="2">
        <v>78</v>
      </c>
      <c r="I155" s="2">
        <v>11.1</v>
      </c>
      <c r="J155" s="2">
        <v>13.25</v>
      </c>
      <c r="K155" s="2">
        <v>12.59</v>
      </c>
      <c r="L155" s="2">
        <v>8.02</v>
      </c>
      <c r="M155" s="2">
        <v>20.18</v>
      </c>
      <c r="N155" s="2">
        <v>101.5</v>
      </c>
      <c r="O155" s="2">
        <v>25.11</v>
      </c>
      <c r="P155" s="2">
        <v>26.8</v>
      </c>
      <c r="Q155" s="2">
        <v>16.68</v>
      </c>
      <c r="R155" s="2">
        <v>8.8000000000000007</v>
      </c>
      <c r="S155" s="2">
        <v>2.3780000000000001</v>
      </c>
      <c r="T155" s="2">
        <v>36.56</v>
      </c>
      <c r="U155" s="2">
        <v>-0.26800000000000002</v>
      </c>
      <c r="V155" s="2">
        <v>3.79</v>
      </c>
      <c r="W155" s="2">
        <v>7.29</v>
      </c>
      <c r="X155" s="2">
        <v>7.5</v>
      </c>
      <c r="Y155" s="2">
        <v>2.4620000000000002</v>
      </c>
      <c r="Z155" s="2">
        <v>5.08</v>
      </c>
      <c r="AA155" s="2">
        <v>15.37</v>
      </c>
      <c r="AB155" s="2">
        <v>2.996</v>
      </c>
      <c r="AC155" s="2">
        <v>0.89400000000000002</v>
      </c>
      <c r="AD155" s="2">
        <v>4.6870000000000003</v>
      </c>
      <c r="AE155" s="2">
        <v>12.32</v>
      </c>
      <c r="AF155" s="2">
        <v>36.130000000000003</v>
      </c>
      <c r="AG155" s="2">
        <v>-0.30399999999999999</v>
      </c>
      <c r="AH155" s="2">
        <v>36.130000000000003</v>
      </c>
      <c r="AI155" s="2">
        <v>-0.30399999999999999</v>
      </c>
      <c r="AJ155" s="2" t="s">
        <v>113</v>
      </c>
      <c r="AK155" s="2" t="s">
        <v>113</v>
      </c>
      <c r="AL155" s="2">
        <v>11.17</v>
      </c>
      <c r="AM155" s="2">
        <v>21.68</v>
      </c>
      <c r="AN155" s="2">
        <v>1.651</v>
      </c>
      <c r="AO155" s="2"/>
      <c r="AP155" s="2"/>
      <c r="AQ155" s="2"/>
      <c r="AR155" s="5">
        <v>32.56</v>
      </c>
      <c r="AS155" s="5">
        <v>16.14</v>
      </c>
      <c r="AT155" s="5">
        <v>2.99</v>
      </c>
      <c r="AU155" s="7">
        <f t="shared" si="99"/>
        <v>0.185</v>
      </c>
      <c r="AV155" s="16"/>
      <c r="AW155" s="29">
        <v>5.08</v>
      </c>
      <c r="AX155" s="29">
        <v>0</v>
      </c>
      <c r="AY155" s="1">
        <f t="shared" si="79"/>
        <v>98</v>
      </c>
      <c r="AZ155" s="1">
        <f t="shared" si="80"/>
        <v>75.2</v>
      </c>
      <c r="BA155" s="1">
        <f t="shared" si="81"/>
        <v>35</v>
      </c>
      <c r="BB155" s="8">
        <f t="shared" si="82"/>
        <v>0.82699999999999996</v>
      </c>
      <c r="BC155" s="8">
        <f t="shared" si="83"/>
        <v>1.536</v>
      </c>
      <c r="BE155" s="5">
        <f t="shared" si="88"/>
        <v>16.14</v>
      </c>
      <c r="BF155" s="5">
        <f t="shared" si="89"/>
        <v>2.99</v>
      </c>
      <c r="BG155" s="1">
        <f t="shared" si="84"/>
        <v>11.1</v>
      </c>
      <c r="BH155" s="1">
        <f t="shared" si="85"/>
        <v>20.2</v>
      </c>
      <c r="BI155" s="1">
        <f t="shared" si="86"/>
        <v>2.4</v>
      </c>
      <c r="BJ155" s="1">
        <f t="shared" si="90"/>
        <v>75.2</v>
      </c>
      <c r="BK155" s="1">
        <f t="shared" si="91"/>
        <v>35</v>
      </c>
      <c r="BL155" s="1">
        <f t="shared" si="100"/>
        <v>0.9</v>
      </c>
      <c r="BM155" s="1">
        <f t="shared" si="101"/>
        <v>4.7</v>
      </c>
      <c r="BN155" s="21">
        <f t="shared" si="92"/>
        <v>5.08</v>
      </c>
      <c r="BO155" s="7">
        <f t="shared" si="93"/>
        <v>0</v>
      </c>
      <c r="BP155" s="21" t="str">
        <f t="shared" si="87"/>
        <v>NAN</v>
      </c>
      <c r="BQ155" s="1">
        <f t="shared" si="94"/>
        <v>12.3</v>
      </c>
      <c r="BR155" s="1">
        <f t="shared" si="95"/>
        <v>36.1</v>
      </c>
      <c r="BS155" s="1">
        <f t="shared" si="96"/>
        <v>-0.3</v>
      </c>
      <c r="BT155" s="1" t="s">
        <v>113</v>
      </c>
      <c r="BU155" s="1" t="s">
        <v>113</v>
      </c>
      <c r="BV155" s="1" t="s">
        <v>113</v>
      </c>
      <c r="BW155" s="1" t="str">
        <f t="shared" si="102"/>
        <v>NAN</v>
      </c>
      <c r="BX155" s="1">
        <f t="shared" si="103"/>
        <v>0.82699999999999996</v>
      </c>
      <c r="BY155" s="1">
        <f t="shared" si="104"/>
        <v>1.536</v>
      </c>
      <c r="CA155" s="1">
        <f t="shared" si="97"/>
        <v>15.900000000000002</v>
      </c>
      <c r="CB155" s="1">
        <f t="shared" si="98"/>
        <v>-2.6999999999999997</v>
      </c>
    </row>
    <row r="156" spans="1:80" x14ac:dyDescent="0.2">
      <c r="A156" s="9">
        <f t="shared" si="105"/>
        <v>43616</v>
      </c>
      <c r="B156" s="2">
        <v>151</v>
      </c>
      <c r="C156" s="2">
        <v>21</v>
      </c>
      <c r="D156" s="2">
        <v>13.19</v>
      </c>
      <c r="E156" s="2">
        <v>30.2</v>
      </c>
      <c r="F156" s="2">
        <v>1.423</v>
      </c>
      <c r="G156" s="2">
        <v>11.86</v>
      </c>
      <c r="H156" s="2">
        <v>76.400000000000006</v>
      </c>
      <c r="I156" s="2">
        <v>11.98</v>
      </c>
      <c r="J156" s="2">
        <v>13.86</v>
      </c>
      <c r="K156" s="2">
        <v>12.87</v>
      </c>
      <c r="L156" s="2">
        <v>8.15</v>
      </c>
      <c r="M156" s="2">
        <v>20.45</v>
      </c>
      <c r="N156" s="2">
        <v>102.5</v>
      </c>
      <c r="O156" s="2">
        <v>27.25</v>
      </c>
      <c r="P156" s="2">
        <v>30.5</v>
      </c>
      <c r="Q156" s="2">
        <v>19.47</v>
      </c>
      <c r="R156" s="2">
        <v>9.0399999999999991</v>
      </c>
      <c r="S156" s="2">
        <v>2.1760000000000002</v>
      </c>
      <c r="T156" s="2">
        <v>40.22</v>
      </c>
      <c r="U156" s="2">
        <v>-0.50600000000000001</v>
      </c>
      <c r="V156" s="2">
        <v>2.2360000000000002</v>
      </c>
      <c r="W156" s="2">
        <v>5.7960000000000003</v>
      </c>
      <c r="X156" s="2">
        <v>7.17</v>
      </c>
      <c r="Y156" s="2">
        <v>2.468</v>
      </c>
      <c r="Z156" s="2">
        <v>4.3179999999999996</v>
      </c>
      <c r="AA156" s="2">
        <v>18.89</v>
      </c>
      <c r="AB156" s="2">
        <v>3.5710000000000002</v>
      </c>
      <c r="AC156" s="2">
        <v>0.79300000000000004</v>
      </c>
      <c r="AD156" s="2">
        <v>4.5540000000000003</v>
      </c>
      <c r="AE156" s="2">
        <v>12.61</v>
      </c>
      <c r="AF156" s="2">
        <v>33.520000000000003</v>
      </c>
      <c r="AG156" s="2">
        <v>0.114</v>
      </c>
      <c r="AH156" s="2">
        <v>33.520000000000003</v>
      </c>
      <c r="AI156" s="2">
        <v>0.114</v>
      </c>
      <c r="AJ156" s="2" t="s">
        <v>113</v>
      </c>
      <c r="AK156" s="2" t="s">
        <v>113</v>
      </c>
      <c r="AL156" s="2">
        <v>12.33</v>
      </c>
      <c r="AM156" s="2">
        <v>23.12</v>
      </c>
      <c r="AN156" s="2">
        <v>1.5289999999999999</v>
      </c>
      <c r="AO156" s="2"/>
      <c r="AP156" s="2"/>
      <c r="AQ156" s="2"/>
      <c r="AR156" s="5">
        <v>32.64</v>
      </c>
      <c r="AS156" s="5">
        <v>19.84</v>
      </c>
      <c r="AT156" s="5">
        <v>3.57</v>
      </c>
      <c r="AU156" s="7">
        <f t="shared" si="99"/>
        <v>0.18</v>
      </c>
      <c r="AV156" s="16"/>
      <c r="AW156" s="29">
        <v>4.3179999999999996</v>
      </c>
      <c r="AX156" s="29">
        <v>0</v>
      </c>
      <c r="AY156" s="1">
        <f t="shared" si="79"/>
        <v>98.9</v>
      </c>
      <c r="AZ156" s="1">
        <f t="shared" si="80"/>
        <v>73.599999999999994</v>
      </c>
      <c r="BA156" s="1">
        <f t="shared" si="81"/>
        <v>38.5</v>
      </c>
      <c r="BB156" s="8">
        <f t="shared" si="82"/>
        <v>0.92500000000000004</v>
      </c>
      <c r="BC156" s="8">
        <f t="shared" si="83"/>
        <v>1.478</v>
      </c>
      <c r="BE156" s="5">
        <f t="shared" si="88"/>
        <v>19.84</v>
      </c>
      <c r="BF156" s="5">
        <f t="shared" si="89"/>
        <v>3.57</v>
      </c>
      <c r="BG156" s="1">
        <f t="shared" si="84"/>
        <v>11.9</v>
      </c>
      <c r="BH156" s="1">
        <f t="shared" si="85"/>
        <v>20.5</v>
      </c>
      <c r="BI156" s="1">
        <f t="shared" si="86"/>
        <v>2.2000000000000002</v>
      </c>
      <c r="BJ156" s="1">
        <f t="shared" si="90"/>
        <v>73.599999999999994</v>
      </c>
      <c r="BK156" s="1">
        <f t="shared" si="91"/>
        <v>38.5</v>
      </c>
      <c r="BL156" s="1">
        <f t="shared" si="100"/>
        <v>0.8</v>
      </c>
      <c r="BM156" s="1">
        <f t="shared" si="101"/>
        <v>4.5999999999999996</v>
      </c>
      <c r="BN156" s="21">
        <f t="shared" si="92"/>
        <v>4.3179999999999996</v>
      </c>
      <c r="BO156" s="7">
        <f t="shared" si="93"/>
        <v>0</v>
      </c>
      <c r="BP156" s="21" t="str">
        <f t="shared" si="87"/>
        <v>NAN</v>
      </c>
      <c r="BQ156" s="1">
        <f t="shared" si="94"/>
        <v>12.6</v>
      </c>
      <c r="BR156" s="1">
        <f t="shared" si="95"/>
        <v>33.5</v>
      </c>
      <c r="BS156" s="1">
        <f t="shared" si="96"/>
        <v>0.1</v>
      </c>
      <c r="BT156" s="1" t="s">
        <v>113</v>
      </c>
      <c r="BU156" s="1" t="s">
        <v>113</v>
      </c>
      <c r="BV156" s="1" t="s">
        <v>113</v>
      </c>
      <c r="BW156" s="1" t="str">
        <f t="shared" si="102"/>
        <v>NAN</v>
      </c>
      <c r="BX156" s="1">
        <f t="shared" si="103"/>
        <v>0.92500000000000004</v>
      </c>
      <c r="BY156" s="1">
        <f t="shared" si="104"/>
        <v>1.478</v>
      </c>
      <c r="CA156" s="1">
        <f t="shared" si="97"/>
        <v>13</v>
      </c>
      <c r="CB156" s="1">
        <f t="shared" si="98"/>
        <v>-2.1</v>
      </c>
    </row>
    <row r="157" spans="1:80" x14ac:dyDescent="0.2">
      <c r="A157" s="9">
        <f t="shared" si="105"/>
        <v>43617</v>
      </c>
      <c r="B157" s="2">
        <v>152</v>
      </c>
      <c r="C157" s="2">
        <v>21</v>
      </c>
      <c r="D157" s="2">
        <v>13.2</v>
      </c>
      <c r="E157" s="2">
        <v>29.81</v>
      </c>
      <c r="F157" s="2">
        <v>1.2170000000000001</v>
      </c>
      <c r="G157" s="2">
        <v>13.77</v>
      </c>
      <c r="H157" s="2">
        <v>54.84</v>
      </c>
      <c r="I157" s="2">
        <v>14.05</v>
      </c>
      <c r="J157" s="2">
        <v>15.59</v>
      </c>
      <c r="K157" s="2">
        <v>13.84</v>
      </c>
      <c r="L157" s="2">
        <v>8.3699999999999992</v>
      </c>
      <c r="M157" s="2">
        <v>22.75</v>
      </c>
      <c r="N157" s="2">
        <v>96.9</v>
      </c>
      <c r="O157" s="2">
        <v>29.8</v>
      </c>
      <c r="P157" s="2">
        <v>29.7</v>
      </c>
      <c r="Q157" s="2">
        <v>20.75</v>
      </c>
      <c r="R157" s="2">
        <v>9.3000000000000007</v>
      </c>
      <c r="S157" s="2">
        <v>2.234</v>
      </c>
      <c r="T157" s="2">
        <v>20.54</v>
      </c>
      <c r="U157" s="2">
        <v>-0.65</v>
      </c>
      <c r="V157" s="2">
        <v>2.2450000000000001</v>
      </c>
      <c r="W157" s="2">
        <v>5.976</v>
      </c>
      <c r="X157" s="2">
        <v>7.93</v>
      </c>
      <c r="Y157" s="2">
        <v>2.4660000000000002</v>
      </c>
      <c r="Z157" s="2">
        <v>0</v>
      </c>
      <c r="AA157" s="2">
        <v>28.47</v>
      </c>
      <c r="AB157" s="2">
        <v>5.75</v>
      </c>
      <c r="AC157" s="2">
        <v>1.4790000000000001</v>
      </c>
      <c r="AD157" s="2">
        <v>5.0339999999999998</v>
      </c>
      <c r="AE157" s="2">
        <v>15.51</v>
      </c>
      <c r="AF157" s="2">
        <v>35.54</v>
      </c>
      <c r="AG157" s="2">
        <v>-0.315</v>
      </c>
      <c r="AH157" s="2">
        <v>35.54</v>
      </c>
      <c r="AI157" s="2">
        <v>-0.315</v>
      </c>
      <c r="AJ157" s="2" t="s">
        <v>113</v>
      </c>
      <c r="AK157" s="2" t="s">
        <v>113</v>
      </c>
      <c r="AL157" s="2">
        <v>14.09</v>
      </c>
      <c r="AM157" s="2">
        <v>25.95</v>
      </c>
      <c r="AN157" s="2">
        <v>1.4430000000000001</v>
      </c>
      <c r="AO157" s="2"/>
      <c r="AP157" s="2"/>
      <c r="AQ157" s="2"/>
      <c r="AR157" s="5">
        <v>32.71</v>
      </c>
      <c r="AS157" s="5">
        <v>29.89</v>
      </c>
      <c r="AT157" s="5">
        <v>5.75</v>
      </c>
      <c r="AU157" s="7">
        <f t="shared" si="99"/>
        <v>0.192</v>
      </c>
      <c r="AV157" s="16"/>
      <c r="AW157" s="29">
        <v>0</v>
      </c>
      <c r="AX157" s="29">
        <v>0</v>
      </c>
      <c r="AY157" s="1">
        <f t="shared" si="79"/>
        <v>93.5</v>
      </c>
      <c r="AZ157" s="1">
        <f t="shared" si="80"/>
        <v>52.7</v>
      </c>
      <c r="BA157" s="1">
        <f t="shared" si="81"/>
        <v>19.399999999999999</v>
      </c>
      <c r="BB157" s="8">
        <f t="shared" si="82"/>
        <v>0.53700000000000003</v>
      </c>
      <c r="BC157" s="8">
        <f t="shared" si="83"/>
        <v>2.2309999999999999</v>
      </c>
      <c r="BE157" s="5">
        <f t="shared" si="88"/>
        <v>29.89</v>
      </c>
      <c r="BF157" s="5">
        <f t="shared" si="89"/>
        <v>5.75</v>
      </c>
      <c r="BG157" s="1">
        <f t="shared" si="84"/>
        <v>13.8</v>
      </c>
      <c r="BH157" s="1">
        <f t="shared" si="85"/>
        <v>22.8</v>
      </c>
      <c r="BI157" s="1">
        <f t="shared" si="86"/>
        <v>2.2000000000000002</v>
      </c>
      <c r="BJ157" s="1">
        <f t="shared" si="90"/>
        <v>52.7</v>
      </c>
      <c r="BK157" s="1">
        <f t="shared" si="91"/>
        <v>19.399999999999999</v>
      </c>
      <c r="BL157" s="1">
        <f t="shared" si="100"/>
        <v>1.5</v>
      </c>
      <c r="BM157" s="1">
        <f t="shared" si="101"/>
        <v>5</v>
      </c>
      <c r="BN157" s="21">
        <f t="shared" si="92"/>
        <v>0</v>
      </c>
      <c r="BO157" s="7">
        <f t="shared" si="93"/>
        <v>0</v>
      </c>
      <c r="BP157" s="21" t="str">
        <f t="shared" si="87"/>
        <v>NAN</v>
      </c>
      <c r="BQ157" s="1">
        <f t="shared" si="94"/>
        <v>15.5</v>
      </c>
      <c r="BR157" s="1">
        <f t="shared" si="95"/>
        <v>35.5</v>
      </c>
      <c r="BS157" s="1">
        <f t="shared" si="96"/>
        <v>-0.3</v>
      </c>
      <c r="BT157" s="1" t="s">
        <v>113</v>
      </c>
      <c r="BU157" s="1" t="s">
        <v>113</v>
      </c>
      <c r="BV157" s="1" t="s">
        <v>113</v>
      </c>
      <c r="BW157" s="1" t="str">
        <f t="shared" si="102"/>
        <v>NAN</v>
      </c>
      <c r="BX157" s="1">
        <f t="shared" si="103"/>
        <v>0.53700000000000003</v>
      </c>
      <c r="BY157" s="1">
        <f t="shared" si="104"/>
        <v>2.2309999999999999</v>
      </c>
      <c r="CA157" s="1">
        <f t="shared" si="97"/>
        <v>12.7</v>
      </c>
      <c r="CB157" s="1">
        <f t="shared" si="98"/>
        <v>-2.5</v>
      </c>
    </row>
    <row r="158" spans="1:80" x14ac:dyDescent="0.2">
      <c r="A158" s="9">
        <f t="shared" si="105"/>
        <v>43618</v>
      </c>
      <c r="B158" s="2">
        <v>153</v>
      </c>
      <c r="C158" s="2">
        <v>21</v>
      </c>
      <c r="D158" s="2">
        <v>13.21</v>
      </c>
      <c r="E158" s="2">
        <v>29.94</v>
      </c>
      <c r="F158" s="2">
        <v>0.72599999999999998</v>
      </c>
      <c r="G158" s="2">
        <v>14.07</v>
      </c>
      <c r="H158" s="2">
        <v>54.35</v>
      </c>
      <c r="I158" s="2">
        <v>14.58</v>
      </c>
      <c r="J158" s="2">
        <v>17.190000000000001</v>
      </c>
      <c r="K158" s="2">
        <v>15.02</v>
      </c>
      <c r="L158" s="2">
        <v>8.75</v>
      </c>
      <c r="M158" s="2">
        <v>22.85</v>
      </c>
      <c r="N158" s="2">
        <v>99.1</v>
      </c>
      <c r="O158" s="2">
        <v>29.91</v>
      </c>
      <c r="P158" s="2">
        <v>33.99</v>
      </c>
      <c r="Q158" s="2">
        <v>22.94</v>
      </c>
      <c r="R158" s="2">
        <v>9.65</v>
      </c>
      <c r="S158" s="2">
        <v>1.095</v>
      </c>
      <c r="T158" s="2">
        <v>12.87</v>
      </c>
      <c r="U158" s="2">
        <v>-1.891</v>
      </c>
      <c r="V158" s="2">
        <v>1.653</v>
      </c>
      <c r="W158" s="2">
        <v>6.3890000000000002</v>
      </c>
      <c r="X158" s="2">
        <v>8.35</v>
      </c>
      <c r="Y158" s="2">
        <v>2.4489999999999998</v>
      </c>
      <c r="Z158" s="2">
        <v>0</v>
      </c>
      <c r="AA158" s="2">
        <v>26.74</v>
      </c>
      <c r="AB158" s="2">
        <v>5.5460000000000003</v>
      </c>
      <c r="AC158" s="2">
        <v>1.4930000000000001</v>
      </c>
      <c r="AD158" s="2">
        <v>5.22</v>
      </c>
      <c r="AE158" s="2">
        <v>17.47</v>
      </c>
      <c r="AF158" s="2">
        <v>40.869999999999997</v>
      </c>
      <c r="AG158" s="2">
        <v>-1.86</v>
      </c>
      <c r="AH158" s="2">
        <v>40.869999999999997</v>
      </c>
      <c r="AI158" s="2">
        <v>-1.86</v>
      </c>
      <c r="AJ158" s="2" t="s">
        <v>113</v>
      </c>
      <c r="AK158" s="2" t="s">
        <v>113</v>
      </c>
      <c r="AL158" s="2">
        <v>14.43</v>
      </c>
      <c r="AM158" s="2">
        <v>25.74</v>
      </c>
      <c r="AN158" s="2">
        <v>0.57099999999999995</v>
      </c>
      <c r="AO158" s="2"/>
      <c r="AP158" s="2"/>
      <c r="AQ158" s="2"/>
      <c r="AR158" s="5">
        <v>32.78</v>
      </c>
      <c r="AS158" s="5">
        <v>28.08</v>
      </c>
      <c r="AT158" s="5">
        <v>5.55</v>
      </c>
      <c r="AU158" s="7">
        <f t="shared" si="99"/>
        <v>0.19800000000000001</v>
      </c>
      <c r="AV158" s="16"/>
      <c r="AW158" s="29">
        <v>0</v>
      </c>
      <c r="AX158" s="29">
        <v>0</v>
      </c>
      <c r="AY158" s="1">
        <f t="shared" si="79"/>
        <v>95.6</v>
      </c>
      <c r="AZ158" s="1">
        <f t="shared" si="80"/>
        <v>52.2</v>
      </c>
      <c r="BA158" s="1">
        <f t="shared" si="81"/>
        <v>12</v>
      </c>
      <c r="BB158" s="8">
        <f t="shared" si="82"/>
        <v>0.33400000000000002</v>
      </c>
      <c r="BC158" s="8">
        <f t="shared" si="83"/>
        <v>2.4489999999999998</v>
      </c>
      <c r="BE158" s="5">
        <f t="shared" si="88"/>
        <v>28.08</v>
      </c>
      <c r="BF158" s="5">
        <f t="shared" si="89"/>
        <v>5.55</v>
      </c>
      <c r="BG158" s="1">
        <f t="shared" ref="BG158:BG193" si="106">IF(G158="NAN","NAN",ROUND(G158,1))</f>
        <v>14.1</v>
      </c>
      <c r="BH158" s="1">
        <f t="shared" ref="BH158:BH193" si="107">IF(M158="NAN","NAN",ROUND(M158,1))</f>
        <v>22.9</v>
      </c>
      <c r="BI158" s="1">
        <f t="shared" ref="BI158:BI193" si="108">IF(S158="NAN","NAN",ROUND(S158,1))</f>
        <v>1.1000000000000001</v>
      </c>
      <c r="BJ158" s="1">
        <f t="shared" si="90"/>
        <v>52.2</v>
      </c>
      <c r="BK158" s="1">
        <f t="shared" si="91"/>
        <v>12</v>
      </c>
      <c r="BL158" s="1">
        <f t="shared" si="100"/>
        <v>1.5</v>
      </c>
      <c r="BM158" s="1">
        <f t="shared" si="101"/>
        <v>5.2</v>
      </c>
      <c r="BN158" s="21">
        <f t="shared" si="92"/>
        <v>0</v>
      </c>
      <c r="BO158" s="7">
        <f t="shared" si="93"/>
        <v>0</v>
      </c>
      <c r="BP158" s="21" t="str">
        <f t="shared" si="87"/>
        <v>NAN</v>
      </c>
      <c r="BQ158" s="1">
        <f t="shared" si="94"/>
        <v>17.5</v>
      </c>
      <c r="BR158" s="1">
        <f t="shared" si="95"/>
        <v>40.9</v>
      </c>
      <c r="BS158" s="1">
        <f t="shared" si="96"/>
        <v>-1.9</v>
      </c>
      <c r="BT158" s="1" t="s">
        <v>113</v>
      </c>
      <c r="BU158" s="1" t="s">
        <v>113</v>
      </c>
      <c r="BV158" s="1" t="s">
        <v>113</v>
      </c>
      <c r="BW158" s="1" t="str">
        <f t="shared" si="102"/>
        <v>NAN</v>
      </c>
      <c r="BX158" s="1">
        <f t="shared" si="103"/>
        <v>0.33400000000000002</v>
      </c>
      <c r="BY158" s="1">
        <f t="shared" si="104"/>
        <v>2.4489999999999998</v>
      </c>
      <c r="CA158" s="1">
        <f t="shared" si="97"/>
        <v>18</v>
      </c>
      <c r="CB158" s="1">
        <f t="shared" si="98"/>
        <v>-3</v>
      </c>
    </row>
    <row r="159" spans="1:80" x14ac:dyDescent="0.2">
      <c r="A159" s="9">
        <f t="shared" si="105"/>
        <v>43619</v>
      </c>
      <c r="B159" s="2">
        <v>154</v>
      </c>
      <c r="C159" s="2">
        <v>21</v>
      </c>
      <c r="D159" s="2">
        <v>13.17</v>
      </c>
      <c r="E159" s="2">
        <v>23.05</v>
      </c>
      <c r="F159" s="2">
        <v>1.1140000000000001</v>
      </c>
      <c r="G159" s="2">
        <v>10.35</v>
      </c>
      <c r="H159" s="2">
        <v>46.95</v>
      </c>
      <c r="I159" s="2">
        <v>11.14</v>
      </c>
      <c r="J159" s="2">
        <v>16.32</v>
      </c>
      <c r="K159" s="2">
        <v>14.65</v>
      </c>
      <c r="L159" s="2">
        <v>9.2100000000000009</v>
      </c>
      <c r="M159" s="2">
        <v>15.64</v>
      </c>
      <c r="N159" s="2">
        <v>81.7</v>
      </c>
      <c r="O159" s="2">
        <v>23.31</v>
      </c>
      <c r="P159" s="2">
        <v>32.75</v>
      </c>
      <c r="Q159" s="2">
        <v>20.7</v>
      </c>
      <c r="R159" s="2">
        <v>9.85</v>
      </c>
      <c r="S159" s="2">
        <v>-0.42599999999999999</v>
      </c>
      <c r="T159" s="2">
        <v>18.22</v>
      </c>
      <c r="U159" s="2">
        <v>-4.1470000000000002</v>
      </c>
      <c r="V159" s="2">
        <v>2.3159999999999998</v>
      </c>
      <c r="W159" s="2">
        <v>9.07</v>
      </c>
      <c r="X159" s="2">
        <v>8.8800000000000008</v>
      </c>
      <c r="Y159" s="2">
        <v>2.4409999999999998</v>
      </c>
      <c r="Z159" s="2">
        <v>0</v>
      </c>
      <c r="AA159" s="2">
        <v>27.55</v>
      </c>
      <c r="AB159" s="2">
        <v>5.8150000000000004</v>
      </c>
      <c r="AC159" s="2">
        <v>2.3610000000000002</v>
      </c>
      <c r="AD159" s="2">
        <v>7.49</v>
      </c>
      <c r="AE159" s="2">
        <v>15.08</v>
      </c>
      <c r="AF159" s="2">
        <v>36.880000000000003</v>
      </c>
      <c r="AG159" s="2">
        <v>-4.4610000000000003</v>
      </c>
      <c r="AH159" s="2">
        <v>36.880000000000003</v>
      </c>
      <c r="AI159" s="2">
        <v>-4.4610000000000003</v>
      </c>
      <c r="AJ159" s="2" t="s">
        <v>113</v>
      </c>
      <c r="AK159" s="2" t="s">
        <v>113</v>
      </c>
      <c r="AL159" s="2">
        <v>10.92</v>
      </c>
      <c r="AM159" s="2">
        <v>18.29</v>
      </c>
      <c r="AN159" s="2">
        <v>-0.91100000000000003</v>
      </c>
      <c r="AO159" s="2"/>
      <c r="AP159" s="2"/>
      <c r="AQ159" s="2"/>
      <c r="AR159" s="5">
        <v>32.86</v>
      </c>
      <c r="AS159" s="5">
        <v>28.93</v>
      </c>
      <c r="AT159" s="5">
        <v>5.81</v>
      </c>
      <c r="AU159" s="7">
        <f t="shared" si="99"/>
        <v>0.20100000000000001</v>
      </c>
      <c r="AV159" s="16"/>
      <c r="AW159" s="29">
        <v>0</v>
      </c>
      <c r="AX159" s="29">
        <v>0</v>
      </c>
      <c r="AY159" s="1">
        <f t="shared" si="79"/>
        <v>78.7</v>
      </c>
      <c r="AZ159" s="1">
        <f t="shared" si="80"/>
        <v>45</v>
      </c>
      <c r="BA159" s="1">
        <f t="shared" si="81"/>
        <v>17.2</v>
      </c>
      <c r="BB159" s="8">
        <f t="shared" si="82"/>
        <v>0.30599999999999999</v>
      </c>
      <c r="BC159" s="8">
        <f t="shared" si="83"/>
        <v>1.4730000000000001</v>
      </c>
      <c r="BE159" s="5">
        <f t="shared" si="88"/>
        <v>28.93</v>
      </c>
      <c r="BF159" s="5">
        <f t="shared" si="89"/>
        <v>5.81</v>
      </c>
      <c r="BG159" s="1">
        <f t="shared" si="106"/>
        <v>10.4</v>
      </c>
      <c r="BH159" s="1">
        <f t="shared" si="107"/>
        <v>15.6</v>
      </c>
      <c r="BI159" s="1">
        <f t="shared" si="108"/>
        <v>-0.4</v>
      </c>
      <c r="BJ159" s="1">
        <f t="shared" si="90"/>
        <v>45</v>
      </c>
      <c r="BK159" s="1">
        <f t="shared" si="91"/>
        <v>17.2</v>
      </c>
      <c r="BL159" s="1">
        <f t="shared" si="100"/>
        <v>2.4</v>
      </c>
      <c r="BM159" s="1">
        <f t="shared" si="101"/>
        <v>7.5</v>
      </c>
      <c r="BN159" s="21">
        <f t="shared" si="92"/>
        <v>0</v>
      </c>
      <c r="BO159" s="7">
        <f t="shared" si="93"/>
        <v>0</v>
      </c>
      <c r="BP159" s="21" t="str">
        <f t="shared" si="87"/>
        <v>NAN</v>
      </c>
      <c r="BQ159" s="1">
        <f t="shared" si="94"/>
        <v>15.1</v>
      </c>
      <c r="BR159" s="1">
        <f t="shared" si="95"/>
        <v>36.9</v>
      </c>
      <c r="BS159" s="1">
        <f t="shared" si="96"/>
        <v>-4.5</v>
      </c>
      <c r="BT159" s="1" t="s">
        <v>113</v>
      </c>
      <c r="BU159" s="1" t="s">
        <v>113</v>
      </c>
      <c r="BV159" s="1" t="s">
        <v>113</v>
      </c>
      <c r="BW159" s="1" t="str">
        <f t="shared" si="102"/>
        <v>NAN</v>
      </c>
      <c r="BX159" s="1">
        <f t="shared" si="103"/>
        <v>0.30599999999999999</v>
      </c>
      <c r="BY159" s="1">
        <f t="shared" si="104"/>
        <v>1.4730000000000001</v>
      </c>
      <c r="CA159" s="1">
        <f t="shared" si="97"/>
        <v>21.299999999999997</v>
      </c>
      <c r="CB159" s="1">
        <f t="shared" si="98"/>
        <v>-4.0999999999999996</v>
      </c>
    </row>
    <row r="160" spans="1:80" x14ac:dyDescent="0.2">
      <c r="A160" s="9">
        <f t="shared" si="105"/>
        <v>43620</v>
      </c>
      <c r="B160" s="2">
        <v>155</v>
      </c>
      <c r="C160" s="2">
        <v>21</v>
      </c>
      <c r="D160" s="2">
        <v>13.18</v>
      </c>
      <c r="E160" s="2">
        <v>22.4</v>
      </c>
      <c r="F160" s="2">
        <v>-2.6659999999999999</v>
      </c>
      <c r="G160" s="2">
        <v>7.71</v>
      </c>
      <c r="H160" s="2">
        <v>54.24</v>
      </c>
      <c r="I160" s="2">
        <v>8.35</v>
      </c>
      <c r="J160" s="2">
        <v>15.11</v>
      </c>
      <c r="K160" s="2">
        <v>12.94</v>
      </c>
      <c r="L160" s="2">
        <v>9.5</v>
      </c>
      <c r="M160" s="2">
        <v>16.55</v>
      </c>
      <c r="N160" s="2">
        <v>92.5</v>
      </c>
      <c r="O160" s="2">
        <v>24.43</v>
      </c>
      <c r="P160" s="2">
        <v>32.83</v>
      </c>
      <c r="Q160" s="2">
        <v>20.36</v>
      </c>
      <c r="R160" s="2">
        <v>10.35</v>
      </c>
      <c r="S160" s="2">
        <v>-2.0790000000000002</v>
      </c>
      <c r="T160" s="2">
        <v>23.36</v>
      </c>
      <c r="U160" s="2">
        <v>-5.4729999999999999</v>
      </c>
      <c r="V160" s="2">
        <v>8.1000000000000003E-2</v>
      </c>
      <c r="W160" s="2">
        <v>5.1630000000000003</v>
      </c>
      <c r="X160" s="2">
        <v>9.18</v>
      </c>
      <c r="Y160" s="2">
        <v>2.4649999999999999</v>
      </c>
      <c r="Z160" s="2">
        <v>0</v>
      </c>
      <c r="AA160" s="2">
        <v>27.07</v>
      </c>
      <c r="AB160" s="2">
        <v>5.7279999999999998</v>
      </c>
      <c r="AC160" s="2">
        <v>1.5649999999999999</v>
      </c>
      <c r="AD160" s="2">
        <v>6.234</v>
      </c>
      <c r="AE160" s="2">
        <v>13.2</v>
      </c>
      <c r="AF160" s="2">
        <v>36.700000000000003</v>
      </c>
      <c r="AG160" s="2">
        <v>-6.0359999999999996</v>
      </c>
      <c r="AH160" s="2">
        <v>36.700000000000003</v>
      </c>
      <c r="AI160" s="2">
        <v>-6.0359999999999996</v>
      </c>
      <c r="AJ160" s="2" t="s">
        <v>113</v>
      </c>
      <c r="AK160" s="2" t="s">
        <v>113</v>
      </c>
      <c r="AL160" s="2">
        <v>8.06</v>
      </c>
      <c r="AM160" s="2">
        <v>18.86</v>
      </c>
      <c r="AN160" s="2">
        <v>-2.5049999999999999</v>
      </c>
      <c r="AO160" s="2"/>
      <c r="AP160" s="2"/>
      <c r="AQ160" s="2"/>
      <c r="AR160" s="5">
        <v>32.909999999999997</v>
      </c>
      <c r="AS160" s="5">
        <v>28.42</v>
      </c>
      <c r="AT160" s="5">
        <v>5.73</v>
      </c>
      <c r="AU160" s="7">
        <f t="shared" si="99"/>
        <v>0.20200000000000001</v>
      </c>
      <c r="AV160" s="16"/>
      <c r="AW160" s="29">
        <v>0</v>
      </c>
      <c r="AX160" s="29">
        <v>0</v>
      </c>
      <c r="AY160" s="1">
        <f t="shared" si="79"/>
        <v>89.2</v>
      </c>
      <c r="AZ160" s="1">
        <f t="shared" si="80"/>
        <v>52.1</v>
      </c>
      <c r="BA160" s="1">
        <f t="shared" si="81"/>
        <v>22.2</v>
      </c>
      <c r="BB160" s="8">
        <f t="shared" si="82"/>
        <v>0.41799999999999998</v>
      </c>
      <c r="BC160" s="8">
        <f t="shared" si="83"/>
        <v>1.4650000000000001</v>
      </c>
      <c r="BE160" s="5">
        <f t="shared" si="88"/>
        <v>28.42</v>
      </c>
      <c r="BF160" s="5">
        <f t="shared" si="89"/>
        <v>5.73</v>
      </c>
      <c r="BG160" s="1">
        <f t="shared" si="106"/>
        <v>7.7</v>
      </c>
      <c r="BH160" s="1">
        <f t="shared" si="107"/>
        <v>16.600000000000001</v>
      </c>
      <c r="BI160" s="1">
        <f t="shared" si="108"/>
        <v>-2.1</v>
      </c>
      <c r="BJ160" s="1">
        <f t="shared" si="90"/>
        <v>52.1</v>
      </c>
      <c r="BK160" s="1">
        <f t="shared" si="91"/>
        <v>22.2</v>
      </c>
      <c r="BL160" s="1">
        <f t="shared" si="100"/>
        <v>1.6</v>
      </c>
      <c r="BM160" s="1">
        <f t="shared" si="101"/>
        <v>6.2</v>
      </c>
      <c r="BN160" s="21">
        <f t="shared" si="92"/>
        <v>0</v>
      </c>
      <c r="BO160" s="7">
        <f t="shared" si="93"/>
        <v>0</v>
      </c>
      <c r="BP160" s="21" t="str">
        <f t="shared" si="87"/>
        <v>NAN</v>
      </c>
      <c r="BQ160" s="1">
        <f t="shared" si="94"/>
        <v>13.2</v>
      </c>
      <c r="BR160" s="1">
        <f t="shared" si="95"/>
        <v>36.700000000000003</v>
      </c>
      <c r="BS160" s="1">
        <f t="shared" si="96"/>
        <v>-6</v>
      </c>
      <c r="BT160" s="1" t="s">
        <v>113</v>
      </c>
      <c r="BU160" s="1" t="s">
        <v>113</v>
      </c>
      <c r="BV160" s="1" t="s">
        <v>113</v>
      </c>
      <c r="BW160" s="1" t="str">
        <f t="shared" si="102"/>
        <v>NAN</v>
      </c>
      <c r="BX160" s="1">
        <f t="shared" si="103"/>
        <v>0.41799999999999998</v>
      </c>
      <c r="BY160" s="1">
        <f t="shared" si="104"/>
        <v>1.4650000000000001</v>
      </c>
      <c r="CA160" s="1">
        <f t="shared" si="97"/>
        <v>20.100000000000001</v>
      </c>
      <c r="CB160" s="1">
        <f t="shared" si="98"/>
        <v>-3.9</v>
      </c>
    </row>
    <row r="161" spans="1:80" x14ac:dyDescent="0.2">
      <c r="A161" s="9">
        <f t="shared" si="105"/>
        <v>43621</v>
      </c>
      <c r="B161" s="2">
        <v>156</v>
      </c>
      <c r="C161" s="2">
        <v>21</v>
      </c>
      <c r="D161" s="2">
        <v>13.21</v>
      </c>
      <c r="E161" s="2">
        <v>19.940000000000001</v>
      </c>
      <c r="F161" s="2">
        <v>3.7509999999999999</v>
      </c>
      <c r="G161" s="25">
        <v>6.2</v>
      </c>
      <c r="H161" s="25">
        <v>80.239999999999995</v>
      </c>
      <c r="I161" s="25">
        <v>6.59</v>
      </c>
      <c r="J161" s="25">
        <v>8.67</v>
      </c>
      <c r="K161" s="25">
        <v>11.03</v>
      </c>
      <c r="L161" s="25">
        <v>9.51</v>
      </c>
      <c r="M161" s="2">
        <v>14.13</v>
      </c>
      <c r="N161" s="2">
        <v>102</v>
      </c>
      <c r="O161" s="2">
        <v>21.77</v>
      </c>
      <c r="P161" s="2">
        <v>28.7</v>
      </c>
      <c r="Q161" s="2">
        <v>15.59</v>
      </c>
      <c r="R161" s="2">
        <v>9.8800000000000008</v>
      </c>
      <c r="S161" s="25">
        <v>1</v>
      </c>
      <c r="T161" s="2">
        <v>36.39</v>
      </c>
      <c r="U161" s="25">
        <v>0</v>
      </c>
      <c r="V161" s="25">
        <v>2</v>
      </c>
      <c r="W161" s="25">
        <v>7.5</v>
      </c>
      <c r="X161" s="25">
        <v>9.4</v>
      </c>
      <c r="Y161" s="2">
        <v>2.3730000000000002</v>
      </c>
      <c r="Z161" s="2">
        <v>7.62</v>
      </c>
      <c r="AA161" s="25">
        <v>12.89</v>
      </c>
      <c r="AB161" s="25">
        <v>2.57</v>
      </c>
      <c r="AC161" s="25">
        <v>0.79</v>
      </c>
      <c r="AD161" s="25">
        <v>4.55</v>
      </c>
      <c r="AE161" s="2">
        <v>12.96</v>
      </c>
      <c r="AF161" s="2">
        <v>36.69</v>
      </c>
      <c r="AG161" s="2">
        <v>1.853</v>
      </c>
      <c r="AH161" s="2">
        <v>36.69</v>
      </c>
      <c r="AI161" s="2">
        <v>1.853</v>
      </c>
      <c r="AJ161" s="2" t="s">
        <v>113</v>
      </c>
      <c r="AK161" s="2" t="s">
        <v>113</v>
      </c>
      <c r="AL161" s="2">
        <v>8.2899999999999991</v>
      </c>
      <c r="AM161" s="2">
        <v>17.86</v>
      </c>
      <c r="AN161" s="2">
        <v>2.6869999999999998</v>
      </c>
      <c r="AO161" s="2" t="s">
        <v>130</v>
      </c>
      <c r="AP161" s="2"/>
      <c r="AQ161" s="2"/>
      <c r="AR161" s="5">
        <v>32.97</v>
      </c>
      <c r="AS161" s="5">
        <v>13.02</v>
      </c>
      <c r="AT161" s="5">
        <v>2.57</v>
      </c>
      <c r="AU161" s="7">
        <f t="shared" si="99"/>
        <v>0.19700000000000001</v>
      </c>
      <c r="AV161" s="16"/>
      <c r="AW161" s="29">
        <v>7.62</v>
      </c>
      <c r="AX161" s="29">
        <v>0</v>
      </c>
      <c r="AY161" s="1">
        <f t="shared" si="79"/>
        <v>98.4</v>
      </c>
      <c r="AZ161" s="1">
        <f t="shared" si="80"/>
        <v>77.3</v>
      </c>
      <c r="BA161" s="1">
        <f t="shared" si="81"/>
        <v>34.799999999999997</v>
      </c>
      <c r="BB161" s="8">
        <f t="shared" si="82"/>
        <v>0.56100000000000005</v>
      </c>
      <c r="BC161" s="8">
        <f t="shared" si="83"/>
        <v>1.0509999999999999</v>
      </c>
      <c r="BE161" s="5">
        <f t="shared" si="88"/>
        <v>13.02</v>
      </c>
      <c r="BF161" s="5">
        <f t="shared" si="89"/>
        <v>2.57</v>
      </c>
      <c r="BG161" s="1">
        <f t="shared" si="106"/>
        <v>6.2</v>
      </c>
      <c r="BH161" s="1">
        <f t="shared" si="107"/>
        <v>14.1</v>
      </c>
      <c r="BI161" s="1">
        <f t="shared" si="108"/>
        <v>1</v>
      </c>
      <c r="BJ161" s="1">
        <f t="shared" si="90"/>
        <v>77.3</v>
      </c>
      <c r="BK161" s="1">
        <f t="shared" si="91"/>
        <v>34.799999999999997</v>
      </c>
      <c r="BL161" s="1">
        <f t="shared" si="100"/>
        <v>0.8</v>
      </c>
      <c r="BM161" s="1">
        <f t="shared" si="101"/>
        <v>4.5999999999999996</v>
      </c>
      <c r="BN161" s="21">
        <f t="shared" si="92"/>
        <v>7.62</v>
      </c>
      <c r="BO161" s="7">
        <f t="shared" si="93"/>
        <v>0</v>
      </c>
      <c r="BP161" s="21" t="str">
        <f t="shared" si="87"/>
        <v>NAN</v>
      </c>
      <c r="BQ161" s="1">
        <f t="shared" si="94"/>
        <v>13</v>
      </c>
      <c r="BR161" s="1">
        <f t="shared" si="95"/>
        <v>36.700000000000003</v>
      </c>
      <c r="BS161" s="1">
        <f t="shared" si="96"/>
        <v>1.9</v>
      </c>
      <c r="BT161" s="1" t="s">
        <v>113</v>
      </c>
      <c r="BU161" s="1" t="s">
        <v>113</v>
      </c>
      <c r="BV161" s="1" t="s">
        <v>113</v>
      </c>
      <c r="BW161" s="1" t="str">
        <f t="shared" si="102"/>
        <v>NAN</v>
      </c>
      <c r="BX161" s="1">
        <f t="shared" si="103"/>
        <v>0.56100000000000005</v>
      </c>
      <c r="BY161" s="1">
        <f t="shared" si="104"/>
        <v>1.0509999999999999</v>
      </c>
      <c r="CA161" s="1">
        <f t="shared" si="97"/>
        <v>22.6</v>
      </c>
      <c r="CB161" s="1">
        <f t="shared" si="98"/>
        <v>0.89999999999999991</v>
      </c>
    </row>
    <row r="162" spans="1:80" x14ac:dyDescent="0.2">
      <c r="A162" s="9">
        <f t="shared" si="105"/>
        <v>43622</v>
      </c>
      <c r="B162" s="2">
        <v>157</v>
      </c>
      <c r="C162" s="2">
        <v>21</v>
      </c>
      <c r="D162" s="2">
        <v>13.23</v>
      </c>
      <c r="E162" s="2">
        <v>16.329999999999998</v>
      </c>
      <c r="F162" s="2">
        <v>4.4999999999999998E-2</v>
      </c>
      <c r="G162" s="2">
        <v>4.1360000000000001</v>
      </c>
      <c r="H162" s="2">
        <v>77.7</v>
      </c>
      <c r="I162" s="2">
        <v>4.6150000000000002</v>
      </c>
      <c r="J162" s="2">
        <v>5.4340000000000002</v>
      </c>
      <c r="K162" s="2">
        <v>9.0299999999999994</v>
      </c>
      <c r="L162" s="2">
        <v>9.2100000000000009</v>
      </c>
      <c r="M162" s="2">
        <v>9.6300000000000008</v>
      </c>
      <c r="N162" s="2">
        <v>101.4</v>
      </c>
      <c r="O162" s="2">
        <v>15.69</v>
      </c>
      <c r="P162" s="2">
        <v>19.04</v>
      </c>
      <c r="Q162" s="2">
        <v>13.58</v>
      </c>
      <c r="R162" s="2">
        <v>9.68</v>
      </c>
      <c r="S162" s="2">
        <v>-1.373</v>
      </c>
      <c r="T162" s="2">
        <v>43.14</v>
      </c>
      <c r="U162" s="2">
        <v>-3.85</v>
      </c>
      <c r="V162" s="2">
        <v>-4.6589999999999998</v>
      </c>
      <c r="W162" s="2">
        <v>5.4089999999999998</v>
      </c>
      <c r="X162" s="2">
        <v>8.89</v>
      </c>
      <c r="Y162" s="2">
        <v>2.3839999999999999</v>
      </c>
      <c r="Z162" s="2">
        <v>0</v>
      </c>
      <c r="AA162" s="2">
        <v>16.190000000000001</v>
      </c>
      <c r="AB162" s="2">
        <v>3.0649999999999999</v>
      </c>
      <c r="AC162" s="2">
        <v>1.5389999999999999</v>
      </c>
      <c r="AD162" s="2">
        <v>4.9539999999999997</v>
      </c>
      <c r="AE162" s="2">
        <v>7.35</v>
      </c>
      <c r="AF162" s="2">
        <v>23.35</v>
      </c>
      <c r="AG162" s="2">
        <v>-2.867</v>
      </c>
      <c r="AH162" s="2">
        <v>23.35</v>
      </c>
      <c r="AI162" s="2">
        <v>-2.867</v>
      </c>
      <c r="AJ162" s="2" t="s">
        <v>113</v>
      </c>
      <c r="AK162" s="2" t="s">
        <v>113</v>
      </c>
      <c r="AL162" s="2">
        <v>4.4889999999999999</v>
      </c>
      <c r="AM162" s="2">
        <v>11.15</v>
      </c>
      <c r="AN162" s="2">
        <v>-1.4370000000000001</v>
      </c>
      <c r="AO162" s="2"/>
      <c r="AP162" s="2"/>
      <c r="AQ162" s="2"/>
      <c r="AR162" s="5">
        <v>33.03</v>
      </c>
      <c r="AS162" s="5">
        <v>16.190000000000001</v>
      </c>
      <c r="AT162" s="5">
        <v>3.06</v>
      </c>
      <c r="AU162" s="7">
        <f t="shared" si="99"/>
        <v>0.189</v>
      </c>
      <c r="AV162" s="16"/>
      <c r="AW162" s="29">
        <v>0.254</v>
      </c>
      <c r="AX162" s="29">
        <v>0</v>
      </c>
      <c r="AY162" s="1">
        <f t="shared" si="79"/>
        <v>97.9</v>
      </c>
      <c r="AZ162" s="1">
        <f t="shared" si="80"/>
        <v>74.900000000000006</v>
      </c>
      <c r="BA162" s="1">
        <f t="shared" si="81"/>
        <v>41.3</v>
      </c>
      <c r="BB162" s="8">
        <f t="shared" si="82"/>
        <v>0.495</v>
      </c>
      <c r="BC162" s="8">
        <f t="shared" si="83"/>
        <v>0.70399999999999996</v>
      </c>
      <c r="BE162" s="5">
        <f t="shared" si="88"/>
        <v>16.190000000000001</v>
      </c>
      <c r="BF162" s="5">
        <f t="shared" si="89"/>
        <v>3.06</v>
      </c>
      <c r="BG162" s="1">
        <f t="shared" si="106"/>
        <v>4.0999999999999996</v>
      </c>
      <c r="BH162" s="1">
        <f t="shared" si="107"/>
        <v>9.6</v>
      </c>
      <c r="BI162" s="1">
        <f t="shared" si="108"/>
        <v>-1.4</v>
      </c>
      <c r="BJ162" s="1">
        <f t="shared" si="90"/>
        <v>74.900000000000006</v>
      </c>
      <c r="BK162" s="1">
        <f t="shared" si="91"/>
        <v>41.3</v>
      </c>
      <c r="BL162" s="1">
        <f t="shared" si="100"/>
        <v>1.5</v>
      </c>
      <c r="BM162" s="1">
        <f t="shared" si="101"/>
        <v>5</v>
      </c>
      <c r="BN162" s="21">
        <f t="shared" si="92"/>
        <v>0.254</v>
      </c>
      <c r="BO162" s="7">
        <f t="shared" si="93"/>
        <v>0</v>
      </c>
      <c r="BP162" s="21" t="str">
        <f t="shared" si="87"/>
        <v>NAN</v>
      </c>
      <c r="BQ162" s="1">
        <f t="shared" si="94"/>
        <v>7.4</v>
      </c>
      <c r="BR162" s="1">
        <f t="shared" si="95"/>
        <v>23.4</v>
      </c>
      <c r="BS162" s="1">
        <f t="shared" si="96"/>
        <v>-2.9</v>
      </c>
      <c r="BT162" s="1" t="s">
        <v>113</v>
      </c>
      <c r="BU162" s="1" t="s">
        <v>113</v>
      </c>
      <c r="BV162" s="1" t="s">
        <v>113</v>
      </c>
      <c r="BW162" s="1" t="str">
        <f t="shared" si="102"/>
        <v>NAN</v>
      </c>
      <c r="BX162" s="1">
        <f t="shared" si="103"/>
        <v>0.495</v>
      </c>
      <c r="BY162" s="1">
        <f t="shared" si="104"/>
        <v>0.70399999999999996</v>
      </c>
      <c r="CA162" s="1">
        <f t="shared" si="97"/>
        <v>13.799999999999999</v>
      </c>
      <c r="CB162" s="1">
        <f t="shared" si="98"/>
        <v>-1.5</v>
      </c>
    </row>
    <row r="163" spans="1:80" x14ac:dyDescent="0.2">
      <c r="A163" s="9">
        <f t="shared" si="105"/>
        <v>43623</v>
      </c>
      <c r="B163" s="2">
        <v>158</v>
      </c>
      <c r="C163" s="2">
        <v>21</v>
      </c>
      <c r="D163" s="2">
        <v>13.21</v>
      </c>
      <c r="E163" s="2">
        <v>13.36</v>
      </c>
      <c r="F163" s="2">
        <v>-3.472</v>
      </c>
      <c r="G163" s="2">
        <v>1.786</v>
      </c>
      <c r="H163" s="2">
        <v>86.9</v>
      </c>
      <c r="I163" s="2">
        <v>2.323</v>
      </c>
      <c r="J163" s="2">
        <v>3.1120000000000001</v>
      </c>
      <c r="K163" s="2">
        <v>6.4560000000000004</v>
      </c>
      <c r="L163" s="2">
        <v>8.74</v>
      </c>
      <c r="M163" s="2">
        <v>7.45</v>
      </c>
      <c r="N163" s="2">
        <v>101.8</v>
      </c>
      <c r="O163" s="2">
        <v>14.79</v>
      </c>
      <c r="P163" s="2">
        <v>18.149999999999999</v>
      </c>
      <c r="Q163" s="2">
        <v>9.93</v>
      </c>
      <c r="R163" s="2">
        <v>9.2100000000000009</v>
      </c>
      <c r="S163" s="2">
        <v>-3.2839999999999998</v>
      </c>
      <c r="T163" s="2">
        <v>49.32</v>
      </c>
      <c r="U163" s="2">
        <v>-4.9080000000000004</v>
      </c>
      <c r="V163" s="2">
        <v>-5.4359999999999999</v>
      </c>
      <c r="W163" s="2">
        <v>3.4790000000000001</v>
      </c>
      <c r="X163" s="2">
        <v>8.34</v>
      </c>
      <c r="Y163" s="2">
        <v>2.367</v>
      </c>
      <c r="Z163" s="2">
        <v>2.54</v>
      </c>
      <c r="AA163" s="2">
        <v>16.12</v>
      </c>
      <c r="AB163" s="2">
        <v>3.6779999999999999</v>
      </c>
      <c r="AC163" s="2">
        <v>1.752</v>
      </c>
      <c r="AD163" s="2">
        <v>5.8339999999999996</v>
      </c>
      <c r="AE163" s="2">
        <v>4.4400000000000004</v>
      </c>
      <c r="AF163" s="2">
        <v>21.44</v>
      </c>
      <c r="AG163" s="2">
        <v>-4.0279999999999996</v>
      </c>
      <c r="AH163" s="2">
        <v>21.44</v>
      </c>
      <c r="AI163" s="2">
        <v>-4.0279999999999996</v>
      </c>
      <c r="AJ163" s="2" t="s">
        <v>113</v>
      </c>
      <c r="AK163" s="2" t="s">
        <v>113</v>
      </c>
      <c r="AL163" s="2">
        <v>2.0409999999999999</v>
      </c>
      <c r="AM163" s="2">
        <v>8.42</v>
      </c>
      <c r="AN163" s="2">
        <v>-3.6789999999999998</v>
      </c>
      <c r="AO163" s="2"/>
      <c r="AP163" s="2"/>
      <c r="AQ163" s="2"/>
      <c r="AR163" s="5">
        <v>33.08</v>
      </c>
      <c r="AS163" s="5">
        <v>16.170000000000002</v>
      </c>
      <c r="AT163" s="5">
        <v>3.68</v>
      </c>
      <c r="AU163" s="7">
        <f t="shared" si="99"/>
        <v>0.22800000000000001</v>
      </c>
      <c r="AV163" s="16"/>
      <c r="AW163" s="29">
        <v>2.54</v>
      </c>
      <c r="AX163" s="29">
        <v>0</v>
      </c>
      <c r="AY163" s="1">
        <f t="shared" si="79"/>
        <v>98.2</v>
      </c>
      <c r="AZ163" s="1">
        <f t="shared" si="80"/>
        <v>83.8</v>
      </c>
      <c r="BA163" s="1">
        <f t="shared" si="81"/>
        <v>47.3</v>
      </c>
      <c r="BB163" s="8">
        <f t="shared" si="82"/>
        <v>0.48899999999999999</v>
      </c>
      <c r="BC163" s="8">
        <f t="shared" si="83"/>
        <v>0.54500000000000004</v>
      </c>
      <c r="BE163" s="5">
        <f t="shared" si="88"/>
        <v>16.170000000000002</v>
      </c>
      <c r="BF163" s="5">
        <f t="shared" si="89"/>
        <v>3.68</v>
      </c>
      <c r="BG163" s="1">
        <f t="shared" si="106"/>
        <v>1.8</v>
      </c>
      <c r="BH163" s="1">
        <f t="shared" si="107"/>
        <v>7.5</v>
      </c>
      <c r="BI163" s="1">
        <f t="shared" si="108"/>
        <v>-3.3</v>
      </c>
      <c r="BJ163" s="1">
        <f t="shared" si="90"/>
        <v>83.8</v>
      </c>
      <c r="BK163" s="1">
        <f t="shared" si="91"/>
        <v>47.3</v>
      </c>
      <c r="BL163" s="1">
        <f t="shared" si="100"/>
        <v>1.8</v>
      </c>
      <c r="BM163" s="1">
        <f t="shared" si="101"/>
        <v>5.8</v>
      </c>
      <c r="BN163" s="21">
        <f t="shared" si="92"/>
        <v>2.54</v>
      </c>
      <c r="BO163" s="7">
        <f t="shared" si="93"/>
        <v>0</v>
      </c>
      <c r="BP163" s="21" t="str">
        <f t="shared" si="87"/>
        <v>NAN</v>
      </c>
      <c r="BQ163" s="1">
        <f t="shared" si="94"/>
        <v>4.4000000000000004</v>
      </c>
      <c r="BR163" s="1">
        <f t="shared" si="95"/>
        <v>21.4</v>
      </c>
      <c r="BS163" s="1">
        <f t="shared" si="96"/>
        <v>-4</v>
      </c>
      <c r="BT163" s="1" t="s">
        <v>113</v>
      </c>
      <c r="BU163" s="1" t="s">
        <v>113</v>
      </c>
      <c r="BV163" s="1" t="s">
        <v>113</v>
      </c>
      <c r="BW163" s="1" t="str">
        <f t="shared" si="102"/>
        <v>NAN</v>
      </c>
      <c r="BX163" s="1">
        <f t="shared" si="103"/>
        <v>0.48899999999999999</v>
      </c>
      <c r="BY163" s="1">
        <f t="shared" si="104"/>
        <v>0.54500000000000004</v>
      </c>
      <c r="CA163" s="1">
        <f t="shared" si="97"/>
        <v>13.899999999999999</v>
      </c>
      <c r="CB163" s="1">
        <f t="shared" si="98"/>
        <v>-0.70000000000000018</v>
      </c>
    </row>
    <row r="164" spans="1:80" x14ac:dyDescent="0.2">
      <c r="A164" s="9">
        <f t="shared" si="105"/>
        <v>43624</v>
      </c>
      <c r="B164" s="2">
        <v>159</v>
      </c>
      <c r="C164" s="2">
        <v>21</v>
      </c>
      <c r="D164" s="2">
        <v>13.22</v>
      </c>
      <c r="E164" s="2">
        <v>15.86</v>
      </c>
      <c r="F164" s="2">
        <v>-1.3720000000000001</v>
      </c>
      <c r="G164" s="2">
        <v>3.6389999999999998</v>
      </c>
      <c r="H164" s="2">
        <v>89.3</v>
      </c>
      <c r="I164" s="2">
        <v>4.085</v>
      </c>
      <c r="J164" s="2">
        <v>4.5380000000000003</v>
      </c>
      <c r="K164" s="2">
        <v>7.37</v>
      </c>
      <c r="L164" s="2">
        <v>8.19</v>
      </c>
      <c r="M164" s="2">
        <v>10.54</v>
      </c>
      <c r="N164" s="2">
        <v>101.5</v>
      </c>
      <c r="O164" s="2">
        <v>18.559999999999999</v>
      </c>
      <c r="P164" s="2">
        <v>22.32</v>
      </c>
      <c r="Q164" s="2">
        <v>12.29</v>
      </c>
      <c r="R164" s="2">
        <v>8.86</v>
      </c>
      <c r="S164" s="2">
        <v>-1.9079999999999999</v>
      </c>
      <c r="T164" s="2">
        <v>50.3</v>
      </c>
      <c r="U164" s="2">
        <v>-4.032</v>
      </c>
      <c r="V164" s="2">
        <v>-4.343</v>
      </c>
      <c r="W164" s="2">
        <v>3.9140000000000001</v>
      </c>
      <c r="X164" s="2">
        <v>7.79</v>
      </c>
      <c r="Y164" s="2">
        <v>2.379</v>
      </c>
      <c r="Z164" s="2">
        <v>5.8419999999999996</v>
      </c>
      <c r="AA164" s="2">
        <v>16.72</v>
      </c>
      <c r="AB164" s="2">
        <v>2.9009999999999998</v>
      </c>
      <c r="AC164" s="2">
        <v>1.7529999999999999</v>
      </c>
      <c r="AD164" s="2">
        <v>6.58</v>
      </c>
      <c r="AE164" s="2">
        <v>6.43</v>
      </c>
      <c r="AF164" s="2">
        <v>24.04</v>
      </c>
      <c r="AG164" s="2">
        <v>-2.597</v>
      </c>
      <c r="AH164" s="2">
        <v>24.04</v>
      </c>
      <c r="AI164" s="2">
        <v>-2.597</v>
      </c>
      <c r="AJ164" s="2" t="s">
        <v>113</v>
      </c>
      <c r="AK164" s="2" t="s">
        <v>113</v>
      </c>
      <c r="AL164" s="2">
        <v>3.8260000000000001</v>
      </c>
      <c r="AM164" s="2">
        <v>11.98</v>
      </c>
      <c r="AN164" s="2">
        <v>-2.2440000000000002</v>
      </c>
      <c r="AO164" s="2"/>
      <c r="AP164" s="2"/>
      <c r="AQ164" s="2"/>
      <c r="AR164" s="5">
        <v>33.130000000000003</v>
      </c>
      <c r="AS164" s="5">
        <v>16.73</v>
      </c>
      <c r="AT164" s="5">
        <v>2.9</v>
      </c>
      <c r="AU164" s="7">
        <f t="shared" si="99"/>
        <v>0.17299999999999999</v>
      </c>
      <c r="AV164" s="16"/>
      <c r="AW164" s="29">
        <v>6.8579999999999997</v>
      </c>
      <c r="AX164" s="29">
        <v>0</v>
      </c>
      <c r="AY164" s="1">
        <f t="shared" si="79"/>
        <v>98</v>
      </c>
      <c r="AZ164" s="1">
        <f t="shared" si="80"/>
        <v>86.1</v>
      </c>
      <c r="BA164" s="1">
        <f t="shared" si="81"/>
        <v>48.3</v>
      </c>
      <c r="BB164" s="8">
        <f t="shared" si="82"/>
        <v>0.61499999999999999</v>
      </c>
      <c r="BC164" s="8">
        <f t="shared" si="83"/>
        <v>0.65800000000000003</v>
      </c>
      <c r="BE164" s="5">
        <f t="shared" si="88"/>
        <v>16.73</v>
      </c>
      <c r="BF164" s="5">
        <f t="shared" si="89"/>
        <v>2.9</v>
      </c>
      <c r="BG164" s="1">
        <f t="shared" si="106"/>
        <v>3.6</v>
      </c>
      <c r="BH164" s="1">
        <f t="shared" si="107"/>
        <v>10.5</v>
      </c>
      <c r="BI164" s="1">
        <f t="shared" si="108"/>
        <v>-1.9</v>
      </c>
      <c r="BJ164" s="1">
        <f t="shared" si="90"/>
        <v>86.1</v>
      </c>
      <c r="BK164" s="1">
        <f t="shared" si="91"/>
        <v>48.3</v>
      </c>
      <c r="BL164" s="1">
        <f t="shared" si="100"/>
        <v>1.8</v>
      </c>
      <c r="BM164" s="1">
        <f t="shared" si="101"/>
        <v>6.6</v>
      </c>
      <c r="BN164" s="21">
        <f t="shared" si="92"/>
        <v>6.8579999999999997</v>
      </c>
      <c r="BO164" s="7">
        <f t="shared" si="93"/>
        <v>0</v>
      </c>
      <c r="BP164" s="21" t="str">
        <f t="shared" si="87"/>
        <v>NAN</v>
      </c>
      <c r="BQ164" s="1">
        <f t="shared" si="94"/>
        <v>6.4</v>
      </c>
      <c r="BR164" s="1">
        <f t="shared" si="95"/>
        <v>24</v>
      </c>
      <c r="BS164" s="1">
        <f t="shared" si="96"/>
        <v>-2.6</v>
      </c>
      <c r="BT164" s="1" t="s">
        <v>113</v>
      </c>
      <c r="BU164" s="1" t="s">
        <v>113</v>
      </c>
      <c r="BV164" s="1" t="s">
        <v>113</v>
      </c>
      <c r="BW164" s="1" t="str">
        <f t="shared" si="102"/>
        <v>NAN</v>
      </c>
      <c r="BX164" s="1">
        <f t="shared" si="103"/>
        <v>0.61499999999999999</v>
      </c>
      <c r="BY164" s="1">
        <f t="shared" si="104"/>
        <v>0.65800000000000003</v>
      </c>
      <c r="CA164" s="1">
        <f t="shared" si="97"/>
        <v>13.5</v>
      </c>
      <c r="CB164" s="1">
        <f t="shared" si="98"/>
        <v>-0.70000000000000018</v>
      </c>
    </row>
    <row r="165" spans="1:80" x14ac:dyDescent="0.2">
      <c r="A165" s="9">
        <f t="shared" si="105"/>
        <v>43625</v>
      </c>
      <c r="B165" s="2">
        <v>160</v>
      </c>
      <c r="C165" s="2">
        <v>21</v>
      </c>
      <c r="D165" s="2">
        <v>13.2</v>
      </c>
      <c r="E165" s="2">
        <v>22.86</v>
      </c>
      <c r="F165" s="2">
        <v>-3.472</v>
      </c>
      <c r="G165" s="2">
        <v>6.7389999999999999</v>
      </c>
      <c r="H165" s="2">
        <v>69.03</v>
      </c>
      <c r="I165" s="2">
        <v>7.27</v>
      </c>
      <c r="J165" s="2">
        <v>8.39</v>
      </c>
      <c r="K165" s="2">
        <v>8.9700000000000006</v>
      </c>
      <c r="L165" s="2">
        <v>7.93</v>
      </c>
      <c r="M165" s="2">
        <v>15.6</v>
      </c>
      <c r="N165" s="2">
        <v>101.3</v>
      </c>
      <c r="O165" s="2">
        <v>24.08</v>
      </c>
      <c r="P165" s="2">
        <v>26.26</v>
      </c>
      <c r="Q165" s="2">
        <v>15.78</v>
      </c>
      <c r="R165" s="2">
        <v>8.7799999999999994</v>
      </c>
      <c r="S165" s="2">
        <v>-2.6909999999999998</v>
      </c>
      <c r="T165" s="2">
        <v>21.55</v>
      </c>
      <c r="U165" s="2">
        <v>-4.4459999999999997</v>
      </c>
      <c r="V165" s="2">
        <v>-4.952</v>
      </c>
      <c r="W165" s="2">
        <v>2.91</v>
      </c>
      <c r="X165" s="2">
        <v>7.58</v>
      </c>
      <c r="Y165" s="2">
        <v>2.3980000000000001</v>
      </c>
      <c r="Z165" s="2">
        <v>0.254</v>
      </c>
      <c r="AA165" s="2">
        <v>23.12</v>
      </c>
      <c r="AB165" s="2">
        <v>4.5910000000000002</v>
      </c>
      <c r="AC165" s="2">
        <v>1.07</v>
      </c>
      <c r="AD165" s="2">
        <v>4.367</v>
      </c>
      <c r="AE165" s="2">
        <v>9.92</v>
      </c>
      <c r="AF165" s="2">
        <v>30.84</v>
      </c>
      <c r="AG165" s="2">
        <v>-3.331</v>
      </c>
      <c r="AH165" s="2">
        <v>30.84</v>
      </c>
      <c r="AI165" s="2">
        <v>-3.331</v>
      </c>
      <c r="AJ165" s="2" t="s">
        <v>113</v>
      </c>
      <c r="AK165" s="2" t="s">
        <v>113</v>
      </c>
      <c r="AL165" s="2">
        <v>7.2</v>
      </c>
      <c r="AM165" s="2">
        <v>19.05</v>
      </c>
      <c r="AN165" s="2">
        <v>-3.2040000000000002</v>
      </c>
      <c r="AO165" s="2"/>
      <c r="AP165" s="2"/>
      <c r="AQ165" s="2"/>
      <c r="AR165" s="5">
        <v>33.159999999999997</v>
      </c>
      <c r="AS165" s="5">
        <v>23.12</v>
      </c>
      <c r="AT165" s="5">
        <v>4.59</v>
      </c>
      <c r="AU165" s="7">
        <f t="shared" si="99"/>
        <v>0.19900000000000001</v>
      </c>
      <c r="AV165" s="16"/>
      <c r="AW165" s="29">
        <v>0</v>
      </c>
      <c r="AX165" s="29">
        <v>0</v>
      </c>
      <c r="AY165" s="1">
        <f t="shared" si="79"/>
        <v>97.8</v>
      </c>
      <c r="AZ165" s="1">
        <f t="shared" si="80"/>
        <v>66.5</v>
      </c>
      <c r="BA165" s="1">
        <f t="shared" si="81"/>
        <v>20.399999999999999</v>
      </c>
      <c r="BB165" s="8">
        <f t="shared" si="82"/>
        <v>0.36099999999999999</v>
      </c>
      <c r="BC165" s="8">
        <f t="shared" si="83"/>
        <v>1.409</v>
      </c>
      <c r="BE165" s="5">
        <f t="shared" si="88"/>
        <v>23.12</v>
      </c>
      <c r="BF165" s="5">
        <f t="shared" si="89"/>
        <v>4.59</v>
      </c>
      <c r="BG165" s="1">
        <f t="shared" si="106"/>
        <v>6.7</v>
      </c>
      <c r="BH165" s="1">
        <f t="shared" si="107"/>
        <v>15.6</v>
      </c>
      <c r="BI165" s="1">
        <f t="shared" si="108"/>
        <v>-2.7</v>
      </c>
      <c r="BJ165" s="1">
        <f t="shared" si="90"/>
        <v>66.5</v>
      </c>
      <c r="BK165" s="1">
        <f t="shared" si="91"/>
        <v>20.399999999999999</v>
      </c>
      <c r="BL165" s="1">
        <f t="shared" si="100"/>
        <v>1.1000000000000001</v>
      </c>
      <c r="BM165" s="1">
        <f t="shared" si="101"/>
        <v>4.4000000000000004</v>
      </c>
      <c r="BN165" s="21">
        <f t="shared" si="92"/>
        <v>0</v>
      </c>
      <c r="BO165" s="7">
        <f t="shared" si="93"/>
        <v>0</v>
      </c>
      <c r="BP165" s="21" t="str">
        <f t="shared" si="87"/>
        <v>NAN</v>
      </c>
      <c r="BQ165" s="1">
        <f t="shared" si="94"/>
        <v>9.9</v>
      </c>
      <c r="BR165" s="1">
        <f t="shared" si="95"/>
        <v>30.8</v>
      </c>
      <c r="BS165" s="1">
        <f t="shared" si="96"/>
        <v>-3.3</v>
      </c>
      <c r="BT165" s="1" t="s">
        <v>113</v>
      </c>
      <c r="BU165" s="1" t="s">
        <v>113</v>
      </c>
      <c r="BV165" s="1" t="s">
        <v>113</v>
      </c>
      <c r="BW165" s="1" t="str">
        <f t="shared" si="102"/>
        <v>NAN</v>
      </c>
      <c r="BX165" s="1">
        <f t="shared" si="103"/>
        <v>0.36099999999999999</v>
      </c>
      <c r="BY165" s="1">
        <f t="shared" si="104"/>
        <v>1.409</v>
      </c>
      <c r="CA165" s="1">
        <f t="shared" si="97"/>
        <v>15.200000000000001</v>
      </c>
      <c r="CB165" s="1">
        <f t="shared" si="98"/>
        <v>-0.59999999999999964</v>
      </c>
    </row>
    <row r="166" spans="1:80" x14ac:dyDescent="0.2">
      <c r="A166" s="9">
        <f t="shared" si="105"/>
        <v>43626</v>
      </c>
      <c r="B166" s="2">
        <v>161</v>
      </c>
      <c r="C166" s="2">
        <v>21</v>
      </c>
      <c r="D166" s="2">
        <v>13.18</v>
      </c>
      <c r="E166" s="2">
        <v>19.16</v>
      </c>
      <c r="F166" s="2">
        <v>-1.1459999999999999</v>
      </c>
      <c r="G166" s="2">
        <v>7.1</v>
      </c>
      <c r="H166" s="2">
        <v>80.099999999999994</v>
      </c>
      <c r="I166" s="2">
        <v>7.46</v>
      </c>
      <c r="J166" s="2">
        <v>7.83</v>
      </c>
      <c r="K166" s="2">
        <v>9.3000000000000007</v>
      </c>
      <c r="L166" s="2">
        <v>8.02</v>
      </c>
      <c r="M166" s="2">
        <v>13.82</v>
      </c>
      <c r="N166" s="2">
        <v>101.3</v>
      </c>
      <c r="O166" s="2">
        <v>20.66</v>
      </c>
      <c r="P166" s="2">
        <v>22.19</v>
      </c>
      <c r="Q166" s="2">
        <v>13.08</v>
      </c>
      <c r="R166" s="2">
        <v>8.3800000000000008</v>
      </c>
      <c r="S166" s="2">
        <v>-0.86099999999999999</v>
      </c>
      <c r="T166" s="2">
        <v>57.94</v>
      </c>
      <c r="U166" s="2">
        <v>-2.5659999999999998</v>
      </c>
      <c r="V166" s="2">
        <v>-3.04</v>
      </c>
      <c r="W166" s="2">
        <v>4.5570000000000004</v>
      </c>
      <c r="X166" s="2">
        <v>7.65</v>
      </c>
      <c r="Y166" s="2">
        <v>2.391</v>
      </c>
      <c r="Z166" s="2">
        <v>0</v>
      </c>
      <c r="AA166" s="2">
        <v>15.07</v>
      </c>
      <c r="AB166" s="2">
        <v>3.12</v>
      </c>
      <c r="AC166" s="2">
        <v>1.113</v>
      </c>
      <c r="AD166" s="2">
        <v>4.9000000000000004</v>
      </c>
      <c r="AE166" s="2">
        <v>9.43</v>
      </c>
      <c r="AF166" s="2">
        <v>26.13</v>
      </c>
      <c r="AG166" s="2">
        <v>-2.1019999999999999</v>
      </c>
      <c r="AH166" s="2">
        <v>26.13</v>
      </c>
      <c r="AI166" s="2">
        <v>-2.1019999999999999</v>
      </c>
      <c r="AJ166" s="2" t="s">
        <v>113</v>
      </c>
      <c r="AK166" s="2" t="s">
        <v>113</v>
      </c>
      <c r="AL166" s="2">
        <v>7.49</v>
      </c>
      <c r="AM166" s="2">
        <v>16.190000000000001</v>
      </c>
      <c r="AN166" s="2">
        <v>-1.373</v>
      </c>
      <c r="AO166" s="2"/>
      <c r="AP166" s="2"/>
      <c r="AQ166" s="2"/>
      <c r="AR166" s="5">
        <v>33.200000000000003</v>
      </c>
      <c r="AS166" s="5">
        <v>15.07</v>
      </c>
      <c r="AT166" s="5">
        <v>3.12</v>
      </c>
      <c r="AU166" s="7">
        <f t="shared" si="99"/>
        <v>0.20699999999999999</v>
      </c>
      <c r="AV166" s="16"/>
      <c r="AW166" s="29">
        <v>0</v>
      </c>
      <c r="AX166" s="29">
        <v>0</v>
      </c>
      <c r="AY166" s="1">
        <f t="shared" si="79"/>
        <v>97.8</v>
      </c>
      <c r="AZ166" s="1">
        <f t="shared" si="80"/>
        <v>77.2</v>
      </c>
      <c r="BA166" s="1">
        <f t="shared" si="81"/>
        <v>55.7</v>
      </c>
      <c r="BB166" s="8">
        <f t="shared" si="82"/>
        <v>0.88</v>
      </c>
      <c r="BC166" s="8">
        <f t="shared" si="83"/>
        <v>0.7</v>
      </c>
      <c r="BE166" s="5">
        <f t="shared" si="88"/>
        <v>15.07</v>
      </c>
      <c r="BF166" s="5">
        <f t="shared" si="89"/>
        <v>3.12</v>
      </c>
      <c r="BG166" s="1">
        <f t="shared" si="106"/>
        <v>7.1</v>
      </c>
      <c r="BH166" s="1">
        <f t="shared" si="107"/>
        <v>13.8</v>
      </c>
      <c r="BI166" s="1">
        <f t="shared" si="108"/>
        <v>-0.9</v>
      </c>
      <c r="BJ166" s="1">
        <f t="shared" si="90"/>
        <v>77.2</v>
      </c>
      <c r="BK166" s="1">
        <f t="shared" si="91"/>
        <v>55.7</v>
      </c>
      <c r="BL166" s="1">
        <f t="shared" si="100"/>
        <v>1.1000000000000001</v>
      </c>
      <c r="BM166" s="1">
        <f t="shared" si="101"/>
        <v>4.9000000000000004</v>
      </c>
      <c r="BN166" s="21">
        <f t="shared" si="92"/>
        <v>0</v>
      </c>
      <c r="BO166" s="7">
        <f t="shared" si="93"/>
        <v>0</v>
      </c>
      <c r="BP166" s="21" t="str">
        <f t="shared" si="87"/>
        <v>NAN</v>
      </c>
      <c r="BQ166" s="1">
        <f t="shared" si="94"/>
        <v>9.4</v>
      </c>
      <c r="BR166" s="1">
        <f t="shared" si="95"/>
        <v>26.1</v>
      </c>
      <c r="BS166" s="1">
        <f t="shared" si="96"/>
        <v>-2.1</v>
      </c>
      <c r="BT166" s="1" t="s">
        <v>113</v>
      </c>
      <c r="BU166" s="1" t="s">
        <v>113</v>
      </c>
      <c r="BV166" s="1" t="s">
        <v>113</v>
      </c>
      <c r="BW166" s="1" t="str">
        <f t="shared" si="102"/>
        <v>NAN</v>
      </c>
      <c r="BX166" s="1">
        <f t="shared" si="103"/>
        <v>0.88</v>
      </c>
      <c r="BY166" s="1">
        <f t="shared" si="104"/>
        <v>0.7</v>
      </c>
      <c r="CA166" s="1">
        <f t="shared" si="97"/>
        <v>12.3</v>
      </c>
      <c r="CB166" s="1">
        <f t="shared" si="98"/>
        <v>-1.2000000000000002</v>
      </c>
    </row>
    <row r="167" spans="1:80" x14ac:dyDescent="0.2">
      <c r="A167" s="9">
        <f t="shared" si="105"/>
        <v>43627</v>
      </c>
      <c r="B167" s="2">
        <v>162</v>
      </c>
      <c r="C167" s="2">
        <v>21</v>
      </c>
      <c r="D167" s="2">
        <v>13.19</v>
      </c>
      <c r="E167" s="2">
        <v>27.1</v>
      </c>
      <c r="F167" s="2">
        <v>3.2770000000000001</v>
      </c>
      <c r="G167" s="2">
        <v>11.67</v>
      </c>
      <c r="H167" s="2">
        <v>74.5</v>
      </c>
      <c r="I167" s="2">
        <v>13.12</v>
      </c>
      <c r="J167" s="2">
        <v>14.32</v>
      </c>
      <c r="K167" s="2">
        <v>13.1</v>
      </c>
      <c r="L167" s="2">
        <v>8.06</v>
      </c>
      <c r="M167" s="2">
        <v>18.98</v>
      </c>
      <c r="N167" s="2">
        <v>101.4</v>
      </c>
      <c r="O167" s="2">
        <v>26.99</v>
      </c>
      <c r="P167" s="2">
        <v>31.38</v>
      </c>
      <c r="Q167" s="2">
        <v>19.239999999999998</v>
      </c>
      <c r="R167" s="2">
        <v>8.76</v>
      </c>
      <c r="S167" s="2">
        <v>3.19</v>
      </c>
      <c r="T167" s="2">
        <v>42.56</v>
      </c>
      <c r="U167" s="2">
        <v>0.753</v>
      </c>
      <c r="V167" s="2">
        <v>-0.41499999999999998</v>
      </c>
      <c r="W167" s="2">
        <v>7.05</v>
      </c>
      <c r="X167" s="2">
        <v>7.63</v>
      </c>
      <c r="Y167" s="2">
        <v>2.379</v>
      </c>
      <c r="Z167" s="2">
        <v>0</v>
      </c>
      <c r="AA167" s="2">
        <v>28.22</v>
      </c>
      <c r="AB167" s="2">
        <v>5.8150000000000004</v>
      </c>
      <c r="AC167" s="2">
        <v>1.4970000000000001</v>
      </c>
      <c r="AD167" s="2">
        <v>5.7270000000000003</v>
      </c>
      <c r="AE167" s="2">
        <v>16.7</v>
      </c>
      <c r="AF167" s="2">
        <v>38.82</v>
      </c>
      <c r="AG167" s="2">
        <v>0.51</v>
      </c>
      <c r="AH167" s="2">
        <v>38.82</v>
      </c>
      <c r="AI167" s="2">
        <v>0.51</v>
      </c>
      <c r="AJ167" s="2" t="s">
        <v>113</v>
      </c>
      <c r="AK167" s="2" t="s">
        <v>113</v>
      </c>
      <c r="AL167" s="2">
        <v>12.75</v>
      </c>
      <c r="AM167" s="2">
        <v>22.67</v>
      </c>
      <c r="AN167" s="2">
        <v>2.5299999999999998</v>
      </c>
      <c r="AO167" s="2"/>
      <c r="AP167" s="2"/>
      <c r="AQ167" s="2"/>
      <c r="AR167" s="5">
        <v>33.229999999999997</v>
      </c>
      <c r="AS167" s="5">
        <v>28.22</v>
      </c>
      <c r="AT167" s="5">
        <v>5.81</v>
      </c>
      <c r="AU167" s="7">
        <f t="shared" si="99"/>
        <v>0.20599999999999999</v>
      </c>
      <c r="AV167" s="16"/>
      <c r="AW167" s="29">
        <v>0</v>
      </c>
      <c r="AX167" s="29">
        <v>0</v>
      </c>
      <c r="AY167" s="1">
        <f t="shared" si="79"/>
        <v>97.9</v>
      </c>
      <c r="AZ167" s="1">
        <f t="shared" si="80"/>
        <v>71.8</v>
      </c>
      <c r="BA167" s="1">
        <f t="shared" si="81"/>
        <v>40.799999999999997</v>
      </c>
      <c r="BB167" s="8">
        <f t="shared" si="82"/>
        <v>0.89500000000000002</v>
      </c>
      <c r="BC167" s="8">
        <f t="shared" si="83"/>
        <v>1.2989999999999999</v>
      </c>
      <c r="BE167" s="5">
        <f t="shared" si="88"/>
        <v>28.22</v>
      </c>
      <c r="BF167" s="5">
        <f t="shared" si="89"/>
        <v>5.81</v>
      </c>
      <c r="BG167" s="1">
        <f t="shared" si="106"/>
        <v>11.7</v>
      </c>
      <c r="BH167" s="1">
        <f t="shared" si="107"/>
        <v>19</v>
      </c>
      <c r="BI167" s="1">
        <f t="shared" si="108"/>
        <v>3.2</v>
      </c>
      <c r="BJ167" s="1">
        <f t="shared" si="90"/>
        <v>71.8</v>
      </c>
      <c r="BK167" s="1">
        <f t="shared" si="91"/>
        <v>40.799999999999997</v>
      </c>
      <c r="BL167" s="1">
        <f t="shared" si="100"/>
        <v>1.5</v>
      </c>
      <c r="BM167" s="1">
        <f t="shared" si="101"/>
        <v>5.7</v>
      </c>
      <c r="BN167" s="21">
        <f t="shared" si="92"/>
        <v>0</v>
      </c>
      <c r="BO167" s="7">
        <f t="shared" si="93"/>
        <v>0</v>
      </c>
      <c r="BP167" s="21" t="str">
        <f t="shared" si="87"/>
        <v>NAN</v>
      </c>
      <c r="BQ167" s="1">
        <f t="shared" si="94"/>
        <v>16.7</v>
      </c>
      <c r="BR167" s="1">
        <f t="shared" si="95"/>
        <v>38.799999999999997</v>
      </c>
      <c r="BS167" s="1">
        <f t="shared" si="96"/>
        <v>0.5</v>
      </c>
      <c r="BT167" s="1" t="s">
        <v>113</v>
      </c>
      <c r="BU167" s="1" t="s">
        <v>113</v>
      </c>
      <c r="BV167" s="1" t="s">
        <v>113</v>
      </c>
      <c r="BW167" s="1" t="str">
        <f t="shared" si="102"/>
        <v>NAN</v>
      </c>
      <c r="BX167" s="1">
        <f t="shared" si="103"/>
        <v>0.89500000000000002</v>
      </c>
      <c r="BY167" s="1">
        <f t="shared" si="104"/>
        <v>1.2989999999999999</v>
      </c>
      <c r="CA167" s="1">
        <f t="shared" si="97"/>
        <v>19.799999999999997</v>
      </c>
      <c r="CB167" s="1">
        <f t="shared" si="98"/>
        <v>-2.7</v>
      </c>
    </row>
    <row r="168" spans="1:80" x14ac:dyDescent="0.2">
      <c r="A168" s="9">
        <f t="shared" si="105"/>
        <v>43628</v>
      </c>
      <c r="B168" s="2">
        <v>163</v>
      </c>
      <c r="C168" s="2">
        <v>21</v>
      </c>
      <c r="D168" s="2">
        <v>13.21</v>
      </c>
      <c r="E168" s="2">
        <v>31.5</v>
      </c>
      <c r="F168" s="2">
        <v>1.2370000000000001</v>
      </c>
      <c r="G168" s="2">
        <v>14.22</v>
      </c>
      <c r="H168" s="2">
        <v>67.05</v>
      </c>
      <c r="I168" s="2">
        <v>14.92</v>
      </c>
      <c r="J168" s="2">
        <v>15.85</v>
      </c>
      <c r="K168" s="2">
        <v>14.79</v>
      </c>
      <c r="L168" s="2">
        <v>8.61</v>
      </c>
      <c r="M168" s="2">
        <v>23.71</v>
      </c>
      <c r="N168" s="2">
        <v>102.3</v>
      </c>
      <c r="O168" s="2">
        <v>32.97</v>
      </c>
      <c r="P168" s="2">
        <v>36.21</v>
      </c>
      <c r="Q168" s="2">
        <v>21.51</v>
      </c>
      <c r="R168" s="2">
        <v>9.49</v>
      </c>
      <c r="S168" s="2">
        <v>1.996</v>
      </c>
      <c r="T168" s="2">
        <v>30.27</v>
      </c>
      <c r="U168" s="2">
        <v>-1.5049999999999999</v>
      </c>
      <c r="V168" s="2">
        <v>-2.3109999999999999</v>
      </c>
      <c r="W168" s="2">
        <v>6.7709999999999999</v>
      </c>
      <c r="X168" s="2">
        <v>8.23</v>
      </c>
      <c r="Y168" s="2">
        <v>2.3820000000000001</v>
      </c>
      <c r="Z168" s="2">
        <v>0</v>
      </c>
      <c r="AA168" s="2">
        <v>26.92</v>
      </c>
      <c r="AB168" s="2">
        <v>5.617</v>
      </c>
      <c r="AC168" s="2">
        <v>0.96199999999999997</v>
      </c>
      <c r="AD168" s="2">
        <v>4.367</v>
      </c>
      <c r="AE168" s="2">
        <v>18.25</v>
      </c>
      <c r="AF168" s="2">
        <v>42.26</v>
      </c>
      <c r="AG168" s="2">
        <v>-1.294</v>
      </c>
      <c r="AH168" s="2">
        <v>42.26</v>
      </c>
      <c r="AI168" s="2">
        <v>-1.294</v>
      </c>
      <c r="AJ168" s="2" t="s">
        <v>113</v>
      </c>
      <c r="AK168" s="2" t="s">
        <v>113</v>
      </c>
      <c r="AL168" s="2">
        <v>15.12</v>
      </c>
      <c r="AM168" s="2">
        <v>27.97</v>
      </c>
      <c r="AN168" s="2">
        <v>1.1850000000000001</v>
      </c>
      <c r="AO168" s="2"/>
      <c r="AP168" s="2"/>
      <c r="AQ168" s="2"/>
      <c r="AR168" s="5">
        <v>33.26</v>
      </c>
      <c r="AS168" s="5">
        <v>26.92</v>
      </c>
      <c r="AT168" s="5">
        <v>5.62</v>
      </c>
      <c r="AU168" s="7">
        <f t="shared" si="99"/>
        <v>0.20899999999999999</v>
      </c>
      <c r="AV168" s="16"/>
      <c r="AW168" s="29">
        <v>0</v>
      </c>
      <c r="AX168" s="29">
        <v>0</v>
      </c>
      <c r="AY168" s="1">
        <f t="shared" si="79"/>
        <v>98.7</v>
      </c>
      <c r="AZ168" s="1">
        <f t="shared" si="80"/>
        <v>64.5</v>
      </c>
      <c r="BA168" s="1">
        <f t="shared" si="81"/>
        <v>28.9</v>
      </c>
      <c r="BB168" s="8">
        <f t="shared" si="82"/>
        <v>0.84699999999999998</v>
      </c>
      <c r="BC168" s="8">
        <f t="shared" si="83"/>
        <v>2.0840000000000001</v>
      </c>
      <c r="BE168" s="5">
        <f t="shared" si="88"/>
        <v>26.92</v>
      </c>
      <c r="BF168" s="5">
        <f t="shared" si="89"/>
        <v>5.62</v>
      </c>
      <c r="BG168" s="1">
        <f t="shared" si="106"/>
        <v>14.2</v>
      </c>
      <c r="BH168" s="1">
        <f t="shared" si="107"/>
        <v>23.7</v>
      </c>
      <c r="BI168" s="1">
        <f t="shared" si="108"/>
        <v>2</v>
      </c>
      <c r="BJ168" s="1">
        <f t="shared" si="90"/>
        <v>64.5</v>
      </c>
      <c r="BK168" s="1">
        <f t="shared" si="91"/>
        <v>28.9</v>
      </c>
      <c r="BL168" s="1">
        <f t="shared" si="100"/>
        <v>1</v>
      </c>
      <c r="BM168" s="1">
        <f t="shared" si="101"/>
        <v>4.4000000000000004</v>
      </c>
      <c r="BN168" s="21">
        <f t="shared" si="92"/>
        <v>0</v>
      </c>
      <c r="BO168" s="7">
        <f t="shared" si="93"/>
        <v>0</v>
      </c>
      <c r="BP168" s="21" t="str">
        <f t="shared" si="87"/>
        <v>NAN</v>
      </c>
      <c r="BQ168" s="1">
        <f t="shared" si="94"/>
        <v>18.3</v>
      </c>
      <c r="BR168" s="1">
        <f t="shared" si="95"/>
        <v>42.3</v>
      </c>
      <c r="BS168" s="1">
        <f t="shared" si="96"/>
        <v>-1.3</v>
      </c>
      <c r="BT168" s="1" t="s">
        <v>113</v>
      </c>
      <c r="BU168" s="1" t="s">
        <v>113</v>
      </c>
      <c r="BV168" s="1" t="s">
        <v>113</v>
      </c>
      <c r="BW168" s="1" t="str">
        <f t="shared" si="102"/>
        <v>NAN</v>
      </c>
      <c r="BX168" s="1">
        <f t="shared" si="103"/>
        <v>0.84699999999999998</v>
      </c>
      <c r="BY168" s="1">
        <f t="shared" si="104"/>
        <v>2.0840000000000001</v>
      </c>
      <c r="CA168" s="1">
        <f t="shared" si="97"/>
        <v>18.599999999999998</v>
      </c>
      <c r="CB168" s="1">
        <f t="shared" si="98"/>
        <v>-3.3</v>
      </c>
    </row>
    <row r="169" spans="1:80" x14ac:dyDescent="0.2">
      <c r="A169" s="9">
        <f t="shared" si="105"/>
        <v>43629</v>
      </c>
      <c r="B169" s="2">
        <v>164</v>
      </c>
      <c r="C169" s="2">
        <v>21</v>
      </c>
      <c r="D169" s="2">
        <v>13.21</v>
      </c>
      <c r="E169" s="2">
        <v>29.78</v>
      </c>
      <c r="F169" s="2">
        <v>6.61</v>
      </c>
      <c r="G169" s="2">
        <v>15.34</v>
      </c>
      <c r="H169" s="2">
        <v>54.88</v>
      </c>
      <c r="I169" s="2">
        <v>15.64</v>
      </c>
      <c r="J169" s="2">
        <v>16.27</v>
      </c>
      <c r="K169" s="2">
        <v>15.36</v>
      </c>
      <c r="L169" s="2">
        <v>9.33</v>
      </c>
      <c r="M169" s="2">
        <v>22.9</v>
      </c>
      <c r="N169" s="2">
        <v>97.5</v>
      </c>
      <c r="O169" s="2">
        <v>31.46</v>
      </c>
      <c r="P169" s="2">
        <v>34.68</v>
      </c>
      <c r="Q169" s="2">
        <v>20.66</v>
      </c>
      <c r="R169" s="2">
        <v>10.07</v>
      </c>
      <c r="S169" s="2">
        <v>5.7460000000000004</v>
      </c>
      <c r="T169" s="2">
        <v>32.090000000000003</v>
      </c>
      <c r="U169" s="2">
        <v>1.236</v>
      </c>
      <c r="V169" s="2">
        <v>-0.11600000000000001</v>
      </c>
      <c r="W169" s="2">
        <v>10.29</v>
      </c>
      <c r="X169" s="2">
        <v>8.98</v>
      </c>
      <c r="Y169" s="2">
        <v>2.375</v>
      </c>
      <c r="Z169" s="2">
        <v>0</v>
      </c>
      <c r="AA169" s="2">
        <v>24.88</v>
      </c>
      <c r="AB169" s="2">
        <v>5.2240000000000002</v>
      </c>
      <c r="AC169" s="2">
        <v>2.331</v>
      </c>
      <c r="AD169" s="2">
        <v>7.49</v>
      </c>
      <c r="AE169" s="2">
        <v>18</v>
      </c>
      <c r="AF169" s="2">
        <v>43.53</v>
      </c>
      <c r="AG169" s="2">
        <v>1.117</v>
      </c>
      <c r="AH169" s="2">
        <v>43.53</v>
      </c>
      <c r="AI169" s="2">
        <v>1.117</v>
      </c>
      <c r="AJ169" s="2" t="s">
        <v>113</v>
      </c>
      <c r="AK169" s="2" t="s">
        <v>113</v>
      </c>
      <c r="AL169" s="2">
        <v>15.5</v>
      </c>
      <c r="AM169" s="2">
        <v>24.99</v>
      </c>
      <c r="AN169" s="2">
        <v>5.3419999999999996</v>
      </c>
      <c r="AO169" s="2"/>
      <c r="AP169" s="2"/>
      <c r="AQ169" s="2"/>
      <c r="AR169" s="5">
        <v>33.29</v>
      </c>
      <c r="AS169" s="5">
        <v>24.88</v>
      </c>
      <c r="AT169" s="5">
        <v>5.22</v>
      </c>
      <c r="AU169" s="7">
        <f t="shared" si="99"/>
        <v>0.21</v>
      </c>
      <c r="AV169" s="16"/>
      <c r="AW169" s="29">
        <v>0</v>
      </c>
      <c r="AX169" s="29">
        <v>0</v>
      </c>
      <c r="AY169" s="1">
        <f t="shared" si="79"/>
        <v>94.1</v>
      </c>
      <c r="AZ169" s="1">
        <f t="shared" si="80"/>
        <v>52.7</v>
      </c>
      <c r="BA169" s="1">
        <f t="shared" si="81"/>
        <v>30.6</v>
      </c>
      <c r="BB169" s="8">
        <f t="shared" si="82"/>
        <v>0.85399999999999998</v>
      </c>
      <c r="BC169" s="8">
        <f t="shared" si="83"/>
        <v>1.9370000000000001</v>
      </c>
      <c r="BE169" s="5">
        <f t="shared" si="88"/>
        <v>24.88</v>
      </c>
      <c r="BF169" s="5">
        <f t="shared" si="89"/>
        <v>5.22</v>
      </c>
      <c r="BG169" s="1">
        <f t="shared" si="106"/>
        <v>15.3</v>
      </c>
      <c r="BH169" s="1">
        <f t="shared" si="107"/>
        <v>22.9</v>
      </c>
      <c r="BI169" s="1">
        <f t="shared" si="108"/>
        <v>5.7</v>
      </c>
      <c r="BJ169" s="1">
        <f t="shared" si="90"/>
        <v>52.7</v>
      </c>
      <c r="BK169" s="1">
        <f t="shared" si="91"/>
        <v>30.6</v>
      </c>
      <c r="BL169" s="1">
        <f t="shared" si="100"/>
        <v>2.2999999999999998</v>
      </c>
      <c r="BM169" s="1">
        <f t="shared" si="101"/>
        <v>7.5</v>
      </c>
      <c r="BN169" s="21">
        <f t="shared" si="92"/>
        <v>0</v>
      </c>
      <c r="BO169" s="7">
        <f t="shared" si="93"/>
        <v>0</v>
      </c>
      <c r="BP169" s="21" t="str">
        <f t="shared" si="87"/>
        <v>NAN</v>
      </c>
      <c r="BQ169" s="1">
        <f t="shared" si="94"/>
        <v>18</v>
      </c>
      <c r="BR169" s="1">
        <f t="shared" si="95"/>
        <v>43.5</v>
      </c>
      <c r="BS169" s="1">
        <f t="shared" si="96"/>
        <v>1.1000000000000001</v>
      </c>
      <c r="BT169" s="1" t="s">
        <v>113</v>
      </c>
      <c r="BU169" s="1" t="s">
        <v>113</v>
      </c>
      <c r="BV169" s="1" t="s">
        <v>113</v>
      </c>
      <c r="BW169" s="1" t="str">
        <f t="shared" si="102"/>
        <v>NAN</v>
      </c>
      <c r="BX169" s="1">
        <f t="shared" si="103"/>
        <v>0.85399999999999998</v>
      </c>
      <c r="BY169" s="1">
        <f t="shared" si="104"/>
        <v>1.9370000000000001</v>
      </c>
      <c r="CA169" s="1">
        <f t="shared" si="97"/>
        <v>20.6</v>
      </c>
      <c r="CB169" s="1">
        <f t="shared" si="98"/>
        <v>-4.5999999999999996</v>
      </c>
    </row>
    <row r="170" spans="1:80" x14ac:dyDescent="0.2">
      <c r="A170" s="9">
        <f t="shared" si="105"/>
        <v>43630</v>
      </c>
      <c r="B170" s="2">
        <v>165</v>
      </c>
      <c r="C170" s="2">
        <v>21</v>
      </c>
      <c r="D170" s="2">
        <v>13.19</v>
      </c>
      <c r="E170" s="2">
        <v>28.25</v>
      </c>
      <c r="F170" s="2">
        <v>1.2789999999999999</v>
      </c>
      <c r="G170" s="2">
        <v>11.82</v>
      </c>
      <c r="H170" s="2">
        <v>62.11</v>
      </c>
      <c r="I170" s="2">
        <v>12.5</v>
      </c>
      <c r="J170" s="2">
        <v>13.94</v>
      </c>
      <c r="K170" s="2">
        <v>15.03</v>
      </c>
      <c r="L170" s="2">
        <v>9.84</v>
      </c>
      <c r="M170" s="2">
        <v>20.350000000000001</v>
      </c>
      <c r="N170" s="2">
        <v>99.8</v>
      </c>
      <c r="O170" s="2">
        <v>30.47</v>
      </c>
      <c r="P170" s="2">
        <v>33.74</v>
      </c>
      <c r="Q170" s="2">
        <v>21.53</v>
      </c>
      <c r="R170" s="2">
        <v>10.54</v>
      </c>
      <c r="S170" s="2">
        <v>1.6830000000000001</v>
      </c>
      <c r="T170" s="2">
        <v>30.22</v>
      </c>
      <c r="U170" s="2">
        <v>-1.4119999999999999</v>
      </c>
      <c r="V170" s="2">
        <v>-2.202</v>
      </c>
      <c r="W170" s="2">
        <v>8.19</v>
      </c>
      <c r="X170" s="2">
        <v>9.35</v>
      </c>
      <c r="Y170" s="2">
        <v>2.3759999999999999</v>
      </c>
      <c r="Z170" s="2">
        <v>0</v>
      </c>
      <c r="AA170" s="2">
        <v>28.7</v>
      </c>
      <c r="AB170" s="2">
        <v>6.0030000000000001</v>
      </c>
      <c r="AC170" s="2">
        <v>1.708</v>
      </c>
      <c r="AD170" s="2">
        <v>6.74</v>
      </c>
      <c r="AE170" s="2">
        <v>16.64</v>
      </c>
      <c r="AF170" s="2">
        <v>42.04</v>
      </c>
      <c r="AG170" s="2">
        <v>-1.292</v>
      </c>
      <c r="AH170" s="2">
        <v>42.04</v>
      </c>
      <c r="AI170" s="2">
        <v>-1.292</v>
      </c>
      <c r="AJ170" s="2" t="s">
        <v>113</v>
      </c>
      <c r="AK170" s="2" t="s">
        <v>113</v>
      </c>
      <c r="AL170" s="2">
        <v>12.58</v>
      </c>
      <c r="AM170" s="2">
        <v>24.04</v>
      </c>
      <c r="AN170" s="2">
        <v>0.88300000000000001</v>
      </c>
      <c r="AO170" s="2"/>
      <c r="AP170" s="2"/>
      <c r="AQ170" s="2"/>
      <c r="AR170" s="5">
        <v>33.31</v>
      </c>
      <c r="AS170" s="5">
        <v>28.7</v>
      </c>
      <c r="AT170" s="5">
        <v>6</v>
      </c>
      <c r="AU170" s="7">
        <f t="shared" si="99"/>
        <v>0.20899999999999999</v>
      </c>
      <c r="AV170" s="16"/>
      <c r="AW170" s="29">
        <v>0</v>
      </c>
      <c r="AX170" s="29">
        <v>0</v>
      </c>
      <c r="AY170" s="1">
        <f t="shared" si="79"/>
        <v>96.3</v>
      </c>
      <c r="AZ170" s="1">
        <f t="shared" si="80"/>
        <v>59.7</v>
      </c>
      <c r="BA170" s="1">
        <f t="shared" si="81"/>
        <v>28.8</v>
      </c>
      <c r="BB170" s="8">
        <f t="shared" si="82"/>
        <v>0.68799999999999994</v>
      </c>
      <c r="BC170" s="8">
        <f t="shared" si="83"/>
        <v>1.7010000000000001</v>
      </c>
      <c r="BE170" s="5">
        <f t="shared" si="88"/>
        <v>28.7</v>
      </c>
      <c r="BF170" s="5">
        <f t="shared" si="89"/>
        <v>6</v>
      </c>
      <c r="BG170" s="1">
        <f t="shared" si="106"/>
        <v>11.8</v>
      </c>
      <c r="BH170" s="1">
        <f t="shared" si="107"/>
        <v>20.399999999999999</v>
      </c>
      <c r="BI170" s="1">
        <f t="shared" si="108"/>
        <v>1.7</v>
      </c>
      <c r="BJ170" s="1">
        <f t="shared" si="90"/>
        <v>59.7</v>
      </c>
      <c r="BK170" s="1">
        <f t="shared" si="91"/>
        <v>28.8</v>
      </c>
      <c r="BL170" s="1">
        <f t="shared" si="100"/>
        <v>1.7</v>
      </c>
      <c r="BM170" s="1">
        <f t="shared" si="101"/>
        <v>6.7</v>
      </c>
      <c r="BN170" s="21">
        <f t="shared" si="92"/>
        <v>0</v>
      </c>
      <c r="BO170" s="7">
        <f t="shared" si="93"/>
        <v>0</v>
      </c>
      <c r="BP170" s="21" t="str">
        <f t="shared" si="87"/>
        <v>NAN</v>
      </c>
      <c r="BQ170" s="1">
        <f t="shared" si="94"/>
        <v>16.600000000000001</v>
      </c>
      <c r="BR170" s="1">
        <f t="shared" si="95"/>
        <v>42</v>
      </c>
      <c r="BS170" s="1">
        <f t="shared" si="96"/>
        <v>-1.3</v>
      </c>
      <c r="BT170" s="1" t="s">
        <v>113</v>
      </c>
      <c r="BU170" s="1" t="s">
        <v>113</v>
      </c>
      <c r="BV170" s="1" t="s">
        <v>113</v>
      </c>
      <c r="BW170" s="1" t="str">
        <f t="shared" si="102"/>
        <v>NAN</v>
      </c>
      <c r="BX170" s="1">
        <f t="shared" si="103"/>
        <v>0.68799999999999994</v>
      </c>
      <c r="BY170" s="1">
        <f t="shared" si="104"/>
        <v>1.7010000000000001</v>
      </c>
      <c r="CA170" s="1">
        <f t="shared" si="97"/>
        <v>21.6</v>
      </c>
      <c r="CB170" s="1">
        <f t="shared" si="98"/>
        <v>-3</v>
      </c>
    </row>
    <row r="171" spans="1:80" x14ac:dyDescent="0.2">
      <c r="A171" s="9">
        <f t="shared" si="105"/>
        <v>43631</v>
      </c>
      <c r="B171" s="2">
        <v>166</v>
      </c>
      <c r="C171" s="2">
        <v>21</v>
      </c>
      <c r="D171" s="2">
        <v>13.19</v>
      </c>
      <c r="E171" s="2">
        <v>30</v>
      </c>
      <c r="F171" s="2">
        <v>3.9169999999999998</v>
      </c>
      <c r="G171" s="2">
        <v>12.74</v>
      </c>
      <c r="H171" s="2">
        <v>61.15</v>
      </c>
      <c r="I171" s="2">
        <v>13.59</v>
      </c>
      <c r="J171" s="2">
        <v>14.62</v>
      </c>
      <c r="K171" s="2">
        <v>15.42</v>
      </c>
      <c r="L171" s="2">
        <v>10.16</v>
      </c>
      <c r="M171" s="2">
        <v>21.01</v>
      </c>
      <c r="N171" s="2">
        <v>100.1</v>
      </c>
      <c r="O171" s="2">
        <v>30.39</v>
      </c>
      <c r="P171" s="2">
        <v>34.65</v>
      </c>
      <c r="Q171" s="2">
        <v>21.31</v>
      </c>
      <c r="R171" s="2">
        <v>10.86</v>
      </c>
      <c r="S171" s="2">
        <v>3.899</v>
      </c>
      <c r="T171" s="2">
        <v>25.16</v>
      </c>
      <c r="U171" s="2">
        <v>0.54100000000000004</v>
      </c>
      <c r="V171" s="2">
        <v>-0.16300000000000001</v>
      </c>
      <c r="W171" s="2">
        <v>10.25</v>
      </c>
      <c r="X171" s="2">
        <v>9.68</v>
      </c>
      <c r="Y171" s="2">
        <v>2.3769999999999998</v>
      </c>
      <c r="Z171" s="2">
        <v>0</v>
      </c>
      <c r="AA171" s="2">
        <v>25.14</v>
      </c>
      <c r="AB171" s="2">
        <v>5.2919999999999998</v>
      </c>
      <c r="AC171" s="2">
        <v>1.4710000000000001</v>
      </c>
      <c r="AD171" s="2">
        <v>6.1269999999999998</v>
      </c>
      <c r="AE171" s="2">
        <v>17.16</v>
      </c>
      <c r="AF171" s="2">
        <v>42.78</v>
      </c>
      <c r="AG171" s="2">
        <v>0.72899999999999998</v>
      </c>
      <c r="AH171" s="2">
        <v>42.78</v>
      </c>
      <c r="AI171" s="2">
        <v>0.72899999999999998</v>
      </c>
      <c r="AJ171" s="2" t="s">
        <v>113</v>
      </c>
      <c r="AK171" s="2" t="s">
        <v>113</v>
      </c>
      <c r="AL171" s="2">
        <v>13.52</v>
      </c>
      <c r="AM171" s="2">
        <v>24.87</v>
      </c>
      <c r="AN171" s="2">
        <v>3.008</v>
      </c>
      <c r="AO171" s="2"/>
      <c r="AP171" s="2"/>
      <c r="AQ171" s="2"/>
      <c r="AR171" s="5">
        <v>33.32</v>
      </c>
      <c r="AS171" s="5">
        <v>25.14</v>
      </c>
      <c r="AT171" s="5">
        <v>5.29</v>
      </c>
      <c r="AU171" s="7">
        <f t="shared" si="99"/>
        <v>0.21</v>
      </c>
      <c r="AV171" s="16"/>
      <c r="AW171" s="29">
        <v>0</v>
      </c>
      <c r="AX171" s="29">
        <v>0</v>
      </c>
      <c r="AY171" s="1">
        <f t="shared" si="79"/>
        <v>96.6</v>
      </c>
      <c r="AZ171" s="1">
        <f t="shared" si="80"/>
        <v>58.8</v>
      </c>
      <c r="BA171" s="1">
        <f t="shared" si="81"/>
        <v>23.9</v>
      </c>
      <c r="BB171" s="8">
        <f t="shared" si="82"/>
        <v>0.59499999999999997</v>
      </c>
      <c r="BC171" s="8">
        <f t="shared" si="83"/>
        <v>1.895</v>
      </c>
      <c r="BE171" s="5">
        <f t="shared" si="88"/>
        <v>25.14</v>
      </c>
      <c r="BF171" s="5">
        <f t="shared" si="89"/>
        <v>5.29</v>
      </c>
      <c r="BG171" s="1">
        <f t="shared" si="106"/>
        <v>12.7</v>
      </c>
      <c r="BH171" s="1">
        <f t="shared" si="107"/>
        <v>21</v>
      </c>
      <c r="BI171" s="1">
        <f t="shared" si="108"/>
        <v>3.9</v>
      </c>
      <c r="BJ171" s="1">
        <f t="shared" si="90"/>
        <v>58.8</v>
      </c>
      <c r="BK171" s="1">
        <f t="shared" si="91"/>
        <v>23.9</v>
      </c>
      <c r="BL171" s="1">
        <f t="shared" si="100"/>
        <v>1.5</v>
      </c>
      <c r="BM171" s="1">
        <f t="shared" si="101"/>
        <v>6.1</v>
      </c>
      <c r="BN171" s="21">
        <f t="shared" si="92"/>
        <v>0</v>
      </c>
      <c r="BO171" s="7">
        <f t="shared" si="93"/>
        <v>0</v>
      </c>
      <c r="BP171" s="21" t="str">
        <f t="shared" si="87"/>
        <v>NAN</v>
      </c>
      <c r="BQ171" s="1">
        <f t="shared" si="94"/>
        <v>17.2</v>
      </c>
      <c r="BR171" s="1">
        <f t="shared" si="95"/>
        <v>42.8</v>
      </c>
      <c r="BS171" s="1">
        <f t="shared" si="96"/>
        <v>0.7</v>
      </c>
      <c r="BT171" s="1" t="s">
        <v>113</v>
      </c>
      <c r="BU171" s="1" t="s">
        <v>113</v>
      </c>
      <c r="BV171" s="1" t="s">
        <v>113</v>
      </c>
      <c r="BW171" s="1" t="str">
        <f t="shared" si="102"/>
        <v>NAN</v>
      </c>
      <c r="BX171" s="1">
        <f t="shared" si="103"/>
        <v>0.59499999999999997</v>
      </c>
      <c r="BY171" s="1">
        <f t="shared" si="104"/>
        <v>1.895</v>
      </c>
      <c r="CA171" s="1">
        <f t="shared" si="97"/>
        <v>21.799999999999997</v>
      </c>
      <c r="CB171" s="1">
        <f t="shared" si="98"/>
        <v>-3.2</v>
      </c>
    </row>
    <row r="172" spans="1:80" x14ac:dyDescent="0.2">
      <c r="A172" s="9">
        <f t="shared" si="105"/>
        <v>43632</v>
      </c>
      <c r="B172" s="2">
        <v>167</v>
      </c>
      <c r="C172" s="2">
        <v>21</v>
      </c>
      <c r="D172" s="2">
        <v>13.19</v>
      </c>
      <c r="E172" s="2">
        <v>26.87</v>
      </c>
      <c r="F172" s="2">
        <v>1.63</v>
      </c>
      <c r="G172" s="2">
        <v>13.01</v>
      </c>
      <c r="H172" s="2">
        <v>67.45</v>
      </c>
      <c r="I172" s="2">
        <v>13.02</v>
      </c>
      <c r="J172" s="2">
        <v>13.52</v>
      </c>
      <c r="K172" s="2">
        <v>14.17</v>
      </c>
      <c r="L172" s="2">
        <v>10.48</v>
      </c>
      <c r="M172" s="2">
        <v>21.25</v>
      </c>
      <c r="N172" s="2">
        <v>101.2</v>
      </c>
      <c r="O172" s="2">
        <v>29.84</v>
      </c>
      <c r="P172" s="2">
        <v>34.090000000000003</v>
      </c>
      <c r="Q172" s="2">
        <v>18.53</v>
      </c>
      <c r="R172" s="2">
        <v>11.31</v>
      </c>
      <c r="S172" s="2">
        <v>2.5099999999999998</v>
      </c>
      <c r="T172" s="2">
        <v>31.42</v>
      </c>
      <c r="U172" s="2">
        <v>-0.78100000000000003</v>
      </c>
      <c r="V172" s="2">
        <v>-1.9850000000000001</v>
      </c>
      <c r="W172" s="2">
        <v>9.0399999999999991</v>
      </c>
      <c r="X172" s="2">
        <v>10.15</v>
      </c>
      <c r="Y172" s="2">
        <v>2.3759999999999999</v>
      </c>
      <c r="Z172" s="2">
        <v>0</v>
      </c>
      <c r="AA172" s="2">
        <v>14.52</v>
      </c>
      <c r="AB172" s="2">
        <v>3.1259999999999999</v>
      </c>
      <c r="AC172" s="2">
        <v>1.054</v>
      </c>
      <c r="AD172" s="2">
        <v>5.6470000000000002</v>
      </c>
      <c r="AE172" s="2">
        <v>14.93</v>
      </c>
      <c r="AF172" s="2">
        <v>40.76</v>
      </c>
      <c r="AG172" s="2">
        <v>-0.86499999999999999</v>
      </c>
      <c r="AH172" s="2">
        <v>40.76</v>
      </c>
      <c r="AI172" s="2">
        <v>-0.86499999999999999</v>
      </c>
      <c r="AJ172" s="2" t="s">
        <v>113</v>
      </c>
      <c r="AK172" s="2" t="s">
        <v>113</v>
      </c>
      <c r="AL172" s="2">
        <v>13.23</v>
      </c>
      <c r="AM172" s="2">
        <v>24.37</v>
      </c>
      <c r="AN172" s="2">
        <v>1.635</v>
      </c>
      <c r="AO172" s="2"/>
      <c r="AP172" s="2"/>
      <c r="AQ172" s="2"/>
      <c r="AR172" s="5">
        <v>33.33</v>
      </c>
      <c r="AS172" s="5">
        <v>14.52</v>
      </c>
      <c r="AT172" s="5">
        <v>3.12</v>
      </c>
      <c r="AU172" s="7">
        <f t="shared" si="99"/>
        <v>0.215</v>
      </c>
      <c r="AV172" s="16"/>
      <c r="AW172" s="29">
        <v>0</v>
      </c>
      <c r="AX172" s="29">
        <v>0</v>
      </c>
      <c r="AY172" s="1">
        <f t="shared" si="79"/>
        <v>97.7</v>
      </c>
      <c r="AZ172" s="1">
        <f t="shared" si="80"/>
        <v>64.900000000000006</v>
      </c>
      <c r="BA172" s="1">
        <f t="shared" si="81"/>
        <v>30</v>
      </c>
      <c r="BB172" s="8">
        <f t="shared" si="82"/>
        <v>0.75700000000000001</v>
      </c>
      <c r="BC172" s="8">
        <f t="shared" si="83"/>
        <v>1.766</v>
      </c>
      <c r="BE172" s="5">
        <f t="shared" si="88"/>
        <v>14.52</v>
      </c>
      <c r="BF172" s="5">
        <f t="shared" si="89"/>
        <v>3.12</v>
      </c>
      <c r="BG172" s="1">
        <f t="shared" si="106"/>
        <v>13</v>
      </c>
      <c r="BH172" s="1">
        <f t="shared" si="107"/>
        <v>21.3</v>
      </c>
      <c r="BI172" s="1">
        <f t="shared" si="108"/>
        <v>2.5</v>
      </c>
      <c r="BJ172" s="1">
        <f t="shared" si="90"/>
        <v>64.900000000000006</v>
      </c>
      <c r="BK172" s="1">
        <f t="shared" si="91"/>
        <v>30</v>
      </c>
      <c r="BL172" s="1">
        <f t="shared" si="100"/>
        <v>1.1000000000000001</v>
      </c>
      <c r="BM172" s="1">
        <f t="shared" si="101"/>
        <v>5.6</v>
      </c>
      <c r="BN172" s="21">
        <f t="shared" si="92"/>
        <v>0</v>
      </c>
      <c r="BO172" s="7">
        <f t="shared" si="93"/>
        <v>0</v>
      </c>
      <c r="BP172" s="21" t="str">
        <f t="shared" si="87"/>
        <v>NAN</v>
      </c>
      <c r="BQ172" s="1">
        <f t="shared" si="94"/>
        <v>14.9</v>
      </c>
      <c r="BR172" s="1">
        <f t="shared" si="95"/>
        <v>40.799999999999997</v>
      </c>
      <c r="BS172" s="1">
        <f t="shared" si="96"/>
        <v>-0.9</v>
      </c>
      <c r="BT172" s="1" t="s">
        <v>113</v>
      </c>
      <c r="BU172" s="1" t="s">
        <v>113</v>
      </c>
      <c r="BV172" s="1" t="s">
        <v>113</v>
      </c>
      <c r="BW172" s="1" t="str">
        <f t="shared" si="102"/>
        <v>NAN</v>
      </c>
      <c r="BX172" s="1">
        <f t="shared" si="103"/>
        <v>0.75700000000000001</v>
      </c>
      <c r="BY172" s="1">
        <f t="shared" si="104"/>
        <v>1.766</v>
      </c>
      <c r="CA172" s="1">
        <f t="shared" si="97"/>
        <v>19.499999999999996</v>
      </c>
      <c r="CB172" s="1">
        <f t="shared" si="98"/>
        <v>-3.4</v>
      </c>
    </row>
    <row r="173" spans="1:80" x14ac:dyDescent="0.2">
      <c r="A173" s="9">
        <f t="shared" si="105"/>
        <v>43633</v>
      </c>
      <c r="B173" s="2">
        <v>168</v>
      </c>
      <c r="C173" s="2">
        <v>21</v>
      </c>
      <c r="D173" s="2">
        <v>13.22</v>
      </c>
      <c r="E173" s="2">
        <v>31.3</v>
      </c>
      <c r="F173" s="2">
        <v>3.1720000000000002</v>
      </c>
      <c r="G173" s="2">
        <v>14.77</v>
      </c>
      <c r="H173" s="2">
        <v>58.95</v>
      </c>
      <c r="I173" s="2">
        <v>15.93</v>
      </c>
      <c r="J173" s="2">
        <v>17.14</v>
      </c>
      <c r="K173" s="2">
        <v>16.100000000000001</v>
      </c>
      <c r="L173" s="2">
        <v>10.46</v>
      </c>
      <c r="M173" s="2">
        <v>22.69</v>
      </c>
      <c r="N173" s="2">
        <v>100.7</v>
      </c>
      <c r="O173" s="2">
        <v>31.95</v>
      </c>
      <c r="P173" s="2">
        <v>35.25</v>
      </c>
      <c r="Q173" s="2">
        <v>21.96</v>
      </c>
      <c r="R173" s="2">
        <v>11.37</v>
      </c>
      <c r="S173" s="2">
        <v>3.383</v>
      </c>
      <c r="T173" s="2">
        <v>29.81</v>
      </c>
      <c r="U173" s="2">
        <v>0.54300000000000004</v>
      </c>
      <c r="V173" s="2">
        <v>-0.57099999999999995</v>
      </c>
      <c r="W173" s="2">
        <v>9.1999999999999993</v>
      </c>
      <c r="X173" s="2">
        <v>9.76</v>
      </c>
      <c r="Y173" s="2">
        <v>2.375</v>
      </c>
      <c r="Z173" s="2">
        <v>0</v>
      </c>
      <c r="AA173" s="2">
        <v>29.42</v>
      </c>
      <c r="AB173" s="2">
        <v>6.2169999999999996</v>
      </c>
      <c r="AC173" s="2">
        <v>2.1120000000000001</v>
      </c>
      <c r="AD173" s="2">
        <v>7.33</v>
      </c>
      <c r="AE173" s="2">
        <v>20.010000000000002</v>
      </c>
      <c r="AF173" s="2">
        <v>44.37</v>
      </c>
      <c r="AG173" s="2">
        <v>0.24199999999999999</v>
      </c>
      <c r="AH173" s="2">
        <v>44.37</v>
      </c>
      <c r="AI173" s="2">
        <v>0.24199999999999999</v>
      </c>
      <c r="AJ173" s="2" t="s">
        <v>113</v>
      </c>
      <c r="AK173" s="2" t="s">
        <v>113</v>
      </c>
      <c r="AL173" s="2">
        <v>15.38</v>
      </c>
      <c r="AM173" s="2">
        <v>26.24</v>
      </c>
      <c r="AN173" s="2">
        <v>2.8210000000000002</v>
      </c>
      <c r="AO173" s="2"/>
      <c r="AP173" s="2"/>
      <c r="AQ173" s="2"/>
      <c r="AR173" s="5">
        <v>33.340000000000003</v>
      </c>
      <c r="AS173" s="5">
        <v>29.42</v>
      </c>
      <c r="AT173" s="5">
        <v>6.22</v>
      </c>
      <c r="AU173" s="7">
        <f t="shared" si="99"/>
        <v>0.21099999999999999</v>
      </c>
      <c r="AV173" s="16"/>
      <c r="AW173" s="29">
        <v>0</v>
      </c>
      <c r="AX173" s="29">
        <v>0</v>
      </c>
      <c r="AY173" s="1">
        <f t="shared" si="79"/>
        <v>97.2</v>
      </c>
      <c r="AZ173" s="1">
        <f t="shared" si="80"/>
        <v>56.7</v>
      </c>
      <c r="BA173" s="1">
        <f t="shared" si="81"/>
        <v>28.4</v>
      </c>
      <c r="BB173" s="8">
        <f t="shared" si="82"/>
        <v>0.78300000000000003</v>
      </c>
      <c r="BC173" s="8">
        <f t="shared" si="83"/>
        <v>1.974</v>
      </c>
      <c r="BE173" s="5">
        <f t="shared" si="88"/>
        <v>29.42</v>
      </c>
      <c r="BF173" s="5">
        <f t="shared" si="89"/>
        <v>6.22</v>
      </c>
      <c r="BG173" s="1">
        <f t="shared" si="106"/>
        <v>14.8</v>
      </c>
      <c r="BH173" s="1">
        <f t="shared" si="107"/>
        <v>22.7</v>
      </c>
      <c r="BI173" s="1">
        <f t="shared" si="108"/>
        <v>3.4</v>
      </c>
      <c r="BJ173" s="1">
        <f t="shared" si="90"/>
        <v>56.7</v>
      </c>
      <c r="BK173" s="1">
        <f t="shared" si="91"/>
        <v>28.4</v>
      </c>
      <c r="BL173" s="1">
        <f t="shared" si="100"/>
        <v>2.1</v>
      </c>
      <c r="BM173" s="1">
        <f t="shared" si="101"/>
        <v>7.3</v>
      </c>
      <c r="BN173" s="21">
        <f t="shared" si="92"/>
        <v>0</v>
      </c>
      <c r="BO173" s="7">
        <f t="shared" si="93"/>
        <v>0</v>
      </c>
      <c r="BP173" s="21" t="str">
        <f t="shared" si="87"/>
        <v>NAN</v>
      </c>
      <c r="BQ173" s="1">
        <f t="shared" si="94"/>
        <v>20</v>
      </c>
      <c r="BR173" s="1">
        <f t="shared" si="95"/>
        <v>44.4</v>
      </c>
      <c r="BS173" s="1">
        <f t="shared" si="96"/>
        <v>0.2</v>
      </c>
      <c r="BT173" s="1" t="s">
        <v>113</v>
      </c>
      <c r="BU173" s="1" t="s">
        <v>113</v>
      </c>
      <c r="BV173" s="1" t="s">
        <v>113</v>
      </c>
      <c r="BW173" s="1" t="str">
        <f t="shared" si="102"/>
        <v>NAN</v>
      </c>
      <c r="BX173" s="1">
        <f t="shared" si="103"/>
        <v>0.78300000000000003</v>
      </c>
      <c r="BY173" s="1">
        <f t="shared" si="104"/>
        <v>1.974</v>
      </c>
      <c r="CA173" s="1">
        <f t="shared" si="97"/>
        <v>21.7</v>
      </c>
      <c r="CB173" s="1">
        <f t="shared" si="98"/>
        <v>-3.1999999999999997</v>
      </c>
    </row>
    <row r="174" spans="1:80" x14ac:dyDescent="0.2">
      <c r="A174" s="9">
        <f t="shared" si="105"/>
        <v>43634</v>
      </c>
      <c r="B174" s="2">
        <v>169</v>
      </c>
      <c r="C174" s="2">
        <v>21</v>
      </c>
      <c r="D174" s="2">
        <v>13.2</v>
      </c>
      <c r="E174" s="2">
        <v>25.58</v>
      </c>
      <c r="F174" s="2">
        <v>4.2640000000000002</v>
      </c>
      <c r="G174" s="2">
        <v>11.91</v>
      </c>
      <c r="H174" s="2">
        <v>56.38</v>
      </c>
      <c r="I174" s="2">
        <v>13.07</v>
      </c>
      <c r="J174" s="2">
        <v>14.31</v>
      </c>
      <c r="K174" s="2">
        <v>15.74</v>
      </c>
      <c r="L174" s="2">
        <v>10.84</v>
      </c>
      <c r="M174" s="2">
        <v>18.190000000000001</v>
      </c>
      <c r="N174" s="2">
        <v>99.9</v>
      </c>
      <c r="O174" s="2">
        <v>28.44</v>
      </c>
      <c r="P174" s="2">
        <v>33.49</v>
      </c>
      <c r="Q174" s="2">
        <v>20.7</v>
      </c>
      <c r="R174" s="2">
        <v>11.57</v>
      </c>
      <c r="S174" s="2">
        <v>3.524</v>
      </c>
      <c r="T174" s="2">
        <v>27.02</v>
      </c>
      <c r="U174" s="2">
        <v>0.32600000000000001</v>
      </c>
      <c r="V174" s="2">
        <v>-0.88</v>
      </c>
      <c r="W174" s="2">
        <v>10.68</v>
      </c>
      <c r="X174" s="2">
        <v>10.46</v>
      </c>
      <c r="Y174" s="2">
        <v>2.3759999999999999</v>
      </c>
      <c r="Z174" s="2">
        <v>0</v>
      </c>
      <c r="AA174" s="2">
        <v>28.58</v>
      </c>
      <c r="AB174" s="2">
        <v>6.1130000000000004</v>
      </c>
      <c r="AC174" s="2">
        <v>2.64</v>
      </c>
      <c r="AD174" s="2">
        <v>8.69</v>
      </c>
      <c r="AE174" s="2">
        <v>17.3</v>
      </c>
      <c r="AF174" s="2">
        <v>44.14</v>
      </c>
      <c r="AG174" s="2">
        <v>-2E-3</v>
      </c>
      <c r="AH174" s="2">
        <v>44.14</v>
      </c>
      <c r="AI174" s="2">
        <v>-2E-3</v>
      </c>
      <c r="AJ174" s="2" t="s">
        <v>113</v>
      </c>
      <c r="AK174" s="2" t="s">
        <v>113</v>
      </c>
      <c r="AL174" s="2">
        <v>12.46</v>
      </c>
      <c r="AM174" s="2">
        <v>21.39</v>
      </c>
      <c r="AN174" s="2">
        <v>3.0289999999999999</v>
      </c>
      <c r="AO174" s="2"/>
      <c r="AP174" s="2"/>
      <c r="AQ174" s="2"/>
      <c r="AR174" s="5">
        <v>33.35</v>
      </c>
      <c r="AS174" s="5">
        <v>28.58</v>
      </c>
      <c r="AT174" s="5">
        <v>6.11</v>
      </c>
      <c r="AU174" s="7">
        <f t="shared" si="99"/>
        <v>0.214</v>
      </c>
      <c r="AV174" s="16"/>
      <c r="AW174" s="29">
        <v>0</v>
      </c>
      <c r="AX174" s="29">
        <v>0</v>
      </c>
      <c r="AY174" s="1">
        <f t="shared" si="79"/>
        <v>96.4</v>
      </c>
      <c r="AZ174" s="1">
        <f t="shared" si="80"/>
        <v>54.2</v>
      </c>
      <c r="BA174" s="1">
        <f t="shared" si="81"/>
        <v>25.7</v>
      </c>
      <c r="BB174" s="8">
        <f t="shared" si="82"/>
        <v>0.53700000000000003</v>
      </c>
      <c r="BC174" s="8">
        <f t="shared" si="83"/>
        <v>1.552</v>
      </c>
      <c r="BE174" s="5">
        <f t="shared" si="88"/>
        <v>28.58</v>
      </c>
      <c r="BF174" s="5">
        <f t="shared" si="89"/>
        <v>6.11</v>
      </c>
      <c r="BG174" s="1">
        <f t="shared" si="106"/>
        <v>11.9</v>
      </c>
      <c r="BH174" s="1">
        <f t="shared" si="107"/>
        <v>18.2</v>
      </c>
      <c r="BI174" s="1">
        <f t="shared" si="108"/>
        <v>3.5</v>
      </c>
      <c r="BJ174" s="1">
        <f t="shared" si="90"/>
        <v>54.2</v>
      </c>
      <c r="BK174" s="1">
        <f t="shared" si="91"/>
        <v>25.7</v>
      </c>
      <c r="BL174" s="1">
        <f t="shared" si="100"/>
        <v>2.6</v>
      </c>
      <c r="BM174" s="1">
        <f t="shared" si="101"/>
        <v>8.6999999999999993</v>
      </c>
      <c r="BN174" s="21">
        <f t="shared" si="92"/>
        <v>0</v>
      </c>
      <c r="BO174" s="7">
        <f t="shared" si="93"/>
        <v>0</v>
      </c>
      <c r="BP174" s="21" t="str">
        <f t="shared" si="87"/>
        <v>NAN</v>
      </c>
      <c r="BQ174" s="1">
        <f t="shared" si="94"/>
        <v>17.3</v>
      </c>
      <c r="BR174" s="1">
        <f t="shared" si="95"/>
        <v>44.1</v>
      </c>
      <c r="BS174" s="1">
        <f t="shared" si="96"/>
        <v>0</v>
      </c>
      <c r="BT174" s="1" t="s">
        <v>113</v>
      </c>
      <c r="BU174" s="1" t="s">
        <v>113</v>
      </c>
      <c r="BV174" s="1" t="s">
        <v>113</v>
      </c>
      <c r="BW174" s="1" t="str">
        <f t="shared" si="102"/>
        <v>NAN</v>
      </c>
      <c r="BX174" s="1">
        <f t="shared" si="103"/>
        <v>0.53700000000000003</v>
      </c>
      <c r="BY174" s="1">
        <f t="shared" si="104"/>
        <v>1.552</v>
      </c>
      <c r="CA174" s="1">
        <f t="shared" si="97"/>
        <v>25.900000000000002</v>
      </c>
      <c r="CB174" s="1">
        <f t="shared" si="98"/>
        <v>-3.5</v>
      </c>
    </row>
    <row r="175" spans="1:80" x14ac:dyDescent="0.2">
      <c r="A175" s="9">
        <f t="shared" si="105"/>
        <v>43635</v>
      </c>
      <c r="B175" s="2">
        <v>170</v>
      </c>
      <c r="C175" s="2">
        <v>21</v>
      </c>
      <c r="D175" s="2">
        <v>13.21</v>
      </c>
      <c r="E175" s="2">
        <v>15.75</v>
      </c>
      <c r="F175" s="2">
        <v>1.0509999999999999</v>
      </c>
      <c r="G175" s="2">
        <v>4.0190000000000001</v>
      </c>
      <c r="H175" s="2">
        <v>83.1</v>
      </c>
      <c r="I175" s="2">
        <v>4.6349999999999998</v>
      </c>
      <c r="J175" s="2">
        <v>5.8140000000000001</v>
      </c>
      <c r="K175" s="2">
        <v>10.87</v>
      </c>
      <c r="L175" s="2">
        <v>11.03</v>
      </c>
      <c r="M175" s="2">
        <v>8.5500000000000007</v>
      </c>
      <c r="N175" s="2">
        <v>99.7</v>
      </c>
      <c r="O175" s="2">
        <v>18.05</v>
      </c>
      <c r="P175" s="2">
        <v>21.45</v>
      </c>
      <c r="Q175" s="2">
        <v>13.87</v>
      </c>
      <c r="R175" s="2">
        <v>11.87</v>
      </c>
      <c r="S175" s="2">
        <v>0.315</v>
      </c>
      <c r="T175" s="2">
        <v>54.12</v>
      </c>
      <c r="U175" s="2">
        <v>-2.0110000000000001</v>
      </c>
      <c r="V175" s="2">
        <v>-4.0460000000000003</v>
      </c>
      <c r="W175" s="2">
        <v>7.58</v>
      </c>
      <c r="X175" s="2">
        <v>10.72</v>
      </c>
      <c r="Y175" s="2">
        <v>2.375</v>
      </c>
      <c r="Z175" s="2">
        <v>6.35</v>
      </c>
      <c r="AA175" s="2">
        <v>19.489999999999998</v>
      </c>
      <c r="AB175" s="2">
        <v>4.0590000000000002</v>
      </c>
      <c r="AC175" s="2">
        <v>2.2400000000000002</v>
      </c>
      <c r="AD175" s="2">
        <v>6.4740000000000002</v>
      </c>
      <c r="AE175" s="2">
        <v>7.42</v>
      </c>
      <c r="AF175" s="2">
        <v>24.31</v>
      </c>
      <c r="AG175" s="2">
        <v>-2.8029999999999999</v>
      </c>
      <c r="AH175" s="2">
        <v>24.31</v>
      </c>
      <c r="AI175" s="2">
        <v>-2.8029999999999999</v>
      </c>
      <c r="AJ175" s="2" t="s">
        <v>113</v>
      </c>
      <c r="AK175" s="2" t="s">
        <v>113</v>
      </c>
      <c r="AL175" s="2">
        <v>4.3929999999999998</v>
      </c>
      <c r="AM175" s="2">
        <v>11.16</v>
      </c>
      <c r="AN175" s="2">
        <v>0.20300000000000001</v>
      </c>
      <c r="AO175" s="2"/>
      <c r="AP175" s="2"/>
      <c r="AQ175" s="2"/>
      <c r="AR175" s="5">
        <v>33.35</v>
      </c>
      <c r="AS175" s="5">
        <v>19.489999999999998</v>
      </c>
      <c r="AT175" s="5">
        <v>4.0599999999999996</v>
      </c>
      <c r="AU175" s="7">
        <f t="shared" si="99"/>
        <v>0.20799999999999999</v>
      </c>
      <c r="AV175" s="16"/>
      <c r="AW175" s="29">
        <v>6.6040000000000001</v>
      </c>
      <c r="AX175" s="29">
        <v>0</v>
      </c>
      <c r="AY175" s="1">
        <f t="shared" si="79"/>
        <v>96.2</v>
      </c>
      <c r="AZ175" s="1">
        <f t="shared" si="80"/>
        <v>80.099999999999994</v>
      </c>
      <c r="BA175" s="1">
        <f t="shared" si="81"/>
        <v>52</v>
      </c>
      <c r="BB175" s="8">
        <f t="shared" si="82"/>
        <v>0.57899999999999996</v>
      </c>
      <c r="BC175" s="8">
        <f t="shared" si="83"/>
        <v>0.53400000000000003</v>
      </c>
      <c r="BE175" s="5">
        <f t="shared" si="88"/>
        <v>19.489999999999998</v>
      </c>
      <c r="BF175" s="5">
        <f t="shared" si="89"/>
        <v>4.0599999999999996</v>
      </c>
      <c r="BG175" s="1">
        <f t="shared" si="106"/>
        <v>4</v>
      </c>
      <c r="BH175" s="1">
        <f t="shared" si="107"/>
        <v>8.6</v>
      </c>
      <c r="BI175" s="1">
        <f t="shared" si="108"/>
        <v>0.3</v>
      </c>
      <c r="BJ175" s="1">
        <f t="shared" si="90"/>
        <v>80.099999999999994</v>
      </c>
      <c r="BK175" s="1">
        <f t="shared" si="91"/>
        <v>52</v>
      </c>
      <c r="BL175" s="1">
        <f t="shared" si="100"/>
        <v>2.2000000000000002</v>
      </c>
      <c r="BM175" s="1">
        <f t="shared" si="101"/>
        <v>6.5</v>
      </c>
      <c r="BN175" s="21">
        <f t="shared" si="92"/>
        <v>6.6040000000000001</v>
      </c>
      <c r="BO175" s="7">
        <f t="shared" si="93"/>
        <v>0</v>
      </c>
      <c r="BP175" s="21" t="str">
        <f t="shared" si="87"/>
        <v>NAN</v>
      </c>
      <c r="BQ175" s="1">
        <f t="shared" si="94"/>
        <v>7.4</v>
      </c>
      <c r="BR175" s="1">
        <f t="shared" si="95"/>
        <v>24.3</v>
      </c>
      <c r="BS175" s="1">
        <f t="shared" si="96"/>
        <v>-2.8</v>
      </c>
      <c r="BT175" s="1" t="s">
        <v>113</v>
      </c>
      <c r="BU175" s="1" t="s">
        <v>113</v>
      </c>
      <c r="BV175" s="1" t="s">
        <v>113</v>
      </c>
      <c r="BW175" s="1" t="str">
        <f t="shared" si="102"/>
        <v>NAN</v>
      </c>
      <c r="BX175" s="1">
        <f t="shared" si="103"/>
        <v>0.57899999999999996</v>
      </c>
      <c r="BY175" s="1">
        <f t="shared" si="104"/>
        <v>0.53400000000000003</v>
      </c>
      <c r="CA175" s="1">
        <f t="shared" si="97"/>
        <v>15.700000000000001</v>
      </c>
      <c r="CB175" s="1">
        <f t="shared" si="98"/>
        <v>-3.0999999999999996</v>
      </c>
    </row>
    <row r="176" spans="1:80" x14ac:dyDescent="0.2">
      <c r="A176" s="9">
        <f t="shared" si="105"/>
        <v>43636</v>
      </c>
      <c r="B176" s="2">
        <v>171</v>
      </c>
      <c r="C176" s="2">
        <v>21</v>
      </c>
      <c r="D176" s="2">
        <v>13.15</v>
      </c>
      <c r="E176" s="2">
        <v>5.4729999999999999</v>
      </c>
      <c r="F176" s="2">
        <v>0.90900000000000003</v>
      </c>
      <c r="G176" s="2">
        <v>2.0950000000000002</v>
      </c>
      <c r="H176" s="2">
        <v>95.6</v>
      </c>
      <c r="I176" s="2">
        <v>1.851</v>
      </c>
      <c r="J176" s="2">
        <v>2.1859999999999999</v>
      </c>
      <c r="K176" s="2">
        <v>6.1189999999999998</v>
      </c>
      <c r="L176" s="2">
        <v>10.47</v>
      </c>
      <c r="M176" s="2">
        <v>3.919</v>
      </c>
      <c r="N176" s="2">
        <v>101.6</v>
      </c>
      <c r="O176" s="2">
        <v>6.9</v>
      </c>
      <c r="P176" s="2">
        <v>9.34</v>
      </c>
      <c r="Q176" s="2">
        <v>7.78</v>
      </c>
      <c r="R176" s="2">
        <v>10.89</v>
      </c>
      <c r="S176" s="2">
        <v>0.64700000000000002</v>
      </c>
      <c r="T176" s="2">
        <v>80.900000000000006</v>
      </c>
      <c r="U176" s="2">
        <v>-0.24399999999999999</v>
      </c>
      <c r="V176" s="2">
        <v>-0.26100000000000001</v>
      </c>
      <c r="W176" s="2">
        <v>4.9710000000000001</v>
      </c>
      <c r="X176" s="2">
        <v>9.86</v>
      </c>
      <c r="Y176" s="2">
        <v>2.3820000000000001</v>
      </c>
      <c r="Z176" s="2">
        <v>19.05</v>
      </c>
      <c r="AA176" s="2">
        <v>6.0960000000000001</v>
      </c>
      <c r="AB176" s="2">
        <v>1.105</v>
      </c>
      <c r="AC176" s="2">
        <v>1.7929999999999999</v>
      </c>
      <c r="AD176" s="2">
        <v>6.5270000000000001</v>
      </c>
      <c r="AE176" s="2">
        <v>3.0979999999999999</v>
      </c>
      <c r="AF176" s="2">
        <v>10.66</v>
      </c>
      <c r="AG176" s="2">
        <v>0.21</v>
      </c>
      <c r="AH176" s="2">
        <v>10.66</v>
      </c>
      <c r="AI176" s="2">
        <v>0.21</v>
      </c>
      <c r="AJ176" s="2" t="s">
        <v>113</v>
      </c>
      <c r="AK176" s="2" t="s">
        <v>113</v>
      </c>
      <c r="AL176" s="2">
        <v>1.976</v>
      </c>
      <c r="AM176" s="2">
        <v>4.0010000000000003</v>
      </c>
      <c r="AN176" s="2">
        <v>0.497</v>
      </c>
      <c r="AO176" s="2"/>
      <c r="AP176" s="2"/>
      <c r="AQ176" s="2"/>
      <c r="AR176" s="5">
        <v>33.340000000000003</v>
      </c>
      <c r="AS176" s="5">
        <v>6.09</v>
      </c>
      <c r="AT176" s="5">
        <v>1.1000000000000001</v>
      </c>
      <c r="AU176" s="7">
        <f t="shared" si="99"/>
        <v>0.18099999999999999</v>
      </c>
      <c r="AV176" s="16"/>
      <c r="AW176" s="29">
        <v>18.795999999999999</v>
      </c>
      <c r="AX176" s="29">
        <v>0</v>
      </c>
      <c r="AY176" s="1">
        <f t="shared" si="79"/>
        <v>98.1</v>
      </c>
      <c r="AZ176" s="1">
        <f t="shared" si="80"/>
        <v>92.2</v>
      </c>
      <c r="BA176" s="1">
        <f t="shared" si="81"/>
        <v>78</v>
      </c>
      <c r="BB176" s="8">
        <f t="shared" si="82"/>
        <v>0.63</v>
      </c>
      <c r="BC176" s="8">
        <f t="shared" si="83"/>
        <v>0.17799999999999999</v>
      </c>
      <c r="BE176" s="5">
        <f t="shared" si="88"/>
        <v>6.09</v>
      </c>
      <c r="BF176" s="5">
        <f t="shared" si="89"/>
        <v>1.1000000000000001</v>
      </c>
      <c r="BG176" s="1">
        <f t="shared" si="106"/>
        <v>2.1</v>
      </c>
      <c r="BH176" s="1">
        <f t="shared" si="107"/>
        <v>3.9</v>
      </c>
      <c r="BI176" s="1">
        <f t="shared" si="108"/>
        <v>0.6</v>
      </c>
      <c r="BJ176" s="1">
        <f t="shared" si="90"/>
        <v>92.2</v>
      </c>
      <c r="BK176" s="1">
        <f t="shared" si="91"/>
        <v>78</v>
      </c>
      <c r="BL176" s="1">
        <f t="shared" si="100"/>
        <v>1.8</v>
      </c>
      <c r="BM176" s="1">
        <f t="shared" si="101"/>
        <v>6.5</v>
      </c>
      <c r="BN176" s="21">
        <f t="shared" si="92"/>
        <v>18.795999999999999</v>
      </c>
      <c r="BO176" s="7">
        <f t="shared" si="93"/>
        <v>0</v>
      </c>
      <c r="BP176" s="21" t="str">
        <f t="shared" si="87"/>
        <v>NAN</v>
      </c>
      <c r="BQ176" s="1">
        <f t="shared" si="94"/>
        <v>3.1</v>
      </c>
      <c r="BR176" s="1">
        <f t="shared" si="95"/>
        <v>10.7</v>
      </c>
      <c r="BS176" s="1">
        <f t="shared" si="96"/>
        <v>0.2</v>
      </c>
      <c r="BT176" s="1" t="s">
        <v>113</v>
      </c>
      <c r="BU176" s="1" t="s">
        <v>113</v>
      </c>
      <c r="BV176" s="1" t="s">
        <v>113</v>
      </c>
      <c r="BW176" s="1" t="str">
        <f t="shared" si="102"/>
        <v>NAN</v>
      </c>
      <c r="BX176" s="1">
        <f t="shared" si="103"/>
        <v>0.63</v>
      </c>
      <c r="BY176" s="1">
        <f t="shared" si="104"/>
        <v>0.17799999999999999</v>
      </c>
      <c r="CA176" s="1">
        <f t="shared" si="97"/>
        <v>6.7999999999999989</v>
      </c>
      <c r="CB176" s="1">
        <f t="shared" si="98"/>
        <v>-0.39999999999999997</v>
      </c>
    </row>
    <row r="177" spans="1:80" x14ac:dyDescent="0.2">
      <c r="A177" s="9">
        <f t="shared" si="105"/>
        <v>43637</v>
      </c>
      <c r="B177" s="2">
        <v>172</v>
      </c>
      <c r="C177" s="2">
        <v>21</v>
      </c>
      <c r="D177" s="2">
        <v>13.19</v>
      </c>
      <c r="E177" s="2">
        <v>20.94</v>
      </c>
      <c r="F177" s="2">
        <v>2.8029999999999999</v>
      </c>
      <c r="G177" s="2">
        <v>7.83</v>
      </c>
      <c r="H177" s="2">
        <v>84.1</v>
      </c>
      <c r="I177" s="2">
        <v>8.89</v>
      </c>
      <c r="J177" s="2">
        <v>10.1</v>
      </c>
      <c r="K177" s="2">
        <v>9.31</v>
      </c>
      <c r="L177" s="2">
        <v>9.43</v>
      </c>
      <c r="M177" s="2">
        <v>15.81</v>
      </c>
      <c r="N177" s="2">
        <v>101.3</v>
      </c>
      <c r="O177" s="2">
        <v>23.13</v>
      </c>
      <c r="P177" s="2">
        <v>25.71</v>
      </c>
      <c r="Q177" s="2">
        <v>13.77</v>
      </c>
      <c r="R177" s="2">
        <v>10.01</v>
      </c>
      <c r="S177" s="2">
        <v>3.0830000000000002</v>
      </c>
      <c r="T177" s="2">
        <v>49.74</v>
      </c>
      <c r="U177" s="2">
        <v>1.8520000000000001</v>
      </c>
      <c r="V177" s="2">
        <v>1.0089999999999999</v>
      </c>
      <c r="W177" s="2">
        <v>4.8049999999999997</v>
      </c>
      <c r="X177" s="2">
        <v>8.74</v>
      </c>
      <c r="Y177" s="2">
        <v>2.3860000000000001</v>
      </c>
      <c r="Z177" s="2">
        <v>0</v>
      </c>
      <c r="AA177" s="2">
        <v>26.39</v>
      </c>
      <c r="AB177" s="2">
        <v>5.36</v>
      </c>
      <c r="AC177" s="2">
        <v>3.2909999999999999</v>
      </c>
      <c r="AD177" s="2">
        <v>9.6199999999999992</v>
      </c>
      <c r="AE177" s="2">
        <v>10.57</v>
      </c>
      <c r="AF177" s="2">
        <v>26.67</v>
      </c>
      <c r="AG177" s="2">
        <v>1.625</v>
      </c>
      <c r="AH177" s="2">
        <v>26.67</v>
      </c>
      <c r="AI177" s="2">
        <v>1.625</v>
      </c>
      <c r="AJ177" s="2" t="s">
        <v>113</v>
      </c>
      <c r="AK177" s="2" t="s">
        <v>113</v>
      </c>
      <c r="AL177" s="2">
        <v>8.33</v>
      </c>
      <c r="AM177" s="2">
        <v>17.11</v>
      </c>
      <c r="AN177" s="2">
        <v>2.9350000000000001</v>
      </c>
      <c r="AO177" s="2"/>
      <c r="AP177" s="2"/>
      <c r="AQ177" s="2"/>
      <c r="AR177" s="5">
        <v>33.33</v>
      </c>
      <c r="AS177" s="5">
        <v>26.39</v>
      </c>
      <c r="AT177" s="5">
        <v>5.36</v>
      </c>
      <c r="AU177" s="7">
        <f t="shared" si="99"/>
        <v>0.20300000000000001</v>
      </c>
      <c r="AV177" s="16"/>
      <c r="AW177" s="29">
        <v>0</v>
      </c>
      <c r="AX177" s="29">
        <v>0</v>
      </c>
      <c r="AY177" s="1">
        <f t="shared" si="79"/>
        <v>97.8</v>
      </c>
      <c r="AZ177" s="1">
        <f t="shared" si="80"/>
        <v>81.099999999999994</v>
      </c>
      <c r="BA177" s="1">
        <f t="shared" si="81"/>
        <v>47.7</v>
      </c>
      <c r="BB177" s="8">
        <f t="shared" si="82"/>
        <v>0.85699999999999998</v>
      </c>
      <c r="BC177" s="8">
        <f t="shared" si="83"/>
        <v>0.94</v>
      </c>
      <c r="BE177" s="5">
        <f t="shared" si="88"/>
        <v>26.39</v>
      </c>
      <c r="BF177" s="5">
        <f t="shared" si="89"/>
        <v>5.36</v>
      </c>
      <c r="BG177" s="1">
        <f t="shared" si="106"/>
        <v>7.8</v>
      </c>
      <c r="BH177" s="1">
        <f t="shared" si="107"/>
        <v>15.8</v>
      </c>
      <c r="BI177" s="1">
        <f t="shared" si="108"/>
        <v>3.1</v>
      </c>
      <c r="BJ177" s="1">
        <f t="shared" si="90"/>
        <v>81.099999999999994</v>
      </c>
      <c r="BK177" s="1">
        <f t="shared" si="91"/>
        <v>47.7</v>
      </c>
      <c r="BL177" s="1">
        <f t="shared" si="100"/>
        <v>3.3</v>
      </c>
      <c r="BM177" s="1">
        <f t="shared" si="101"/>
        <v>9.6</v>
      </c>
      <c r="BN177" s="21">
        <f t="shared" si="92"/>
        <v>0</v>
      </c>
      <c r="BO177" s="7">
        <f t="shared" si="93"/>
        <v>0</v>
      </c>
      <c r="BP177" s="21" t="str">
        <f t="shared" si="87"/>
        <v>NAN</v>
      </c>
      <c r="BQ177" s="1">
        <f t="shared" si="94"/>
        <v>10.6</v>
      </c>
      <c r="BR177" s="1">
        <f t="shared" si="95"/>
        <v>26.7</v>
      </c>
      <c r="BS177" s="1">
        <f t="shared" si="96"/>
        <v>1.6</v>
      </c>
      <c r="BT177" s="1" t="s">
        <v>113</v>
      </c>
      <c r="BU177" s="1" t="s">
        <v>113</v>
      </c>
      <c r="BV177" s="1" t="s">
        <v>113</v>
      </c>
      <c r="BW177" s="1" t="str">
        <f t="shared" si="102"/>
        <v>NAN</v>
      </c>
      <c r="BX177" s="1">
        <f t="shared" si="103"/>
        <v>0.85699999999999998</v>
      </c>
      <c r="BY177" s="1">
        <f t="shared" si="104"/>
        <v>0.94</v>
      </c>
      <c r="CA177" s="1">
        <f t="shared" si="97"/>
        <v>10.899999999999999</v>
      </c>
      <c r="CB177" s="1">
        <f t="shared" si="98"/>
        <v>-1.5</v>
      </c>
    </row>
    <row r="178" spans="1:80" x14ac:dyDescent="0.2">
      <c r="A178" s="9">
        <f t="shared" si="105"/>
        <v>43638</v>
      </c>
      <c r="B178" s="2">
        <v>173</v>
      </c>
      <c r="C178" s="2">
        <v>21</v>
      </c>
      <c r="D178" s="2">
        <v>13.19</v>
      </c>
      <c r="E178" s="2">
        <v>22.63</v>
      </c>
      <c r="F178" s="2">
        <v>1.5880000000000001</v>
      </c>
      <c r="G178" s="2">
        <v>9.07</v>
      </c>
      <c r="H178" s="2">
        <v>79</v>
      </c>
      <c r="I178" s="2">
        <v>9.84</v>
      </c>
      <c r="J178" s="2">
        <v>10.19</v>
      </c>
      <c r="K178" s="2">
        <v>10.83</v>
      </c>
      <c r="L178" s="2">
        <v>9.26</v>
      </c>
      <c r="M178" s="2">
        <v>14.97</v>
      </c>
      <c r="N178" s="2">
        <v>102.3</v>
      </c>
      <c r="O178" s="2">
        <v>23.95</v>
      </c>
      <c r="P178" s="2">
        <v>28.68</v>
      </c>
      <c r="Q178" s="2">
        <v>14.88</v>
      </c>
      <c r="R178" s="2">
        <v>9.61</v>
      </c>
      <c r="S178" s="2">
        <v>1.9570000000000001</v>
      </c>
      <c r="T178" s="2">
        <v>45.73</v>
      </c>
      <c r="U178" s="2">
        <v>-0.59899999999999998</v>
      </c>
      <c r="V178" s="2">
        <v>-1.508</v>
      </c>
      <c r="W178" s="2">
        <v>6.0030000000000001</v>
      </c>
      <c r="X178" s="2">
        <v>8.9499999999999993</v>
      </c>
      <c r="Y178" s="2">
        <v>2.3849999999999998</v>
      </c>
      <c r="Z178" s="2">
        <v>0</v>
      </c>
      <c r="AA178" s="2">
        <v>21.28</v>
      </c>
      <c r="AB178" s="2">
        <v>4.6500000000000004</v>
      </c>
      <c r="AC178" s="2">
        <v>1.556</v>
      </c>
      <c r="AD178" s="2">
        <v>5.94</v>
      </c>
      <c r="AE178" s="2">
        <v>12.04</v>
      </c>
      <c r="AF178" s="2">
        <v>32.020000000000003</v>
      </c>
      <c r="AG178" s="2">
        <v>-0.47299999999999998</v>
      </c>
      <c r="AH178" s="2">
        <v>32.020000000000003</v>
      </c>
      <c r="AI178" s="2">
        <v>-0.47299999999999998</v>
      </c>
      <c r="AJ178" s="2" t="s">
        <v>113</v>
      </c>
      <c r="AK178" s="2" t="s">
        <v>113</v>
      </c>
      <c r="AL178" s="2">
        <v>9.39</v>
      </c>
      <c r="AM178" s="2">
        <v>16.62</v>
      </c>
      <c r="AN178" s="2">
        <v>1.4630000000000001</v>
      </c>
      <c r="AO178" s="2"/>
      <c r="AP178" s="2"/>
      <c r="AQ178" s="2"/>
      <c r="AR178" s="5">
        <v>33.32</v>
      </c>
      <c r="AS178" s="5">
        <v>21.28</v>
      </c>
      <c r="AT178" s="5">
        <v>4.6500000000000004</v>
      </c>
      <c r="AU178" s="7">
        <f t="shared" si="99"/>
        <v>0.219</v>
      </c>
      <c r="AV178" s="16"/>
      <c r="AW178" s="29">
        <v>0</v>
      </c>
      <c r="AX178" s="29">
        <v>0</v>
      </c>
      <c r="AY178" s="1">
        <f t="shared" si="79"/>
        <v>98.7</v>
      </c>
      <c r="AZ178" s="1">
        <f t="shared" si="80"/>
        <v>76.099999999999994</v>
      </c>
      <c r="BA178" s="1">
        <f t="shared" si="81"/>
        <v>43.9</v>
      </c>
      <c r="BB178" s="8">
        <f t="shared" si="82"/>
        <v>0.747</v>
      </c>
      <c r="BC178" s="8">
        <f t="shared" si="83"/>
        <v>0.95499999999999996</v>
      </c>
      <c r="BE178" s="5">
        <f t="shared" si="88"/>
        <v>21.28</v>
      </c>
      <c r="BF178" s="5">
        <f t="shared" si="89"/>
        <v>4.6500000000000004</v>
      </c>
      <c r="BG178" s="1">
        <f t="shared" si="106"/>
        <v>9.1</v>
      </c>
      <c r="BH178" s="1">
        <f t="shared" si="107"/>
        <v>15</v>
      </c>
      <c r="BI178" s="1">
        <f t="shared" si="108"/>
        <v>2</v>
      </c>
      <c r="BJ178" s="1">
        <f t="shared" si="90"/>
        <v>76.099999999999994</v>
      </c>
      <c r="BK178" s="1">
        <f t="shared" si="91"/>
        <v>43.9</v>
      </c>
      <c r="BL178" s="1">
        <f t="shared" si="100"/>
        <v>1.6</v>
      </c>
      <c r="BM178" s="1">
        <f t="shared" si="101"/>
        <v>5.9</v>
      </c>
      <c r="BN178" s="21">
        <f t="shared" si="92"/>
        <v>0</v>
      </c>
      <c r="BO178" s="7">
        <f t="shared" si="93"/>
        <v>0</v>
      </c>
      <c r="BP178" s="21" t="str">
        <f t="shared" si="87"/>
        <v>NAN</v>
      </c>
      <c r="BQ178" s="1">
        <f t="shared" si="94"/>
        <v>12</v>
      </c>
      <c r="BR178" s="1">
        <f t="shared" si="95"/>
        <v>32</v>
      </c>
      <c r="BS178" s="1">
        <f t="shared" si="96"/>
        <v>-0.5</v>
      </c>
      <c r="BT178" s="1" t="s">
        <v>113</v>
      </c>
      <c r="BU178" s="1" t="s">
        <v>113</v>
      </c>
      <c r="BV178" s="1" t="s">
        <v>113</v>
      </c>
      <c r="BW178" s="1" t="str">
        <f t="shared" si="102"/>
        <v>NAN</v>
      </c>
      <c r="BX178" s="1">
        <f t="shared" si="103"/>
        <v>0.747</v>
      </c>
      <c r="BY178" s="1">
        <f t="shared" si="104"/>
        <v>0.95499999999999996</v>
      </c>
      <c r="CA178" s="1">
        <f t="shared" si="97"/>
        <v>17</v>
      </c>
      <c r="CB178" s="1">
        <f t="shared" si="98"/>
        <v>-2.5</v>
      </c>
    </row>
    <row r="179" spans="1:80" x14ac:dyDescent="0.2">
      <c r="A179" s="9">
        <f t="shared" si="105"/>
        <v>43639</v>
      </c>
      <c r="B179" s="2">
        <v>174</v>
      </c>
      <c r="C179" s="2">
        <v>21</v>
      </c>
      <c r="D179" s="2">
        <v>13.19</v>
      </c>
      <c r="E179" s="2">
        <v>20.2</v>
      </c>
      <c r="F179" s="2">
        <v>5.5129999999999999</v>
      </c>
      <c r="G179" s="2">
        <v>7.8</v>
      </c>
      <c r="H179" s="2">
        <v>79</v>
      </c>
      <c r="I179" s="2">
        <v>8.68</v>
      </c>
      <c r="J179" s="2">
        <v>9.18</v>
      </c>
      <c r="K179" s="2">
        <v>10.26</v>
      </c>
      <c r="L179" s="2">
        <v>9.4</v>
      </c>
      <c r="M179" s="2">
        <v>13.64</v>
      </c>
      <c r="N179" s="2">
        <v>99.5</v>
      </c>
      <c r="O179" s="2">
        <v>21.66</v>
      </c>
      <c r="P179" s="2">
        <v>24.18</v>
      </c>
      <c r="Q179" s="2">
        <v>13.5</v>
      </c>
      <c r="R179" s="2">
        <v>9.82</v>
      </c>
      <c r="S179" s="2">
        <v>4.2380000000000004</v>
      </c>
      <c r="T179" s="2">
        <v>32.71</v>
      </c>
      <c r="U179" s="2">
        <v>3.2829999999999999</v>
      </c>
      <c r="V179" s="2">
        <v>2.8570000000000002</v>
      </c>
      <c r="W179" s="2">
        <v>8.11</v>
      </c>
      <c r="X179" s="2">
        <v>9.0399999999999991</v>
      </c>
      <c r="Y179" s="2">
        <v>2.3719999999999999</v>
      </c>
      <c r="Z179" s="2">
        <v>1.778</v>
      </c>
      <c r="AA179" s="2">
        <v>17.600000000000001</v>
      </c>
      <c r="AB179" s="2">
        <v>3.6280000000000001</v>
      </c>
      <c r="AC179" s="2">
        <v>1.958</v>
      </c>
      <c r="AD179" s="2">
        <v>6.2069999999999999</v>
      </c>
      <c r="AE179" s="2">
        <v>10.4</v>
      </c>
      <c r="AF179" s="2">
        <v>25.65</v>
      </c>
      <c r="AG179" s="2">
        <v>3.5230000000000001</v>
      </c>
      <c r="AH179" s="2">
        <v>25.65</v>
      </c>
      <c r="AI179" s="2">
        <v>3.5230000000000001</v>
      </c>
      <c r="AJ179" s="2" t="s">
        <v>113</v>
      </c>
      <c r="AK179" s="2" t="s">
        <v>113</v>
      </c>
      <c r="AL179" s="2">
        <v>8.1199999999999992</v>
      </c>
      <c r="AM179" s="2">
        <v>15.28</v>
      </c>
      <c r="AN179" s="2">
        <v>4.1879999999999997</v>
      </c>
      <c r="AO179" s="2"/>
      <c r="AP179" s="2"/>
      <c r="AQ179" s="2"/>
      <c r="AR179" s="5">
        <v>33.299999999999997</v>
      </c>
      <c r="AS179" s="5">
        <v>17.600000000000001</v>
      </c>
      <c r="AT179" s="5">
        <v>3.63</v>
      </c>
      <c r="AU179" s="7">
        <f t="shared" si="99"/>
        <v>0.20599999999999999</v>
      </c>
      <c r="AV179" s="16"/>
      <c r="AW179" s="29">
        <v>2.286</v>
      </c>
      <c r="AX179" s="29">
        <v>0</v>
      </c>
      <c r="AY179" s="1">
        <f t="shared" si="79"/>
        <v>96</v>
      </c>
      <c r="AZ179" s="1">
        <f t="shared" si="80"/>
        <v>76.099999999999994</v>
      </c>
      <c r="BA179" s="1">
        <f t="shared" si="81"/>
        <v>31.2</v>
      </c>
      <c r="BB179" s="8">
        <f t="shared" si="82"/>
        <v>0.48699999999999999</v>
      </c>
      <c r="BC179" s="8">
        <f t="shared" si="83"/>
        <v>1.0740000000000001</v>
      </c>
      <c r="BE179" s="5">
        <f t="shared" si="88"/>
        <v>17.600000000000001</v>
      </c>
      <c r="BF179" s="5">
        <f t="shared" si="89"/>
        <v>3.63</v>
      </c>
      <c r="BG179" s="1">
        <f t="shared" si="106"/>
        <v>7.8</v>
      </c>
      <c r="BH179" s="1">
        <f t="shared" si="107"/>
        <v>13.6</v>
      </c>
      <c r="BI179" s="1">
        <f t="shared" si="108"/>
        <v>4.2</v>
      </c>
      <c r="BJ179" s="1">
        <f t="shared" si="90"/>
        <v>76.099999999999994</v>
      </c>
      <c r="BK179" s="1">
        <f t="shared" si="91"/>
        <v>31.2</v>
      </c>
      <c r="BL179" s="1">
        <f t="shared" si="100"/>
        <v>2</v>
      </c>
      <c r="BM179" s="1">
        <f t="shared" si="101"/>
        <v>6.2</v>
      </c>
      <c r="BN179" s="21">
        <f t="shared" si="92"/>
        <v>2.286</v>
      </c>
      <c r="BO179" s="7">
        <f t="shared" si="93"/>
        <v>0</v>
      </c>
      <c r="BP179" s="21" t="str">
        <f t="shared" si="87"/>
        <v>NAN</v>
      </c>
      <c r="BQ179" s="1">
        <f t="shared" si="94"/>
        <v>10.4</v>
      </c>
      <c r="BR179" s="1">
        <f t="shared" si="95"/>
        <v>25.7</v>
      </c>
      <c r="BS179" s="1">
        <f t="shared" si="96"/>
        <v>3.5</v>
      </c>
      <c r="BT179" s="1" t="s">
        <v>113</v>
      </c>
      <c r="BU179" s="1" t="s">
        <v>113</v>
      </c>
      <c r="BV179" s="1" t="s">
        <v>113</v>
      </c>
      <c r="BW179" s="1" t="str">
        <f t="shared" si="102"/>
        <v>NAN</v>
      </c>
      <c r="BX179" s="1">
        <f t="shared" si="103"/>
        <v>0.48699999999999999</v>
      </c>
      <c r="BY179" s="1">
        <f t="shared" si="104"/>
        <v>1.0740000000000001</v>
      </c>
      <c r="CA179" s="1">
        <f t="shared" si="97"/>
        <v>12.1</v>
      </c>
      <c r="CB179" s="1">
        <f t="shared" si="98"/>
        <v>-0.70000000000000018</v>
      </c>
    </row>
    <row r="180" spans="1:80" x14ac:dyDescent="0.2">
      <c r="A180" s="9">
        <f t="shared" si="105"/>
        <v>43640</v>
      </c>
      <c r="B180" s="2">
        <v>175</v>
      </c>
      <c r="C180" s="2">
        <v>21</v>
      </c>
      <c r="D180" s="2">
        <v>13.21</v>
      </c>
      <c r="E180" s="2">
        <v>18.600000000000001</v>
      </c>
      <c r="F180" s="2">
        <v>1.8740000000000001</v>
      </c>
      <c r="G180" s="2">
        <v>6.0830000000000002</v>
      </c>
      <c r="H180" s="2">
        <v>87.5</v>
      </c>
      <c r="I180" s="2">
        <v>6.6660000000000004</v>
      </c>
      <c r="J180" s="2">
        <v>7.63</v>
      </c>
      <c r="K180" s="2">
        <v>9.7899999999999991</v>
      </c>
      <c r="L180" s="2">
        <v>9.43</v>
      </c>
      <c r="M180" s="2">
        <v>11.41</v>
      </c>
      <c r="N180" s="2">
        <v>101.6</v>
      </c>
      <c r="O180" s="2">
        <v>20.329999999999998</v>
      </c>
      <c r="P180" s="2">
        <v>26.87</v>
      </c>
      <c r="Q180" s="2">
        <v>13.58</v>
      </c>
      <c r="R180" s="2">
        <v>9.77</v>
      </c>
      <c r="S180" s="2">
        <v>6.7000000000000004E-2</v>
      </c>
      <c r="T180" s="2">
        <v>51.09</v>
      </c>
      <c r="U180" s="2">
        <v>-2.1240000000000001</v>
      </c>
      <c r="V180" s="2">
        <v>-2.5219999999999998</v>
      </c>
      <c r="W180" s="2">
        <v>7.14</v>
      </c>
      <c r="X180" s="2">
        <v>9.16</v>
      </c>
      <c r="Y180" s="2">
        <v>2.3769999999999998</v>
      </c>
      <c r="Z180" s="2">
        <v>5.3339999999999996</v>
      </c>
      <c r="AA180" s="2">
        <v>14.19</v>
      </c>
      <c r="AB180" s="2">
        <v>2.7610000000000001</v>
      </c>
      <c r="AC180" s="2">
        <v>1.1379999999999999</v>
      </c>
      <c r="AD180" s="2">
        <v>4.26</v>
      </c>
      <c r="AE180" s="2">
        <v>8.69</v>
      </c>
      <c r="AF180" s="2">
        <v>27.02</v>
      </c>
      <c r="AG180" s="2">
        <v>-0.92100000000000004</v>
      </c>
      <c r="AH180" s="2">
        <v>27.02</v>
      </c>
      <c r="AI180" s="2">
        <v>-0.92100000000000004</v>
      </c>
      <c r="AJ180" s="2" t="s">
        <v>113</v>
      </c>
      <c r="AK180" s="2" t="s">
        <v>113</v>
      </c>
      <c r="AL180" s="2">
        <v>6.516</v>
      </c>
      <c r="AM180" s="2">
        <v>14.91</v>
      </c>
      <c r="AN180" s="2">
        <v>-0.16300000000000001</v>
      </c>
      <c r="AO180" s="2"/>
      <c r="AP180" s="2"/>
      <c r="AQ180" s="2"/>
      <c r="AR180" s="5">
        <v>33.270000000000003</v>
      </c>
      <c r="AS180" s="5">
        <v>14.19</v>
      </c>
      <c r="AT180" s="5">
        <v>2.76</v>
      </c>
      <c r="AU180" s="7">
        <f t="shared" si="99"/>
        <v>0.19500000000000001</v>
      </c>
      <c r="AV180" s="16"/>
      <c r="AW180" s="29">
        <v>5.8419999999999996</v>
      </c>
      <c r="AX180" s="29">
        <v>0</v>
      </c>
      <c r="AY180" s="1">
        <f t="shared" si="79"/>
        <v>98.1</v>
      </c>
      <c r="AZ180" s="1">
        <f t="shared" si="80"/>
        <v>84.4</v>
      </c>
      <c r="BA180" s="1">
        <f t="shared" si="81"/>
        <v>49.1</v>
      </c>
      <c r="BB180" s="8">
        <f t="shared" si="82"/>
        <v>0.66200000000000003</v>
      </c>
      <c r="BC180" s="8">
        <f t="shared" si="83"/>
        <v>0.68600000000000005</v>
      </c>
      <c r="BE180" s="5">
        <f t="shared" si="88"/>
        <v>14.19</v>
      </c>
      <c r="BF180" s="5">
        <f t="shared" si="89"/>
        <v>2.76</v>
      </c>
      <c r="BG180" s="1">
        <f t="shared" si="106"/>
        <v>6.1</v>
      </c>
      <c r="BH180" s="1">
        <f t="shared" si="107"/>
        <v>11.4</v>
      </c>
      <c r="BI180" s="1">
        <f t="shared" si="108"/>
        <v>0.1</v>
      </c>
      <c r="BJ180" s="1">
        <f t="shared" si="90"/>
        <v>84.4</v>
      </c>
      <c r="BK180" s="1">
        <f t="shared" si="91"/>
        <v>49.1</v>
      </c>
      <c r="BL180" s="1">
        <f t="shared" si="100"/>
        <v>1.1000000000000001</v>
      </c>
      <c r="BM180" s="1">
        <f t="shared" si="101"/>
        <v>4.3</v>
      </c>
      <c r="BN180" s="21">
        <f t="shared" si="92"/>
        <v>5.8419999999999996</v>
      </c>
      <c r="BO180" s="7">
        <f t="shared" si="93"/>
        <v>0</v>
      </c>
      <c r="BP180" s="21" t="str">
        <f t="shared" si="87"/>
        <v>NAN</v>
      </c>
      <c r="BQ180" s="1">
        <f t="shared" si="94"/>
        <v>8.6999999999999993</v>
      </c>
      <c r="BR180" s="1">
        <f t="shared" si="95"/>
        <v>27</v>
      </c>
      <c r="BS180" s="1">
        <f t="shared" si="96"/>
        <v>-0.9</v>
      </c>
      <c r="BT180" s="1" t="s">
        <v>113</v>
      </c>
      <c r="BU180" s="1" t="s">
        <v>113</v>
      </c>
      <c r="BV180" s="1" t="s">
        <v>113</v>
      </c>
      <c r="BW180" s="1" t="str">
        <f t="shared" si="102"/>
        <v>NAN</v>
      </c>
      <c r="BX180" s="1">
        <f t="shared" si="103"/>
        <v>0.66200000000000003</v>
      </c>
      <c r="BY180" s="1">
        <f t="shared" si="104"/>
        <v>0.68600000000000005</v>
      </c>
      <c r="CA180" s="1">
        <f t="shared" si="97"/>
        <v>15.6</v>
      </c>
      <c r="CB180" s="1">
        <f t="shared" si="98"/>
        <v>-1</v>
      </c>
    </row>
    <row r="181" spans="1:80" x14ac:dyDescent="0.2">
      <c r="A181" s="9">
        <f t="shared" si="105"/>
        <v>43641</v>
      </c>
      <c r="B181" s="2">
        <v>176</v>
      </c>
      <c r="C181" s="2">
        <v>21</v>
      </c>
      <c r="D181" s="2">
        <v>13.2</v>
      </c>
      <c r="E181" s="2">
        <v>18.93</v>
      </c>
      <c r="F181" s="2">
        <v>-0.67200000000000004</v>
      </c>
      <c r="G181" s="2">
        <v>7.02</v>
      </c>
      <c r="H181" s="2">
        <v>79.8</v>
      </c>
      <c r="I181" s="2">
        <v>7.4</v>
      </c>
      <c r="J181" s="2">
        <v>8.09</v>
      </c>
      <c r="K181" s="2">
        <v>9.73</v>
      </c>
      <c r="L181" s="2">
        <v>9.33</v>
      </c>
      <c r="M181" s="2">
        <v>13.87</v>
      </c>
      <c r="N181" s="2">
        <v>102.4</v>
      </c>
      <c r="O181" s="2">
        <v>22.09</v>
      </c>
      <c r="P181" s="2">
        <v>28.08</v>
      </c>
      <c r="Q181" s="2">
        <v>13.87</v>
      </c>
      <c r="R181" s="2">
        <v>10.15</v>
      </c>
      <c r="S181" s="2">
        <v>-0.40799999999999997</v>
      </c>
      <c r="T181" s="2">
        <v>41.14</v>
      </c>
      <c r="U181" s="2">
        <v>-2.5049999999999999</v>
      </c>
      <c r="V181" s="2">
        <v>-3.2250000000000001</v>
      </c>
      <c r="W181" s="2">
        <v>4.875</v>
      </c>
      <c r="X181" s="2">
        <v>8.92</v>
      </c>
      <c r="Y181" s="2">
        <v>2.3809999999999998</v>
      </c>
      <c r="Z181" s="2">
        <v>0.50800000000000001</v>
      </c>
      <c r="AA181" s="2">
        <v>17.329999999999998</v>
      </c>
      <c r="AB181" s="2">
        <v>3.6640000000000001</v>
      </c>
      <c r="AC181" s="2">
        <v>1.071</v>
      </c>
      <c r="AD181" s="2">
        <v>5.0599999999999996</v>
      </c>
      <c r="AE181" s="2">
        <v>8.99</v>
      </c>
      <c r="AF181" s="2">
        <v>27.61</v>
      </c>
      <c r="AG181" s="2">
        <v>-1.611</v>
      </c>
      <c r="AH181" s="2">
        <v>27.61</v>
      </c>
      <c r="AI181" s="2">
        <v>-1.611</v>
      </c>
      <c r="AJ181" s="2" t="s">
        <v>113</v>
      </c>
      <c r="AK181" s="2" t="s">
        <v>113</v>
      </c>
      <c r="AL181" s="2">
        <v>7.67</v>
      </c>
      <c r="AM181" s="2">
        <v>17.190000000000001</v>
      </c>
      <c r="AN181" s="2">
        <v>-0.627</v>
      </c>
      <c r="AO181" s="2"/>
      <c r="AP181" s="2"/>
      <c r="AQ181" s="2"/>
      <c r="AR181" s="5">
        <v>33.25</v>
      </c>
      <c r="AS181" s="5">
        <v>17.329999999999998</v>
      </c>
      <c r="AT181" s="5">
        <v>3.66</v>
      </c>
      <c r="AU181" s="7">
        <f t="shared" si="99"/>
        <v>0.21099999999999999</v>
      </c>
      <c r="AV181" s="16"/>
      <c r="AW181" s="29">
        <v>0.50800000000000001</v>
      </c>
      <c r="AX181" s="29">
        <v>0</v>
      </c>
      <c r="AY181" s="1">
        <f t="shared" si="79"/>
        <v>98.8</v>
      </c>
      <c r="AZ181" s="1">
        <f t="shared" si="80"/>
        <v>76.900000000000006</v>
      </c>
      <c r="BA181" s="1">
        <f t="shared" si="81"/>
        <v>39.4</v>
      </c>
      <c r="BB181" s="8">
        <f t="shared" si="82"/>
        <v>0.624</v>
      </c>
      <c r="BC181" s="8">
        <f t="shared" si="83"/>
        <v>0.96</v>
      </c>
      <c r="BE181" s="5">
        <f t="shared" si="88"/>
        <v>17.329999999999998</v>
      </c>
      <c r="BF181" s="5">
        <f t="shared" si="89"/>
        <v>3.66</v>
      </c>
      <c r="BG181" s="1">
        <f t="shared" si="106"/>
        <v>7</v>
      </c>
      <c r="BH181" s="1">
        <f t="shared" si="107"/>
        <v>13.9</v>
      </c>
      <c r="BI181" s="1">
        <f t="shared" si="108"/>
        <v>-0.4</v>
      </c>
      <c r="BJ181" s="1">
        <f t="shared" si="90"/>
        <v>76.900000000000006</v>
      </c>
      <c r="BK181" s="1">
        <f t="shared" si="91"/>
        <v>39.4</v>
      </c>
      <c r="BL181" s="1">
        <f t="shared" si="100"/>
        <v>1.1000000000000001</v>
      </c>
      <c r="BM181" s="1">
        <f t="shared" si="101"/>
        <v>5.0999999999999996</v>
      </c>
      <c r="BN181" s="21">
        <f t="shared" si="92"/>
        <v>0.50800000000000001</v>
      </c>
      <c r="BO181" s="7">
        <f t="shared" si="93"/>
        <v>0</v>
      </c>
      <c r="BP181" s="21" t="str">
        <f t="shared" si="87"/>
        <v>NAN</v>
      </c>
      <c r="BQ181" s="1">
        <f t="shared" si="94"/>
        <v>9</v>
      </c>
      <c r="BR181" s="1">
        <f t="shared" si="95"/>
        <v>27.6</v>
      </c>
      <c r="BS181" s="1">
        <f t="shared" si="96"/>
        <v>-1.6</v>
      </c>
      <c r="BT181" s="1" t="s">
        <v>113</v>
      </c>
      <c r="BU181" s="1" t="s">
        <v>113</v>
      </c>
      <c r="BV181" s="1" t="s">
        <v>113</v>
      </c>
      <c r="BW181" s="1" t="str">
        <f t="shared" si="102"/>
        <v>NAN</v>
      </c>
      <c r="BX181" s="1">
        <f t="shared" si="103"/>
        <v>0.624</v>
      </c>
      <c r="BY181" s="1">
        <f t="shared" si="104"/>
        <v>0.96</v>
      </c>
      <c r="CA181" s="1">
        <f t="shared" si="97"/>
        <v>13.700000000000001</v>
      </c>
      <c r="CB181" s="1">
        <f t="shared" si="98"/>
        <v>-1.2000000000000002</v>
      </c>
    </row>
    <row r="182" spans="1:80" x14ac:dyDescent="0.2">
      <c r="A182" s="9">
        <f t="shared" si="105"/>
        <v>43642</v>
      </c>
      <c r="B182" s="2">
        <v>177</v>
      </c>
      <c r="C182" s="2">
        <v>21</v>
      </c>
      <c r="D182" s="2">
        <v>13.21</v>
      </c>
      <c r="E182" s="2">
        <v>25.75</v>
      </c>
      <c r="F182" s="2">
        <v>-1.0429999999999999</v>
      </c>
      <c r="G182" s="2">
        <v>9.7200000000000006</v>
      </c>
      <c r="H182" s="2">
        <v>69.89</v>
      </c>
      <c r="I182" s="2">
        <v>10.88</v>
      </c>
      <c r="J182" s="2">
        <v>11.97</v>
      </c>
      <c r="K182" s="2">
        <v>11.46</v>
      </c>
      <c r="L182" s="2">
        <v>9.17</v>
      </c>
      <c r="M182" s="2">
        <v>16.899999999999999</v>
      </c>
      <c r="N182" s="2">
        <v>102.1</v>
      </c>
      <c r="O182" s="2">
        <v>26.31</v>
      </c>
      <c r="P182" s="2">
        <v>29.99</v>
      </c>
      <c r="Q182" s="2">
        <v>16.829999999999998</v>
      </c>
      <c r="R182" s="2">
        <v>10.039999999999999</v>
      </c>
      <c r="S182" s="2">
        <v>-1.137</v>
      </c>
      <c r="T182" s="2">
        <v>33.69</v>
      </c>
      <c r="U182" s="2">
        <v>-3.28</v>
      </c>
      <c r="V182" s="2">
        <v>-3.6709999999999998</v>
      </c>
      <c r="W182" s="2">
        <v>5.3410000000000002</v>
      </c>
      <c r="X182" s="2">
        <v>8.61</v>
      </c>
      <c r="Y182" s="2">
        <v>2.371</v>
      </c>
      <c r="Z182" s="2">
        <v>4.5720000000000001</v>
      </c>
      <c r="AA182" s="2">
        <v>24.29</v>
      </c>
      <c r="AB182" s="2">
        <v>5.2220000000000004</v>
      </c>
      <c r="AC182" s="2">
        <v>1.4279999999999999</v>
      </c>
      <c r="AD182" s="2">
        <v>5.0599999999999996</v>
      </c>
      <c r="AE182" s="2">
        <v>13.42</v>
      </c>
      <c r="AF182" s="2">
        <v>35.07</v>
      </c>
      <c r="AG182" s="2">
        <v>-2.6520000000000001</v>
      </c>
      <c r="AH182" s="2">
        <v>35.07</v>
      </c>
      <c r="AI182" s="2">
        <v>-2.6520000000000001</v>
      </c>
      <c r="AJ182" s="2" t="s">
        <v>113</v>
      </c>
      <c r="AK182" s="2" t="s">
        <v>113</v>
      </c>
      <c r="AL182" s="2">
        <v>10.56</v>
      </c>
      <c r="AM182" s="2">
        <v>21.57</v>
      </c>
      <c r="AN182" s="2">
        <v>-1.667</v>
      </c>
      <c r="AO182" s="2"/>
      <c r="AP182" s="2"/>
      <c r="AQ182" s="2"/>
      <c r="AR182" s="5">
        <v>33.22</v>
      </c>
      <c r="AS182" s="5">
        <v>24.29</v>
      </c>
      <c r="AT182" s="5">
        <v>5.22</v>
      </c>
      <c r="AU182" s="7">
        <f t="shared" si="99"/>
        <v>0.215</v>
      </c>
      <c r="AV182" s="16"/>
      <c r="AW182" s="29">
        <v>5.5880000000000001</v>
      </c>
      <c r="AX182" s="29">
        <v>0</v>
      </c>
      <c r="AY182" s="1">
        <f t="shared" si="79"/>
        <v>98.5</v>
      </c>
      <c r="AZ182" s="1">
        <f t="shared" si="80"/>
        <v>67.3</v>
      </c>
      <c r="BA182" s="1">
        <f t="shared" si="81"/>
        <v>32.200000000000003</v>
      </c>
      <c r="BB182" s="8">
        <f t="shared" si="82"/>
        <v>0.62</v>
      </c>
      <c r="BC182" s="8">
        <f t="shared" si="83"/>
        <v>1.3049999999999999</v>
      </c>
      <c r="BE182" s="5">
        <f t="shared" si="88"/>
        <v>24.29</v>
      </c>
      <c r="BF182" s="5">
        <f t="shared" si="89"/>
        <v>5.22</v>
      </c>
      <c r="BG182" s="1">
        <f t="shared" si="106"/>
        <v>9.6999999999999993</v>
      </c>
      <c r="BH182" s="1">
        <f t="shared" si="107"/>
        <v>16.899999999999999</v>
      </c>
      <c r="BI182" s="1">
        <f t="shared" si="108"/>
        <v>-1.1000000000000001</v>
      </c>
      <c r="BJ182" s="1">
        <f t="shared" si="90"/>
        <v>67.3</v>
      </c>
      <c r="BK182" s="1">
        <f t="shared" si="91"/>
        <v>32.200000000000003</v>
      </c>
      <c r="BL182" s="1">
        <f t="shared" si="100"/>
        <v>1.4</v>
      </c>
      <c r="BM182" s="1">
        <f t="shared" si="101"/>
        <v>5.0999999999999996</v>
      </c>
      <c r="BN182" s="21">
        <f t="shared" si="92"/>
        <v>5.5880000000000001</v>
      </c>
      <c r="BO182" s="7">
        <f t="shared" si="93"/>
        <v>0</v>
      </c>
      <c r="BP182" s="21" t="str">
        <f t="shared" si="87"/>
        <v>NAN</v>
      </c>
      <c r="BQ182" s="1">
        <f t="shared" si="94"/>
        <v>13.4</v>
      </c>
      <c r="BR182" s="1">
        <f t="shared" si="95"/>
        <v>35.1</v>
      </c>
      <c r="BS182" s="1">
        <f t="shared" si="96"/>
        <v>-2.7</v>
      </c>
      <c r="BT182" s="1" t="s">
        <v>113</v>
      </c>
      <c r="BU182" s="1" t="s">
        <v>113</v>
      </c>
      <c r="BV182" s="1" t="s">
        <v>113</v>
      </c>
      <c r="BW182" s="1" t="str">
        <f t="shared" si="102"/>
        <v>NAN</v>
      </c>
      <c r="BX182" s="1">
        <f t="shared" si="103"/>
        <v>0.62</v>
      </c>
      <c r="BY182" s="1">
        <f t="shared" si="104"/>
        <v>1.3049999999999999</v>
      </c>
      <c r="CA182" s="1">
        <f t="shared" si="97"/>
        <v>18.200000000000003</v>
      </c>
      <c r="CB182" s="1">
        <f t="shared" si="98"/>
        <v>-1.6</v>
      </c>
    </row>
    <row r="183" spans="1:80" x14ac:dyDescent="0.2">
      <c r="A183" s="9">
        <f t="shared" si="105"/>
        <v>43643</v>
      </c>
      <c r="B183" s="2">
        <v>178</v>
      </c>
      <c r="C183" s="2">
        <v>21</v>
      </c>
      <c r="D183" s="2">
        <v>13.17</v>
      </c>
      <c r="E183" s="2">
        <v>19.649999999999999</v>
      </c>
      <c r="F183" s="2">
        <v>4.8680000000000003</v>
      </c>
      <c r="G183" s="2">
        <v>8.43</v>
      </c>
      <c r="H183" s="2">
        <v>82.9</v>
      </c>
      <c r="I183" s="2">
        <v>9.1199999999999992</v>
      </c>
      <c r="J183" s="2">
        <v>10.029999999999999</v>
      </c>
      <c r="K183" s="2">
        <v>11.39</v>
      </c>
      <c r="L183" s="2">
        <v>9.4600000000000009</v>
      </c>
      <c r="M183" s="2">
        <v>15.02</v>
      </c>
      <c r="N183" s="2">
        <v>101.5</v>
      </c>
      <c r="O183" s="2">
        <v>22.97</v>
      </c>
      <c r="P183" s="2">
        <v>26.14</v>
      </c>
      <c r="Q183" s="2">
        <v>14.95</v>
      </c>
      <c r="R183" s="2">
        <v>10.039999999999999</v>
      </c>
      <c r="S183" s="2">
        <v>4.03</v>
      </c>
      <c r="T183" s="2">
        <v>42.6</v>
      </c>
      <c r="U183" s="2">
        <v>3.6429999999999998</v>
      </c>
      <c r="V183" s="2">
        <v>4.0149999999999997</v>
      </c>
      <c r="W183" s="2">
        <v>8.67</v>
      </c>
      <c r="X183" s="2">
        <v>9.14</v>
      </c>
      <c r="Y183" s="2">
        <v>2.3759999999999999</v>
      </c>
      <c r="Z183" s="2">
        <v>10.41</v>
      </c>
      <c r="AA183" s="2">
        <v>16.54</v>
      </c>
      <c r="AB183" s="2">
        <v>3.3879999999999999</v>
      </c>
      <c r="AC183" s="2">
        <v>1.484</v>
      </c>
      <c r="AD183" s="2">
        <v>4.1539999999999999</v>
      </c>
      <c r="AE183" s="2">
        <v>11.16</v>
      </c>
      <c r="AF183" s="2">
        <v>27.47</v>
      </c>
      <c r="AG183" s="2">
        <v>4.9320000000000004</v>
      </c>
      <c r="AH183" s="2">
        <v>27.47</v>
      </c>
      <c r="AI183" s="2">
        <v>4.9320000000000004</v>
      </c>
      <c r="AJ183" s="2" t="s">
        <v>113</v>
      </c>
      <c r="AK183" s="2" t="s">
        <v>113</v>
      </c>
      <c r="AL183" s="2">
        <v>8.75</v>
      </c>
      <c r="AM183" s="2">
        <v>17.07</v>
      </c>
      <c r="AN183" s="2">
        <v>3.9940000000000002</v>
      </c>
      <c r="AO183" s="2"/>
      <c r="AP183" s="2"/>
      <c r="AR183" s="5">
        <v>33.18</v>
      </c>
      <c r="AS183" s="5">
        <v>16.54</v>
      </c>
      <c r="AT183" s="5">
        <v>3.39</v>
      </c>
      <c r="AU183" s="7">
        <f t="shared" si="99"/>
        <v>0.20499999999999999</v>
      </c>
      <c r="AV183" s="16"/>
      <c r="AW183" s="29">
        <v>11.938000000000001</v>
      </c>
      <c r="AX183" s="29">
        <v>0</v>
      </c>
      <c r="AY183" s="1">
        <f t="shared" si="79"/>
        <v>98</v>
      </c>
      <c r="AZ183" s="1">
        <f t="shared" si="80"/>
        <v>79.900000000000006</v>
      </c>
      <c r="BA183" s="1">
        <f t="shared" si="81"/>
        <v>40.799999999999997</v>
      </c>
      <c r="BB183" s="8">
        <f t="shared" si="82"/>
        <v>0.69599999999999995</v>
      </c>
      <c r="BC183" s="8">
        <f t="shared" si="83"/>
        <v>1.01</v>
      </c>
      <c r="BE183" s="5">
        <f t="shared" si="88"/>
        <v>16.54</v>
      </c>
      <c r="BF183" s="5">
        <f t="shared" si="89"/>
        <v>3.39</v>
      </c>
      <c r="BG183" s="1">
        <f t="shared" si="106"/>
        <v>8.4</v>
      </c>
      <c r="BH183" s="1">
        <f t="shared" si="107"/>
        <v>15</v>
      </c>
      <c r="BI183" s="1">
        <f t="shared" si="108"/>
        <v>4</v>
      </c>
      <c r="BJ183" s="1">
        <f t="shared" si="90"/>
        <v>79.900000000000006</v>
      </c>
      <c r="BK183" s="1">
        <f t="shared" si="91"/>
        <v>40.799999999999997</v>
      </c>
      <c r="BL183" s="1">
        <f t="shared" si="100"/>
        <v>1.5</v>
      </c>
      <c r="BM183" s="1">
        <f t="shared" si="101"/>
        <v>4.2</v>
      </c>
      <c r="BN183" s="21">
        <f t="shared" si="92"/>
        <v>11.938000000000001</v>
      </c>
      <c r="BO183" s="7">
        <f t="shared" si="93"/>
        <v>0</v>
      </c>
      <c r="BP183" s="21" t="str">
        <f t="shared" si="87"/>
        <v>NAN</v>
      </c>
      <c r="BQ183" s="1">
        <f t="shared" si="94"/>
        <v>11.2</v>
      </c>
      <c r="BR183" s="1">
        <f t="shared" si="95"/>
        <v>27.5</v>
      </c>
      <c r="BS183" s="1">
        <f t="shared" si="96"/>
        <v>4.9000000000000004</v>
      </c>
      <c r="BT183" s="1" t="s">
        <v>113</v>
      </c>
      <c r="BU183" s="1" t="s">
        <v>113</v>
      </c>
      <c r="BV183" s="1" t="s">
        <v>113</v>
      </c>
      <c r="BW183" s="1" t="str">
        <f t="shared" si="102"/>
        <v>NAN</v>
      </c>
      <c r="BX183" s="1">
        <f t="shared" si="103"/>
        <v>0.69599999999999995</v>
      </c>
      <c r="BY183" s="1">
        <f t="shared" si="104"/>
        <v>1.01</v>
      </c>
      <c r="CA183" s="1">
        <f t="shared" si="97"/>
        <v>12.5</v>
      </c>
      <c r="CB183" s="1">
        <f t="shared" si="98"/>
        <v>0.90000000000000036</v>
      </c>
    </row>
    <row r="184" spans="1:80" x14ac:dyDescent="0.2">
      <c r="A184" s="9">
        <f t="shared" si="105"/>
        <v>43644</v>
      </c>
      <c r="B184" s="2">
        <v>179</v>
      </c>
      <c r="C184" s="2">
        <v>21</v>
      </c>
      <c r="D184" s="2">
        <v>13.21</v>
      </c>
      <c r="E184" s="2">
        <v>21.84</v>
      </c>
      <c r="F184" s="2">
        <v>0.745</v>
      </c>
      <c r="G184" s="2">
        <v>6.7290000000000001</v>
      </c>
      <c r="H184" s="2">
        <v>84.9</v>
      </c>
      <c r="I184" s="2">
        <v>7.78</v>
      </c>
      <c r="J184" s="2">
        <v>9.42</v>
      </c>
      <c r="K184" s="2">
        <v>11.21</v>
      </c>
      <c r="L184" s="2">
        <v>9.59</v>
      </c>
      <c r="M184" s="2">
        <v>13.25</v>
      </c>
      <c r="N184" s="2">
        <v>101.6</v>
      </c>
      <c r="O184" s="2">
        <v>22.45</v>
      </c>
      <c r="P184" s="2">
        <v>25.75</v>
      </c>
      <c r="Q184" s="2">
        <v>15.65</v>
      </c>
      <c r="R184" s="2">
        <v>10.28</v>
      </c>
      <c r="S184" s="2">
        <v>-0.77</v>
      </c>
      <c r="T184" s="2">
        <v>44.13</v>
      </c>
      <c r="U184" s="2">
        <v>-2.3079999999999998</v>
      </c>
      <c r="V184" s="2">
        <v>-2.4769999999999999</v>
      </c>
      <c r="W184" s="2">
        <v>7.68</v>
      </c>
      <c r="X184" s="2">
        <v>8.9499999999999993</v>
      </c>
      <c r="Y184" s="2">
        <v>2.3759999999999999</v>
      </c>
      <c r="Z184" s="2">
        <v>1.016</v>
      </c>
      <c r="AA184" s="2">
        <v>25.04</v>
      </c>
      <c r="AB184" s="2">
        <v>5.0739999999999998</v>
      </c>
      <c r="AC184" s="2">
        <v>1.3720000000000001</v>
      </c>
      <c r="AD184" s="2">
        <v>5.1139999999999999</v>
      </c>
      <c r="AE184" s="2">
        <v>11.17</v>
      </c>
      <c r="AF184" s="2">
        <v>28.41</v>
      </c>
      <c r="AG184" s="2">
        <v>-1.0049999999999999</v>
      </c>
      <c r="AH184" s="2">
        <v>28.41</v>
      </c>
      <c r="AI184" s="2">
        <v>-1.0049999999999999</v>
      </c>
      <c r="AJ184" s="2" t="s">
        <v>113</v>
      </c>
      <c r="AK184" s="2" t="s">
        <v>113</v>
      </c>
      <c r="AL184" s="2">
        <v>7.24</v>
      </c>
      <c r="AM184" s="2">
        <v>15.8</v>
      </c>
      <c r="AN184" s="2">
        <v>-0.79800000000000004</v>
      </c>
      <c r="AO184" s="2"/>
      <c r="AP184" s="2"/>
      <c r="AR184" s="5">
        <v>33.14</v>
      </c>
      <c r="AS184" s="5">
        <v>25.04</v>
      </c>
      <c r="AT184" s="5">
        <v>5.07</v>
      </c>
      <c r="AU184" s="7">
        <f t="shared" si="99"/>
        <v>0.20200000000000001</v>
      </c>
      <c r="AV184" s="16"/>
      <c r="AW184" s="29">
        <v>1.27</v>
      </c>
      <c r="AX184" s="29">
        <v>0</v>
      </c>
      <c r="AY184" s="1">
        <f t="shared" si="79"/>
        <v>98.1</v>
      </c>
      <c r="AZ184" s="1">
        <f t="shared" si="80"/>
        <v>81.900000000000006</v>
      </c>
      <c r="BA184" s="1">
        <f t="shared" si="81"/>
        <v>42.3</v>
      </c>
      <c r="BB184" s="8">
        <f t="shared" si="82"/>
        <v>0.64400000000000002</v>
      </c>
      <c r="BC184" s="8">
        <f t="shared" si="83"/>
        <v>0.878</v>
      </c>
      <c r="BE184" s="5">
        <f t="shared" si="88"/>
        <v>25.04</v>
      </c>
      <c r="BF184" s="5">
        <f t="shared" si="89"/>
        <v>5.07</v>
      </c>
      <c r="BG184" s="1">
        <f t="shared" si="106"/>
        <v>6.7</v>
      </c>
      <c r="BH184" s="1">
        <f t="shared" si="107"/>
        <v>13.3</v>
      </c>
      <c r="BI184" s="1">
        <f t="shared" si="108"/>
        <v>-0.8</v>
      </c>
      <c r="BJ184" s="1">
        <f t="shared" si="90"/>
        <v>81.900000000000006</v>
      </c>
      <c r="BK184" s="1">
        <f t="shared" si="91"/>
        <v>42.3</v>
      </c>
      <c r="BL184" s="1">
        <f t="shared" si="100"/>
        <v>1.4</v>
      </c>
      <c r="BM184" s="1">
        <f t="shared" si="101"/>
        <v>5.0999999999999996</v>
      </c>
      <c r="BN184" s="21">
        <f t="shared" si="92"/>
        <v>1.27</v>
      </c>
      <c r="BO184" s="7">
        <f t="shared" si="93"/>
        <v>0</v>
      </c>
      <c r="BP184" s="21" t="str">
        <f t="shared" si="87"/>
        <v>NAN</v>
      </c>
      <c r="BQ184" s="1">
        <f t="shared" si="94"/>
        <v>11.2</v>
      </c>
      <c r="BR184" s="1">
        <f t="shared" si="95"/>
        <v>28.4</v>
      </c>
      <c r="BS184" s="1">
        <f t="shared" si="96"/>
        <v>-1</v>
      </c>
      <c r="BT184" s="1" t="s">
        <v>113</v>
      </c>
      <c r="BU184" s="1" t="s">
        <v>113</v>
      </c>
      <c r="BV184" s="1" t="s">
        <v>113</v>
      </c>
      <c r="BW184" s="1" t="str">
        <f t="shared" si="102"/>
        <v>NAN</v>
      </c>
      <c r="BX184" s="1">
        <f t="shared" si="103"/>
        <v>0.64400000000000002</v>
      </c>
      <c r="BY184" s="1">
        <f t="shared" si="104"/>
        <v>0.878</v>
      </c>
      <c r="CA184" s="1">
        <f t="shared" si="97"/>
        <v>15.099999999999998</v>
      </c>
      <c r="CB184" s="1">
        <f t="shared" si="98"/>
        <v>-0.19999999999999996</v>
      </c>
    </row>
    <row r="185" spans="1:80" x14ac:dyDescent="0.2">
      <c r="A185" s="9">
        <f t="shared" si="105"/>
        <v>43645</v>
      </c>
      <c r="B185" s="2">
        <v>180</v>
      </c>
      <c r="C185" s="2">
        <v>21</v>
      </c>
      <c r="D185" s="2">
        <v>13.19</v>
      </c>
      <c r="E185" s="2">
        <v>20.2</v>
      </c>
      <c r="F185" s="2">
        <v>-2.9969999999999999</v>
      </c>
      <c r="G185" s="2">
        <v>6.9390000000000001</v>
      </c>
      <c r="H185" s="2">
        <v>79</v>
      </c>
      <c r="I185" s="2">
        <v>7.53</v>
      </c>
      <c r="J185" s="2">
        <v>8.52</v>
      </c>
      <c r="K185" s="2">
        <v>9.85</v>
      </c>
      <c r="L185" s="2">
        <v>9.65</v>
      </c>
      <c r="M185" s="2">
        <v>13.55</v>
      </c>
      <c r="N185" s="2">
        <v>102.2</v>
      </c>
      <c r="O185" s="2">
        <v>22.3</v>
      </c>
      <c r="P185" s="2">
        <v>26.6</v>
      </c>
      <c r="Q185" s="2">
        <v>13.38</v>
      </c>
      <c r="R185" s="2">
        <v>10.52</v>
      </c>
      <c r="S185" s="2">
        <v>-2.2610000000000001</v>
      </c>
      <c r="T185" s="2">
        <v>47.6</v>
      </c>
      <c r="U185" s="2">
        <v>-4.2539999999999996</v>
      </c>
      <c r="V185" s="2">
        <v>-4.5060000000000002</v>
      </c>
      <c r="W185" s="2">
        <v>5.0739999999999998</v>
      </c>
      <c r="X185" s="2">
        <v>9.3000000000000007</v>
      </c>
      <c r="Y185" s="2">
        <v>2.38</v>
      </c>
      <c r="Z185" s="2">
        <v>0</v>
      </c>
      <c r="AA185" s="2">
        <v>16.82</v>
      </c>
      <c r="AB185" s="2">
        <v>3.621</v>
      </c>
      <c r="AC185" s="2">
        <v>1.014</v>
      </c>
      <c r="AD185" s="2">
        <v>4.1539999999999999</v>
      </c>
      <c r="AE185" s="2">
        <v>9.36</v>
      </c>
      <c r="AF185" s="2">
        <v>29.11</v>
      </c>
      <c r="AG185" s="2">
        <v>-3.198</v>
      </c>
      <c r="AH185" s="2">
        <v>29.11</v>
      </c>
      <c r="AI185" s="2">
        <v>-3.198</v>
      </c>
      <c r="AJ185" s="2" t="s">
        <v>113</v>
      </c>
      <c r="AK185" s="2" t="s">
        <v>113</v>
      </c>
      <c r="AL185" s="2">
        <v>7.23</v>
      </c>
      <c r="AM185" s="2">
        <v>16.53</v>
      </c>
      <c r="AN185" s="2">
        <v>-3.032</v>
      </c>
      <c r="AO185" s="2"/>
      <c r="AP185" s="2"/>
      <c r="AR185" s="5">
        <v>33.1</v>
      </c>
      <c r="AS185" s="5">
        <v>16.82</v>
      </c>
      <c r="AT185" s="5">
        <v>3.62</v>
      </c>
      <c r="AU185" s="7">
        <f t="shared" si="99"/>
        <v>0.215</v>
      </c>
      <c r="AV185" s="16"/>
      <c r="AW185" s="29">
        <v>0</v>
      </c>
      <c r="AX185" s="29">
        <v>0</v>
      </c>
      <c r="AY185" s="1">
        <f t="shared" si="79"/>
        <v>98.6</v>
      </c>
      <c r="AZ185" s="1">
        <f t="shared" si="80"/>
        <v>76.099999999999994</v>
      </c>
      <c r="BA185" s="1">
        <f t="shared" si="81"/>
        <v>45.7</v>
      </c>
      <c r="BB185" s="8">
        <f t="shared" si="82"/>
        <v>0.70899999999999996</v>
      </c>
      <c r="BC185" s="8">
        <f t="shared" si="83"/>
        <v>0.84199999999999997</v>
      </c>
      <c r="BE185" s="5">
        <f t="shared" si="88"/>
        <v>16.82</v>
      </c>
      <c r="BF185" s="5">
        <f t="shared" si="89"/>
        <v>3.62</v>
      </c>
      <c r="BG185" s="1">
        <f t="shared" si="106"/>
        <v>6.9</v>
      </c>
      <c r="BH185" s="1">
        <f t="shared" si="107"/>
        <v>13.6</v>
      </c>
      <c r="BI185" s="1">
        <f t="shared" si="108"/>
        <v>-2.2999999999999998</v>
      </c>
      <c r="BJ185" s="1">
        <f t="shared" si="90"/>
        <v>76.099999999999994</v>
      </c>
      <c r="BK185" s="1">
        <f t="shared" si="91"/>
        <v>45.7</v>
      </c>
      <c r="BL185" s="1">
        <f t="shared" si="100"/>
        <v>1</v>
      </c>
      <c r="BM185" s="1">
        <f t="shared" si="101"/>
        <v>4.2</v>
      </c>
      <c r="BN185" s="21">
        <f t="shared" si="92"/>
        <v>0</v>
      </c>
      <c r="BO185" s="7">
        <f t="shared" si="93"/>
        <v>0</v>
      </c>
      <c r="BP185" s="21" t="str">
        <f t="shared" si="87"/>
        <v>NAN</v>
      </c>
      <c r="BQ185" s="1">
        <f t="shared" si="94"/>
        <v>9.4</v>
      </c>
      <c r="BR185" s="1">
        <f t="shared" si="95"/>
        <v>29.1</v>
      </c>
      <c r="BS185" s="1">
        <f t="shared" si="96"/>
        <v>-3.2</v>
      </c>
      <c r="BT185" s="1" t="s">
        <v>113</v>
      </c>
      <c r="BU185" s="1" t="s">
        <v>113</v>
      </c>
      <c r="BV185" s="1" t="s">
        <v>113</v>
      </c>
      <c r="BW185" s="1" t="str">
        <f t="shared" si="102"/>
        <v>NAN</v>
      </c>
      <c r="BX185" s="1">
        <f t="shared" si="103"/>
        <v>0.70899999999999996</v>
      </c>
      <c r="BY185" s="1">
        <f t="shared" si="104"/>
        <v>0.84199999999999997</v>
      </c>
      <c r="CA185" s="1">
        <f t="shared" si="97"/>
        <v>15.500000000000002</v>
      </c>
      <c r="CB185" s="1">
        <f t="shared" si="98"/>
        <v>-0.90000000000000036</v>
      </c>
    </row>
    <row r="186" spans="1:80" x14ac:dyDescent="0.2">
      <c r="A186" s="9">
        <f t="shared" si="105"/>
        <v>43646</v>
      </c>
      <c r="B186" s="2">
        <v>181</v>
      </c>
      <c r="C186" s="2">
        <v>21</v>
      </c>
      <c r="D186" s="2">
        <v>13.17</v>
      </c>
      <c r="E186" s="2">
        <v>25.1</v>
      </c>
      <c r="F186" s="2">
        <v>-0.69199999999999995</v>
      </c>
      <c r="G186" s="2">
        <v>9.42</v>
      </c>
      <c r="H186" s="2">
        <v>73.5</v>
      </c>
      <c r="I186" s="2">
        <v>9.9499999999999993</v>
      </c>
      <c r="J186" s="2">
        <v>10.65</v>
      </c>
      <c r="K186" s="2">
        <v>11.22</v>
      </c>
      <c r="L186" s="2">
        <v>9.51</v>
      </c>
      <c r="M186" s="2">
        <v>18.77</v>
      </c>
      <c r="N186" s="2">
        <v>102.2</v>
      </c>
      <c r="O186" s="2">
        <v>28.45</v>
      </c>
      <c r="P186" s="2">
        <v>33.83</v>
      </c>
      <c r="Q186" s="2">
        <v>16.12</v>
      </c>
      <c r="R186" s="2">
        <v>10.45</v>
      </c>
      <c r="S186" s="2">
        <v>-0.28000000000000003</v>
      </c>
      <c r="T186" s="2">
        <v>35.229999999999997</v>
      </c>
      <c r="U186" s="2">
        <v>-2.85</v>
      </c>
      <c r="V186" s="2">
        <v>-3.3610000000000002</v>
      </c>
      <c r="W186" s="2">
        <v>5.4980000000000002</v>
      </c>
      <c r="X186" s="2">
        <v>8.9</v>
      </c>
      <c r="Y186" s="2">
        <v>2.3820000000000001</v>
      </c>
      <c r="Z186" s="2">
        <v>0</v>
      </c>
      <c r="AA186" s="2">
        <v>20.52</v>
      </c>
      <c r="AB186" s="2">
        <v>4.51</v>
      </c>
      <c r="AC186" s="2">
        <v>0.99399999999999999</v>
      </c>
      <c r="AD186" s="2">
        <v>4.66</v>
      </c>
      <c r="AE186" s="2">
        <v>11.44</v>
      </c>
      <c r="AF186" s="2">
        <v>35.71</v>
      </c>
      <c r="AG186" s="2">
        <v>-2.4220000000000002</v>
      </c>
      <c r="AH186" s="2">
        <v>35.71</v>
      </c>
      <c r="AI186" s="2">
        <v>-2.4220000000000002</v>
      </c>
      <c r="AJ186" s="2" t="s">
        <v>113</v>
      </c>
      <c r="AK186" s="2" t="s">
        <v>113</v>
      </c>
      <c r="AL186" s="2">
        <v>10.220000000000001</v>
      </c>
      <c r="AM186" s="2">
        <v>24</v>
      </c>
      <c r="AN186" s="2">
        <v>-1.069</v>
      </c>
      <c r="AO186" s="2"/>
      <c r="AP186" s="2"/>
      <c r="AR186" s="5">
        <v>33.049999999999997</v>
      </c>
      <c r="AS186" s="5">
        <v>20.52</v>
      </c>
      <c r="AT186" s="5">
        <v>4.51</v>
      </c>
      <c r="AU186" s="7">
        <f t="shared" si="99"/>
        <v>0.22</v>
      </c>
      <c r="AV186" s="16"/>
      <c r="AW186" s="29">
        <v>0</v>
      </c>
      <c r="AX186" s="29">
        <v>0</v>
      </c>
      <c r="AY186" s="1">
        <f t="shared" si="79"/>
        <v>98.6</v>
      </c>
      <c r="AZ186" s="1">
        <f t="shared" si="80"/>
        <v>70.8</v>
      </c>
      <c r="BA186" s="1">
        <f t="shared" si="81"/>
        <v>33.700000000000003</v>
      </c>
      <c r="BB186" s="8">
        <f t="shared" si="82"/>
        <v>0.73</v>
      </c>
      <c r="BC186" s="8">
        <f t="shared" si="83"/>
        <v>1.4359999999999999</v>
      </c>
      <c r="BE186" s="5">
        <f t="shared" si="88"/>
        <v>20.52</v>
      </c>
      <c r="BF186" s="5">
        <f t="shared" si="89"/>
        <v>4.51</v>
      </c>
      <c r="BG186" s="1">
        <f t="shared" si="106"/>
        <v>9.4</v>
      </c>
      <c r="BH186" s="1">
        <f t="shared" si="107"/>
        <v>18.8</v>
      </c>
      <c r="BI186" s="1">
        <f t="shared" si="108"/>
        <v>-0.3</v>
      </c>
      <c r="BJ186" s="1">
        <f t="shared" si="90"/>
        <v>70.8</v>
      </c>
      <c r="BK186" s="1">
        <f t="shared" si="91"/>
        <v>33.700000000000003</v>
      </c>
      <c r="BL186" s="1">
        <f t="shared" si="100"/>
        <v>1</v>
      </c>
      <c r="BM186" s="1">
        <f t="shared" si="101"/>
        <v>4.7</v>
      </c>
      <c r="BN186" s="21">
        <f t="shared" si="92"/>
        <v>0</v>
      </c>
      <c r="BO186" s="7">
        <f t="shared" si="93"/>
        <v>0</v>
      </c>
      <c r="BP186" s="21" t="str">
        <f t="shared" si="87"/>
        <v>NAN</v>
      </c>
      <c r="BQ186" s="1">
        <f t="shared" si="94"/>
        <v>11.4</v>
      </c>
      <c r="BR186" s="1">
        <f t="shared" si="95"/>
        <v>35.700000000000003</v>
      </c>
      <c r="BS186" s="1">
        <f t="shared" si="96"/>
        <v>-2.4</v>
      </c>
      <c r="BT186" s="1" t="s">
        <v>113</v>
      </c>
      <c r="BU186" s="1" t="s">
        <v>113</v>
      </c>
      <c r="BV186" s="1" t="s">
        <v>113</v>
      </c>
      <c r="BW186" s="1" t="str">
        <f t="shared" si="102"/>
        <v>NAN</v>
      </c>
      <c r="BX186" s="1">
        <f t="shared" si="103"/>
        <v>0.73</v>
      </c>
      <c r="BY186" s="1">
        <f t="shared" si="104"/>
        <v>1.4359999999999999</v>
      </c>
      <c r="CA186" s="1">
        <f t="shared" si="97"/>
        <v>16.900000000000002</v>
      </c>
      <c r="CB186" s="1">
        <f t="shared" si="98"/>
        <v>-2.1</v>
      </c>
    </row>
    <row r="187" spans="1:80" x14ac:dyDescent="0.2">
      <c r="A187" s="9">
        <f t="shared" si="105"/>
        <v>43647</v>
      </c>
      <c r="B187" s="2">
        <v>182</v>
      </c>
      <c r="C187" s="2">
        <v>21</v>
      </c>
      <c r="D187" s="2">
        <v>13.2</v>
      </c>
      <c r="E187" s="2">
        <v>28.4</v>
      </c>
      <c r="F187" s="2">
        <v>-0.159</v>
      </c>
      <c r="G187" s="2">
        <v>12.44</v>
      </c>
      <c r="H187" s="2">
        <v>61.96</v>
      </c>
      <c r="I187" s="2">
        <v>13.03</v>
      </c>
      <c r="J187" s="2">
        <v>14</v>
      </c>
      <c r="K187" s="2">
        <v>12.86</v>
      </c>
      <c r="L187" s="2">
        <v>9.5399999999999991</v>
      </c>
      <c r="M187" s="2">
        <v>20.97</v>
      </c>
      <c r="N187" s="2">
        <v>102.3</v>
      </c>
      <c r="O187" s="2">
        <v>31.08</v>
      </c>
      <c r="P187" s="2">
        <v>35.07</v>
      </c>
      <c r="Q187" s="2">
        <v>18.91</v>
      </c>
      <c r="R187" s="2">
        <v>10.47</v>
      </c>
      <c r="S187" s="2">
        <v>0.48099999999999998</v>
      </c>
      <c r="T187" s="2">
        <v>26.88</v>
      </c>
      <c r="U187" s="2">
        <v>-2.3210000000000002</v>
      </c>
      <c r="V187" s="2">
        <v>-3.1640000000000001</v>
      </c>
      <c r="W187" s="2">
        <v>5.6529999999999996</v>
      </c>
      <c r="X187" s="2">
        <v>9.0500000000000007</v>
      </c>
      <c r="Y187" s="2">
        <v>2.3879999999999999</v>
      </c>
      <c r="Z187" s="2">
        <v>0</v>
      </c>
      <c r="AA187" s="2">
        <v>27.58</v>
      </c>
      <c r="AB187" s="2">
        <v>5.9119999999999999</v>
      </c>
      <c r="AC187" s="2">
        <v>1.331</v>
      </c>
      <c r="AD187" s="2">
        <v>5.0869999999999997</v>
      </c>
      <c r="AE187" s="2">
        <v>15.68</v>
      </c>
      <c r="AF187" s="2">
        <v>40.950000000000003</v>
      </c>
      <c r="AG187" s="2">
        <v>-2.0859999999999999</v>
      </c>
      <c r="AH187" s="2">
        <v>40.950000000000003</v>
      </c>
      <c r="AI187" s="2">
        <v>-2.0859999999999999</v>
      </c>
      <c r="AJ187" s="2" t="s">
        <v>113</v>
      </c>
      <c r="AK187" s="2" t="s">
        <v>113</v>
      </c>
      <c r="AL187" s="2">
        <v>12.83</v>
      </c>
      <c r="AM187" s="2">
        <v>24.42</v>
      </c>
      <c r="AN187" s="2">
        <v>-0.111</v>
      </c>
      <c r="AO187" s="2"/>
      <c r="AP187" s="2"/>
      <c r="AR187" s="5">
        <v>33</v>
      </c>
      <c r="AS187" s="5">
        <v>27.58</v>
      </c>
      <c r="AT187" s="5">
        <v>5.91</v>
      </c>
      <c r="AU187" s="7">
        <f t="shared" si="99"/>
        <v>0.214</v>
      </c>
      <c r="AV187" s="16"/>
      <c r="AW187" s="29">
        <v>0</v>
      </c>
      <c r="AX187" s="29">
        <v>0</v>
      </c>
      <c r="AY187" s="1">
        <f t="shared" si="79"/>
        <v>98.7</v>
      </c>
      <c r="AZ187" s="1">
        <f t="shared" si="80"/>
        <v>59.6</v>
      </c>
      <c r="BA187" s="1">
        <f t="shared" si="81"/>
        <v>25.6</v>
      </c>
      <c r="BB187" s="8">
        <f t="shared" si="82"/>
        <v>0.63500000000000001</v>
      </c>
      <c r="BC187" s="8">
        <f t="shared" si="83"/>
        <v>1.845</v>
      </c>
      <c r="BE187" s="5">
        <f t="shared" si="88"/>
        <v>27.58</v>
      </c>
      <c r="BF187" s="5">
        <f t="shared" si="89"/>
        <v>5.91</v>
      </c>
      <c r="BG187" s="1">
        <f t="shared" si="106"/>
        <v>12.4</v>
      </c>
      <c r="BH187" s="1">
        <f t="shared" si="107"/>
        <v>21</v>
      </c>
      <c r="BI187" s="1">
        <f t="shared" si="108"/>
        <v>0.5</v>
      </c>
      <c r="BJ187" s="1">
        <f t="shared" si="90"/>
        <v>59.6</v>
      </c>
      <c r="BK187" s="1">
        <f t="shared" si="91"/>
        <v>25.6</v>
      </c>
      <c r="BL187" s="1">
        <f t="shared" si="100"/>
        <v>1.3</v>
      </c>
      <c r="BM187" s="1">
        <f t="shared" si="101"/>
        <v>5.0999999999999996</v>
      </c>
      <c r="BN187" s="21">
        <f t="shared" si="92"/>
        <v>0</v>
      </c>
      <c r="BO187" s="7">
        <f t="shared" si="93"/>
        <v>0</v>
      </c>
      <c r="BP187" s="21" t="str">
        <f t="shared" si="87"/>
        <v>NAN</v>
      </c>
      <c r="BQ187" s="1">
        <f t="shared" si="94"/>
        <v>15.7</v>
      </c>
      <c r="BR187" s="1">
        <f t="shared" si="95"/>
        <v>41</v>
      </c>
      <c r="BS187" s="1">
        <f t="shared" si="96"/>
        <v>-2.1</v>
      </c>
      <c r="BT187" s="1" t="s">
        <v>113</v>
      </c>
      <c r="BU187" s="1" t="s">
        <v>113</v>
      </c>
      <c r="BV187" s="1" t="s">
        <v>113</v>
      </c>
      <c r="BW187" s="1" t="str">
        <f t="shared" si="102"/>
        <v>NAN</v>
      </c>
      <c r="BX187" s="1">
        <f t="shared" si="103"/>
        <v>0.63500000000000001</v>
      </c>
      <c r="BY187" s="1">
        <f t="shared" si="104"/>
        <v>1.845</v>
      </c>
      <c r="CA187" s="1">
        <f t="shared" si="97"/>
        <v>20</v>
      </c>
      <c r="CB187" s="1">
        <f t="shared" si="98"/>
        <v>-2.6</v>
      </c>
    </row>
    <row r="188" spans="1:80" x14ac:dyDescent="0.2">
      <c r="A188" s="9">
        <f t="shared" si="105"/>
        <v>43648</v>
      </c>
      <c r="B188" s="2">
        <v>183</v>
      </c>
      <c r="C188" s="2">
        <v>21</v>
      </c>
      <c r="D188" s="2">
        <v>13.21</v>
      </c>
      <c r="E188" s="2">
        <v>21.43</v>
      </c>
      <c r="F188" s="2">
        <v>5.6139999999999999</v>
      </c>
      <c r="G188" s="2">
        <v>10.35</v>
      </c>
      <c r="H188" s="2">
        <v>79.900000000000006</v>
      </c>
      <c r="I188" s="2">
        <v>11.02</v>
      </c>
      <c r="J188" s="2">
        <v>11.64</v>
      </c>
      <c r="K188" s="2">
        <v>12.46</v>
      </c>
      <c r="L188" s="2">
        <v>9.9499999999999993</v>
      </c>
      <c r="M188" s="2">
        <v>15.83</v>
      </c>
      <c r="N188" s="2">
        <v>100</v>
      </c>
      <c r="O188" s="2">
        <v>24.09</v>
      </c>
      <c r="P188" s="2">
        <v>28.28</v>
      </c>
      <c r="Q188" s="2">
        <v>15.61</v>
      </c>
      <c r="R188" s="2">
        <v>10.23</v>
      </c>
      <c r="S188" s="2">
        <v>4.6719999999999997</v>
      </c>
      <c r="T188" s="2">
        <v>46.39</v>
      </c>
      <c r="U188" s="2">
        <v>2.31</v>
      </c>
      <c r="V188" s="2">
        <v>1.9510000000000001</v>
      </c>
      <c r="W188" s="2">
        <v>9.41</v>
      </c>
      <c r="X188" s="2">
        <v>9.66</v>
      </c>
      <c r="Y188" s="2">
        <v>2.3820000000000001</v>
      </c>
      <c r="Z188" s="2">
        <v>0</v>
      </c>
      <c r="AA188" s="2">
        <v>15.68</v>
      </c>
      <c r="AB188" s="2">
        <v>3.4790000000000001</v>
      </c>
      <c r="AC188" s="2">
        <v>1.502</v>
      </c>
      <c r="AD188" s="2">
        <v>4.9800000000000004</v>
      </c>
      <c r="AE188" s="2">
        <v>13.06</v>
      </c>
      <c r="AF188" s="2">
        <v>31.31</v>
      </c>
      <c r="AG188" s="2">
        <v>2.7829999999999999</v>
      </c>
      <c r="AH188" s="2">
        <v>31.31</v>
      </c>
      <c r="AI188" s="2">
        <v>2.7829999999999999</v>
      </c>
      <c r="AJ188" s="2" t="s">
        <v>113</v>
      </c>
      <c r="AK188" s="2" t="s">
        <v>113</v>
      </c>
      <c r="AL188" s="2">
        <v>10.91</v>
      </c>
      <c r="AM188" s="2">
        <v>17.78</v>
      </c>
      <c r="AN188" s="2">
        <v>4.4989999999999997</v>
      </c>
      <c r="AO188" s="2"/>
      <c r="AP188" s="2"/>
      <c r="AR188" s="5">
        <v>32.950000000000003</v>
      </c>
      <c r="AS188" s="5">
        <v>15.68</v>
      </c>
      <c r="AT188" s="5">
        <v>3.48</v>
      </c>
      <c r="AU188" s="7">
        <f t="shared" si="99"/>
        <v>0.222</v>
      </c>
      <c r="AV188" s="16"/>
      <c r="AW188" s="29">
        <v>0</v>
      </c>
      <c r="AX188" s="29">
        <v>0</v>
      </c>
      <c r="AY188" s="1">
        <f t="shared" si="79"/>
        <v>96.5</v>
      </c>
      <c r="AZ188" s="1">
        <f t="shared" si="80"/>
        <v>77</v>
      </c>
      <c r="BA188" s="1">
        <f t="shared" si="81"/>
        <v>44.5</v>
      </c>
      <c r="BB188" s="8">
        <f t="shared" si="82"/>
        <v>0.8</v>
      </c>
      <c r="BC188" s="8">
        <f t="shared" si="83"/>
        <v>0.998</v>
      </c>
      <c r="BE188" s="5">
        <f t="shared" si="88"/>
        <v>15.68</v>
      </c>
      <c r="BF188" s="5">
        <f t="shared" si="89"/>
        <v>3.48</v>
      </c>
      <c r="BG188" s="1">
        <f t="shared" si="106"/>
        <v>10.4</v>
      </c>
      <c r="BH188" s="1">
        <f t="shared" si="107"/>
        <v>15.8</v>
      </c>
      <c r="BI188" s="1">
        <f t="shared" si="108"/>
        <v>4.7</v>
      </c>
      <c r="BJ188" s="1">
        <f t="shared" si="90"/>
        <v>77</v>
      </c>
      <c r="BK188" s="1">
        <f t="shared" si="91"/>
        <v>44.5</v>
      </c>
      <c r="BL188" s="1">
        <f t="shared" si="100"/>
        <v>1.5</v>
      </c>
      <c r="BM188" s="1">
        <f t="shared" si="101"/>
        <v>5</v>
      </c>
      <c r="BN188" s="21">
        <f t="shared" si="92"/>
        <v>0</v>
      </c>
      <c r="BO188" s="7">
        <f t="shared" si="93"/>
        <v>0</v>
      </c>
      <c r="BP188" s="21" t="str">
        <f t="shared" si="87"/>
        <v>NAN</v>
      </c>
      <c r="BQ188" s="1">
        <f t="shared" si="94"/>
        <v>13.1</v>
      </c>
      <c r="BR188" s="1">
        <f t="shared" si="95"/>
        <v>31.3</v>
      </c>
      <c r="BS188" s="1">
        <f t="shared" si="96"/>
        <v>2.8</v>
      </c>
      <c r="BT188" s="1" t="s">
        <v>113</v>
      </c>
      <c r="BU188" s="1" t="s">
        <v>113</v>
      </c>
      <c r="BV188" s="1" t="s">
        <v>113</v>
      </c>
      <c r="BW188" s="1" t="str">
        <f t="shared" si="102"/>
        <v>NAN</v>
      </c>
      <c r="BX188" s="1">
        <f t="shared" si="103"/>
        <v>0.8</v>
      </c>
      <c r="BY188" s="1">
        <f t="shared" si="104"/>
        <v>0.998</v>
      </c>
      <c r="CA188" s="1">
        <f t="shared" si="97"/>
        <v>15.5</v>
      </c>
      <c r="CB188" s="1">
        <f t="shared" si="98"/>
        <v>-1.9000000000000004</v>
      </c>
    </row>
    <row r="189" spans="1:80" x14ac:dyDescent="0.2">
      <c r="A189" s="9">
        <f t="shared" si="105"/>
        <v>43649</v>
      </c>
      <c r="B189" s="2">
        <v>184</v>
      </c>
      <c r="C189" s="2">
        <v>21</v>
      </c>
      <c r="D189" s="2">
        <v>13.21</v>
      </c>
      <c r="E189" s="2">
        <v>26.43</v>
      </c>
      <c r="F189" s="2">
        <v>-0.223</v>
      </c>
      <c r="G189" s="2">
        <v>11.87</v>
      </c>
      <c r="H189" s="2">
        <v>65.73</v>
      </c>
      <c r="I189" s="2">
        <v>12.71</v>
      </c>
      <c r="J189" s="2">
        <v>14.12</v>
      </c>
      <c r="K189" s="2">
        <v>13.53</v>
      </c>
      <c r="L189" s="2">
        <v>10.07</v>
      </c>
      <c r="M189" s="2">
        <v>19.010000000000002</v>
      </c>
      <c r="N189" s="2">
        <v>102.3</v>
      </c>
      <c r="O189" s="2">
        <v>29</v>
      </c>
      <c r="P189" s="2">
        <v>34.380000000000003</v>
      </c>
      <c r="Q189" s="2">
        <v>18.739999999999998</v>
      </c>
      <c r="R189" s="2">
        <v>11.02</v>
      </c>
      <c r="S189" s="2">
        <v>0.20499999999999999</v>
      </c>
      <c r="T189" s="2">
        <v>31.75</v>
      </c>
      <c r="U189" s="2">
        <v>-2.831</v>
      </c>
      <c r="V189" s="2">
        <v>-3.62</v>
      </c>
      <c r="W189" s="2">
        <v>6.6180000000000003</v>
      </c>
      <c r="X189" s="2">
        <v>9.4700000000000006</v>
      </c>
      <c r="Y189" s="2">
        <v>2.39</v>
      </c>
      <c r="Z189" s="2">
        <v>0</v>
      </c>
      <c r="AA189" s="2">
        <v>23.73</v>
      </c>
      <c r="AB189" s="2">
        <v>5.1870000000000003</v>
      </c>
      <c r="AC189" s="2">
        <v>1.2370000000000001</v>
      </c>
      <c r="AD189" s="2">
        <v>7.14</v>
      </c>
      <c r="AE189" s="2">
        <v>15.79</v>
      </c>
      <c r="AF189" s="2">
        <v>41.16</v>
      </c>
      <c r="AG189" s="2">
        <v>-2.6469999999999998</v>
      </c>
      <c r="AH189" s="2">
        <v>41.16</v>
      </c>
      <c r="AI189" s="2">
        <v>-2.6469999999999998</v>
      </c>
      <c r="AJ189" s="2" t="s">
        <v>113</v>
      </c>
      <c r="AK189" s="2" t="s">
        <v>113</v>
      </c>
      <c r="AL189" s="2">
        <v>12.54</v>
      </c>
      <c r="AM189" s="2">
        <v>23.19</v>
      </c>
      <c r="AN189" s="2">
        <v>-0.58099999999999996</v>
      </c>
      <c r="AO189" s="2"/>
      <c r="AP189" s="2"/>
      <c r="AR189" s="5">
        <v>32.9</v>
      </c>
      <c r="AS189" s="5">
        <v>23.73</v>
      </c>
      <c r="AT189" s="5">
        <v>5.19</v>
      </c>
      <c r="AU189" s="7">
        <f t="shared" si="99"/>
        <v>0.219</v>
      </c>
      <c r="AV189" s="16"/>
      <c r="AW189" s="29">
        <v>0</v>
      </c>
      <c r="AX189" s="29">
        <v>0</v>
      </c>
      <c r="AY189" s="1">
        <f t="shared" si="79"/>
        <v>98.7</v>
      </c>
      <c r="AZ189" s="1">
        <f t="shared" si="80"/>
        <v>63.3</v>
      </c>
      <c r="BA189" s="1">
        <f t="shared" si="81"/>
        <v>30.3</v>
      </c>
      <c r="BB189" s="8">
        <f t="shared" si="82"/>
        <v>0.66600000000000004</v>
      </c>
      <c r="BC189" s="8">
        <f t="shared" si="83"/>
        <v>1.532</v>
      </c>
      <c r="BE189" s="5">
        <f t="shared" si="88"/>
        <v>23.73</v>
      </c>
      <c r="BF189" s="5">
        <f t="shared" si="89"/>
        <v>5.19</v>
      </c>
      <c r="BG189" s="1">
        <f t="shared" si="106"/>
        <v>11.9</v>
      </c>
      <c r="BH189" s="1">
        <f t="shared" si="107"/>
        <v>19</v>
      </c>
      <c r="BI189" s="1">
        <f t="shared" si="108"/>
        <v>0.2</v>
      </c>
      <c r="BJ189" s="1">
        <f t="shared" si="90"/>
        <v>63.3</v>
      </c>
      <c r="BK189" s="1">
        <f t="shared" si="91"/>
        <v>30.3</v>
      </c>
      <c r="BL189" s="1">
        <f t="shared" si="100"/>
        <v>1.2</v>
      </c>
      <c r="BM189" s="1">
        <f t="shared" si="101"/>
        <v>7.1</v>
      </c>
      <c r="BN189" s="21">
        <f t="shared" si="92"/>
        <v>0</v>
      </c>
      <c r="BO189" s="7">
        <f t="shared" si="93"/>
        <v>0</v>
      </c>
      <c r="BP189" s="21" t="str">
        <f t="shared" si="87"/>
        <v>NAN</v>
      </c>
      <c r="BQ189" s="1">
        <f t="shared" si="94"/>
        <v>15.8</v>
      </c>
      <c r="BR189" s="1">
        <f t="shared" si="95"/>
        <v>41.2</v>
      </c>
      <c r="BS189" s="1">
        <f t="shared" si="96"/>
        <v>-2.6</v>
      </c>
      <c r="BT189" s="1" t="s">
        <v>113</v>
      </c>
      <c r="BU189" s="1" t="s">
        <v>113</v>
      </c>
      <c r="BV189" s="1" t="s">
        <v>113</v>
      </c>
      <c r="BW189" s="1" t="str">
        <f t="shared" si="102"/>
        <v>NAN</v>
      </c>
      <c r="BX189" s="1">
        <f t="shared" si="103"/>
        <v>0.66600000000000004</v>
      </c>
      <c r="BY189" s="1">
        <f t="shared" si="104"/>
        <v>1.532</v>
      </c>
      <c r="CA189" s="1">
        <f t="shared" si="97"/>
        <v>22.200000000000003</v>
      </c>
      <c r="CB189" s="1">
        <f t="shared" si="98"/>
        <v>-2.8000000000000003</v>
      </c>
    </row>
    <row r="190" spans="1:80" x14ac:dyDescent="0.2">
      <c r="A190" s="9">
        <f t="shared" si="105"/>
        <v>43650</v>
      </c>
      <c r="B190" s="2">
        <v>185</v>
      </c>
      <c r="C190" s="2">
        <v>21</v>
      </c>
      <c r="D190" s="2">
        <v>13.22</v>
      </c>
      <c r="E190" s="2">
        <v>21.04</v>
      </c>
      <c r="F190" s="2">
        <v>8.8800000000000008</v>
      </c>
      <c r="G190" s="2">
        <v>11.24</v>
      </c>
      <c r="H190" s="2">
        <v>81.7</v>
      </c>
      <c r="I190" s="2">
        <v>11.72</v>
      </c>
      <c r="J190" s="2">
        <v>12.31</v>
      </c>
      <c r="K190" s="2">
        <v>13.29</v>
      </c>
      <c r="L190" s="2">
        <v>10.39</v>
      </c>
      <c r="M190" s="2">
        <v>16.21</v>
      </c>
      <c r="N190" s="2">
        <v>94.4</v>
      </c>
      <c r="O190" s="2">
        <v>22.65</v>
      </c>
      <c r="P190" s="2">
        <v>28.52</v>
      </c>
      <c r="Q190" s="2">
        <v>15.9</v>
      </c>
      <c r="R190" s="2">
        <v>10.64</v>
      </c>
      <c r="S190" s="2">
        <v>8.1300000000000008</v>
      </c>
      <c r="T190" s="2">
        <v>56.07</v>
      </c>
      <c r="U190" s="2">
        <v>6.125</v>
      </c>
      <c r="V190" s="2">
        <v>5.4880000000000004</v>
      </c>
      <c r="W190" s="2">
        <v>11.32</v>
      </c>
      <c r="X190" s="2">
        <v>10.130000000000001</v>
      </c>
      <c r="Y190" s="2">
        <v>2.3820000000000001</v>
      </c>
      <c r="Z190" s="2">
        <v>0</v>
      </c>
      <c r="AA190" s="2">
        <v>12.24</v>
      </c>
      <c r="AB190" s="2">
        <v>2.6970000000000001</v>
      </c>
      <c r="AC190" s="2">
        <v>1.3959999999999999</v>
      </c>
      <c r="AD190" s="2">
        <v>4.367</v>
      </c>
      <c r="AE190" s="2">
        <v>13.71</v>
      </c>
      <c r="AF190" s="2">
        <v>30.84</v>
      </c>
      <c r="AG190" s="2">
        <v>6.0519999999999996</v>
      </c>
      <c r="AH190" s="2">
        <v>30.84</v>
      </c>
      <c r="AI190" s="2">
        <v>6.0519999999999996</v>
      </c>
      <c r="AJ190" s="2" t="s">
        <v>113</v>
      </c>
      <c r="AK190" s="2" t="s">
        <v>113</v>
      </c>
      <c r="AL190" s="2">
        <v>11.55</v>
      </c>
      <c r="AM190" s="2">
        <v>17.510000000000002</v>
      </c>
      <c r="AN190" s="2">
        <v>8.1300000000000008</v>
      </c>
      <c r="AO190" s="2"/>
      <c r="AP190" s="2"/>
      <c r="AR190" s="5">
        <v>32.840000000000003</v>
      </c>
      <c r="AS190" s="5">
        <v>12.24</v>
      </c>
      <c r="AT190" s="5">
        <v>2.7</v>
      </c>
      <c r="AU190" s="7">
        <f t="shared" si="99"/>
        <v>0.221</v>
      </c>
      <c r="AV190" s="16"/>
      <c r="AW190" s="29">
        <v>0</v>
      </c>
      <c r="AX190" s="29">
        <v>0</v>
      </c>
      <c r="AY190" s="1">
        <f t="shared" ref="AY190:AY253" si="109">ROUND(AZ$1*N190+AZ$2,1)</f>
        <v>91.1</v>
      </c>
      <c r="AZ190" s="1">
        <f t="shared" ref="AZ190:AZ253" si="110">ROUND(H190*AZ$1+AZ$2,1)</f>
        <v>78.7</v>
      </c>
      <c r="BA190" s="1">
        <f t="shared" ref="BA190:BA253" si="111">ROUND(T190*AZ$1+AZ$2,1)</f>
        <v>53.9</v>
      </c>
      <c r="BB190" s="8">
        <f t="shared" ref="BB190:BB253" si="112">ROUND((0.6105*(EXP((17.273*M190)/(M190+237.3))))*BA190/100,3)</f>
        <v>0.99299999999999999</v>
      </c>
      <c r="BC190" s="8">
        <f t="shared" ref="BC190:BC253" si="113">ROUND(BB190/BA190*(100-BA190),3)</f>
        <v>0.84899999999999998</v>
      </c>
      <c r="BE190" s="5">
        <f t="shared" si="88"/>
        <v>12.24</v>
      </c>
      <c r="BF190" s="5">
        <f t="shared" si="89"/>
        <v>2.7</v>
      </c>
      <c r="BG190" s="1">
        <f t="shared" si="106"/>
        <v>11.2</v>
      </c>
      <c r="BH190" s="1">
        <f t="shared" si="107"/>
        <v>16.2</v>
      </c>
      <c r="BI190" s="1">
        <f t="shared" si="108"/>
        <v>8.1</v>
      </c>
      <c r="BJ190" s="1">
        <f t="shared" si="90"/>
        <v>78.7</v>
      </c>
      <c r="BK190" s="1">
        <f t="shared" si="91"/>
        <v>53.9</v>
      </c>
      <c r="BL190" s="1">
        <f t="shared" si="100"/>
        <v>1.4</v>
      </c>
      <c r="BM190" s="1">
        <f t="shared" si="101"/>
        <v>4.4000000000000004</v>
      </c>
      <c r="BN190" s="21">
        <f t="shared" si="92"/>
        <v>0</v>
      </c>
      <c r="BO190" s="7">
        <f t="shared" si="93"/>
        <v>0</v>
      </c>
      <c r="BP190" s="21" t="str">
        <f t="shared" si="87"/>
        <v>NAN</v>
      </c>
      <c r="BQ190" s="1">
        <f t="shared" si="94"/>
        <v>13.7</v>
      </c>
      <c r="BR190" s="1">
        <f t="shared" si="95"/>
        <v>30.8</v>
      </c>
      <c r="BS190" s="1">
        <f t="shared" si="96"/>
        <v>6.1</v>
      </c>
      <c r="BT190" s="1" t="s">
        <v>113</v>
      </c>
      <c r="BU190" s="1" t="s">
        <v>113</v>
      </c>
      <c r="BV190" s="1" t="s">
        <v>113</v>
      </c>
      <c r="BW190" s="1" t="str">
        <f t="shared" si="102"/>
        <v>NAN</v>
      </c>
      <c r="BX190" s="1">
        <f t="shared" si="103"/>
        <v>0.99299999999999999</v>
      </c>
      <c r="BY190" s="1">
        <f t="shared" si="104"/>
        <v>0.84899999999999998</v>
      </c>
      <c r="CA190" s="1">
        <f t="shared" si="97"/>
        <v>14.600000000000001</v>
      </c>
      <c r="CB190" s="1">
        <f t="shared" si="98"/>
        <v>-2</v>
      </c>
    </row>
    <row r="191" spans="1:80" x14ac:dyDescent="0.2">
      <c r="A191" s="9">
        <f t="shared" si="105"/>
        <v>43651</v>
      </c>
      <c r="B191" s="2">
        <v>186</v>
      </c>
      <c r="C191" s="2">
        <v>21</v>
      </c>
      <c r="D191" s="2">
        <v>13.17</v>
      </c>
      <c r="E191" s="2">
        <v>23</v>
      </c>
      <c r="F191" s="2">
        <v>5.9470000000000001</v>
      </c>
      <c r="G191" s="2">
        <v>9.32</v>
      </c>
      <c r="H191" s="2">
        <v>92.1</v>
      </c>
      <c r="I191" s="2">
        <v>9.5299999999999994</v>
      </c>
      <c r="J191" s="2">
        <v>10.53</v>
      </c>
      <c r="K191" s="2">
        <v>12.01</v>
      </c>
      <c r="L191" s="2">
        <v>10.51</v>
      </c>
      <c r="M191" s="2">
        <v>15.07</v>
      </c>
      <c r="N191" s="2">
        <v>101.6</v>
      </c>
      <c r="O191" s="2">
        <v>19.93</v>
      </c>
      <c r="P191" s="2">
        <v>27.47</v>
      </c>
      <c r="Q191" s="2">
        <v>14.91</v>
      </c>
      <c r="R191" s="2">
        <v>11.09</v>
      </c>
      <c r="S191" s="2">
        <v>5.8019999999999996</v>
      </c>
      <c r="T191" s="2">
        <v>53.49</v>
      </c>
      <c r="U191" s="2">
        <v>4.4039999999999999</v>
      </c>
      <c r="V191" s="2">
        <v>3.992</v>
      </c>
      <c r="W191" s="2">
        <v>9.68</v>
      </c>
      <c r="X191" s="2">
        <v>10.14</v>
      </c>
      <c r="Y191" s="2">
        <v>2.3690000000000002</v>
      </c>
      <c r="Z191" s="2">
        <v>27.18</v>
      </c>
      <c r="AA191" s="2">
        <v>11.68</v>
      </c>
      <c r="AB191" s="2">
        <v>2.3540000000000001</v>
      </c>
      <c r="AC191" s="2">
        <v>1.3009999999999999</v>
      </c>
      <c r="AD191" s="2">
        <v>5.9669999999999996</v>
      </c>
      <c r="AE191" s="2">
        <v>11.33</v>
      </c>
      <c r="AF191" s="2">
        <v>31.15</v>
      </c>
      <c r="AG191" s="2">
        <v>4.633</v>
      </c>
      <c r="AH191" s="2">
        <v>31.15</v>
      </c>
      <c r="AI191" s="2">
        <v>4.633</v>
      </c>
      <c r="AJ191" s="2" t="s">
        <v>113</v>
      </c>
      <c r="AK191" s="2" t="s">
        <v>113</v>
      </c>
      <c r="AL191" s="2">
        <v>9.52</v>
      </c>
      <c r="AM191" s="2">
        <v>17.52</v>
      </c>
      <c r="AN191" s="2">
        <v>5.625</v>
      </c>
      <c r="AO191" s="2"/>
      <c r="AP191" s="2"/>
      <c r="AR191" s="5">
        <v>32.78</v>
      </c>
      <c r="AS191" s="5">
        <v>11.68</v>
      </c>
      <c r="AT191" s="5">
        <v>2.35</v>
      </c>
      <c r="AU191" s="7">
        <f t="shared" si="99"/>
        <v>0.20100000000000001</v>
      </c>
      <c r="AV191" s="16"/>
      <c r="AW191" s="29">
        <v>28.956</v>
      </c>
      <c r="AX191" s="29">
        <v>0</v>
      </c>
      <c r="AY191" s="1">
        <f t="shared" si="109"/>
        <v>98.1</v>
      </c>
      <c r="AZ191" s="1">
        <f t="shared" si="110"/>
        <v>88.8</v>
      </c>
      <c r="BA191" s="1">
        <f t="shared" si="111"/>
        <v>51.4</v>
      </c>
      <c r="BB191" s="8">
        <f t="shared" si="112"/>
        <v>0.88</v>
      </c>
      <c r="BC191" s="8">
        <f t="shared" si="113"/>
        <v>0.83199999999999996</v>
      </c>
      <c r="BE191" s="5">
        <f t="shared" si="88"/>
        <v>11.68</v>
      </c>
      <c r="BF191" s="5">
        <f t="shared" si="89"/>
        <v>2.35</v>
      </c>
      <c r="BG191" s="1">
        <f t="shared" si="106"/>
        <v>9.3000000000000007</v>
      </c>
      <c r="BH191" s="1">
        <f t="shared" si="107"/>
        <v>15.1</v>
      </c>
      <c r="BI191" s="1">
        <f t="shared" si="108"/>
        <v>5.8</v>
      </c>
      <c r="BJ191" s="1">
        <f t="shared" si="90"/>
        <v>88.8</v>
      </c>
      <c r="BK191" s="1">
        <f t="shared" si="91"/>
        <v>51.4</v>
      </c>
      <c r="BL191" s="1">
        <f t="shared" si="100"/>
        <v>1.3</v>
      </c>
      <c r="BM191" s="1">
        <f t="shared" si="101"/>
        <v>6</v>
      </c>
      <c r="BN191" s="21">
        <f t="shared" si="92"/>
        <v>28.956</v>
      </c>
      <c r="BO191" s="7">
        <f t="shared" si="93"/>
        <v>0</v>
      </c>
      <c r="BP191" s="21" t="str">
        <f t="shared" si="87"/>
        <v>NAN</v>
      </c>
      <c r="BQ191" s="1">
        <f t="shared" si="94"/>
        <v>11.3</v>
      </c>
      <c r="BR191" s="1">
        <f t="shared" si="95"/>
        <v>31.2</v>
      </c>
      <c r="BS191" s="1">
        <f t="shared" si="96"/>
        <v>4.5999999999999996</v>
      </c>
      <c r="BT191" s="1" t="s">
        <v>113</v>
      </c>
      <c r="BU191" s="1" t="s">
        <v>113</v>
      </c>
      <c r="BV191" s="1" t="s">
        <v>113</v>
      </c>
      <c r="BW191" s="1" t="str">
        <f t="shared" si="102"/>
        <v>NAN</v>
      </c>
      <c r="BX191" s="1">
        <f t="shared" si="103"/>
        <v>0.88</v>
      </c>
      <c r="BY191" s="1">
        <f t="shared" si="104"/>
        <v>0.83199999999999996</v>
      </c>
      <c r="CA191" s="1">
        <f t="shared" si="97"/>
        <v>16.100000000000001</v>
      </c>
      <c r="CB191" s="1">
        <f t="shared" si="98"/>
        <v>-1.2000000000000002</v>
      </c>
    </row>
    <row r="192" spans="1:80" x14ac:dyDescent="0.2">
      <c r="A192" s="9">
        <f t="shared" si="105"/>
        <v>43652</v>
      </c>
      <c r="B192" s="2">
        <v>187</v>
      </c>
      <c r="C192" s="2">
        <v>21</v>
      </c>
      <c r="D192" s="2">
        <v>13.19</v>
      </c>
      <c r="E192" s="2">
        <v>23.44</v>
      </c>
      <c r="F192" s="2">
        <v>3.6259999999999999</v>
      </c>
      <c r="G192" s="2">
        <v>9.65</v>
      </c>
      <c r="H192" s="2">
        <v>86.7</v>
      </c>
      <c r="I192" s="2">
        <v>10.24</v>
      </c>
      <c r="J192" s="2">
        <v>11.55</v>
      </c>
      <c r="K192" s="2">
        <v>12.52</v>
      </c>
      <c r="L192" s="2">
        <v>10.47</v>
      </c>
      <c r="M192" s="2">
        <v>15.56</v>
      </c>
      <c r="N192" s="2">
        <v>102</v>
      </c>
      <c r="O192" s="2">
        <v>25.96</v>
      </c>
      <c r="P192" s="2">
        <v>30.71</v>
      </c>
      <c r="Q192" s="2">
        <v>16.829999999999998</v>
      </c>
      <c r="R192" s="2">
        <v>11.15</v>
      </c>
      <c r="S192" s="2">
        <v>2.6389999999999998</v>
      </c>
      <c r="T192" s="2">
        <v>58.26</v>
      </c>
      <c r="U192" s="2">
        <v>0.77</v>
      </c>
      <c r="V192" s="2">
        <v>0.21099999999999999</v>
      </c>
      <c r="W192" s="2">
        <v>9.2899999999999991</v>
      </c>
      <c r="X192" s="2">
        <v>10.119999999999999</v>
      </c>
      <c r="Y192" s="2">
        <v>2.3769999999999998</v>
      </c>
      <c r="Z192" s="2">
        <v>2.032</v>
      </c>
      <c r="AA192" s="2">
        <v>16.88</v>
      </c>
      <c r="AB192" s="2">
        <v>3.2349999999999999</v>
      </c>
      <c r="AC192" s="2">
        <v>0.95199999999999996</v>
      </c>
      <c r="AD192" s="2">
        <v>4.34</v>
      </c>
      <c r="AE192" s="2">
        <v>11.99</v>
      </c>
      <c r="AF192" s="2">
        <v>29.26</v>
      </c>
      <c r="AG192" s="2">
        <v>1.278</v>
      </c>
      <c r="AH192" s="2">
        <v>29.26</v>
      </c>
      <c r="AI192" s="2">
        <v>1.278</v>
      </c>
      <c r="AJ192" s="2" t="s">
        <v>113</v>
      </c>
      <c r="AK192" s="2" t="s">
        <v>113</v>
      </c>
      <c r="AL192" s="2">
        <v>10.02</v>
      </c>
      <c r="AM192" s="2">
        <v>18.239999999999998</v>
      </c>
      <c r="AN192" s="2">
        <v>2.39</v>
      </c>
      <c r="AO192" s="2"/>
      <c r="AP192" s="2"/>
      <c r="AR192" s="5">
        <v>32.71</v>
      </c>
      <c r="AS192" s="5">
        <v>16.88</v>
      </c>
      <c r="AT192" s="5">
        <v>3.23</v>
      </c>
      <c r="AU192" s="7">
        <f t="shared" si="99"/>
        <v>0.191</v>
      </c>
      <c r="AV192" s="16"/>
      <c r="AW192" s="29">
        <v>2.286</v>
      </c>
      <c r="AX192" s="29">
        <v>0</v>
      </c>
      <c r="AY192" s="1">
        <f t="shared" si="109"/>
        <v>98.4</v>
      </c>
      <c r="AZ192" s="1">
        <f t="shared" si="110"/>
        <v>83.6</v>
      </c>
      <c r="BA192" s="1">
        <f t="shared" si="111"/>
        <v>56</v>
      </c>
      <c r="BB192" s="8">
        <f t="shared" si="112"/>
        <v>0.99</v>
      </c>
      <c r="BC192" s="8">
        <f t="shared" si="113"/>
        <v>0.77800000000000002</v>
      </c>
      <c r="BE192" s="5">
        <f t="shared" si="88"/>
        <v>16.88</v>
      </c>
      <c r="BF192" s="5">
        <f t="shared" si="89"/>
        <v>3.23</v>
      </c>
      <c r="BG192" s="1">
        <f t="shared" si="106"/>
        <v>9.6999999999999993</v>
      </c>
      <c r="BH192" s="1">
        <f t="shared" si="107"/>
        <v>15.6</v>
      </c>
      <c r="BI192" s="1">
        <f t="shared" si="108"/>
        <v>2.6</v>
      </c>
      <c r="BJ192" s="1">
        <f t="shared" si="90"/>
        <v>83.6</v>
      </c>
      <c r="BK192" s="1">
        <f t="shared" si="91"/>
        <v>56</v>
      </c>
      <c r="BL192" s="1">
        <f t="shared" si="100"/>
        <v>1</v>
      </c>
      <c r="BM192" s="1">
        <f t="shared" si="101"/>
        <v>4.3</v>
      </c>
      <c r="BN192" s="21">
        <f t="shared" si="92"/>
        <v>2.286</v>
      </c>
      <c r="BO192" s="7">
        <f t="shared" si="93"/>
        <v>0</v>
      </c>
      <c r="BP192" s="21" t="str">
        <f t="shared" si="87"/>
        <v>NAN</v>
      </c>
      <c r="BQ192" s="1">
        <f t="shared" si="94"/>
        <v>12</v>
      </c>
      <c r="BR192" s="1">
        <f t="shared" si="95"/>
        <v>29.3</v>
      </c>
      <c r="BS192" s="1">
        <f t="shared" si="96"/>
        <v>1.3</v>
      </c>
      <c r="BT192" s="1" t="s">
        <v>113</v>
      </c>
      <c r="BU192" s="1" t="s">
        <v>113</v>
      </c>
      <c r="BV192" s="1" t="s">
        <v>113</v>
      </c>
      <c r="BW192" s="1" t="str">
        <f t="shared" si="102"/>
        <v>NAN</v>
      </c>
      <c r="BX192" s="1">
        <f t="shared" si="103"/>
        <v>0.99</v>
      </c>
      <c r="BY192" s="1">
        <f t="shared" si="104"/>
        <v>0.77800000000000002</v>
      </c>
      <c r="CA192" s="1">
        <f t="shared" si="97"/>
        <v>13.700000000000001</v>
      </c>
      <c r="CB192" s="1">
        <f t="shared" si="98"/>
        <v>-1.3</v>
      </c>
    </row>
    <row r="193" spans="1:80" x14ac:dyDescent="0.2">
      <c r="A193" s="9">
        <f t="shared" si="105"/>
        <v>43653</v>
      </c>
      <c r="B193" s="2">
        <v>188</v>
      </c>
      <c r="C193" s="2">
        <v>21</v>
      </c>
      <c r="D193" s="2">
        <v>13.19</v>
      </c>
      <c r="E193" s="2">
        <v>22.01</v>
      </c>
      <c r="F193" s="2">
        <v>2.9470000000000001</v>
      </c>
      <c r="G193" s="2">
        <v>8.64</v>
      </c>
      <c r="H193" s="2">
        <v>82.7</v>
      </c>
      <c r="I193" s="2">
        <v>9.68</v>
      </c>
      <c r="J193" s="2">
        <v>10.66</v>
      </c>
      <c r="K193" s="2">
        <v>11.73</v>
      </c>
      <c r="L193" s="2">
        <v>10.43</v>
      </c>
      <c r="M193" s="2">
        <v>15.55</v>
      </c>
      <c r="N193" s="2">
        <v>102</v>
      </c>
      <c r="O193" s="2">
        <v>24.68</v>
      </c>
      <c r="P193" s="2">
        <v>29.63</v>
      </c>
      <c r="Q193" s="2">
        <v>16.010000000000002</v>
      </c>
      <c r="R193" s="2">
        <v>11.1</v>
      </c>
      <c r="S193" s="2">
        <v>2.335</v>
      </c>
      <c r="T193" s="2">
        <v>49.65</v>
      </c>
      <c r="U193" s="2">
        <v>-0.32900000000000001</v>
      </c>
      <c r="V193" s="2">
        <v>-0.97699999999999998</v>
      </c>
      <c r="W193" s="2">
        <v>8.0500000000000007</v>
      </c>
      <c r="X193" s="2">
        <v>10.07</v>
      </c>
      <c r="Y193" s="2">
        <v>2.375</v>
      </c>
      <c r="Z193" s="2">
        <v>0</v>
      </c>
      <c r="AA193" s="2">
        <v>18.84</v>
      </c>
      <c r="AB193" s="2">
        <v>4.0419999999999998</v>
      </c>
      <c r="AC193" s="2">
        <v>1.121</v>
      </c>
      <c r="AD193" s="2">
        <v>5.5140000000000002</v>
      </c>
      <c r="AE193" s="2">
        <v>11.38</v>
      </c>
      <c r="AF193" s="2">
        <v>30.67</v>
      </c>
      <c r="AG193" s="2">
        <v>0.126</v>
      </c>
      <c r="AH193" s="2">
        <v>30.67</v>
      </c>
      <c r="AI193" s="2">
        <v>0.126</v>
      </c>
      <c r="AJ193" s="2" t="s">
        <v>113</v>
      </c>
      <c r="AK193" s="2" t="s">
        <v>113</v>
      </c>
      <c r="AL193" s="2">
        <v>9.2799999999999994</v>
      </c>
      <c r="AM193" s="2">
        <v>18.399999999999999</v>
      </c>
      <c r="AN193" s="2">
        <v>1.75</v>
      </c>
      <c r="AO193" s="2"/>
      <c r="AP193" s="2"/>
      <c r="AR193" s="5">
        <v>32.64</v>
      </c>
      <c r="AS193" s="5">
        <v>18.84</v>
      </c>
      <c r="AT193" s="5">
        <v>4.04</v>
      </c>
      <c r="AU193" s="7">
        <f t="shared" ref="AU193" si="114">IF(OR(AS193="NAN",AT193="NAN"),"NAN",ROUND(AT193/AS193,3))</f>
        <v>0.214</v>
      </c>
      <c r="AV193" s="16"/>
      <c r="AW193" s="29">
        <v>0</v>
      </c>
      <c r="AX193" s="29">
        <v>0</v>
      </c>
      <c r="AY193" s="1">
        <f t="shared" si="109"/>
        <v>98.4</v>
      </c>
      <c r="AZ193" s="1">
        <f t="shared" si="110"/>
        <v>79.7</v>
      </c>
      <c r="BA193" s="1">
        <f t="shared" si="111"/>
        <v>47.7</v>
      </c>
      <c r="BB193" s="8">
        <f t="shared" si="112"/>
        <v>0.84199999999999997</v>
      </c>
      <c r="BC193" s="8">
        <f t="shared" si="113"/>
        <v>0.92300000000000004</v>
      </c>
      <c r="BE193" s="5">
        <f t="shared" si="88"/>
        <v>18.84</v>
      </c>
      <c r="BF193" s="5">
        <f t="shared" si="89"/>
        <v>4.04</v>
      </c>
      <c r="BG193" s="1">
        <f t="shared" si="106"/>
        <v>8.6</v>
      </c>
      <c r="BH193" s="1">
        <f t="shared" si="107"/>
        <v>15.6</v>
      </c>
      <c r="BI193" s="1">
        <f t="shared" si="108"/>
        <v>2.2999999999999998</v>
      </c>
      <c r="BJ193" s="1">
        <f t="shared" si="90"/>
        <v>79.7</v>
      </c>
      <c r="BK193" s="1">
        <f t="shared" si="91"/>
        <v>47.7</v>
      </c>
      <c r="BL193" s="1">
        <f t="shared" si="100"/>
        <v>1.1000000000000001</v>
      </c>
      <c r="BM193" s="1">
        <f t="shared" si="101"/>
        <v>5.5</v>
      </c>
      <c r="BN193" s="21">
        <f t="shared" si="92"/>
        <v>0</v>
      </c>
      <c r="BO193" s="7">
        <f t="shared" si="93"/>
        <v>0</v>
      </c>
      <c r="BP193" s="21" t="str">
        <f t="shared" si="87"/>
        <v>NAN</v>
      </c>
      <c r="BQ193" s="1">
        <f t="shared" si="94"/>
        <v>11.4</v>
      </c>
      <c r="BR193" s="1">
        <f t="shared" si="95"/>
        <v>30.7</v>
      </c>
      <c r="BS193" s="1">
        <f t="shared" si="96"/>
        <v>0.1</v>
      </c>
      <c r="BT193" s="1" t="s">
        <v>113</v>
      </c>
      <c r="BU193" s="1" t="s">
        <v>113</v>
      </c>
      <c r="BV193" s="1" t="s">
        <v>113</v>
      </c>
      <c r="BW193" s="1" t="str">
        <f t="shared" si="102"/>
        <v>NAN</v>
      </c>
      <c r="BX193" s="1">
        <f t="shared" si="103"/>
        <v>0.84199999999999997</v>
      </c>
      <c r="BY193" s="1">
        <f t="shared" si="104"/>
        <v>0.92300000000000004</v>
      </c>
      <c r="CA193" s="1">
        <f t="shared" si="97"/>
        <v>15.1</v>
      </c>
      <c r="CB193" s="1">
        <f t="shared" si="98"/>
        <v>-2.1999999999999997</v>
      </c>
    </row>
    <row r="194" spans="1:80" x14ac:dyDescent="0.2">
      <c r="A194" s="9">
        <f t="shared" si="105"/>
        <v>43654</v>
      </c>
      <c r="B194" s="2">
        <v>189</v>
      </c>
      <c r="C194" s="2">
        <v>21</v>
      </c>
      <c r="D194" s="2">
        <v>13.17</v>
      </c>
      <c r="E194" s="2">
        <v>23.78</v>
      </c>
      <c r="F194" s="2">
        <v>-0.2</v>
      </c>
      <c r="G194" s="2">
        <v>8.8800000000000008</v>
      </c>
      <c r="H194" s="2">
        <v>84.1</v>
      </c>
      <c r="I194" s="2">
        <v>9.16</v>
      </c>
      <c r="J194" s="2">
        <v>10.01</v>
      </c>
      <c r="K194" s="2">
        <v>11.59</v>
      </c>
      <c r="L194" s="2">
        <v>10.37</v>
      </c>
      <c r="M194" s="2">
        <v>16.84</v>
      </c>
      <c r="N194" s="2">
        <v>102.4</v>
      </c>
      <c r="O194" s="2">
        <v>26.45</v>
      </c>
      <c r="P194" s="2">
        <v>30.26</v>
      </c>
      <c r="Q194" s="2">
        <v>15.76</v>
      </c>
      <c r="R194" s="2">
        <v>11.24</v>
      </c>
      <c r="S194" s="2">
        <v>-2.4E-2</v>
      </c>
      <c r="T194" s="2">
        <v>52.34</v>
      </c>
      <c r="U194" s="2">
        <v>-2.2490000000000001</v>
      </c>
      <c r="V194" s="2">
        <v>-2.4470000000000001</v>
      </c>
      <c r="W194" s="2">
        <v>6.3380000000000001</v>
      </c>
      <c r="X194" s="2">
        <v>9.7200000000000006</v>
      </c>
      <c r="Y194" s="2">
        <v>2.3769999999999998</v>
      </c>
      <c r="Z194" s="2">
        <v>3.048</v>
      </c>
      <c r="AA194" s="2">
        <v>18.09</v>
      </c>
      <c r="AB194" s="2">
        <v>3.8149999999999999</v>
      </c>
      <c r="AC194" s="2">
        <v>0.83299999999999996</v>
      </c>
      <c r="AD194" s="2">
        <v>4.7670000000000003</v>
      </c>
      <c r="AE194" s="2">
        <v>10.4</v>
      </c>
      <c r="AF194" s="2">
        <v>32.25</v>
      </c>
      <c r="AG194" s="2">
        <v>-1.5329999999999999</v>
      </c>
      <c r="AH194" s="2">
        <v>32.25</v>
      </c>
      <c r="AI194" s="2">
        <v>-1.5329999999999999</v>
      </c>
      <c r="AJ194" s="2" t="s">
        <v>113</v>
      </c>
      <c r="AK194" s="2" t="s">
        <v>113</v>
      </c>
      <c r="AL194" s="2">
        <v>9.3800000000000008</v>
      </c>
      <c r="AM194" s="2">
        <v>20.61</v>
      </c>
      <c r="AN194" s="2">
        <v>-0.41</v>
      </c>
      <c r="AO194" s="2"/>
      <c r="AP194" s="2"/>
      <c r="AR194" s="5">
        <v>32.56</v>
      </c>
      <c r="AS194" s="5">
        <v>18.09</v>
      </c>
      <c r="AT194" s="5">
        <v>3.81</v>
      </c>
      <c r="AU194" s="7">
        <f t="shared" si="99"/>
        <v>0.21099999999999999</v>
      </c>
      <c r="AV194" s="16"/>
      <c r="AW194" s="29">
        <v>2.286</v>
      </c>
      <c r="AX194" s="29">
        <v>0</v>
      </c>
      <c r="AY194" s="1">
        <f t="shared" si="109"/>
        <v>98.8</v>
      </c>
      <c r="AZ194" s="1">
        <f t="shared" si="110"/>
        <v>81.099999999999994</v>
      </c>
      <c r="BA194" s="1">
        <f t="shared" si="111"/>
        <v>50.3</v>
      </c>
      <c r="BB194" s="8">
        <f t="shared" si="112"/>
        <v>0.96499999999999997</v>
      </c>
      <c r="BC194" s="8">
        <f t="shared" si="113"/>
        <v>0.95299999999999996</v>
      </c>
      <c r="BE194" s="5">
        <f t="shared" si="88"/>
        <v>18.09</v>
      </c>
      <c r="BF194" s="5">
        <f t="shared" si="89"/>
        <v>3.81</v>
      </c>
      <c r="BG194" s="1">
        <f t="shared" ref="BG194:BG225" si="115">ROUND(G194,1)</f>
        <v>8.9</v>
      </c>
      <c r="BH194" s="1">
        <f t="shared" ref="BH194:BH225" si="116">ROUND(M194,1)</f>
        <v>16.8</v>
      </c>
      <c r="BI194" s="1">
        <f t="shared" ref="BI194:BI225" si="117">ROUND(S194,1)</f>
        <v>0</v>
      </c>
      <c r="BJ194" s="1">
        <f t="shared" si="90"/>
        <v>81.099999999999994</v>
      </c>
      <c r="BK194" s="1">
        <f t="shared" si="91"/>
        <v>50.3</v>
      </c>
      <c r="BL194" s="1">
        <f t="shared" si="100"/>
        <v>0.8</v>
      </c>
      <c r="BM194" s="1">
        <f t="shared" si="101"/>
        <v>4.8</v>
      </c>
      <c r="BN194" s="21">
        <f t="shared" si="92"/>
        <v>2.286</v>
      </c>
      <c r="BO194" s="7">
        <f t="shared" si="93"/>
        <v>0</v>
      </c>
      <c r="BP194" s="21" t="str">
        <f t="shared" si="87"/>
        <v>NAN</v>
      </c>
      <c r="BQ194" s="1">
        <f t="shared" si="94"/>
        <v>10.4</v>
      </c>
      <c r="BR194" s="1">
        <f t="shared" si="95"/>
        <v>32.299999999999997</v>
      </c>
      <c r="BS194" s="1">
        <f t="shared" si="96"/>
        <v>-1.5</v>
      </c>
      <c r="BT194" s="1">
        <f t="shared" ref="BT194:BT225" si="118">ROUND(K194,1)</f>
        <v>11.6</v>
      </c>
      <c r="BU194" s="1" t="s">
        <v>113</v>
      </c>
      <c r="BV194" s="1">
        <f t="shared" ref="BV194:BV225" si="119">ROUND(L194,1)</f>
        <v>10.4</v>
      </c>
      <c r="BW194" s="1" t="str">
        <f t="shared" si="102"/>
        <v>NAN</v>
      </c>
      <c r="BX194" s="1">
        <f t="shared" si="103"/>
        <v>0.96499999999999997</v>
      </c>
      <c r="BY194" s="1">
        <f t="shared" si="104"/>
        <v>0.95299999999999996</v>
      </c>
      <c r="CA194" s="1">
        <f t="shared" si="97"/>
        <v>15.499999999999996</v>
      </c>
      <c r="CB194" s="1">
        <f t="shared" si="98"/>
        <v>-1.5</v>
      </c>
    </row>
    <row r="195" spans="1:80" x14ac:dyDescent="0.2">
      <c r="A195" s="9">
        <f t="shared" si="105"/>
        <v>43655</v>
      </c>
      <c r="B195" s="2">
        <v>190</v>
      </c>
      <c r="C195" s="2">
        <v>21</v>
      </c>
      <c r="D195" s="2">
        <v>13.21</v>
      </c>
      <c r="E195" s="2">
        <v>26.98</v>
      </c>
      <c r="F195" s="2">
        <v>0.60299999999999998</v>
      </c>
      <c r="G195" s="2">
        <v>13.05</v>
      </c>
      <c r="H195" s="2">
        <v>66.8</v>
      </c>
      <c r="I195" s="2">
        <v>13.3</v>
      </c>
      <c r="J195" s="2">
        <v>13.82</v>
      </c>
      <c r="K195" s="2">
        <v>12.51</v>
      </c>
      <c r="L195" s="2">
        <v>10.29</v>
      </c>
      <c r="M195" s="2">
        <v>20.6</v>
      </c>
      <c r="N195" s="2">
        <v>102.6</v>
      </c>
      <c r="O195" s="2">
        <v>29.17</v>
      </c>
      <c r="P195" s="2">
        <v>33.51</v>
      </c>
      <c r="Q195" s="2">
        <v>17.649999999999999</v>
      </c>
      <c r="R195" s="2">
        <v>11.21</v>
      </c>
      <c r="S195" s="2">
        <v>1.58</v>
      </c>
      <c r="T195" s="2">
        <v>39.96</v>
      </c>
      <c r="U195" s="2">
        <v>-1.4239999999999999</v>
      </c>
      <c r="V195" s="2">
        <v>-1.9019999999999999</v>
      </c>
      <c r="W195" s="2">
        <v>6.2869999999999999</v>
      </c>
      <c r="X195" s="2">
        <v>9.89</v>
      </c>
      <c r="Y195" s="2">
        <v>2.3719999999999999</v>
      </c>
      <c r="Z195" s="2">
        <v>0</v>
      </c>
      <c r="AA195" s="2">
        <v>19.7</v>
      </c>
      <c r="AB195" s="2">
        <v>4.26</v>
      </c>
      <c r="AC195" s="2">
        <v>1.1739999999999999</v>
      </c>
      <c r="AD195" s="2">
        <v>4.58</v>
      </c>
      <c r="AE195" s="2">
        <v>13.91</v>
      </c>
      <c r="AF195" s="2">
        <v>33.869999999999997</v>
      </c>
      <c r="AG195" s="2">
        <v>-0.53900000000000003</v>
      </c>
      <c r="AH195" s="2">
        <v>33.869999999999997</v>
      </c>
      <c r="AI195" s="2">
        <v>-0.53900000000000003</v>
      </c>
      <c r="AJ195" s="2" t="s">
        <v>113</v>
      </c>
      <c r="AK195" s="2" t="s">
        <v>113</v>
      </c>
      <c r="AL195" s="2">
        <v>13.23</v>
      </c>
      <c r="AM195" s="2">
        <v>23.47</v>
      </c>
      <c r="AN195" s="2">
        <v>0.77600000000000002</v>
      </c>
      <c r="AO195" s="2"/>
      <c r="AP195" s="2"/>
      <c r="AR195" s="5">
        <v>32.479999999999997</v>
      </c>
      <c r="AS195" s="5">
        <v>19.7</v>
      </c>
      <c r="AT195" s="5">
        <v>4.26</v>
      </c>
      <c r="AU195" s="7">
        <f t="shared" si="99"/>
        <v>0.216</v>
      </c>
      <c r="AV195" s="16"/>
      <c r="AW195" s="29">
        <v>0</v>
      </c>
      <c r="AX195" s="29">
        <v>0</v>
      </c>
      <c r="AY195" s="1">
        <f t="shared" si="109"/>
        <v>99</v>
      </c>
      <c r="AZ195" s="1">
        <f t="shared" si="110"/>
        <v>64.3</v>
      </c>
      <c r="BA195" s="1">
        <f t="shared" si="111"/>
        <v>38.299999999999997</v>
      </c>
      <c r="BB195" s="8">
        <f t="shared" si="112"/>
        <v>0.92900000000000005</v>
      </c>
      <c r="BC195" s="8">
        <f t="shared" si="113"/>
        <v>1.4970000000000001</v>
      </c>
      <c r="BE195" s="5">
        <f t="shared" si="88"/>
        <v>19.7</v>
      </c>
      <c r="BF195" s="5">
        <f t="shared" si="89"/>
        <v>4.26</v>
      </c>
      <c r="BG195" s="1">
        <f t="shared" si="115"/>
        <v>13.1</v>
      </c>
      <c r="BH195" s="1">
        <f t="shared" si="116"/>
        <v>20.6</v>
      </c>
      <c r="BI195" s="1">
        <f t="shared" si="117"/>
        <v>1.6</v>
      </c>
      <c r="BJ195" s="1">
        <f t="shared" si="90"/>
        <v>64.3</v>
      </c>
      <c r="BK195" s="1">
        <f t="shared" si="91"/>
        <v>38.299999999999997</v>
      </c>
      <c r="BL195" s="1">
        <f t="shared" si="100"/>
        <v>1.2</v>
      </c>
      <c r="BM195" s="1">
        <f t="shared" si="101"/>
        <v>4.5999999999999996</v>
      </c>
      <c r="BN195" s="21">
        <f t="shared" si="92"/>
        <v>0</v>
      </c>
      <c r="BO195" s="7">
        <f t="shared" si="93"/>
        <v>0</v>
      </c>
      <c r="BP195" s="21" t="str">
        <f t="shared" ref="BP195:BP258" si="120">IF(AQ195="","NAN",AQ195)</f>
        <v>NAN</v>
      </c>
      <c r="BQ195" s="1">
        <f t="shared" si="94"/>
        <v>13.9</v>
      </c>
      <c r="BR195" s="1">
        <f t="shared" si="95"/>
        <v>33.9</v>
      </c>
      <c r="BS195" s="1">
        <f t="shared" si="96"/>
        <v>-0.5</v>
      </c>
      <c r="BT195" s="1">
        <f t="shared" si="118"/>
        <v>12.5</v>
      </c>
      <c r="BU195" s="1" t="s">
        <v>113</v>
      </c>
      <c r="BV195" s="1">
        <f t="shared" si="119"/>
        <v>10.3</v>
      </c>
      <c r="BW195" s="1" t="str">
        <f t="shared" si="102"/>
        <v>NAN</v>
      </c>
      <c r="BX195" s="1">
        <f t="shared" si="103"/>
        <v>0.92900000000000005</v>
      </c>
      <c r="BY195" s="1">
        <f t="shared" si="104"/>
        <v>1.4970000000000001</v>
      </c>
      <c r="CA195" s="1">
        <f t="shared" si="97"/>
        <v>13.299999999999997</v>
      </c>
      <c r="CB195" s="1">
        <f t="shared" si="98"/>
        <v>-2.1</v>
      </c>
    </row>
    <row r="196" spans="1:80" x14ac:dyDescent="0.2">
      <c r="A196" s="9">
        <f t="shared" si="105"/>
        <v>43656</v>
      </c>
      <c r="B196" s="2">
        <v>191</v>
      </c>
      <c r="C196" s="2">
        <v>21</v>
      </c>
      <c r="D196" s="2">
        <v>13.2</v>
      </c>
      <c r="E196" s="2">
        <v>24.18</v>
      </c>
      <c r="F196" s="2">
        <v>7.79</v>
      </c>
      <c r="G196" s="2">
        <v>12.42</v>
      </c>
      <c r="H196" s="2">
        <v>83.8</v>
      </c>
      <c r="I196" s="2">
        <v>12.56</v>
      </c>
      <c r="J196" s="2">
        <v>13.22</v>
      </c>
      <c r="K196" s="2">
        <v>13.6</v>
      </c>
      <c r="L196" s="2">
        <v>10.49</v>
      </c>
      <c r="M196" s="2">
        <v>18.78</v>
      </c>
      <c r="N196" s="2">
        <v>102</v>
      </c>
      <c r="O196" s="2">
        <v>27.35</v>
      </c>
      <c r="P196" s="2">
        <v>32.18</v>
      </c>
      <c r="Q196" s="2">
        <v>17.27</v>
      </c>
      <c r="R196" s="2">
        <v>10.94</v>
      </c>
      <c r="S196" s="2">
        <v>6.7389999999999999</v>
      </c>
      <c r="T196" s="2">
        <v>50.44</v>
      </c>
      <c r="U196" s="2">
        <v>4.9729999999999999</v>
      </c>
      <c r="V196" s="2">
        <v>4.5949999999999998</v>
      </c>
      <c r="W196" s="2">
        <v>11.3</v>
      </c>
      <c r="X196" s="2">
        <v>10.09</v>
      </c>
      <c r="Y196" s="2">
        <v>2.7050000000000001</v>
      </c>
      <c r="Z196" s="2">
        <v>9.91</v>
      </c>
      <c r="AA196" s="2">
        <v>12.97</v>
      </c>
      <c r="AB196" s="2">
        <v>2.669</v>
      </c>
      <c r="AC196" s="2">
        <v>1.105</v>
      </c>
      <c r="AD196" s="2">
        <v>4.2069999999999999</v>
      </c>
      <c r="AE196" s="2">
        <v>13.9</v>
      </c>
      <c r="AF196" s="2">
        <v>32.51</v>
      </c>
      <c r="AG196" s="2">
        <v>5.81</v>
      </c>
      <c r="AH196" s="2">
        <v>32.51</v>
      </c>
      <c r="AI196" s="2">
        <v>5.81</v>
      </c>
      <c r="AJ196" s="2" t="s">
        <v>113</v>
      </c>
      <c r="AK196" s="2" t="s">
        <v>113</v>
      </c>
      <c r="AL196" s="2">
        <v>12.55</v>
      </c>
      <c r="AM196" s="2">
        <v>20.67</v>
      </c>
      <c r="AN196" s="2">
        <v>6.4939999999999998</v>
      </c>
      <c r="AO196" s="2"/>
      <c r="AP196" s="2"/>
      <c r="AR196" s="5">
        <v>32.4</v>
      </c>
      <c r="AS196" s="5">
        <v>12.97</v>
      </c>
      <c r="AT196" s="5">
        <v>2.67</v>
      </c>
      <c r="AU196" s="7">
        <f t="shared" si="99"/>
        <v>0.20599999999999999</v>
      </c>
      <c r="AV196" s="16"/>
      <c r="AW196" s="29">
        <v>10.16</v>
      </c>
      <c r="AX196" s="29">
        <v>0</v>
      </c>
      <c r="AY196" s="1">
        <f t="shared" si="109"/>
        <v>98.4</v>
      </c>
      <c r="AZ196" s="1">
        <f t="shared" si="110"/>
        <v>80.8</v>
      </c>
      <c r="BA196" s="1">
        <f t="shared" si="111"/>
        <v>48.4</v>
      </c>
      <c r="BB196" s="8">
        <f t="shared" si="112"/>
        <v>1.0489999999999999</v>
      </c>
      <c r="BC196" s="8">
        <f t="shared" si="113"/>
        <v>1.1180000000000001</v>
      </c>
      <c r="BE196" s="5">
        <f t="shared" si="88"/>
        <v>12.97</v>
      </c>
      <c r="BF196" s="5">
        <f t="shared" si="89"/>
        <v>2.67</v>
      </c>
      <c r="BG196" s="1">
        <f t="shared" si="115"/>
        <v>12.4</v>
      </c>
      <c r="BH196" s="1">
        <f t="shared" si="116"/>
        <v>18.8</v>
      </c>
      <c r="BI196" s="1">
        <f t="shared" si="117"/>
        <v>6.7</v>
      </c>
      <c r="BJ196" s="1">
        <f t="shared" si="90"/>
        <v>80.8</v>
      </c>
      <c r="BK196" s="1">
        <f t="shared" si="91"/>
        <v>48.4</v>
      </c>
      <c r="BL196" s="1">
        <f t="shared" si="100"/>
        <v>1.1000000000000001</v>
      </c>
      <c r="BM196" s="1">
        <f t="shared" si="101"/>
        <v>4.2</v>
      </c>
      <c r="BN196" s="21">
        <f t="shared" si="92"/>
        <v>10.16</v>
      </c>
      <c r="BO196" s="7">
        <f t="shared" si="93"/>
        <v>0</v>
      </c>
      <c r="BP196" s="21" t="str">
        <f t="shared" si="120"/>
        <v>NAN</v>
      </c>
      <c r="BQ196" s="1">
        <f t="shared" si="94"/>
        <v>13.9</v>
      </c>
      <c r="BR196" s="1">
        <f t="shared" si="95"/>
        <v>32.5</v>
      </c>
      <c r="BS196" s="1">
        <f t="shared" si="96"/>
        <v>5.8</v>
      </c>
      <c r="BT196" s="1">
        <f t="shared" si="118"/>
        <v>13.6</v>
      </c>
      <c r="BU196" s="1" t="s">
        <v>113</v>
      </c>
      <c r="BV196" s="1">
        <f t="shared" si="119"/>
        <v>10.5</v>
      </c>
      <c r="BW196" s="1" t="str">
        <f t="shared" si="102"/>
        <v>NAN</v>
      </c>
      <c r="BX196" s="1">
        <f t="shared" si="103"/>
        <v>1.0489999999999999</v>
      </c>
      <c r="BY196" s="1">
        <f t="shared" si="104"/>
        <v>1.1180000000000001</v>
      </c>
      <c r="CA196" s="1">
        <f t="shared" si="97"/>
        <v>13.7</v>
      </c>
      <c r="CB196" s="1">
        <f t="shared" si="98"/>
        <v>-0.90000000000000036</v>
      </c>
    </row>
    <row r="197" spans="1:80" x14ac:dyDescent="0.2">
      <c r="A197" s="9">
        <f t="shared" si="105"/>
        <v>43657</v>
      </c>
      <c r="B197" s="2">
        <v>192</v>
      </c>
      <c r="C197" s="2">
        <v>21</v>
      </c>
      <c r="D197" s="2">
        <v>13.21</v>
      </c>
      <c r="E197" s="2">
        <v>26.96</v>
      </c>
      <c r="F197" s="2">
        <v>6.4850000000000003</v>
      </c>
      <c r="G197" s="2">
        <v>12.26</v>
      </c>
      <c r="H197" s="2">
        <v>80.3</v>
      </c>
      <c r="I197" s="2">
        <v>13.01</v>
      </c>
      <c r="J197" s="2">
        <v>14.39</v>
      </c>
      <c r="K197" s="2">
        <v>14.31</v>
      </c>
      <c r="L197" s="2">
        <v>10.69</v>
      </c>
      <c r="M197" s="2">
        <v>17.75</v>
      </c>
      <c r="N197" s="2">
        <v>102.4</v>
      </c>
      <c r="O197" s="2">
        <v>26.37</v>
      </c>
      <c r="P197" s="2">
        <v>32.94</v>
      </c>
      <c r="Q197" s="2">
        <v>18.829999999999998</v>
      </c>
      <c r="R197" s="2">
        <v>11.35</v>
      </c>
      <c r="S197" s="2">
        <v>5.9459999999999997</v>
      </c>
      <c r="T197" s="2">
        <v>50.72</v>
      </c>
      <c r="U197" s="2">
        <v>4.6920000000000002</v>
      </c>
      <c r="V197" s="2">
        <v>4.4130000000000003</v>
      </c>
      <c r="W197" s="2">
        <v>10.01</v>
      </c>
      <c r="X197" s="2">
        <v>10.210000000000001</v>
      </c>
      <c r="Y197" s="2">
        <v>2.371</v>
      </c>
      <c r="Z197" s="2">
        <v>0.254</v>
      </c>
      <c r="AA197" s="2">
        <v>18.62</v>
      </c>
      <c r="AB197" s="2">
        <v>3.8439999999999999</v>
      </c>
      <c r="AC197" s="2">
        <v>0.9</v>
      </c>
      <c r="AD197" s="2">
        <v>4.5</v>
      </c>
      <c r="AE197" s="2">
        <v>14.82</v>
      </c>
      <c r="AF197" s="2">
        <v>32.119999999999997</v>
      </c>
      <c r="AG197" s="2">
        <v>5.2930000000000001</v>
      </c>
      <c r="AH197" s="2">
        <v>32.119999999999997</v>
      </c>
      <c r="AI197" s="2">
        <v>5.2930000000000001</v>
      </c>
      <c r="AJ197" s="2" t="s">
        <v>113</v>
      </c>
      <c r="AK197" s="2" t="s">
        <v>113</v>
      </c>
      <c r="AL197" s="2">
        <v>12.84</v>
      </c>
      <c r="AM197" s="2">
        <v>20.21</v>
      </c>
      <c r="AN197" s="2">
        <v>5.7770000000000001</v>
      </c>
      <c r="AO197" s="2"/>
      <c r="AP197" s="2"/>
      <c r="AR197" s="5">
        <v>32.31</v>
      </c>
      <c r="AS197" s="5">
        <v>18.62</v>
      </c>
      <c r="AT197" s="5">
        <v>3.84</v>
      </c>
      <c r="AU197" s="7">
        <f t="shared" si="99"/>
        <v>0.20599999999999999</v>
      </c>
      <c r="AV197" s="16"/>
      <c r="AW197" s="29">
        <v>0</v>
      </c>
      <c r="AX197" s="29">
        <v>0</v>
      </c>
      <c r="AY197" s="1">
        <f t="shared" si="109"/>
        <v>98.8</v>
      </c>
      <c r="AZ197" s="1">
        <f t="shared" si="110"/>
        <v>77.400000000000006</v>
      </c>
      <c r="BA197" s="1">
        <f t="shared" si="111"/>
        <v>48.7</v>
      </c>
      <c r="BB197" s="8">
        <f t="shared" si="112"/>
        <v>0.98899999999999999</v>
      </c>
      <c r="BC197" s="8">
        <f t="shared" si="113"/>
        <v>1.042</v>
      </c>
      <c r="BE197" s="5">
        <f t="shared" si="88"/>
        <v>18.62</v>
      </c>
      <c r="BF197" s="5">
        <f t="shared" si="89"/>
        <v>3.84</v>
      </c>
      <c r="BG197" s="1">
        <f t="shared" si="115"/>
        <v>12.3</v>
      </c>
      <c r="BH197" s="1">
        <f t="shared" si="116"/>
        <v>17.8</v>
      </c>
      <c r="BI197" s="1">
        <f t="shared" si="117"/>
        <v>5.9</v>
      </c>
      <c r="BJ197" s="1">
        <f t="shared" si="90"/>
        <v>77.400000000000006</v>
      </c>
      <c r="BK197" s="1">
        <f t="shared" si="91"/>
        <v>48.7</v>
      </c>
      <c r="BL197" s="1">
        <f t="shared" si="100"/>
        <v>0.9</v>
      </c>
      <c r="BM197" s="1">
        <f t="shared" si="101"/>
        <v>4.5</v>
      </c>
      <c r="BN197" s="21">
        <f t="shared" si="92"/>
        <v>0</v>
      </c>
      <c r="BO197" s="7">
        <f t="shared" si="93"/>
        <v>0</v>
      </c>
      <c r="BP197" s="21" t="str">
        <f t="shared" si="120"/>
        <v>NAN</v>
      </c>
      <c r="BQ197" s="1">
        <f t="shared" si="94"/>
        <v>14.8</v>
      </c>
      <c r="BR197" s="1">
        <f t="shared" si="95"/>
        <v>32.1</v>
      </c>
      <c r="BS197" s="1">
        <f t="shared" si="96"/>
        <v>5.3</v>
      </c>
      <c r="BT197" s="1">
        <f t="shared" si="118"/>
        <v>14.3</v>
      </c>
      <c r="BU197" s="1" t="s">
        <v>113</v>
      </c>
      <c r="BV197" s="1">
        <f t="shared" si="119"/>
        <v>10.7</v>
      </c>
      <c r="BW197" s="1" t="str">
        <f t="shared" si="102"/>
        <v>NAN</v>
      </c>
      <c r="BX197" s="1">
        <f t="shared" si="103"/>
        <v>0.98899999999999999</v>
      </c>
      <c r="BY197" s="1">
        <f t="shared" si="104"/>
        <v>1.042</v>
      </c>
      <c r="CA197" s="1">
        <f t="shared" si="97"/>
        <v>14.3</v>
      </c>
      <c r="CB197" s="1">
        <f t="shared" si="98"/>
        <v>-0.60000000000000053</v>
      </c>
    </row>
    <row r="198" spans="1:80" x14ac:dyDescent="0.2">
      <c r="A198" s="9">
        <f t="shared" si="105"/>
        <v>43658</v>
      </c>
      <c r="B198" s="2">
        <v>193</v>
      </c>
      <c r="C198" s="2">
        <v>21</v>
      </c>
      <c r="D198" s="2">
        <v>13.2</v>
      </c>
      <c r="E198" s="2">
        <v>27</v>
      </c>
      <c r="F198" s="2">
        <v>3.8319999999999999</v>
      </c>
      <c r="G198" s="2">
        <v>12.66</v>
      </c>
      <c r="H198" s="2">
        <v>77.400000000000006</v>
      </c>
      <c r="I198" s="2">
        <v>13.31</v>
      </c>
      <c r="J198" s="2">
        <v>14.65</v>
      </c>
      <c r="K198" s="2">
        <v>14.86</v>
      </c>
      <c r="L198" s="2">
        <v>10.97</v>
      </c>
      <c r="M198" s="2">
        <v>19.649999999999999</v>
      </c>
      <c r="N198" s="2">
        <v>101.8</v>
      </c>
      <c r="O198" s="2">
        <v>28.23</v>
      </c>
      <c r="P198" s="2">
        <v>33.35</v>
      </c>
      <c r="Q198" s="2">
        <v>19.399999999999999</v>
      </c>
      <c r="R198" s="2">
        <v>11.71</v>
      </c>
      <c r="S198" s="2">
        <v>3.1429999999999998</v>
      </c>
      <c r="T198" s="2">
        <v>49.57</v>
      </c>
      <c r="U198" s="2">
        <v>0.71</v>
      </c>
      <c r="V198" s="2">
        <v>0.46899999999999997</v>
      </c>
      <c r="W198" s="2">
        <v>9.56</v>
      </c>
      <c r="X198" s="2">
        <v>10.6</v>
      </c>
      <c r="Y198" s="2">
        <v>2.3740000000000001</v>
      </c>
      <c r="Z198" s="2">
        <v>0</v>
      </c>
      <c r="AA198" s="2">
        <v>21.59</v>
      </c>
      <c r="AB198" s="2">
        <v>4.6760000000000002</v>
      </c>
      <c r="AC198" s="2">
        <v>0.84599999999999997</v>
      </c>
      <c r="AD198" s="2">
        <v>3.9940000000000002</v>
      </c>
      <c r="AE198" s="2">
        <v>15.33</v>
      </c>
      <c r="AF198" s="2">
        <v>34.090000000000003</v>
      </c>
      <c r="AG198" s="2">
        <v>1.6040000000000001</v>
      </c>
      <c r="AH198" s="2">
        <v>34.090000000000003</v>
      </c>
      <c r="AI198" s="2">
        <v>1.6040000000000001</v>
      </c>
      <c r="AJ198" s="2" t="s">
        <v>113</v>
      </c>
      <c r="AK198" s="2" t="s">
        <v>113</v>
      </c>
      <c r="AL198" s="2">
        <v>13.36</v>
      </c>
      <c r="AM198" s="2">
        <v>22.25</v>
      </c>
      <c r="AN198" s="2">
        <v>2.7509999999999999</v>
      </c>
      <c r="AO198" s="2"/>
      <c r="AP198" s="2"/>
      <c r="AR198" s="5">
        <v>32.22</v>
      </c>
      <c r="AS198" s="5">
        <v>21.59</v>
      </c>
      <c r="AT198" s="5">
        <v>4.67</v>
      </c>
      <c r="AU198" s="7">
        <f t="shared" si="99"/>
        <v>0.216</v>
      </c>
      <c r="AV198" s="16"/>
      <c r="AW198" s="29">
        <v>0</v>
      </c>
      <c r="AX198" s="29">
        <v>0</v>
      </c>
      <c r="AY198" s="1">
        <f t="shared" si="109"/>
        <v>98.2</v>
      </c>
      <c r="AZ198" s="1">
        <f t="shared" si="110"/>
        <v>74.599999999999994</v>
      </c>
      <c r="BA198" s="1">
        <f t="shared" si="111"/>
        <v>47.6</v>
      </c>
      <c r="BB198" s="8">
        <f t="shared" si="112"/>
        <v>1.089</v>
      </c>
      <c r="BC198" s="8">
        <f t="shared" si="113"/>
        <v>1.1990000000000001</v>
      </c>
      <c r="BE198" s="5">
        <f t="shared" ref="BE198:BE261" si="121">AS198</f>
        <v>21.59</v>
      </c>
      <c r="BF198" s="5">
        <f t="shared" ref="BF198:BF261" si="122">AT198</f>
        <v>4.67</v>
      </c>
      <c r="BG198" s="1">
        <f t="shared" si="115"/>
        <v>12.7</v>
      </c>
      <c r="BH198" s="1">
        <f t="shared" si="116"/>
        <v>19.7</v>
      </c>
      <c r="BI198" s="1">
        <f t="shared" si="117"/>
        <v>3.1</v>
      </c>
      <c r="BJ198" s="1">
        <f t="shared" ref="BJ198:BJ261" si="123">AZ198</f>
        <v>74.599999999999994</v>
      </c>
      <c r="BK198" s="1">
        <f t="shared" ref="BK198:BK261" si="124">BA198</f>
        <v>47.6</v>
      </c>
      <c r="BL198" s="1">
        <f t="shared" si="100"/>
        <v>0.8</v>
      </c>
      <c r="BM198" s="1">
        <f t="shared" si="101"/>
        <v>4</v>
      </c>
      <c r="BN198" s="21">
        <f t="shared" ref="BN198:BN261" si="125">AW198</f>
        <v>0</v>
      </c>
      <c r="BO198" s="7">
        <f t="shared" ref="BO198:BO261" si="126">AP198</f>
        <v>0</v>
      </c>
      <c r="BP198" s="21" t="str">
        <f t="shared" si="120"/>
        <v>NAN</v>
      </c>
      <c r="BQ198" s="1">
        <f t="shared" ref="BQ198:BQ261" si="127">IF(AE198="NAN", "NAN", ROUND(AE198,1))</f>
        <v>15.3</v>
      </c>
      <c r="BR198" s="1">
        <f t="shared" ref="BR198:BR261" si="128">IF(AF198="NAN", "NAN", ROUND(AF198,1))</f>
        <v>34.1</v>
      </c>
      <c r="BS198" s="1">
        <f t="shared" ref="BS198:BS261" si="129">IF(AG198="NAN", "NAN", ROUND(AG198,1))</f>
        <v>1.6</v>
      </c>
      <c r="BT198" s="1">
        <f t="shared" si="118"/>
        <v>14.9</v>
      </c>
      <c r="BU198" s="1" t="s">
        <v>113</v>
      </c>
      <c r="BV198" s="1">
        <f t="shared" si="119"/>
        <v>11</v>
      </c>
      <c r="BW198" s="1" t="str">
        <f t="shared" si="102"/>
        <v>NAN</v>
      </c>
      <c r="BX198" s="1">
        <f t="shared" si="103"/>
        <v>1.089</v>
      </c>
      <c r="BY198" s="1">
        <f t="shared" si="104"/>
        <v>1.1990000000000001</v>
      </c>
      <c r="CA198" s="1">
        <f t="shared" ref="CA198:CA261" si="130">IF(BR198="NAN","NAN",BR198-BH198)</f>
        <v>14.400000000000002</v>
      </c>
      <c r="CB198" s="1">
        <f t="shared" ref="CB198:CB261" si="131">IF(BS198="NAN","NAN",BS198-BI198)</f>
        <v>-1.5</v>
      </c>
    </row>
    <row r="199" spans="1:80" x14ac:dyDescent="0.2">
      <c r="A199" s="9">
        <f t="shared" si="105"/>
        <v>43659</v>
      </c>
      <c r="B199" s="2">
        <v>194</v>
      </c>
      <c r="C199" s="2">
        <v>21</v>
      </c>
      <c r="D199" s="2">
        <v>13.21</v>
      </c>
      <c r="E199" s="2">
        <v>27.32</v>
      </c>
      <c r="F199" s="2">
        <v>3.0710000000000002</v>
      </c>
      <c r="G199" s="2">
        <v>12.52</v>
      </c>
      <c r="H199" s="2">
        <v>68.47</v>
      </c>
      <c r="I199" s="2">
        <v>13.45</v>
      </c>
      <c r="J199" s="2">
        <v>14.23</v>
      </c>
      <c r="K199" s="2">
        <v>14.16</v>
      </c>
      <c r="L199" s="2">
        <v>11.17</v>
      </c>
      <c r="M199" s="2">
        <v>20.149999999999999</v>
      </c>
      <c r="N199" s="2">
        <v>101.6</v>
      </c>
      <c r="O199" s="2">
        <v>28.81</v>
      </c>
      <c r="P199" s="2">
        <v>35.43</v>
      </c>
      <c r="Q199" s="2">
        <v>18.57</v>
      </c>
      <c r="R199" s="2">
        <v>11.95</v>
      </c>
      <c r="S199" s="2">
        <v>3.5830000000000002</v>
      </c>
      <c r="T199" s="2">
        <v>40.96</v>
      </c>
      <c r="U199" s="2">
        <v>0.872</v>
      </c>
      <c r="V199" s="2">
        <v>0.441</v>
      </c>
      <c r="W199" s="2">
        <v>9</v>
      </c>
      <c r="X199" s="2">
        <v>10.69</v>
      </c>
      <c r="Y199" s="2">
        <v>2.3780000000000001</v>
      </c>
      <c r="Z199" s="2">
        <v>0</v>
      </c>
      <c r="AA199" s="2">
        <v>21.09</v>
      </c>
      <c r="AB199" s="2">
        <v>4.6559999999999997</v>
      </c>
      <c r="AC199" s="2">
        <v>1.147</v>
      </c>
      <c r="AD199" s="2">
        <v>4.5540000000000003</v>
      </c>
      <c r="AE199" s="2">
        <v>15.28</v>
      </c>
      <c r="AF199" s="2">
        <v>36.65</v>
      </c>
      <c r="AG199" s="2">
        <v>1.526</v>
      </c>
      <c r="AH199" s="2">
        <v>36.65</v>
      </c>
      <c r="AI199" s="2">
        <v>1.526</v>
      </c>
      <c r="AJ199" s="2" t="s">
        <v>113</v>
      </c>
      <c r="AK199" s="2" t="s">
        <v>113</v>
      </c>
      <c r="AL199" s="2">
        <v>13.02</v>
      </c>
      <c r="AM199" s="2">
        <v>23.07</v>
      </c>
      <c r="AN199" s="2">
        <v>3.036</v>
      </c>
      <c r="AO199" s="2"/>
      <c r="AP199" s="2"/>
      <c r="AR199" s="5">
        <v>32.119999999999997</v>
      </c>
      <c r="AS199" s="5">
        <v>21.08</v>
      </c>
      <c r="AT199" s="5">
        <v>4.66</v>
      </c>
      <c r="AU199" s="7">
        <f t="shared" ref="AU199:AU262" si="132">IF(OR(AS199="NAN",AT199="NAN"),"NAN",ROUND(AT199/AS199,3))</f>
        <v>0.221</v>
      </c>
      <c r="AV199" s="16"/>
      <c r="AW199" s="29">
        <v>0</v>
      </c>
      <c r="AX199" s="29">
        <v>0</v>
      </c>
      <c r="AY199" s="1">
        <f t="shared" si="109"/>
        <v>98.1</v>
      </c>
      <c r="AZ199" s="1">
        <f t="shared" si="110"/>
        <v>65.900000000000006</v>
      </c>
      <c r="BA199" s="1">
        <f t="shared" si="111"/>
        <v>39.200000000000003</v>
      </c>
      <c r="BB199" s="8">
        <f t="shared" si="112"/>
        <v>0.92500000000000004</v>
      </c>
      <c r="BC199" s="8">
        <f t="shared" si="113"/>
        <v>1.4350000000000001</v>
      </c>
      <c r="BE199" s="5">
        <f t="shared" si="121"/>
        <v>21.08</v>
      </c>
      <c r="BF199" s="5">
        <f t="shared" si="122"/>
        <v>4.66</v>
      </c>
      <c r="BG199" s="1">
        <f t="shared" si="115"/>
        <v>12.5</v>
      </c>
      <c r="BH199" s="1">
        <f t="shared" si="116"/>
        <v>20.2</v>
      </c>
      <c r="BI199" s="1">
        <f t="shared" si="117"/>
        <v>3.6</v>
      </c>
      <c r="BJ199" s="1">
        <f t="shared" si="123"/>
        <v>65.900000000000006</v>
      </c>
      <c r="BK199" s="1">
        <f t="shared" si="124"/>
        <v>39.200000000000003</v>
      </c>
      <c r="BL199" s="1">
        <f t="shared" ref="BL199:BL262" si="133">ROUND(AC199,1)</f>
        <v>1.1000000000000001</v>
      </c>
      <c r="BM199" s="1">
        <f t="shared" ref="BM199:BM262" si="134">ROUND(AD199,1)</f>
        <v>4.5999999999999996</v>
      </c>
      <c r="BN199" s="21">
        <f t="shared" si="125"/>
        <v>0</v>
      </c>
      <c r="BO199" s="7">
        <f t="shared" si="126"/>
        <v>0</v>
      </c>
      <c r="BP199" s="21" t="str">
        <f t="shared" si="120"/>
        <v>NAN</v>
      </c>
      <c r="BQ199" s="1">
        <f t="shared" si="127"/>
        <v>15.3</v>
      </c>
      <c r="BR199" s="1">
        <f t="shared" si="128"/>
        <v>36.700000000000003</v>
      </c>
      <c r="BS199" s="1">
        <f t="shared" si="129"/>
        <v>1.5</v>
      </c>
      <c r="BT199" s="1">
        <f t="shared" si="118"/>
        <v>14.2</v>
      </c>
      <c r="BU199" s="1" t="s">
        <v>113</v>
      </c>
      <c r="BV199" s="1">
        <f t="shared" si="119"/>
        <v>11.2</v>
      </c>
      <c r="BW199" s="1" t="str">
        <f t="shared" ref="BW199:BW262" si="135">AK199</f>
        <v>NAN</v>
      </c>
      <c r="BX199" s="1">
        <f t="shared" ref="BX199:BX262" si="136">BB199</f>
        <v>0.92500000000000004</v>
      </c>
      <c r="BY199" s="1">
        <f t="shared" ref="BY199:BY262" si="137">BC199</f>
        <v>1.4350000000000001</v>
      </c>
      <c r="CA199" s="1">
        <f t="shared" si="130"/>
        <v>16.500000000000004</v>
      </c>
      <c r="CB199" s="1">
        <f t="shared" si="131"/>
        <v>-2.1</v>
      </c>
    </row>
    <row r="200" spans="1:80" x14ac:dyDescent="0.2">
      <c r="A200" s="9">
        <f t="shared" ref="A200:A263" si="138">A199+1</f>
        <v>43660</v>
      </c>
      <c r="B200" s="2">
        <v>195</v>
      </c>
      <c r="C200" s="2">
        <v>21</v>
      </c>
      <c r="D200" s="2">
        <v>13.19</v>
      </c>
      <c r="E200" s="2">
        <v>24.25</v>
      </c>
      <c r="F200" s="2">
        <v>4.2229999999999999</v>
      </c>
      <c r="G200" s="2">
        <v>11.05</v>
      </c>
      <c r="H200" s="2">
        <v>69.400000000000006</v>
      </c>
      <c r="I200" s="2">
        <v>11.95</v>
      </c>
      <c r="J200" s="2">
        <v>12.75</v>
      </c>
      <c r="K200" s="2">
        <v>13.99</v>
      </c>
      <c r="L200" s="2">
        <v>11.34</v>
      </c>
      <c r="M200" s="2">
        <v>17.850000000000001</v>
      </c>
      <c r="N200" s="2">
        <v>98.8</v>
      </c>
      <c r="O200" s="2">
        <v>27.43</v>
      </c>
      <c r="P200" s="2">
        <v>30.46</v>
      </c>
      <c r="Q200" s="2">
        <v>18.34</v>
      </c>
      <c r="R200" s="2">
        <v>11.6</v>
      </c>
      <c r="S200" s="2">
        <v>3.141</v>
      </c>
      <c r="T200" s="2">
        <v>42.18</v>
      </c>
      <c r="U200" s="2">
        <v>0.50700000000000001</v>
      </c>
      <c r="V200" s="2">
        <v>2.1000000000000001E-2</v>
      </c>
      <c r="W200" s="2">
        <v>10.65</v>
      </c>
      <c r="X200" s="2">
        <v>10.91</v>
      </c>
      <c r="Y200" s="2">
        <v>2.383</v>
      </c>
      <c r="Z200" s="2">
        <v>0</v>
      </c>
      <c r="AA200" s="2">
        <v>19.760000000000002</v>
      </c>
      <c r="AB200" s="2">
        <v>4.3470000000000004</v>
      </c>
      <c r="AC200" s="2">
        <v>1.3939999999999999</v>
      </c>
      <c r="AD200" s="2">
        <v>5.14</v>
      </c>
      <c r="AE200" s="2">
        <v>14.08</v>
      </c>
      <c r="AF200" s="2">
        <v>33.479999999999997</v>
      </c>
      <c r="AG200" s="2">
        <v>1.0660000000000001</v>
      </c>
      <c r="AH200" s="2">
        <v>33.479999999999997</v>
      </c>
      <c r="AI200" s="2">
        <v>1.0660000000000001</v>
      </c>
      <c r="AJ200" s="2" t="s">
        <v>113</v>
      </c>
      <c r="AK200" s="2" t="s">
        <v>113</v>
      </c>
      <c r="AL200" s="2">
        <v>11.56</v>
      </c>
      <c r="AM200" s="2">
        <v>20.23</v>
      </c>
      <c r="AN200" s="2">
        <v>2.4510000000000001</v>
      </c>
      <c r="AO200" s="2"/>
      <c r="AP200" s="2"/>
      <c r="AR200" s="5">
        <v>32.020000000000003</v>
      </c>
      <c r="AS200" s="5">
        <v>19.760000000000002</v>
      </c>
      <c r="AT200" s="5">
        <v>4.3499999999999996</v>
      </c>
      <c r="AU200" s="7">
        <f t="shared" si="132"/>
        <v>0.22</v>
      </c>
      <c r="AV200" s="16"/>
      <c r="AW200" s="29">
        <v>0</v>
      </c>
      <c r="AX200" s="29">
        <v>0</v>
      </c>
      <c r="AY200" s="1">
        <f t="shared" si="109"/>
        <v>95.3</v>
      </c>
      <c r="AZ200" s="1">
        <f t="shared" si="110"/>
        <v>66.8</v>
      </c>
      <c r="BA200" s="1">
        <f t="shared" si="111"/>
        <v>40.4</v>
      </c>
      <c r="BB200" s="8">
        <f t="shared" si="112"/>
        <v>0.82599999999999996</v>
      </c>
      <c r="BC200" s="8">
        <f t="shared" si="113"/>
        <v>1.2190000000000001</v>
      </c>
      <c r="BE200" s="5">
        <f t="shared" si="121"/>
        <v>19.760000000000002</v>
      </c>
      <c r="BF200" s="5">
        <f t="shared" si="122"/>
        <v>4.3499999999999996</v>
      </c>
      <c r="BG200" s="1">
        <f t="shared" si="115"/>
        <v>11.1</v>
      </c>
      <c r="BH200" s="1">
        <f t="shared" si="116"/>
        <v>17.899999999999999</v>
      </c>
      <c r="BI200" s="1">
        <f t="shared" si="117"/>
        <v>3.1</v>
      </c>
      <c r="BJ200" s="1">
        <f t="shared" si="123"/>
        <v>66.8</v>
      </c>
      <c r="BK200" s="1">
        <f t="shared" si="124"/>
        <v>40.4</v>
      </c>
      <c r="BL200" s="1">
        <f t="shared" si="133"/>
        <v>1.4</v>
      </c>
      <c r="BM200" s="1">
        <f t="shared" si="134"/>
        <v>5.0999999999999996</v>
      </c>
      <c r="BN200" s="21">
        <f t="shared" si="125"/>
        <v>0</v>
      </c>
      <c r="BO200" s="7">
        <f t="shared" si="126"/>
        <v>0</v>
      </c>
      <c r="BP200" s="21" t="str">
        <f t="shared" si="120"/>
        <v>NAN</v>
      </c>
      <c r="BQ200" s="1">
        <f t="shared" si="127"/>
        <v>14.1</v>
      </c>
      <c r="BR200" s="1">
        <f t="shared" si="128"/>
        <v>33.5</v>
      </c>
      <c r="BS200" s="1">
        <f t="shared" si="129"/>
        <v>1.1000000000000001</v>
      </c>
      <c r="BT200" s="1">
        <f t="shared" si="118"/>
        <v>14</v>
      </c>
      <c r="BU200" s="1" t="s">
        <v>113</v>
      </c>
      <c r="BV200" s="1">
        <f t="shared" si="119"/>
        <v>11.3</v>
      </c>
      <c r="BW200" s="1" t="str">
        <f t="shared" si="135"/>
        <v>NAN</v>
      </c>
      <c r="BX200" s="1">
        <f t="shared" si="136"/>
        <v>0.82599999999999996</v>
      </c>
      <c r="BY200" s="1">
        <f t="shared" si="137"/>
        <v>1.2190000000000001</v>
      </c>
      <c r="CA200" s="1">
        <f t="shared" si="130"/>
        <v>15.600000000000001</v>
      </c>
      <c r="CB200" s="1">
        <f t="shared" si="131"/>
        <v>-2</v>
      </c>
    </row>
    <row r="201" spans="1:80" x14ac:dyDescent="0.2">
      <c r="A201" s="9">
        <f t="shared" si="138"/>
        <v>43661</v>
      </c>
      <c r="B201" s="2">
        <v>196</v>
      </c>
      <c r="C201" s="2">
        <v>21</v>
      </c>
      <c r="D201" s="2">
        <v>13.19</v>
      </c>
      <c r="E201" s="2">
        <v>25.38</v>
      </c>
      <c r="F201" s="2">
        <v>3.0089999999999999</v>
      </c>
      <c r="G201" s="2">
        <v>10.65</v>
      </c>
      <c r="H201" s="2">
        <v>74.5</v>
      </c>
      <c r="I201" s="2">
        <v>11.68</v>
      </c>
      <c r="J201" s="2">
        <v>13.09</v>
      </c>
      <c r="K201" s="2">
        <v>13.54</v>
      </c>
      <c r="L201" s="2">
        <v>11.37</v>
      </c>
      <c r="M201" s="2">
        <v>18.170000000000002</v>
      </c>
      <c r="N201" s="2">
        <v>100.8</v>
      </c>
      <c r="O201" s="2">
        <v>30.19</v>
      </c>
      <c r="P201" s="2">
        <v>35.47</v>
      </c>
      <c r="Q201" s="2">
        <v>18.47</v>
      </c>
      <c r="R201" s="2">
        <v>11.9</v>
      </c>
      <c r="S201" s="2">
        <v>2.8290000000000002</v>
      </c>
      <c r="T201" s="2">
        <v>37.83</v>
      </c>
      <c r="U201" s="2">
        <v>0.433</v>
      </c>
      <c r="V201" s="2">
        <v>5.1999999999999998E-2</v>
      </c>
      <c r="W201" s="2">
        <v>8.94</v>
      </c>
      <c r="X201" s="2">
        <v>10.97</v>
      </c>
      <c r="Y201" s="2">
        <v>2.387</v>
      </c>
      <c r="Z201" s="2">
        <v>0</v>
      </c>
      <c r="AA201" s="2">
        <v>18.850000000000001</v>
      </c>
      <c r="AB201" s="2">
        <v>4.1100000000000003</v>
      </c>
      <c r="AC201" s="2">
        <v>0.99299999999999999</v>
      </c>
      <c r="AD201" s="2">
        <v>4.58</v>
      </c>
      <c r="AE201" s="2">
        <v>14.53</v>
      </c>
      <c r="AF201" s="2">
        <v>40.24</v>
      </c>
      <c r="AG201" s="2">
        <v>0.98899999999999999</v>
      </c>
      <c r="AH201" s="2">
        <v>40.24</v>
      </c>
      <c r="AI201" s="2">
        <v>0.98899999999999999</v>
      </c>
      <c r="AJ201" s="2" t="s">
        <v>113</v>
      </c>
      <c r="AK201" s="2" t="s">
        <v>113</v>
      </c>
      <c r="AL201" s="2">
        <v>11.21</v>
      </c>
      <c r="AM201" s="2">
        <v>21.74</v>
      </c>
      <c r="AN201" s="2">
        <v>2.2429999999999999</v>
      </c>
      <c r="AO201" s="2"/>
      <c r="AP201" s="2"/>
      <c r="AR201" s="5">
        <v>31.92</v>
      </c>
      <c r="AS201" s="5">
        <v>18.850000000000001</v>
      </c>
      <c r="AT201" s="5">
        <v>4.1100000000000003</v>
      </c>
      <c r="AU201" s="7">
        <f t="shared" si="132"/>
        <v>0.218</v>
      </c>
      <c r="AV201" s="16"/>
      <c r="AW201" s="29">
        <v>0.254</v>
      </c>
      <c r="AX201" s="29">
        <v>0</v>
      </c>
      <c r="AY201" s="1">
        <f t="shared" si="109"/>
        <v>97.3</v>
      </c>
      <c r="AZ201" s="1">
        <f t="shared" si="110"/>
        <v>71.8</v>
      </c>
      <c r="BA201" s="1">
        <f t="shared" si="111"/>
        <v>36.200000000000003</v>
      </c>
      <c r="BB201" s="8">
        <f t="shared" si="112"/>
        <v>0.755</v>
      </c>
      <c r="BC201" s="8">
        <f t="shared" si="113"/>
        <v>1.331</v>
      </c>
      <c r="BE201" s="5">
        <f t="shared" si="121"/>
        <v>18.850000000000001</v>
      </c>
      <c r="BF201" s="5">
        <f t="shared" si="122"/>
        <v>4.1100000000000003</v>
      </c>
      <c r="BG201" s="1">
        <f t="shared" si="115"/>
        <v>10.7</v>
      </c>
      <c r="BH201" s="1">
        <f t="shared" si="116"/>
        <v>18.2</v>
      </c>
      <c r="BI201" s="1">
        <f t="shared" si="117"/>
        <v>2.8</v>
      </c>
      <c r="BJ201" s="1">
        <f t="shared" si="123"/>
        <v>71.8</v>
      </c>
      <c r="BK201" s="1">
        <f t="shared" si="124"/>
        <v>36.200000000000003</v>
      </c>
      <c r="BL201" s="1">
        <f t="shared" si="133"/>
        <v>1</v>
      </c>
      <c r="BM201" s="1">
        <f t="shared" si="134"/>
        <v>4.5999999999999996</v>
      </c>
      <c r="BN201" s="21">
        <f t="shared" si="125"/>
        <v>0.254</v>
      </c>
      <c r="BO201" s="7">
        <f t="shared" si="126"/>
        <v>0</v>
      </c>
      <c r="BP201" s="21" t="str">
        <f t="shared" si="120"/>
        <v>NAN</v>
      </c>
      <c r="BQ201" s="1">
        <f t="shared" si="127"/>
        <v>14.5</v>
      </c>
      <c r="BR201" s="1">
        <f t="shared" si="128"/>
        <v>40.200000000000003</v>
      </c>
      <c r="BS201" s="1">
        <f t="shared" si="129"/>
        <v>1</v>
      </c>
      <c r="BT201" s="1">
        <f t="shared" si="118"/>
        <v>13.5</v>
      </c>
      <c r="BU201" s="1" t="s">
        <v>113</v>
      </c>
      <c r="BV201" s="1">
        <f t="shared" si="119"/>
        <v>11.4</v>
      </c>
      <c r="BW201" s="1" t="str">
        <f t="shared" si="135"/>
        <v>NAN</v>
      </c>
      <c r="BX201" s="1">
        <f t="shared" si="136"/>
        <v>0.755</v>
      </c>
      <c r="BY201" s="1">
        <f t="shared" si="137"/>
        <v>1.331</v>
      </c>
      <c r="CA201" s="1">
        <f t="shared" si="130"/>
        <v>22.000000000000004</v>
      </c>
      <c r="CB201" s="1">
        <f t="shared" si="131"/>
        <v>-1.7999999999999998</v>
      </c>
    </row>
    <row r="202" spans="1:80" x14ac:dyDescent="0.2">
      <c r="A202" s="9">
        <f t="shared" si="138"/>
        <v>43662</v>
      </c>
      <c r="B202" s="2">
        <v>197</v>
      </c>
      <c r="C202" s="2">
        <v>21</v>
      </c>
      <c r="D202" s="2">
        <v>13.2</v>
      </c>
      <c r="E202" s="2">
        <v>27.79</v>
      </c>
      <c r="F202" s="2">
        <v>1.506</v>
      </c>
      <c r="G202" s="2">
        <v>10.32</v>
      </c>
      <c r="H202" s="2">
        <v>81.2</v>
      </c>
      <c r="I202" s="2">
        <v>11.07</v>
      </c>
      <c r="J202" s="2">
        <v>11.93</v>
      </c>
      <c r="K202" s="2">
        <v>13.35</v>
      </c>
      <c r="L202" s="2">
        <v>11.38</v>
      </c>
      <c r="M202" s="2">
        <v>19.760000000000002</v>
      </c>
      <c r="N202" s="2">
        <v>102.4</v>
      </c>
      <c r="O202" s="2">
        <v>29.48</v>
      </c>
      <c r="P202" s="2">
        <v>32.630000000000003</v>
      </c>
      <c r="Q202" s="2">
        <v>17.649999999999999</v>
      </c>
      <c r="R202" s="2">
        <v>12.18</v>
      </c>
      <c r="S202" s="2">
        <v>1.607</v>
      </c>
      <c r="T202" s="2">
        <v>39.69</v>
      </c>
      <c r="U202" s="2">
        <v>-0.99299999999999999</v>
      </c>
      <c r="V202" s="2">
        <v>-1.276</v>
      </c>
      <c r="W202" s="2">
        <v>8.36</v>
      </c>
      <c r="X202" s="2">
        <v>10.82</v>
      </c>
      <c r="Y202" s="2">
        <v>2.3769999999999998</v>
      </c>
      <c r="Z202" s="2">
        <v>2.032</v>
      </c>
      <c r="AA202" s="2">
        <v>18.940000000000001</v>
      </c>
      <c r="AB202" s="2">
        <v>4.2149999999999999</v>
      </c>
      <c r="AC202" s="2">
        <v>0.87</v>
      </c>
      <c r="AD202" s="2">
        <v>4.7140000000000004</v>
      </c>
      <c r="AE202" s="2">
        <v>12.52</v>
      </c>
      <c r="AF202" s="2">
        <v>32.96</v>
      </c>
      <c r="AG202" s="2">
        <v>-0.254</v>
      </c>
      <c r="AH202" s="2">
        <v>32.96</v>
      </c>
      <c r="AI202" s="2">
        <v>-0.254</v>
      </c>
      <c r="AJ202" s="2" t="s">
        <v>113</v>
      </c>
      <c r="AK202" s="2" t="s">
        <v>113</v>
      </c>
      <c r="AL202" s="2">
        <v>10.91</v>
      </c>
      <c r="AM202" s="2">
        <v>22.53</v>
      </c>
      <c r="AN202" s="2">
        <v>1.0309999999999999</v>
      </c>
      <c r="AO202" s="2"/>
      <c r="AP202" s="2"/>
      <c r="AR202" s="5">
        <v>31.81</v>
      </c>
      <c r="AS202" s="5">
        <v>18.940000000000001</v>
      </c>
      <c r="AT202" s="5">
        <v>4.21</v>
      </c>
      <c r="AU202" s="7">
        <f t="shared" si="132"/>
        <v>0.222</v>
      </c>
      <c r="AV202" s="16"/>
      <c r="AW202" s="29">
        <v>0.254</v>
      </c>
      <c r="AX202" s="29">
        <v>0</v>
      </c>
      <c r="AY202" s="1">
        <f t="shared" si="109"/>
        <v>98.8</v>
      </c>
      <c r="AZ202" s="1">
        <f t="shared" si="110"/>
        <v>78.3</v>
      </c>
      <c r="BA202" s="1">
        <f t="shared" si="111"/>
        <v>38</v>
      </c>
      <c r="BB202" s="8">
        <f t="shared" si="112"/>
        <v>0.875</v>
      </c>
      <c r="BC202" s="8">
        <f t="shared" si="113"/>
        <v>1.4279999999999999</v>
      </c>
      <c r="BE202" s="5">
        <f t="shared" si="121"/>
        <v>18.940000000000001</v>
      </c>
      <c r="BF202" s="5">
        <f t="shared" si="122"/>
        <v>4.21</v>
      </c>
      <c r="BG202" s="1">
        <f t="shared" si="115"/>
        <v>10.3</v>
      </c>
      <c r="BH202" s="1">
        <f t="shared" si="116"/>
        <v>19.8</v>
      </c>
      <c r="BI202" s="1">
        <f t="shared" si="117"/>
        <v>1.6</v>
      </c>
      <c r="BJ202" s="1">
        <f t="shared" si="123"/>
        <v>78.3</v>
      </c>
      <c r="BK202" s="1">
        <f t="shared" si="124"/>
        <v>38</v>
      </c>
      <c r="BL202" s="1">
        <f t="shared" si="133"/>
        <v>0.9</v>
      </c>
      <c r="BM202" s="1">
        <f t="shared" si="134"/>
        <v>4.7</v>
      </c>
      <c r="BN202" s="21">
        <f t="shared" si="125"/>
        <v>0.254</v>
      </c>
      <c r="BO202" s="7">
        <f t="shared" si="126"/>
        <v>0</v>
      </c>
      <c r="BP202" s="21" t="str">
        <f t="shared" si="120"/>
        <v>NAN</v>
      </c>
      <c r="BQ202" s="1">
        <f t="shared" si="127"/>
        <v>12.5</v>
      </c>
      <c r="BR202" s="1">
        <f t="shared" si="128"/>
        <v>33</v>
      </c>
      <c r="BS202" s="1">
        <f t="shared" si="129"/>
        <v>-0.3</v>
      </c>
      <c r="BT202" s="1">
        <f t="shared" si="118"/>
        <v>13.4</v>
      </c>
      <c r="BU202" s="1" t="s">
        <v>113</v>
      </c>
      <c r="BV202" s="1">
        <f t="shared" si="119"/>
        <v>11.4</v>
      </c>
      <c r="BW202" s="1" t="str">
        <f t="shared" si="135"/>
        <v>NAN</v>
      </c>
      <c r="BX202" s="1">
        <f t="shared" si="136"/>
        <v>0.875</v>
      </c>
      <c r="BY202" s="1">
        <f t="shared" si="137"/>
        <v>1.4279999999999999</v>
      </c>
      <c r="CA202" s="1">
        <f t="shared" si="130"/>
        <v>13.2</v>
      </c>
      <c r="CB202" s="1">
        <f t="shared" si="131"/>
        <v>-1.9000000000000001</v>
      </c>
    </row>
    <row r="203" spans="1:80" x14ac:dyDescent="0.2">
      <c r="A203" s="9">
        <f t="shared" si="138"/>
        <v>43663</v>
      </c>
      <c r="B203" s="2">
        <v>198</v>
      </c>
      <c r="C203" s="2">
        <v>21</v>
      </c>
      <c r="D203" s="2">
        <v>13.2</v>
      </c>
      <c r="E203" s="2">
        <v>18.059999999999999</v>
      </c>
      <c r="F203" s="2">
        <v>7.03</v>
      </c>
      <c r="G203" s="2">
        <v>10.07</v>
      </c>
      <c r="H203" s="2">
        <v>90.5</v>
      </c>
      <c r="I203" s="2">
        <v>10.1</v>
      </c>
      <c r="J203" s="2">
        <v>10.41</v>
      </c>
      <c r="K203" s="2">
        <v>12.67</v>
      </c>
      <c r="L203" s="2">
        <v>11.41</v>
      </c>
      <c r="M203" s="2">
        <v>15.1</v>
      </c>
      <c r="N203" s="2">
        <v>100</v>
      </c>
      <c r="O203" s="2">
        <v>21.87</v>
      </c>
      <c r="P203" s="2">
        <v>23.61</v>
      </c>
      <c r="Q203" s="2">
        <v>14.88</v>
      </c>
      <c r="R203" s="2">
        <v>11.72</v>
      </c>
      <c r="S203" s="2">
        <v>5.9489999999999998</v>
      </c>
      <c r="T203" s="2">
        <v>66.44</v>
      </c>
      <c r="U203" s="2">
        <v>3.5179999999999998</v>
      </c>
      <c r="V203" s="2">
        <v>3.2589999999999999</v>
      </c>
      <c r="W203" s="2">
        <v>10.65</v>
      </c>
      <c r="X203" s="2">
        <v>11.12</v>
      </c>
      <c r="Y203" s="2">
        <v>2.3730000000000002</v>
      </c>
      <c r="Z203" s="2">
        <v>5.08</v>
      </c>
      <c r="AA203" s="2">
        <v>10.56</v>
      </c>
      <c r="AB203" s="2">
        <v>2.0880000000000001</v>
      </c>
      <c r="AC203" s="2">
        <v>1.1859999999999999</v>
      </c>
      <c r="AD203" s="2">
        <v>5.14</v>
      </c>
      <c r="AE203" s="2">
        <v>11.31</v>
      </c>
      <c r="AF203" s="2">
        <v>23.85</v>
      </c>
      <c r="AG203" s="2">
        <v>4.1029999999999998</v>
      </c>
      <c r="AH203" s="2">
        <v>23.85</v>
      </c>
      <c r="AI203" s="2">
        <v>4.1029999999999998</v>
      </c>
      <c r="AJ203" s="2" t="s">
        <v>113</v>
      </c>
      <c r="AK203" s="2" t="s">
        <v>113</v>
      </c>
      <c r="AL203" s="2">
        <v>10.050000000000001</v>
      </c>
      <c r="AM203" s="2">
        <v>15.99</v>
      </c>
      <c r="AN203" s="2">
        <v>5.7969999999999997</v>
      </c>
      <c r="AO203" s="2"/>
      <c r="AP203" s="2"/>
      <c r="AR203" s="5">
        <v>31.7</v>
      </c>
      <c r="AS203" s="5">
        <v>10.55</v>
      </c>
      <c r="AT203" s="5">
        <v>2.09</v>
      </c>
      <c r="AU203" s="7">
        <f t="shared" si="132"/>
        <v>0.19800000000000001</v>
      </c>
      <c r="AV203" s="16"/>
      <c r="AW203" s="29">
        <v>5.3339999999999996</v>
      </c>
      <c r="AX203" s="29">
        <v>0</v>
      </c>
      <c r="AY203" s="1">
        <f t="shared" si="109"/>
        <v>96.5</v>
      </c>
      <c r="AZ203" s="1">
        <f t="shared" si="110"/>
        <v>87.3</v>
      </c>
      <c r="BA203" s="1">
        <f t="shared" si="111"/>
        <v>63.9</v>
      </c>
      <c r="BB203" s="8">
        <f t="shared" si="112"/>
        <v>1.0960000000000001</v>
      </c>
      <c r="BC203" s="8">
        <f t="shared" si="113"/>
        <v>0.61899999999999999</v>
      </c>
      <c r="BE203" s="5">
        <f t="shared" si="121"/>
        <v>10.55</v>
      </c>
      <c r="BF203" s="5">
        <f t="shared" si="122"/>
        <v>2.09</v>
      </c>
      <c r="BG203" s="1">
        <f t="shared" si="115"/>
        <v>10.1</v>
      </c>
      <c r="BH203" s="1">
        <f t="shared" si="116"/>
        <v>15.1</v>
      </c>
      <c r="BI203" s="1">
        <f t="shared" si="117"/>
        <v>5.9</v>
      </c>
      <c r="BJ203" s="1">
        <f t="shared" si="123"/>
        <v>87.3</v>
      </c>
      <c r="BK203" s="1">
        <f t="shared" si="124"/>
        <v>63.9</v>
      </c>
      <c r="BL203" s="1">
        <f t="shared" si="133"/>
        <v>1.2</v>
      </c>
      <c r="BM203" s="1">
        <f t="shared" si="134"/>
        <v>5.0999999999999996</v>
      </c>
      <c r="BN203" s="21">
        <f t="shared" si="125"/>
        <v>5.3339999999999996</v>
      </c>
      <c r="BO203" s="7">
        <f t="shared" si="126"/>
        <v>0</v>
      </c>
      <c r="BP203" s="21" t="str">
        <f t="shared" si="120"/>
        <v>NAN</v>
      </c>
      <c r="BQ203" s="1">
        <f t="shared" si="127"/>
        <v>11.3</v>
      </c>
      <c r="BR203" s="1">
        <f t="shared" si="128"/>
        <v>23.9</v>
      </c>
      <c r="BS203" s="1">
        <f t="shared" si="129"/>
        <v>4.0999999999999996</v>
      </c>
      <c r="BT203" s="1">
        <f t="shared" si="118"/>
        <v>12.7</v>
      </c>
      <c r="BU203" s="1" t="s">
        <v>113</v>
      </c>
      <c r="BV203" s="1">
        <f t="shared" si="119"/>
        <v>11.4</v>
      </c>
      <c r="BW203" s="1" t="str">
        <f t="shared" si="135"/>
        <v>NAN</v>
      </c>
      <c r="BX203" s="1">
        <f t="shared" si="136"/>
        <v>1.0960000000000001</v>
      </c>
      <c r="BY203" s="1">
        <f t="shared" si="137"/>
        <v>0.61899999999999999</v>
      </c>
      <c r="CA203" s="1">
        <f t="shared" si="130"/>
        <v>8.7999999999999989</v>
      </c>
      <c r="CB203" s="1">
        <f t="shared" si="131"/>
        <v>-1.8000000000000007</v>
      </c>
    </row>
    <row r="204" spans="1:80" x14ac:dyDescent="0.2">
      <c r="A204" s="9">
        <f t="shared" si="138"/>
        <v>43664</v>
      </c>
      <c r="B204" s="2">
        <v>199</v>
      </c>
      <c r="C204" s="2">
        <v>21</v>
      </c>
      <c r="D204" s="2">
        <v>13.2</v>
      </c>
      <c r="E204" s="2">
        <v>16.95</v>
      </c>
      <c r="F204" s="2">
        <v>2.78</v>
      </c>
      <c r="G204" s="2">
        <v>7.31</v>
      </c>
      <c r="H204" s="2">
        <v>73.3</v>
      </c>
      <c r="I204" s="2">
        <v>8.02</v>
      </c>
      <c r="J204" s="2">
        <v>9.0500000000000007</v>
      </c>
      <c r="K204" s="2">
        <v>10.93</v>
      </c>
      <c r="L204" s="2">
        <v>11.28</v>
      </c>
      <c r="M204" s="2">
        <v>11.67</v>
      </c>
      <c r="N204" s="2">
        <v>98.7</v>
      </c>
      <c r="O204" s="2">
        <v>20.78</v>
      </c>
      <c r="P204" s="2">
        <v>24.99</v>
      </c>
      <c r="Q204" s="2">
        <v>14.43</v>
      </c>
      <c r="R204" s="2">
        <v>11.8</v>
      </c>
      <c r="S204" s="2">
        <v>1.1719999999999999</v>
      </c>
      <c r="T204" s="2">
        <v>45.61</v>
      </c>
      <c r="U204" s="2">
        <v>-2.0539999999999998</v>
      </c>
      <c r="V204" s="2">
        <v>-2.452</v>
      </c>
      <c r="W204" s="2">
        <v>7.88</v>
      </c>
      <c r="X204" s="2">
        <v>11.01</v>
      </c>
      <c r="Y204" s="2">
        <v>2.371</v>
      </c>
      <c r="Z204" s="2">
        <v>0.76200000000000001</v>
      </c>
      <c r="AA204" s="2">
        <v>21.52</v>
      </c>
      <c r="AB204" s="2">
        <v>4.6120000000000001</v>
      </c>
      <c r="AC204" s="2">
        <v>2.82</v>
      </c>
      <c r="AD204" s="2">
        <v>7.25</v>
      </c>
      <c r="AE204" s="2">
        <v>9.16</v>
      </c>
      <c r="AF204" s="2">
        <v>25.03</v>
      </c>
      <c r="AG204" s="2">
        <v>-1.226</v>
      </c>
      <c r="AH204" s="2">
        <v>25.03</v>
      </c>
      <c r="AI204" s="2">
        <v>-1.226</v>
      </c>
      <c r="AJ204" s="2" t="s">
        <v>113</v>
      </c>
      <c r="AK204" s="2" t="s">
        <v>113</v>
      </c>
      <c r="AL204" s="2">
        <v>7.56</v>
      </c>
      <c r="AM204" s="2">
        <v>13.48</v>
      </c>
      <c r="AN204" s="2">
        <v>1.5840000000000001</v>
      </c>
      <c r="AO204" s="2"/>
      <c r="AP204" s="2"/>
      <c r="AR204" s="5">
        <v>31.58</v>
      </c>
      <c r="AS204" s="5">
        <v>21.52</v>
      </c>
      <c r="AT204" s="5">
        <v>4.6100000000000003</v>
      </c>
      <c r="AU204" s="7">
        <f t="shared" si="132"/>
        <v>0.214</v>
      </c>
      <c r="AV204" s="16"/>
      <c r="AW204" s="29">
        <v>0.76200000000000001</v>
      </c>
      <c r="AX204" s="29">
        <v>0</v>
      </c>
      <c r="AY204" s="1">
        <f t="shared" si="109"/>
        <v>95.2</v>
      </c>
      <c r="AZ204" s="1">
        <f t="shared" si="110"/>
        <v>70.599999999999994</v>
      </c>
      <c r="BA204" s="1">
        <f t="shared" si="111"/>
        <v>43.7</v>
      </c>
      <c r="BB204" s="8">
        <f t="shared" si="112"/>
        <v>0.59899999999999998</v>
      </c>
      <c r="BC204" s="8">
        <f t="shared" si="113"/>
        <v>0.77200000000000002</v>
      </c>
      <c r="BE204" s="5">
        <f t="shared" si="121"/>
        <v>21.52</v>
      </c>
      <c r="BF204" s="5">
        <f t="shared" si="122"/>
        <v>4.6100000000000003</v>
      </c>
      <c r="BG204" s="1">
        <f t="shared" si="115"/>
        <v>7.3</v>
      </c>
      <c r="BH204" s="1">
        <f t="shared" si="116"/>
        <v>11.7</v>
      </c>
      <c r="BI204" s="1">
        <f t="shared" si="117"/>
        <v>1.2</v>
      </c>
      <c r="BJ204" s="1">
        <f t="shared" si="123"/>
        <v>70.599999999999994</v>
      </c>
      <c r="BK204" s="1">
        <f t="shared" si="124"/>
        <v>43.7</v>
      </c>
      <c r="BL204" s="1">
        <f t="shared" si="133"/>
        <v>2.8</v>
      </c>
      <c r="BM204" s="1">
        <f t="shared" si="134"/>
        <v>7.3</v>
      </c>
      <c r="BN204" s="21">
        <f t="shared" si="125"/>
        <v>0.76200000000000001</v>
      </c>
      <c r="BO204" s="7">
        <f t="shared" si="126"/>
        <v>0</v>
      </c>
      <c r="BP204" s="21" t="str">
        <f t="shared" si="120"/>
        <v>NAN</v>
      </c>
      <c r="BQ204" s="1">
        <f t="shared" si="127"/>
        <v>9.1999999999999993</v>
      </c>
      <c r="BR204" s="1">
        <f t="shared" si="128"/>
        <v>25</v>
      </c>
      <c r="BS204" s="1">
        <f t="shared" si="129"/>
        <v>-1.2</v>
      </c>
      <c r="BT204" s="1">
        <f t="shared" si="118"/>
        <v>10.9</v>
      </c>
      <c r="BU204" s="1" t="s">
        <v>113</v>
      </c>
      <c r="BV204" s="1">
        <f t="shared" si="119"/>
        <v>11.3</v>
      </c>
      <c r="BW204" s="1" t="str">
        <f t="shared" si="135"/>
        <v>NAN</v>
      </c>
      <c r="BX204" s="1">
        <f t="shared" si="136"/>
        <v>0.59899999999999998</v>
      </c>
      <c r="BY204" s="1">
        <f t="shared" si="137"/>
        <v>0.77200000000000002</v>
      </c>
      <c r="CA204" s="1">
        <f t="shared" si="130"/>
        <v>13.3</v>
      </c>
      <c r="CB204" s="1">
        <f t="shared" si="131"/>
        <v>-2.4</v>
      </c>
    </row>
    <row r="205" spans="1:80" x14ac:dyDescent="0.2">
      <c r="A205" s="9">
        <f t="shared" si="138"/>
        <v>43665</v>
      </c>
      <c r="B205" s="2">
        <v>200</v>
      </c>
      <c r="C205" s="2">
        <v>21</v>
      </c>
      <c r="D205" s="2">
        <v>13.17</v>
      </c>
      <c r="E205" s="2">
        <v>20.329999999999998</v>
      </c>
      <c r="F205" s="2">
        <v>0.86599999999999999</v>
      </c>
      <c r="G205" s="2">
        <v>6.5650000000000004</v>
      </c>
      <c r="H205" s="2">
        <v>82</v>
      </c>
      <c r="I205" s="2">
        <v>7.51</v>
      </c>
      <c r="J205" s="2">
        <v>8.39</v>
      </c>
      <c r="K205" s="2">
        <v>10.46</v>
      </c>
      <c r="L205" s="2">
        <v>10.96</v>
      </c>
      <c r="M205" s="2">
        <v>12.64</v>
      </c>
      <c r="N205" s="2">
        <v>101.1</v>
      </c>
      <c r="O205" s="2">
        <v>24.34</v>
      </c>
      <c r="P205" s="2">
        <v>29.39</v>
      </c>
      <c r="Q205" s="2">
        <v>14.69</v>
      </c>
      <c r="R205" s="2">
        <v>11.38</v>
      </c>
      <c r="S205" s="2">
        <v>0.41899999999999998</v>
      </c>
      <c r="T205" s="2">
        <v>54.23</v>
      </c>
      <c r="U205" s="2">
        <v>-2.4129999999999998</v>
      </c>
      <c r="V205" s="2">
        <v>-2.6419999999999999</v>
      </c>
      <c r="W205" s="2">
        <v>6.7119999999999997</v>
      </c>
      <c r="X205" s="2">
        <v>10.44</v>
      </c>
      <c r="Y205" s="2">
        <v>2.2850000000000001</v>
      </c>
      <c r="Z205" s="2">
        <v>0.50800000000000001</v>
      </c>
      <c r="AA205" s="2">
        <v>18.03</v>
      </c>
      <c r="AB205" s="2">
        <v>3.9849999999999999</v>
      </c>
      <c r="AC205" s="2">
        <v>1.46</v>
      </c>
      <c r="AD205" s="2">
        <v>4.7670000000000003</v>
      </c>
      <c r="AE205" s="2">
        <v>9.19</v>
      </c>
      <c r="AF205" s="2">
        <v>27.45</v>
      </c>
      <c r="AG205" s="2">
        <v>-1.4690000000000001</v>
      </c>
      <c r="AH205" s="2">
        <v>27.45</v>
      </c>
      <c r="AI205" s="2">
        <v>-1.4690000000000001</v>
      </c>
      <c r="AJ205" s="2" t="s">
        <v>113</v>
      </c>
      <c r="AK205" s="2" t="s">
        <v>113</v>
      </c>
      <c r="AL205" s="2">
        <v>7.13</v>
      </c>
      <c r="AM205" s="2">
        <v>16.43</v>
      </c>
      <c r="AN205" s="2">
        <v>0.11600000000000001</v>
      </c>
      <c r="AO205" s="2"/>
      <c r="AP205" s="2"/>
      <c r="AR205" s="5">
        <v>31.46</v>
      </c>
      <c r="AS205" s="5">
        <v>18.03</v>
      </c>
      <c r="AT205" s="5">
        <v>3.98</v>
      </c>
      <c r="AU205" s="7">
        <f t="shared" si="132"/>
        <v>0.221</v>
      </c>
      <c r="AV205" s="16"/>
      <c r="AW205" s="29">
        <v>0.76200000000000001</v>
      </c>
      <c r="AX205" s="29">
        <v>0</v>
      </c>
      <c r="AY205" s="1">
        <f t="shared" si="109"/>
        <v>97.6</v>
      </c>
      <c r="AZ205" s="1">
        <f t="shared" si="110"/>
        <v>79</v>
      </c>
      <c r="BA205" s="1">
        <f t="shared" si="111"/>
        <v>52.1</v>
      </c>
      <c r="BB205" s="8">
        <f t="shared" si="112"/>
        <v>0.76200000000000001</v>
      </c>
      <c r="BC205" s="8">
        <f t="shared" si="113"/>
        <v>0.70099999999999996</v>
      </c>
      <c r="BE205" s="5">
        <f t="shared" si="121"/>
        <v>18.03</v>
      </c>
      <c r="BF205" s="5">
        <f t="shared" si="122"/>
        <v>3.98</v>
      </c>
      <c r="BG205" s="1">
        <f t="shared" si="115"/>
        <v>6.6</v>
      </c>
      <c r="BH205" s="1">
        <f t="shared" si="116"/>
        <v>12.6</v>
      </c>
      <c r="BI205" s="1">
        <f t="shared" si="117"/>
        <v>0.4</v>
      </c>
      <c r="BJ205" s="1">
        <f t="shared" si="123"/>
        <v>79</v>
      </c>
      <c r="BK205" s="1">
        <f t="shared" si="124"/>
        <v>52.1</v>
      </c>
      <c r="BL205" s="1">
        <f t="shared" si="133"/>
        <v>1.5</v>
      </c>
      <c r="BM205" s="1">
        <f t="shared" si="134"/>
        <v>4.8</v>
      </c>
      <c r="BN205" s="21">
        <f t="shared" si="125"/>
        <v>0.76200000000000001</v>
      </c>
      <c r="BO205" s="7">
        <f t="shared" si="126"/>
        <v>0</v>
      </c>
      <c r="BP205" s="21" t="str">
        <f t="shared" si="120"/>
        <v>NAN</v>
      </c>
      <c r="BQ205" s="1">
        <f t="shared" si="127"/>
        <v>9.1999999999999993</v>
      </c>
      <c r="BR205" s="1">
        <f t="shared" si="128"/>
        <v>27.5</v>
      </c>
      <c r="BS205" s="1">
        <f t="shared" si="129"/>
        <v>-1.5</v>
      </c>
      <c r="BT205" s="1">
        <f t="shared" si="118"/>
        <v>10.5</v>
      </c>
      <c r="BU205" s="1" t="s">
        <v>113</v>
      </c>
      <c r="BV205" s="1">
        <f t="shared" si="119"/>
        <v>11</v>
      </c>
      <c r="BW205" s="1" t="str">
        <f t="shared" si="135"/>
        <v>NAN</v>
      </c>
      <c r="BX205" s="1">
        <f t="shared" si="136"/>
        <v>0.76200000000000001</v>
      </c>
      <c r="BY205" s="1">
        <f t="shared" si="137"/>
        <v>0.70099999999999996</v>
      </c>
      <c r="CA205" s="1">
        <f t="shared" si="130"/>
        <v>14.9</v>
      </c>
      <c r="CB205" s="1">
        <f t="shared" si="131"/>
        <v>-1.9</v>
      </c>
    </row>
    <row r="206" spans="1:80" x14ac:dyDescent="0.2">
      <c r="A206" s="9">
        <f t="shared" si="138"/>
        <v>43666</v>
      </c>
      <c r="B206" s="2">
        <v>201</v>
      </c>
      <c r="C206" s="2">
        <v>21</v>
      </c>
      <c r="D206" s="2">
        <v>13.17</v>
      </c>
      <c r="E206" s="2">
        <v>22.97</v>
      </c>
      <c r="F206" s="2">
        <v>2.6989999999999998</v>
      </c>
      <c r="G206" s="2">
        <v>7.93</v>
      </c>
      <c r="H206" s="2">
        <v>85.7</v>
      </c>
      <c r="I206" s="2">
        <v>8.8699999999999992</v>
      </c>
      <c r="J206" s="2">
        <v>9.4</v>
      </c>
      <c r="K206" s="2">
        <v>11.26</v>
      </c>
      <c r="L206" s="2">
        <v>10.71</v>
      </c>
      <c r="M206" s="2">
        <v>14.47</v>
      </c>
      <c r="N206" s="2">
        <v>102</v>
      </c>
      <c r="O206" s="2">
        <v>24.95</v>
      </c>
      <c r="P206" s="2">
        <v>29.84</v>
      </c>
      <c r="Q206" s="2">
        <v>15.39</v>
      </c>
      <c r="R206" s="2">
        <v>11.17</v>
      </c>
      <c r="S206" s="2">
        <v>1.7729999999999999</v>
      </c>
      <c r="T206" s="2">
        <v>53</v>
      </c>
      <c r="U206" s="2">
        <v>-1.0900000000000001</v>
      </c>
      <c r="V206" s="2">
        <v>-1.37</v>
      </c>
      <c r="W206" s="2">
        <v>8.1199999999999992</v>
      </c>
      <c r="X206" s="2">
        <v>10.25</v>
      </c>
      <c r="Y206" s="2">
        <v>2.286</v>
      </c>
      <c r="Z206" s="2">
        <v>1.016</v>
      </c>
      <c r="AA206" s="2">
        <v>17.059999999999999</v>
      </c>
      <c r="AB206" s="2">
        <v>3.7530000000000001</v>
      </c>
      <c r="AC206" s="2">
        <v>1.0880000000000001</v>
      </c>
      <c r="AD206" s="2">
        <v>4.0739999999999998</v>
      </c>
      <c r="AE206" s="2">
        <v>10.39</v>
      </c>
      <c r="AF206" s="2">
        <v>28</v>
      </c>
      <c r="AG206" s="2">
        <v>-0.25900000000000001</v>
      </c>
      <c r="AH206" s="2">
        <v>28</v>
      </c>
      <c r="AI206" s="2">
        <v>-0.25900000000000001</v>
      </c>
      <c r="AJ206" s="2" t="s">
        <v>113</v>
      </c>
      <c r="AK206" s="2" t="s">
        <v>113</v>
      </c>
      <c r="AL206" s="2">
        <v>8.52</v>
      </c>
      <c r="AM206" s="2">
        <v>18.39</v>
      </c>
      <c r="AN206" s="2">
        <v>1.2809999999999999</v>
      </c>
      <c r="AO206" s="2"/>
      <c r="AP206" s="2"/>
      <c r="AR206" s="5">
        <v>31.34</v>
      </c>
      <c r="AS206" s="5">
        <v>17.059999999999999</v>
      </c>
      <c r="AT206" s="5">
        <v>3.75</v>
      </c>
      <c r="AU206" s="7">
        <f t="shared" si="132"/>
        <v>0.22</v>
      </c>
      <c r="AV206" s="16"/>
      <c r="AW206" s="29">
        <v>1.016</v>
      </c>
      <c r="AX206" s="29">
        <v>0</v>
      </c>
      <c r="AY206" s="1">
        <f t="shared" si="109"/>
        <v>98.4</v>
      </c>
      <c r="AZ206" s="1">
        <f t="shared" si="110"/>
        <v>82.6</v>
      </c>
      <c r="BA206" s="1">
        <f t="shared" si="111"/>
        <v>50.9</v>
      </c>
      <c r="BB206" s="8">
        <f t="shared" si="112"/>
        <v>0.83899999999999997</v>
      </c>
      <c r="BC206" s="8">
        <f t="shared" si="113"/>
        <v>0.80900000000000005</v>
      </c>
      <c r="BE206" s="5">
        <f t="shared" si="121"/>
        <v>17.059999999999999</v>
      </c>
      <c r="BF206" s="5">
        <f t="shared" si="122"/>
        <v>3.75</v>
      </c>
      <c r="BG206" s="1">
        <f t="shared" si="115"/>
        <v>7.9</v>
      </c>
      <c r="BH206" s="1">
        <f t="shared" si="116"/>
        <v>14.5</v>
      </c>
      <c r="BI206" s="1">
        <f t="shared" si="117"/>
        <v>1.8</v>
      </c>
      <c r="BJ206" s="1">
        <f t="shared" si="123"/>
        <v>82.6</v>
      </c>
      <c r="BK206" s="1">
        <f t="shared" si="124"/>
        <v>50.9</v>
      </c>
      <c r="BL206" s="1">
        <f t="shared" si="133"/>
        <v>1.1000000000000001</v>
      </c>
      <c r="BM206" s="1">
        <f t="shared" si="134"/>
        <v>4.0999999999999996</v>
      </c>
      <c r="BN206" s="21">
        <f t="shared" si="125"/>
        <v>1.016</v>
      </c>
      <c r="BO206" s="7">
        <f t="shared" si="126"/>
        <v>0</v>
      </c>
      <c r="BP206" s="21" t="str">
        <f t="shared" si="120"/>
        <v>NAN</v>
      </c>
      <c r="BQ206" s="1">
        <f t="shared" si="127"/>
        <v>10.4</v>
      </c>
      <c r="BR206" s="1">
        <f t="shared" si="128"/>
        <v>28</v>
      </c>
      <c r="BS206" s="1">
        <f t="shared" si="129"/>
        <v>-0.3</v>
      </c>
      <c r="BT206" s="1">
        <f t="shared" si="118"/>
        <v>11.3</v>
      </c>
      <c r="BU206" s="1" t="s">
        <v>113</v>
      </c>
      <c r="BV206" s="1">
        <f t="shared" si="119"/>
        <v>10.7</v>
      </c>
      <c r="BW206" s="1" t="str">
        <f t="shared" si="135"/>
        <v>NAN</v>
      </c>
      <c r="BX206" s="1">
        <f t="shared" si="136"/>
        <v>0.83899999999999997</v>
      </c>
      <c r="BY206" s="1">
        <f t="shared" si="137"/>
        <v>0.80900000000000005</v>
      </c>
      <c r="CA206" s="1">
        <f t="shared" si="130"/>
        <v>13.5</v>
      </c>
      <c r="CB206" s="1">
        <f t="shared" si="131"/>
        <v>-2.1</v>
      </c>
    </row>
    <row r="207" spans="1:80" x14ac:dyDescent="0.2">
      <c r="A207" s="9">
        <f t="shared" si="138"/>
        <v>43667</v>
      </c>
      <c r="B207" s="2">
        <v>202</v>
      </c>
      <c r="C207" s="2">
        <v>21</v>
      </c>
      <c r="D207" s="2">
        <v>13.19</v>
      </c>
      <c r="E207" s="2">
        <v>31.94</v>
      </c>
      <c r="F207" s="2">
        <v>-7.8E-2</v>
      </c>
      <c r="G207" s="2">
        <v>12.45</v>
      </c>
      <c r="H207" s="2">
        <v>67.53</v>
      </c>
      <c r="I207" s="2">
        <v>13.58</v>
      </c>
      <c r="J207" s="2">
        <v>14.61</v>
      </c>
      <c r="K207" s="2">
        <v>13.86</v>
      </c>
      <c r="L207" s="2">
        <v>10.57</v>
      </c>
      <c r="M207" s="2">
        <v>22.84</v>
      </c>
      <c r="N207" s="2">
        <v>102.5</v>
      </c>
      <c r="O207" s="2">
        <v>32.090000000000003</v>
      </c>
      <c r="P207" s="2">
        <v>35.68</v>
      </c>
      <c r="Q207" s="2">
        <v>20.68</v>
      </c>
      <c r="R207" s="2">
        <v>11.53</v>
      </c>
      <c r="S207" s="2">
        <v>1.0509999999999999</v>
      </c>
      <c r="T207" s="2">
        <v>26.8</v>
      </c>
      <c r="U207" s="2">
        <v>-2.3450000000000002</v>
      </c>
      <c r="V207" s="2">
        <v>-2.508</v>
      </c>
      <c r="W207" s="2">
        <v>5.9889999999999999</v>
      </c>
      <c r="X207" s="2">
        <v>9.9</v>
      </c>
      <c r="Y207" s="2">
        <v>2.6320000000000001</v>
      </c>
      <c r="Z207" s="2">
        <v>0</v>
      </c>
      <c r="AA207" s="2">
        <v>29.53</v>
      </c>
      <c r="AB207" s="2">
        <v>6.5339999999999998</v>
      </c>
      <c r="AC207" s="2">
        <v>1.212</v>
      </c>
      <c r="AD207" s="2">
        <v>4.6340000000000003</v>
      </c>
      <c r="AE207" s="2">
        <v>15.87</v>
      </c>
      <c r="AF207" s="2">
        <v>38.1</v>
      </c>
      <c r="AG207" s="2">
        <v>-1.494</v>
      </c>
      <c r="AH207" s="2">
        <v>38.1</v>
      </c>
      <c r="AI207" s="2">
        <v>-1.494</v>
      </c>
      <c r="AJ207" s="2" t="s">
        <v>113</v>
      </c>
      <c r="AK207" s="2" t="s">
        <v>113</v>
      </c>
      <c r="AL207" s="2">
        <v>13.51</v>
      </c>
      <c r="AM207" s="2">
        <v>26.25</v>
      </c>
      <c r="AN207" s="2">
        <v>0.53</v>
      </c>
      <c r="AO207" s="2"/>
      <c r="AP207" s="2"/>
      <c r="AR207" s="5">
        <v>31.21</v>
      </c>
      <c r="AS207" s="5">
        <v>29.53</v>
      </c>
      <c r="AT207" s="5">
        <v>6.53</v>
      </c>
      <c r="AU207" s="7">
        <f t="shared" si="132"/>
        <v>0.221</v>
      </c>
      <c r="AV207" s="16"/>
      <c r="AW207" s="29">
        <v>0</v>
      </c>
      <c r="AX207" s="29">
        <v>0</v>
      </c>
      <c r="AY207" s="1">
        <f t="shared" si="109"/>
        <v>98.9</v>
      </c>
      <c r="AZ207" s="1">
        <f t="shared" si="110"/>
        <v>65</v>
      </c>
      <c r="BA207" s="1">
        <f t="shared" si="111"/>
        <v>25.5</v>
      </c>
      <c r="BB207" s="8">
        <f t="shared" si="112"/>
        <v>0.70899999999999996</v>
      </c>
      <c r="BC207" s="8">
        <f t="shared" si="113"/>
        <v>2.0710000000000002</v>
      </c>
      <c r="BE207" s="5">
        <f t="shared" si="121"/>
        <v>29.53</v>
      </c>
      <c r="BF207" s="5">
        <f t="shared" si="122"/>
        <v>6.53</v>
      </c>
      <c r="BG207" s="1">
        <f t="shared" si="115"/>
        <v>12.5</v>
      </c>
      <c r="BH207" s="1">
        <f t="shared" si="116"/>
        <v>22.8</v>
      </c>
      <c r="BI207" s="1">
        <f t="shared" si="117"/>
        <v>1.1000000000000001</v>
      </c>
      <c r="BJ207" s="1">
        <f t="shared" si="123"/>
        <v>65</v>
      </c>
      <c r="BK207" s="1">
        <f t="shared" si="124"/>
        <v>25.5</v>
      </c>
      <c r="BL207" s="1">
        <f t="shared" si="133"/>
        <v>1.2</v>
      </c>
      <c r="BM207" s="1">
        <f t="shared" si="134"/>
        <v>4.5999999999999996</v>
      </c>
      <c r="BN207" s="21">
        <f t="shared" si="125"/>
        <v>0</v>
      </c>
      <c r="BO207" s="7">
        <f t="shared" si="126"/>
        <v>0</v>
      </c>
      <c r="BP207" s="21" t="str">
        <f t="shared" si="120"/>
        <v>NAN</v>
      </c>
      <c r="BQ207" s="1">
        <f t="shared" si="127"/>
        <v>15.9</v>
      </c>
      <c r="BR207" s="1">
        <f t="shared" si="128"/>
        <v>38.1</v>
      </c>
      <c r="BS207" s="1">
        <f t="shared" si="129"/>
        <v>-1.5</v>
      </c>
      <c r="BT207" s="1">
        <f t="shared" si="118"/>
        <v>13.9</v>
      </c>
      <c r="BU207" s="1" t="s">
        <v>113</v>
      </c>
      <c r="BV207" s="1">
        <f t="shared" si="119"/>
        <v>10.6</v>
      </c>
      <c r="BW207" s="1" t="str">
        <f t="shared" si="135"/>
        <v>NAN</v>
      </c>
      <c r="BX207" s="1">
        <f t="shared" si="136"/>
        <v>0.70899999999999996</v>
      </c>
      <c r="BY207" s="1">
        <f t="shared" si="137"/>
        <v>2.0710000000000002</v>
      </c>
      <c r="CA207" s="1">
        <f t="shared" si="130"/>
        <v>15.3</v>
      </c>
      <c r="CB207" s="1">
        <f t="shared" si="131"/>
        <v>-2.6</v>
      </c>
    </row>
    <row r="208" spans="1:80" x14ac:dyDescent="0.2">
      <c r="A208" s="9">
        <f t="shared" si="138"/>
        <v>43668</v>
      </c>
      <c r="B208" s="2">
        <v>203</v>
      </c>
      <c r="C208" s="2">
        <v>21</v>
      </c>
      <c r="D208" s="2">
        <v>13.2</v>
      </c>
      <c r="E208" s="2">
        <v>32.46</v>
      </c>
      <c r="F208" s="2">
        <v>2.3889999999999998</v>
      </c>
      <c r="G208" s="2">
        <v>15.13</v>
      </c>
      <c r="H208" s="2">
        <v>66.959999999999994</v>
      </c>
      <c r="I208" s="2">
        <v>15.52</v>
      </c>
      <c r="J208" s="2">
        <v>16.46</v>
      </c>
      <c r="K208" s="2">
        <v>15.49</v>
      </c>
      <c r="L208" s="2">
        <v>10.96</v>
      </c>
      <c r="M208" s="2">
        <v>26.15</v>
      </c>
      <c r="N208" s="2">
        <v>100.6</v>
      </c>
      <c r="O208" s="2">
        <v>37.159999999999997</v>
      </c>
      <c r="P208" s="2">
        <v>38.64</v>
      </c>
      <c r="Q208" s="2">
        <v>21.67</v>
      </c>
      <c r="R208" s="2">
        <v>11.81</v>
      </c>
      <c r="S208" s="2">
        <v>3.254</v>
      </c>
      <c r="T208" s="2">
        <v>28</v>
      </c>
      <c r="U208" s="2">
        <v>-0.77500000000000002</v>
      </c>
      <c r="V208" s="2">
        <v>-1.367</v>
      </c>
      <c r="W208" s="2">
        <v>8.59</v>
      </c>
      <c r="X208" s="2">
        <v>10.52</v>
      </c>
      <c r="Y208" s="2">
        <v>2.3740000000000001</v>
      </c>
      <c r="Z208" s="2">
        <v>0.76200000000000001</v>
      </c>
      <c r="AA208" s="2">
        <v>22.71</v>
      </c>
      <c r="AB208" s="2">
        <v>5.0519999999999996</v>
      </c>
      <c r="AC208" s="2">
        <v>1.1100000000000001</v>
      </c>
      <c r="AD208" s="2">
        <v>4.7939999999999996</v>
      </c>
      <c r="AE208" s="2">
        <v>17.309999999999999</v>
      </c>
      <c r="AF208" s="2">
        <v>41.52</v>
      </c>
      <c r="AG208" s="2">
        <v>-0.107</v>
      </c>
      <c r="AH208" s="2">
        <v>41.52</v>
      </c>
      <c r="AI208" s="2">
        <v>-0.107</v>
      </c>
      <c r="AJ208" s="2" t="s">
        <v>113</v>
      </c>
      <c r="AK208" s="2" t="s">
        <v>113</v>
      </c>
      <c r="AL208" s="2">
        <v>15.69</v>
      </c>
      <c r="AM208" s="2">
        <v>29.93</v>
      </c>
      <c r="AN208" s="2">
        <v>2.42</v>
      </c>
      <c r="AO208" s="2"/>
      <c r="AP208" s="2"/>
      <c r="AR208" s="5">
        <v>31.08</v>
      </c>
      <c r="AS208" s="5">
        <v>22.71</v>
      </c>
      <c r="AT208" s="5">
        <v>5.05</v>
      </c>
      <c r="AU208" s="7">
        <f t="shared" si="132"/>
        <v>0.222</v>
      </c>
      <c r="AV208" s="16"/>
      <c r="AW208" s="29">
        <v>0.50800000000000001</v>
      </c>
      <c r="AX208" s="29">
        <v>0</v>
      </c>
      <c r="AY208" s="1">
        <f t="shared" si="109"/>
        <v>97.1</v>
      </c>
      <c r="AZ208" s="1">
        <f t="shared" si="110"/>
        <v>64.5</v>
      </c>
      <c r="BA208" s="1">
        <f t="shared" si="111"/>
        <v>26.7</v>
      </c>
      <c r="BB208" s="8">
        <f t="shared" si="112"/>
        <v>0.90500000000000003</v>
      </c>
      <c r="BC208" s="8">
        <f t="shared" si="113"/>
        <v>2.4849999999999999</v>
      </c>
      <c r="BE208" s="5">
        <f t="shared" si="121"/>
        <v>22.71</v>
      </c>
      <c r="BF208" s="5">
        <f t="shared" si="122"/>
        <v>5.05</v>
      </c>
      <c r="BG208" s="1">
        <f t="shared" si="115"/>
        <v>15.1</v>
      </c>
      <c r="BH208" s="1">
        <f t="shared" si="116"/>
        <v>26.2</v>
      </c>
      <c r="BI208" s="1">
        <f t="shared" si="117"/>
        <v>3.3</v>
      </c>
      <c r="BJ208" s="1">
        <f t="shared" si="123"/>
        <v>64.5</v>
      </c>
      <c r="BK208" s="1">
        <f t="shared" si="124"/>
        <v>26.7</v>
      </c>
      <c r="BL208" s="1">
        <f t="shared" si="133"/>
        <v>1.1000000000000001</v>
      </c>
      <c r="BM208" s="1">
        <f t="shared" si="134"/>
        <v>4.8</v>
      </c>
      <c r="BN208" s="21">
        <f t="shared" si="125"/>
        <v>0.50800000000000001</v>
      </c>
      <c r="BO208" s="7">
        <f t="shared" si="126"/>
        <v>0</v>
      </c>
      <c r="BP208" s="21" t="str">
        <f t="shared" si="120"/>
        <v>NAN</v>
      </c>
      <c r="BQ208" s="1">
        <f t="shared" si="127"/>
        <v>17.3</v>
      </c>
      <c r="BR208" s="1">
        <f t="shared" si="128"/>
        <v>41.5</v>
      </c>
      <c r="BS208" s="1">
        <f t="shared" si="129"/>
        <v>-0.1</v>
      </c>
      <c r="BT208" s="1">
        <f t="shared" si="118"/>
        <v>15.5</v>
      </c>
      <c r="BU208" s="1" t="s">
        <v>113</v>
      </c>
      <c r="BV208" s="1">
        <f t="shared" si="119"/>
        <v>11</v>
      </c>
      <c r="BW208" s="1" t="str">
        <f t="shared" si="135"/>
        <v>NAN</v>
      </c>
      <c r="BX208" s="1">
        <f t="shared" si="136"/>
        <v>0.90500000000000003</v>
      </c>
      <c r="BY208" s="1">
        <f t="shared" si="137"/>
        <v>2.4849999999999999</v>
      </c>
      <c r="CA208" s="1">
        <f t="shared" si="130"/>
        <v>15.3</v>
      </c>
      <c r="CB208" s="1">
        <f t="shared" si="131"/>
        <v>-3.4</v>
      </c>
    </row>
    <row r="209" spans="1:80" x14ac:dyDescent="0.2">
      <c r="A209" s="9">
        <f t="shared" si="138"/>
        <v>43669</v>
      </c>
      <c r="B209" s="2">
        <v>204</v>
      </c>
      <c r="C209" s="2">
        <v>21</v>
      </c>
      <c r="D209" s="2">
        <v>13.2</v>
      </c>
      <c r="E209" s="2">
        <v>30.6</v>
      </c>
      <c r="F209" s="2">
        <v>5.9260000000000002</v>
      </c>
      <c r="G209" s="2">
        <v>14.9</v>
      </c>
      <c r="H209" s="2">
        <v>75.7</v>
      </c>
      <c r="I209" s="2">
        <v>15.03</v>
      </c>
      <c r="J209" s="2">
        <v>14.99</v>
      </c>
      <c r="K209" s="2">
        <v>14.8</v>
      </c>
      <c r="L209" s="2">
        <v>11.43</v>
      </c>
      <c r="M209" s="2">
        <v>24.25</v>
      </c>
      <c r="N209" s="2">
        <v>101.6</v>
      </c>
      <c r="O209" s="2">
        <v>35.18</v>
      </c>
      <c r="P209" s="2">
        <v>35.19</v>
      </c>
      <c r="Q209" s="2">
        <v>19.11</v>
      </c>
      <c r="R209" s="2">
        <v>12.13</v>
      </c>
      <c r="S209" s="2">
        <v>6.3689999999999998</v>
      </c>
      <c r="T209" s="2">
        <v>37.61</v>
      </c>
      <c r="U209" s="2">
        <v>3.4689999999999999</v>
      </c>
      <c r="V209" s="2">
        <v>2.7970000000000002</v>
      </c>
      <c r="W209" s="2">
        <v>10.52</v>
      </c>
      <c r="X209" s="2">
        <v>10.77</v>
      </c>
      <c r="Y209" s="2">
        <v>2.6459999999999999</v>
      </c>
      <c r="Z209" s="2">
        <v>2.286</v>
      </c>
      <c r="AA209" s="2">
        <v>14.54</v>
      </c>
      <c r="AB209" s="2">
        <v>3.165</v>
      </c>
      <c r="AC209" s="2">
        <v>1.147</v>
      </c>
      <c r="AD209" s="2">
        <v>5.0869999999999997</v>
      </c>
      <c r="AE209" s="2">
        <v>15.02</v>
      </c>
      <c r="AF209" s="2">
        <v>33.72</v>
      </c>
      <c r="AG209" s="2">
        <v>3.8370000000000002</v>
      </c>
      <c r="AH209" s="2">
        <v>33.72</v>
      </c>
      <c r="AI209" s="2">
        <v>3.8370000000000002</v>
      </c>
      <c r="AJ209" s="2" t="s">
        <v>113</v>
      </c>
      <c r="AK209" s="2" t="s">
        <v>113</v>
      </c>
      <c r="AL209" s="2">
        <v>15.06</v>
      </c>
      <c r="AM209" s="2">
        <v>26.94</v>
      </c>
      <c r="AN209" s="2">
        <v>5.8639999999999999</v>
      </c>
      <c r="AO209" s="2"/>
      <c r="AP209" s="2"/>
      <c r="AR209" s="5">
        <v>30.95</v>
      </c>
      <c r="AS209" s="5">
        <v>14.54</v>
      </c>
      <c r="AT209" s="5">
        <v>3.16</v>
      </c>
      <c r="AU209" s="7">
        <f t="shared" si="132"/>
        <v>0.217</v>
      </c>
      <c r="AV209" s="16"/>
      <c r="AW209" s="29">
        <v>2.54</v>
      </c>
      <c r="AX209" s="29">
        <v>0</v>
      </c>
      <c r="AY209" s="1">
        <f t="shared" si="109"/>
        <v>98.1</v>
      </c>
      <c r="AZ209" s="1">
        <f t="shared" si="110"/>
        <v>72.900000000000006</v>
      </c>
      <c r="BA209" s="1">
        <f t="shared" si="111"/>
        <v>36</v>
      </c>
      <c r="BB209" s="8">
        <f t="shared" si="112"/>
        <v>1.0900000000000001</v>
      </c>
      <c r="BC209" s="8">
        <f t="shared" si="113"/>
        <v>1.9379999999999999</v>
      </c>
      <c r="BE209" s="5">
        <f t="shared" si="121"/>
        <v>14.54</v>
      </c>
      <c r="BF209" s="5">
        <f t="shared" si="122"/>
        <v>3.16</v>
      </c>
      <c r="BG209" s="1">
        <f t="shared" si="115"/>
        <v>14.9</v>
      </c>
      <c r="BH209" s="1">
        <f t="shared" si="116"/>
        <v>24.3</v>
      </c>
      <c r="BI209" s="1">
        <f t="shared" si="117"/>
        <v>6.4</v>
      </c>
      <c r="BJ209" s="1">
        <f t="shared" si="123"/>
        <v>72.900000000000006</v>
      </c>
      <c r="BK209" s="1">
        <f t="shared" si="124"/>
        <v>36</v>
      </c>
      <c r="BL209" s="1">
        <f t="shared" si="133"/>
        <v>1.1000000000000001</v>
      </c>
      <c r="BM209" s="1">
        <f t="shared" si="134"/>
        <v>5.0999999999999996</v>
      </c>
      <c r="BN209" s="21">
        <f t="shared" si="125"/>
        <v>2.54</v>
      </c>
      <c r="BO209" s="7">
        <f t="shared" si="126"/>
        <v>0</v>
      </c>
      <c r="BP209" s="21" t="str">
        <f t="shared" si="120"/>
        <v>NAN</v>
      </c>
      <c r="BQ209" s="1">
        <f t="shared" si="127"/>
        <v>15</v>
      </c>
      <c r="BR209" s="1">
        <f t="shared" si="128"/>
        <v>33.700000000000003</v>
      </c>
      <c r="BS209" s="1">
        <f t="shared" si="129"/>
        <v>3.8</v>
      </c>
      <c r="BT209" s="1">
        <f t="shared" si="118"/>
        <v>14.8</v>
      </c>
      <c r="BU209" s="1" t="s">
        <v>113</v>
      </c>
      <c r="BV209" s="1">
        <f t="shared" si="119"/>
        <v>11.4</v>
      </c>
      <c r="BW209" s="1" t="str">
        <f t="shared" si="135"/>
        <v>NAN</v>
      </c>
      <c r="BX209" s="1">
        <f t="shared" si="136"/>
        <v>1.0900000000000001</v>
      </c>
      <c r="BY209" s="1">
        <f t="shared" si="137"/>
        <v>1.9379999999999999</v>
      </c>
      <c r="CA209" s="1">
        <f t="shared" si="130"/>
        <v>9.4000000000000021</v>
      </c>
      <c r="CB209" s="1">
        <f t="shared" si="131"/>
        <v>-2.6000000000000005</v>
      </c>
    </row>
    <row r="210" spans="1:80" x14ac:dyDescent="0.2">
      <c r="A210" s="9">
        <f t="shared" si="138"/>
        <v>43670</v>
      </c>
      <c r="B210" s="2">
        <v>205</v>
      </c>
      <c r="C210" s="2">
        <v>21</v>
      </c>
      <c r="D210" s="2">
        <v>13.18</v>
      </c>
      <c r="E210" s="2">
        <v>20.82</v>
      </c>
      <c r="F210" s="2">
        <v>0.498</v>
      </c>
      <c r="G210" s="2">
        <v>8.25</v>
      </c>
      <c r="H210" s="2">
        <v>79.099999999999994</v>
      </c>
      <c r="I210" s="2">
        <v>8.6300000000000008</v>
      </c>
      <c r="J210" s="2">
        <v>8.92</v>
      </c>
      <c r="K210" s="2">
        <v>12.19</v>
      </c>
      <c r="L210" s="2">
        <v>11.62</v>
      </c>
      <c r="M210" s="2">
        <v>14.13</v>
      </c>
      <c r="N210" s="2">
        <v>101.9</v>
      </c>
      <c r="O210" s="2">
        <v>23.78</v>
      </c>
      <c r="P210" s="2">
        <v>23.99</v>
      </c>
      <c r="Q210" s="2">
        <v>14.8</v>
      </c>
      <c r="R210" s="2">
        <v>12</v>
      </c>
      <c r="S210" s="2">
        <v>-0.60599999999999998</v>
      </c>
      <c r="T210" s="2">
        <v>48.47</v>
      </c>
      <c r="U210" s="2">
        <v>-3.1269999999999998</v>
      </c>
      <c r="V210" s="2">
        <v>-3.31</v>
      </c>
      <c r="W210" s="2">
        <v>8.1999999999999993</v>
      </c>
      <c r="X210" s="2">
        <v>11.2</v>
      </c>
      <c r="Y210" s="2">
        <v>2.2400000000000002</v>
      </c>
      <c r="Z210" s="2">
        <v>2.286</v>
      </c>
      <c r="AA210" s="2">
        <v>14.91</v>
      </c>
      <c r="AB210" s="2">
        <v>3.2170000000000001</v>
      </c>
      <c r="AC210" s="2">
        <v>2.125</v>
      </c>
      <c r="AD210" s="2">
        <v>7.27</v>
      </c>
      <c r="AE210" s="2">
        <v>9.52</v>
      </c>
      <c r="AF210" s="2">
        <v>23.2</v>
      </c>
      <c r="AG210" s="2">
        <v>-2.0990000000000002</v>
      </c>
      <c r="AH210" s="2">
        <v>23.2</v>
      </c>
      <c r="AI210" s="2">
        <v>-2.0990000000000002</v>
      </c>
      <c r="AJ210" s="2" t="s">
        <v>113</v>
      </c>
      <c r="AK210" s="2" t="s">
        <v>113</v>
      </c>
      <c r="AL210" s="2">
        <v>8.4499999999999993</v>
      </c>
      <c r="AM210" s="2">
        <v>15.98</v>
      </c>
      <c r="AN210" s="2">
        <v>-1.1180000000000001</v>
      </c>
      <c r="AO210" s="2"/>
      <c r="AP210" s="2"/>
      <c r="AR210" s="5">
        <v>30.81</v>
      </c>
      <c r="AS210" s="5">
        <v>14.91</v>
      </c>
      <c r="AT210" s="5">
        <v>3.22</v>
      </c>
      <c r="AU210" s="7">
        <f t="shared" si="132"/>
        <v>0.216</v>
      </c>
      <c r="AV210" s="16"/>
      <c r="AW210" s="29">
        <v>2.286</v>
      </c>
      <c r="AX210" s="29">
        <v>0</v>
      </c>
      <c r="AY210" s="1">
        <f t="shared" si="109"/>
        <v>98.3</v>
      </c>
      <c r="AZ210" s="1">
        <f t="shared" si="110"/>
        <v>76.2</v>
      </c>
      <c r="BA210" s="1">
        <f t="shared" si="111"/>
        <v>46.5</v>
      </c>
      <c r="BB210" s="8">
        <f t="shared" si="112"/>
        <v>0.749</v>
      </c>
      <c r="BC210" s="8">
        <f t="shared" si="113"/>
        <v>0.86199999999999999</v>
      </c>
      <c r="BE210" s="5">
        <f t="shared" si="121"/>
        <v>14.91</v>
      </c>
      <c r="BF210" s="5">
        <f t="shared" si="122"/>
        <v>3.22</v>
      </c>
      <c r="BG210" s="1">
        <f t="shared" si="115"/>
        <v>8.3000000000000007</v>
      </c>
      <c r="BH210" s="1">
        <f t="shared" si="116"/>
        <v>14.1</v>
      </c>
      <c r="BI210" s="1">
        <f t="shared" si="117"/>
        <v>-0.6</v>
      </c>
      <c r="BJ210" s="1">
        <f t="shared" si="123"/>
        <v>76.2</v>
      </c>
      <c r="BK210" s="1">
        <f t="shared" si="124"/>
        <v>46.5</v>
      </c>
      <c r="BL210" s="1">
        <f t="shared" si="133"/>
        <v>2.1</v>
      </c>
      <c r="BM210" s="1">
        <f t="shared" si="134"/>
        <v>7.3</v>
      </c>
      <c r="BN210" s="21">
        <f t="shared" si="125"/>
        <v>2.286</v>
      </c>
      <c r="BO210" s="7">
        <f t="shared" si="126"/>
        <v>0</v>
      </c>
      <c r="BP210" s="21" t="str">
        <f t="shared" si="120"/>
        <v>NAN</v>
      </c>
      <c r="BQ210" s="1">
        <f t="shared" si="127"/>
        <v>9.5</v>
      </c>
      <c r="BR210" s="1">
        <f t="shared" si="128"/>
        <v>23.2</v>
      </c>
      <c r="BS210" s="1">
        <f t="shared" si="129"/>
        <v>-2.1</v>
      </c>
      <c r="BT210" s="1">
        <f t="shared" si="118"/>
        <v>12.2</v>
      </c>
      <c r="BU210" s="1" t="s">
        <v>113</v>
      </c>
      <c r="BV210" s="1">
        <f t="shared" si="119"/>
        <v>11.6</v>
      </c>
      <c r="BW210" s="1" t="str">
        <f t="shared" si="135"/>
        <v>NAN</v>
      </c>
      <c r="BX210" s="1">
        <f t="shared" si="136"/>
        <v>0.749</v>
      </c>
      <c r="BY210" s="1">
        <f t="shared" si="137"/>
        <v>0.86199999999999999</v>
      </c>
      <c r="CA210" s="1">
        <f t="shared" si="130"/>
        <v>9.1</v>
      </c>
      <c r="CB210" s="1">
        <f t="shared" si="131"/>
        <v>-1.5</v>
      </c>
    </row>
    <row r="211" spans="1:80" x14ac:dyDescent="0.2">
      <c r="A211" s="9">
        <f t="shared" si="138"/>
        <v>43671</v>
      </c>
      <c r="B211" s="2">
        <v>206</v>
      </c>
      <c r="C211" s="2">
        <v>21</v>
      </c>
      <c r="D211" s="2">
        <v>13.18</v>
      </c>
      <c r="E211" s="2">
        <v>27.43</v>
      </c>
      <c r="F211" s="2">
        <v>-1.494</v>
      </c>
      <c r="G211" s="2">
        <v>10.96</v>
      </c>
      <c r="H211" s="2">
        <v>69.41</v>
      </c>
      <c r="I211" s="2">
        <v>11.8</v>
      </c>
      <c r="J211" s="2">
        <v>13.17</v>
      </c>
      <c r="K211" s="2">
        <v>12.89</v>
      </c>
      <c r="L211" s="2">
        <v>11.3</v>
      </c>
      <c r="M211" s="2">
        <v>20.69</v>
      </c>
      <c r="N211" s="2">
        <v>102.1</v>
      </c>
      <c r="O211" s="2">
        <v>30.71</v>
      </c>
      <c r="P211" s="2">
        <v>35.5</v>
      </c>
      <c r="Q211" s="2">
        <v>18.850000000000001</v>
      </c>
      <c r="R211" s="2">
        <v>12.48</v>
      </c>
      <c r="S211" s="2">
        <v>-0.746</v>
      </c>
      <c r="T211" s="2">
        <v>36.82</v>
      </c>
      <c r="U211" s="2">
        <v>-3.5350000000000001</v>
      </c>
      <c r="V211" s="2">
        <v>-3.6360000000000001</v>
      </c>
      <c r="W211" s="2">
        <v>5.6550000000000002</v>
      </c>
      <c r="X211" s="2">
        <v>10.71</v>
      </c>
      <c r="Y211" s="2">
        <v>2.3540000000000001</v>
      </c>
      <c r="Z211" s="2">
        <v>0</v>
      </c>
      <c r="AA211" s="2">
        <v>26.34</v>
      </c>
      <c r="AB211" s="2">
        <v>5.8390000000000004</v>
      </c>
      <c r="AC211" s="2">
        <v>1.3149999999999999</v>
      </c>
      <c r="AD211" s="2">
        <v>6.18</v>
      </c>
      <c r="AE211" s="2">
        <v>13.54</v>
      </c>
      <c r="AF211" s="2">
        <v>35.51</v>
      </c>
      <c r="AG211" s="2">
        <v>-2.653</v>
      </c>
      <c r="AH211" s="2">
        <v>35.51</v>
      </c>
      <c r="AI211" s="2">
        <v>-2.653</v>
      </c>
      <c r="AJ211" s="2" t="s">
        <v>113</v>
      </c>
      <c r="AK211" s="2" t="s">
        <v>113</v>
      </c>
      <c r="AL211" s="2">
        <v>11.34</v>
      </c>
      <c r="AM211" s="2">
        <v>23.78</v>
      </c>
      <c r="AN211" s="2">
        <v>-1.2609999999999999</v>
      </c>
      <c r="AO211" s="2"/>
      <c r="AP211" s="2"/>
      <c r="AR211" s="5">
        <v>30.67</v>
      </c>
      <c r="AS211" s="5">
        <v>26.34</v>
      </c>
      <c r="AT211" s="5">
        <v>5.84</v>
      </c>
      <c r="AU211" s="7">
        <f t="shared" si="132"/>
        <v>0.222</v>
      </c>
      <c r="AV211" s="16"/>
      <c r="AW211" s="29">
        <v>0</v>
      </c>
      <c r="AX211" s="29">
        <v>0</v>
      </c>
      <c r="AY211" s="1">
        <f t="shared" si="109"/>
        <v>98.5</v>
      </c>
      <c r="AZ211" s="1">
        <f t="shared" si="110"/>
        <v>66.8</v>
      </c>
      <c r="BA211" s="1">
        <f t="shared" si="111"/>
        <v>35.200000000000003</v>
      </c>
      <c r="BB211" s="8">
        <f t="shared" si="112"/>
        <v>0.85899999999999999</v>
      </c>
      <c r="BC211" s="8">
        <f t="shared" si="113"/>
        <v>1.581</v>
      </c>
      <c r="BE211" s="5">
        <f t="shared" si="121"/>
        <v>26.34</v>
      </c>
      <c r="BF211" s="5">
        <f t="shared" si="122"/>
        <v>5.84</v>
      </c>
      <c r="BG211" s="1">
        <f t="shared" si="115"/>
        <v>11</v>
      </c>
      <c r="BH211" s="1">
        <f t="shared" si="116"/>
        <v>20.7</v>
      </c>
      <c r="BI211" s="1">
        <f t="shared" si="117"/>
        <v>-0.7</v>
      </c>
      <c r="BJ211" s="1">
        <f t="shared" si="123"/>
        <v>66.8</v>
      </c>
      <c r="BK211" s="1">
        <f t="shared" si="124"/>
        <v>35.200000000000003</v>
      </c>
      <c r="BL211" s="1">
        <f t="shared" si="133"/>
        <v>1.3</v>
      </c>
      <c r="BM211" s="1">
        <f t="shared" si="134"/>
        <v>6.2</v>
      </c>
      <c r="BN211" s="21">
        <f t="shared" si="125"/>
        <v>0</v>
      </c>
      <c r="BO211" s="7">
        <f t="shared" si="126"/>
        <v>0</v>
      </c>
      <c r="BP211" s="21" t="str">
        <f t="shared" si="120"/>
        <v>NAN</v>
      </c>
      <c r="BQ211" s="1">
        <f t="shared" si="127"/>
        <v>13.5</v>
      </c>
      <c r="BR211" s="1">
        <f t="shared" si="128"/>
        <v>35.5</v>
      </c>
      <c r="BS211" s="1">
        <f t="shared" si="129"/>
        <v>-2.7</v>
      </c>
      <c r="BT211" s="1">
        <f t="shared" si="118"/>
        <v>12.9</v>
      </c>
      <c r="BU211" s="1" t="s">
        <v>113</v>
      </c>
      <c r="BV211" s="1">
        <f t="shared" si="119"/>
        <v>11.3</v>
      </c>
      <c r="BW211" s="1" t="str">
        <f t="shared" si="135"/>
        <v>NAN</v>
      </c>
      <c r="BX211" s="1">
        <f t="shared" si="136"/>
        <v>0.85899999999999999</v>
      </c>
      <c r="BY211" s="1">
        <f t="shared" si="137"/>
        <v>1.581</v>
      </c>
      <c r="CA211" s="1">
        <f t="shared" si="130"/>
        <v>14.8</v>
      </c>
      <c r="CB211" s="1">
        <f t="shared" si="131"/>
        <v>-2</v>
      </c>
    </row>
    <row r="212" spans="1:80" x14ac:dyDescent="0.2">
      <c r="A212" s="9">
        <f t="shared" si="138"/>
        <v>43672</v>
      </c>
      <c r="B212" s="2">
        <v>207</v>
      </c>
      <c r="C212" s="2">
        <v>21</v>
      </c>
      <c r="D212" s="2">
        <v>13.2</v>
      </c>
      <c r="E212" s="2">
        <v>32.67</v>
      </c>
      <c r="F212" s="2">
        <v>1.361</v>
      </c>
      <c r="G212" s="2">
        <v>14.99</v>
      </c>
      <c r="H212" s="2">
        <v>58.6</v>
      </c>
      <c r="I212" s="2">
        <v>15.57</v>
      </c>
      <c r="J212" s="2">
        <v>16.84</v>
      </c>
      <c r="K212" s="2">
        <v>15.45</v>
      </c>
      <c r="L212" s="2">
        <v>11.32</v>
      </c>
      <c r="M212" s="2">
        <v>25.18</v>
      </c>
      <c r="N212" s="2">
        <v>102.3</v>
      </c>
      <c r="O212" s="2">
        <v>35.35</v>
      </c>
      <c r="P212" s="2">
        <v>38.35</v>
      </c>
      <c r="Q212" s="2">
        <v>21.83</v>
      </c>
      <c r="R212" s="2">
        <v>12.3</v>
      </c>
      <c r="S212" s="2">
        <v>2.423</v>
      </c>
      <c r="T212" s="2">
        <v>21.33</v>
      </c>
      <c r="U212" s="2">
        <v>-1.464</v>
      </c>
      <c r="V212" s="2">
        <v>-1.6319999999999999</v>
      </c>
      <c r="W212" s="2">
        <v>7.71</v>
      </c>
      <c r="X212" s="2">
        <v>10.78</v>
      </c>
      <c r="Y212" s="2">
        <v>2.3839999999999999</v>
      </c>
      <c r="Z212" s="2">
        <v>0</v>
      </c>
      <c r="AA212" s="2">
        <v>27.38</v>
      </c>
      <c r="AB212" s="2">
        <v>6.1159999999999997</v>
      </c>
      <c r="AC212" s="2">
        <v>1.07</v>
      </c>
      <c r="AD212" s="2">
        <v>5.327</v>
      </c>
      <c r="AE212" s="2">
        <v>17.510000000000002</v>
      </c>
      <c r="AF212" s="2">
        <v>39.75</v>
      </c>
      <c r="AG212" s="2">
        <v>-0.69</v>
      </c>
      <c r="AH212" s="2">
        <v>39.75</v>
      </c>
      <c r="AI212" s="2">
        <v>-0.69</v>
      </c>
      <c r="AJ212" s="2" t="s">
        <v>113</v>
      </c>
      <c r="AK212" s="2" t="s">
        <v>113</v>
      </c>
      <c r="AL212" s="2">
        <v>15.4</v>
      </c>
      <c r="AM212" s="2">
        <v>28.4</v>
      </c>
      <c r="AN212" s="2">
        <v>1.4850000000000001</v>
      </c>
      <c r="AO212" s="2"/>
      <c r="AP212" s="2"/>
      <c r="AR212" s="5">
        <v>30.52</v>
      </c>
      <c r="AS212" s="5">
        <v>27.37</v>
      </c>
      <c r="AT212" s="5">
        <v>6.12</v>
      </c>
      <c r="AU212" s="7">
        <f t="shared" si="132"/>
        <v>0.224</v>
      </c>
      <c r="AV212" s="16"/>
      <c r="AW212" s="29">
        <v>0</v>
      </c>
      <c r="AX212" s="29">
        <v>0</v>
      </c>
      <c r="AY212" s="1">
        <f t="shared" si="109"/>
        <v>98.7</v>
      </c>
      <c r="AZ212" s="1">
        <f t="shared" si="110"/>
        <v>56.3</v>
      </c>
      <c r="BA212" s="1">
        <f t="shared" si="111"/>
        <v>20.2</v>
      </c>
      <c r="BB212" s="8">
        <f t="shared" si="112"/>
        <v>0.64700000000000002</v>
      </c>
      <c r="BC212" s="8">
        <f t="shared" si="113"/>
        <v>2.556</v>
      </c>
      <c r="BE212" s="5">
        <f t="shared" si="121"/>
        <v>27.37</v>
      </c>
      <c r="BF212" s="5">
        <f t="shared" si="122"/>
        <v>6.12</v>
      </c>
      <c r="BG212" s="1">
        <f t="shared" si="115"/>
        <v>15</v>
      </c>
      <c r="BH212" s="1">
        <f t="shared" si="116"/>
        <v>25.2</v>
      </c>
      <c r="BI212" s="1">
        <f t="shared" si="117"/>
        <v>2.4</v>
      </c>
      <c r="BJ212" s="1">
        <f t="shared" si="123"/>
        <v>56.3</v>
      </c>
      <c r="BK212" s="1">
        <f t="shared" si="124"/>
        <v>20.2</v>
      </c>
      <c r="BL212" s="1">
        <f t="shared" si="133"/>
        <v>1.1000000000000001</v>
      </c>
      <c r="BM212" s="1">
        <f t="shared" si="134"/>
        <v>5.3</v>
      </c>
      <c r="BN212" s="21">
        <f t="shared" si="125"/>
        <v>0</v>
      </c>
      <c r="BO212" s="7">
        <f t="shared" si="126"/>
        <v>0</v>
      </c>
      <c r="BP212" s="21" t="str">
        <f t="shared" si="120"/>
        <v>NAN</v>
      </c>
      <c r="BQ212" s="1">
        <f t="shared" si="127"/>
        <v>17.5</v>
      </c>
      <c r="BR212" s="1">
        <f t="shared" si="128"/>
        <v>39.799999999999997</v>
      </c>
      <c r="BS212" s="1">
        <f t="shared" si="129"/>
        <v>-0.7</v>
      </c>
      <c r="BT212" s="1">
        <f t="shared" si="118"/>
        <v>15.5</v>
      </c>
      <c r="BU212" s="1" t="s">
        <v>113</v>
      </c>
      <c r="BV212" s="1">
        <f t="shared" si="119"/>
        <v>11.3</v>
      </c>
      <c r="BW212" s="1" t="str">
        <f t="shared" si="135"/>
        <v>NAN</v>
      </c>
      <c r="BX212" s="1">
        <f t="shared" si="136"/>
        <v>0.64700000000000002</v>
      </c>
      <c r="BY212" s="1">
        <f t="shared" si="137"/>
        <v>2.556</v>
      </c>
      <c r="CA212" s="1">
        <f t="shared" si="130"/>
        <v>14.599999999999998</v>
      </c>
      <c r="CB212" s="1">
        <f t="shared" si="131"/>
        <v>-3.0999999999999996</v>
      </c>
    </row>
    <row r="213" spans="1:80" x14ac:dyDescent="0.2">
      <c r="A213" s="9">
        <f t="shared" si="138"/>
        <v>43673</v>
      </c>
      <c r="B213" s="2">
        <v>208</v>
      </c>
      <c r="C213" s="2">
        <v>21</v>
      </c>
      <c r="D213" s="2">
        <v>13.17</v>
      </c>
      <c r="E213" s="2">
        <v>24.28</v>
      </c>
      <c r="F213" s="2">
        <v>3.11</v>
      </c>
      <c r="G213" s="2">
        <v>11.96</v>
      </c>
      <c r="H213" s="2">
        <v>65.88</v>
      </c>
      <c r="I213" s="2">
        <v>12.97</v>
      </c>
      <c r="J213" s="2">
        <v>14.11</v>
      </c>
      <c r="K213" s="2">
        <v>15.63</v>
      </c>
      <c r="L213" s="2">
        <v>11.73</v>
      </c>
      <c r="M213" s="2">
        <v>17.59</v>
      </c>
      <c r="N213" s="2">
        <v>101.4</v>
      </c>
      <c r="O213" s="2">
        <v>26.87</v>
      </c>
      <c r="P213" s="2">
        <v>32.49</v>
      </c>
      <c r="Q213" s="2">
        <v>20.079999999999998</v>
      </c>
      <c r="R213" s="2">
        <v>12.25</v>
      </c>
      <c r="S213" s="2">
        <v>1.99</v>
      </c>
      <c r="T213" s="2">
        <v>36.36</v>
      </c>
      <c r="U213" s="2">
        <v>-1.226</v>
      </c>
      <c r="V213" s="2">
        <v>-1.6759999999999999</v>
      </c>
      <c r="W213" s="2">
        <v>11.55</v>
      </c>
      <c r="X213" s="2">
        <v>11.38</v>
      </c>
      <c r="Y213" s="2">
        <v>2.6070000000000002</v>
      </c>
      <c r="Z213" s="2">
        <v>0</v>
      </c>
      <c r="AA213" s="2">
        <v>24.35</v>
      </c>
      <c r="AB213" s="2">
        <v>5.4189999999999996</v>
      </c>
      <c r="AC213" s="2">
        <v>1.833</v>
      </c>
      <c r="AD213" s="2">
        <v>7.51</v>
      </c>
      <c r="AE213" s="2">
        <v>15.69</v>
      </c>
      <c r="AF213" s="2">
        <v>35.979999999999997</v>
      </c>
      <c r="AG213" s="2">
        <v>-0.42599999999999999</v>
      </c>
      <c r="AH213" s="2">
        <v>35.979999999999997</v>
      </c>
      <c r="AI213" s="2">
        <v>-0.42599999999999999</v>
      </c>
      <c r="AJ213" s="2" t="s">
        <v>113</v>
      </c>
      <c r="AK213" s="2" t="s">
        <v>113</v>
      </c>
      <c r="AL213" s="2">
        <v>12.42</v>
      </c>
      <c r="AM213" s="2">
        <v>20.53</v>
      </c>
      <c r="AN213" s="2">
        <v>1.4279999999999999</v>
      </c>
      <c r="AO213" s="2"/>
      <c r="AP213" s="2"/>
      <c r="AR213" s="5">
        <v>30.38</v>
      </c>
      <c r="AS213" s="5">
        <v>24.35</v>
      </c>
      <c r="AT213" s="5">
        <v>5.42</v>
      </c>
      <c r="AU213" s="7">
        <f t="shared" si="132"/>
        <v>0.223</v>
      </c>
      <c r="AV213" s="16"/>
      <c r="AW213" s="29">
        <v>0</v>
      </c>
      <c r="AX213" s="29">
        <v>0</v>
      </c>
      <c r="AY213" s="1">
        <f t="shared" si="109"/>
        <v>97.9</v>
      </c>
      <c r="AZ213" s="1">
        <f t="shared" si="110"/>
        <v>63.4</v>
      </c>
      <c r="BA213" s="1">
        <f t="shared" si="111"/>
        <v>34.799999999999997</v>
      </c>
      <c r="BB213" s="8">
        <f t="shared" si="112"/>
        <v>0.7</v>
      </c>
      <c r="BC213" s="8">
        <f t="shared" si="113"/>
        <v>1.3109999999999999</v>
      </c>
      <c r="BE213" s="5">
        <f t="shared" si="121"/>
        <v>24.35</v>
      </c>
      <c r="BF213" s="5">
        <f t="shared" si="122"/>
        <v>5.42</v>
      </c>
      <c r="BG213" s="1">
        <f t="shared" si="115"/>
        <v>12</v>
      </c>
      <c r="BH213" s="1">
        <f t="shared" si="116"/>
        <v>17.600000000000001</v>
      </c>
      <c r="BI213" s="1">
        <f t="shared" si="117"/>
        <v>2</v>
      </c>
      <c r="BJ213" s="1">
        <f t="shared" si="123"/>
        <v>63.4</v>
      </c>
      <c r="BK213" s="1">
        <f t="shared" si="124"/>
        <v>34.799999999999997</v>
      </c>
      <c r="BL213" s="1">
        <f t="shared" si="133"/>
        <v>1.8</v>
      </c>
      <c r="BM213" s="1">
        <f t="shared" si="134"/>
        <v>7.5</v>
      </c>
      <c r="BN213" s="21">
        <f t="shared" si="125"/>
        <v>0</v>
      </c>
      <c r="BO213" s="7">
        <f t="shared" si="126"/>
        <v>0</v>
      </c>
      <c r="BP213" s="21" t="str">
        <f t="shared" si="120"/>
        <v>NAN</v>
      </c>
      <c r="BQ213" s="1">
        <f t="shared" si="127"/>
        <v>15.7</v>
      </c>
      <c r="BR213" s="1">
        <f t="shared" si="128"/>
        <v>36</v>
      </c>
      <c r="BS213" s="1">
        <f t="shared" si="129"/>
        <v>-0.4</v>
      </c>
      <c r="BT213" s="1">
        <f t="shared" si="118"/>
        <v>15.6</v>
      </c>
      <c r="BU213" s="1" t="s">
        <v>113</v>
      </c>
      <c r="BV213" s="1">
        <f t="shared" si="119"/>
        <v>11.7</v>
      </c>
      <c r="BW213" s="1" t="str">
        <f t="shared" si="135"/>
        <v>NAN</v>
      </c>
      <c r="BX213" s="1">
        <f t="shared" si="136"/>
        <v>0.7</v>
      </c>
      <c r="BY213" s="1">
        <f t="shared" si="137"/>
        <v>1.3109999999999999</v>
      </c>
      <c r="CA213" s="1">
        <f t="shared" si="130"/>
        <v>18.399999999999999</v>
      </c>
      <c r="CB213" s="1">
        <f t="shared" si="131"/>
        <v>-2.4</v>
      </c>
    </row>
    <row r="214" spans="1:80" x14ac:dyDescent="0.2">
      <c r="A214" s="9">
        <f t="shared" si="138"/>
        <v>43674</v>
      </c>
      <c r="B214" s="2">
        <v>209</v>
      </c>
      <c r="C214" s="2">
        <v>21</v>
      </c>
      <c r="D214" s="2">
        <v>13.17</v>
      </c>
      <c r="E214" s="2">
        <v>28.28</v>
      </c>
      <c r="F214" s="2">
        <v>-0.34200000000000003</v>
      </c>
      <c r="G214" s="2">
        <v>10.08</v>
      </c>
      <c r="H214" s="2">
        <v>75.5</v>
      </c>
      <c r="I214" s="2">
        <v>10.99</v>
      </c>
      <c r="J214" s="2">
        <v>12.55</v>
      </c>
      <c r="K214" s="2">
        <v>14.53</v>
      </c>
      <c r="L214" s="2">
        <v>11.99</v>
      </c>
      <c r="M214" s="2">
        <v>19.71</v>
      </c>
      <c r="N214" s="2">
        <v>102.5</v>
      </c>
      <c r="O214" s="2">
        <v>30.47</v>
      </c>
      <c r="P214" s="2">
        <v>34.369999999999997</v>
      </c>
      <c r="Q214" s="2">
        <v>19.95</v>
      </c>
      <c r="R214" s="2">
        <v>12.83</v>
      </c>
      <c r="S214" s="2">
        <v>0.499</v>
      </c>
      <c r="T214" s="2">
        <v>38.020000000000003</v>
      </c>
      <c r="U214" s="2">
        <v>-2.7320000000000002</v>
      </c>
      <c r="V214" s="2">
        <v>-3.4449999999999998</v>
      </c>
      <c r="W214" s="2">
        <v>8.15</v>
      </c>
      <c r="X214" s="2">
        <v>11.41</v>
      </c>
      <c r="Y214" s="2">
        <v>2.3879999999999999</v>
      </c>
      <c r="Z214" s="2">
        <v>0</v>
      </c>
      <c r="AA214" s="2">
        <v>24.38</v>
      </c>
      <c r="AB214" s="2">
        <v>5.5270000000000001</v>
      </c>
      <c r="AC214" s="2">
        <v>1.3109999999999999</v>
      </c>
      <c r="AD214" s="2">
        <v>4.7140000000000004</v>
      </c>
      <c r="AE214" s="2">
        <v>13.73</v>
      </c>
      <c r="AF214" s="2">
        <v>37.880000000000003</v>
      </c>
      <c r="AG214" s="2">
        <v>-2.0950000000000002</v>
      </c>
      <c r="AH214" s="2">
        <v>37.880000000000003</v>
      </c>
      <c r="AI214" s="2">
        <v>-2.0950000000000002</v>
      </c>
      <c r="AJ214" s="2" t="s">
        <v>113</v>
      </c>
      <c r="AK214" s="2" t="s">
        <v>113</v>
      </c>
      <c r="AL214" s="2">
        <v>10.77</v>
      </c>
      <c r="AM214" s="2">
        <v>23.75</v>
      </c>
      <c r="AN214" s="2">
        <v>1.9E-2</v>
      </c>
      <c r="AO214" s="2"/>
      <c r="AP214" s="2"/>
      <c r="AR214" s="5">
        <v>30.22</v>
      </c>
      <c r="AS214" s="5">
        <v>24.38</v>
      </c>
      <c r="AT214" s="5">
        <v>5.53</v>
      </c>
      <c r="AU214" s="7">
        <f t="shared" si="132"/>
        <v>0.22700000000000001</v>
      </c>
      <c r="AV214" s="16"/>
      <c r="AW214" s="29">
        <v>0</v>
      </c>
      <c r="AX214" s="29">
        <v>0</v>
      </c>
      <c r="AY214" s="1">
        <f t="shared" si="109"/>
        <v>98.9</v>
      </c>
      <c r="AZ214" s="1">
        <f t="shared" si="110"/>
        <v>72.7</v>
      </c>
      <c r="BA214" s="1">
        <f t="shared" si="111"/>
        <v>36.4</v>
      </c>
      <c r="BB214" s="8">
        <f t="shared" si="112"/>
        <v>0.83599999999999997</v>
      </c>
      <c r="BC214" s="8">
        <f t="shared" si="113"/>
        <v>1.4610000000000001</v>
      </c>
      <c r="BE214" s="5">
        <f t="shared" si="121"/>
        <v>24.38</v>
      </c>
      <c r="BF214" s="5">
        <f t="shared" si="122"/>
        <v>5.53</v>
      </c>
      <c r="BG214" s="1">
        <f t="shared" si="115"/>
        <v>10.1</v>
      </c>
      <c r="BH214" s="1">
        <f t="shared" si="116"/>
        <v>19.7</v>
      </c>
      <c r="BI214" s="1">
        <f t="shared" si="117"/>
        <v>0.5</v>
      </c>
      <c r="BJ214" s="1">
        <f t="shared" si="123"/>
        <v>72.7</v>
      </c>
      <c r="BK214" s="1">
        <f t="shared" si="124"/>
        <v>36.4</v>
      </c>
      <c r="BL214" s="1">
        <f t="shared" si="133"/>
        <v>1.3</v>
      </c>
      <c r="BM214" s="1">
        <f t="shared" si="134"/>
        <v>4.7</v>
      </c>
      <c r="BN214" s="21">
        <f t="shared" si="125"/>
        <v>0</v>
      </c>
      <c r="BO214" s="7">
        <f t="shared" si="126"/>
        <v>0</v>
      </c>
      <c r="BP214" s="21" t="str">
        <f t="shared" si="120"/>
        <v>NAN</v>
      </c>
      <c r="BQ214" s="1">
        <f t="shared" si="127"/>
        <v>13.7</v>
      </c>
      <c r="BR214" s="1">
        <f t="shared" si="128"/>
        <v>37.9</v>
      </c>
      <c r="BS214" s="1">
        <f t="shared" si="129"/>
        <v>-2.1</v>
      </c>
      <c r="BT214" s="1">
        <f t="shared" si="118"/>
        <v>14.5</v>
      </c>
      <c r="BU214" s="1" t="s">
        <v>113</v>
      </c>
      <c r="BV214" s="1">
        <f t="shared" si="119"/>
        <v>12</v>
      </c>
      <c r="BW214" s="1" t="str">
        <f t="shared" si="135"/>
        <v>NAN</v>
      </c>
      <c r="BX214" s="1">
        <f t="shared" si="136"/>
        <v>0.83599999999999997</v>
      </c>
      <c r="BY214" s="1">
        <f t="shared" si="137"/>
        <v>1.4610000000000001</v>
      </c>
      <c r="CA214" s="1">
        <f t="shared" si="130"/>
        <v>18.2</v>
      </c>
      <c r="CB214" s="1">
        <f t="shared" si="131"/>
        <v>-2.6</v>
      </c>
    </row>
    <row r="215" spans="1:80" x14ac:dyDescent="0.2">
      <c r="A215" s="9">
        <f t="shared" si="138"/>
        <v>43675</v>
      </c>
      <c r="B215" s="2">
        <v>210</v>
      </c>
      <c r="C215" s="2">
        <v>21</v>
      </c>
      <c r="D215" s="2">
        <v>13.2</v>
      </c>
      <c r="E215" s="2">
        <v>30.73</v>
      </c>
      <c r="F215" s="2">
        <v>1.012</v>
      </c>
      <c r="G215" s="2">
        <v>14.2</v>
      </c>
      <c r="H215" s="2">
        <v>61.18</v>
      </c>
      <c r="I215" s="2">
        <v>14.82</v>
      </c>
      <c r="J215" s="2">
        <v>16.329999999999998</v>
      </c>
      <c r="K215" s="2">
        <v>15.97</v>
      </c>
      <c r="L215" s="2">
        <v>12.03</v>
      </c>
      <c r="M215" s="2">
        <v>23.61</v>
      </c>
      <c r="N215" s="2">
        <v>102</v>
      </c>
      <c r="O215" s="2">
        <v>33.54</v>
      </c>
      <c r="P215" s="2">
        <v>38.28</v>
      </c>
      <c r="Q215" s="2">
        <v>22.03</v>
      </c>
      <c r="R215" s="2">
        <v>13.02</v>
      </c>
      <c r="S215" s="2">
        <v>1.9490000000000001</v>
      </c>
      <c r="T215" s="2">
        <v>23.47</v>
      </c>
      <c r="U215" s="2">
        <v>-1.5860000000000001</v>
      </c>
      <c r="V215" s="2">
        <v>-2.1520000000000001</v>
      </c>
      <c r="W215" s="2">
        <v>8.73</v>
      </c>
      <c r="X215" s="2">
        <v>11.45</v>
      </c>
      <c r="Y215" s="2">
        <v>2.355</v>
      </c>
      <c r="Z215" s="2">
        <v>0</v>
      </c>
      <c r="AA215" s="2">
        <v>25.37</v>
      </c>
      <c r="AB215" s="2">
        <v>5.7270000000000003</v>
      </c>
      <c r="AC215" s="2">
        <v>1.0489999999999999</v>
      </c>
      <c r="AD215" s="2">
        <v>4.5</v>
      </c>
      <c r="AE215" s="2">
        <v>17.239999999999998</v>
      </c>
      <c r="AF215" s="2">
        <v>39.79</v>
      </c>
      <c r="AG215" s="2">
        <v>-0.94</v>
      </c>
      <c r="AH215" s="2">
        <v>39.79</v>
      </c>
      <c r="AI215" s="2">
        <v>-0.94</v>
      </c>
      <c r="AJ215" s="2" t="s">
        <v>113</v>
      </c>
      <c r="AK215" s="2" t="s">
        <v>113</v>
      </c>
      <c r="AL215" s="2">
        <v>14.72</v>
      </c>
      <c r="AM215" s="2">
        <v>27.25</v>
      </c>
      <c r="AN215" s="2">
        <v>0.97299999999999998</v>
      </c>
      <c r="AO215" s="2"/>
      <c r="AP215" s="2"/>
      <c r="AR215" s="5">
        <v>30.07</v>
      </c>
      <c r="AS215" s="5">
        <v>25.37</v>
      </c>
      <c r="AT215" s="5">
        <v>5.73</v>
      </c>
      <c r="AU215" s="7">
        <f t="shared" si="132"/>
        <v>0.22600000000000001</v>
      </c>
      <c r="AV215" s="16"/>
      <c r="AW215" s="29">
        <v>0</v>
      </c>
      <c r="AX215" s="29">
        <v>0</v>
      </c>
      <c r="AY215" s="1">
        <f t="shared" si="109"/>
        <v>98.4</v>
      </c>
      <c r="AZ215" s="1">
        <f t="shared" si="110"/>
        <v>58.8</v>
      </c>
      <c r="BA215" s="1">
        <f t="shared" si="111"/>
        <v>22.3</v>
      </c>
      <c r="BB215" s="8">
        <f t="shared" si="112"/>
        <v>0.65</v>
      </c>
      <c r="BC215" s="8">
        <f t="shared" si="113"/>
        <v>2.2650000000000001</v>
      </c>
      <c r="BE215" s="5">
        <f t="shared" si="121"/>
        <v>25.37</v>
      </c>
      <c r="BF215" s="5">
        <f t="shared" si="122"/>
        <v>5.73</v>
      </c>
      <c r="BG215" s="1">
        <f t="shared" si="115"/>
        <v>14.2</v>
      </c>
      <c r="BH215" s="1">
        <f t="shared" si="116"/>
        <v>23.6</v>
      </c>
      <c r="BI215" s="1">
        <f t="shared" si="117"/>
        <v>1.9</v>
      </c>
      <c r="BJ215" s="1">
        <f t="shared" si="123"/>
        <v>58.8</v>
      </c>
      <c r="BK215" s="1">
        <f t="shared" si="124"/>
        <v>22.3</v>
      </c>
      <c r="BL215" s="1">
        <f t="shared" si="133"/>
        <v>1</v>
      </c>
      <c r="BM215" s="1">
        <f t="shared" si="134"/>
        <v>4.5</v>
      </c>
      <c r="BN215" s="21">
        <f t="shared" si="125"/>
        <v>0</v>
      </c>
      <c r="BO215" s="7">
        <f t="shared" si="126"/>
        <v>0</v>
      </c>
      <c r="BP215" s="21" t="str">
        <f t="shared" si="120"/>
        <v>NAN</v>
      </c>
      <c r="BQ215" s="1">
        <f t="shared" si="127"/>
        <v>17.2</v>
      </c>
      <c r="BR215" s="1">
        <f t="shared" si="128"/>
        <v>39.799999999999997</v>
      </c>
      <c r="BS215" s="1">
        <f t="shared" si="129"/>
        <v>-0.9</v>
      </c>
      <c r="BT215" s="1">
        <f t="shared" si="118"/>
        <v>16</v>
      </c>
      <c r="BU215" s="1" t="s">
        <v>113</v>
      </c>
      <c r="BV215" s="1">
        <f t="shared" si="119"/>
        <v>12</v>
      </c>
      <c r="BW215" s="1" t="str">
        <f t="shared" si="135"/>
        <v>NAN</v>
      </c>
      <c r="BX215" s="1">
        <f t="shared" si="136"/>
        <v>0.65</v>
      </c>
      <c r="BY215" s="1">
        <f t="shared" si="137"/>
        <v>2.2650000000000001</v>
      </c>
      <c r="CA215" s="1">
        <f t="shared" si="130"/>
        <v>16.199999999999996</v>
      </c>
      <c r="CB215" s="1">
        <f t="shared" si="131"/>
        <v>-2.8</v>
      </c>
    </row>
    <row r="216" spans="1:80" x14ac:dyDescent="0.2">
      <c r="A216" s="9">
        <f t="shared" si="138"/>
        <v>43676</v>
      </c>
      <c r="B216" s="2">
        <v>211</v>
      </c>
      <c r="C216" s="2">
        <v>21</v>
      </c>
      <c r="D216" s="2">
        <v>13.19</v>
      </c>
      <c r="E216" s="2">
        <v>27.41</v>
      </c>
      <c r="F216" s="2">
        <v>3.15</v>
      </c>
      <c r="G216" s="2">
        <v>12.86</v>
      </c>
      <c r="H216" s="2">
        <v>62.13</v>
      </c>
      <c r="I216" s="2">
        <v>13.61</v>
      </c>
      <c r="J216" s="2">
        <v>15.03</v>
      </c>
      <c r="K216" s="2">
        <v>16.239999999999998</v>
      </c>
      <c r="L216" s="2">
        <v>12.27</v>
      </c>
      <c r="M216" s="2">
        <v>21.19</v>
      </c>
      <c r="N216" s="2">
        <v>99</v>
      </c>
      <c r="O216" s="2">
        <v>30.24</v>
      </c>
      <c r="P216" s="2">
        <v>35.840000000000003</v>
      </c>
      <c r="Q216" s="2">
        <v>21.41</v>
      </c>
      <c r="R216" s="2">
        <v>12.83</v>
      </c>
      <c r="S216" s="2">
        <v>3.4089999999999998</v>
      </c>
      <c r="T216" s="2">
        <v>27.01</v>
      </c>
      <c r="U216" s="2">
        <v>-0.152</v>
      </c>
      <c r="V216" s="2">
        <v>-1.0329999999999999</v>
      </c>
      <c r="W216" s="2">
        <v>10.46</v>
      </c>
      <c r="X216" s="2">
        <v>11.81</v>
      </c>
      <c r="Y216" s="2">
        <v>2.3460000000000001</v>
      </c>
      <c r="Z216" s="2">
        <v>0</v>
      </c>
      <c r="AA216" s="2">
        <v>24.67</v>
      </c>
      <c r="AB216" s="2">
        <v>5.5659999999999998</v>
      </c>
      <c r="AC216" s="2">
        <v>1.5009999999999999</v>
      </c>
      <c r="AD216" s="2">
        <v>5.0069999999999997</v>
      </c>
      <c r="AE216" s="2">
        <v>16.350000000000001</v>
      </c>
      <c r="AF216" s="2">
        <v>37.619999999999997</v>
      </c>
      <c r="AG216" s="2">
        <v>-4.9000000000000002E-2</v>
      </c>
      <c r="AH216" s="2">
        <v>37.619999999999997</v>
      </c>
      <c r="AI216" s="2">
        <v>-4.9000000000000002E-2</v>
      </c>
      <c r="AJ216" s="2" t="s">
        <v>113</v>
      </c>
      <c r="AK216" s="2" t="s">
        <v>113</v>
      </c>
      <c r="AL216" s="2">
        <v>13.3</v>
      </c>
      <c r="AM216" s="2">
        <v>23.57</v>
      </c>
      <c r="AN216" s="2">
        <v>2.9929999999999999</v>
      </c>
      <c r="AO216" s="2"/>
      <c r="AP216" s="2"/>
      <c r="AR216" s="5">
        <v>29.91</v>
      </c>
      <c r="AS216" s="5">
        <v>24.67</v>
      </c>
      <c r="AT216" s="5">
        <v>5.57</v>
      </c>
      <c r="AU216" s="7">
        <f t="shared" si="132"/>
        <v>0.22600000000000001</v>
      </c>
      <c r="AV216" s="16"/>
      <c r="AW216" s="29">
        <v>0</v>
      </c>
      <c r="AX216" s="29">
        <v>0</v>
      </c>
      <c r="AY216" s="1">
        <f t="shared" si="109"/>
        <v>95.5</v>
      </c>
      <c r="AZ216" s="1">
        <f t="shared" si="110"/>
        <v>59.8</v>
      </c>
      <c r="BA216" s="1">
        <f t="shared" si="111"/>
        <v>25.7</v>
      </c>
      <c r="BB216" s="8">
        <f t="shared" si="112"/>
        <v>0.64600000000000002</v>
      </c>
      <c r="BC216" s="8">
        <f t="shared" si="113"/>
        <v>1.8680000000000001</v>
      </c>
      <c r="BE216" s="5">
        <f t="shared" si="121"/>
        <v>24.67</v>
      </c>
      <c r="BF216" s="5">
        <f t="shared" si="122"/>
        <v>5.57</v>
      </c>
      <c r="BG216" s="1">
        <f t="shared" si="115"/>
        <v>12.9</v>
      </c>
      <c r="BH216" s="1">
        <f t="shared" si="116"/>
        <v>21.2</v>
      </c>
      <c r="BI216" s="1">
        <f t="shared" si="117"/>
        <v>3.4</v>
      </c>
      <c r="BJ216" s="1">
        <f t="shared" si="123"/>
        <v>59.8</v>
      </c>
      <c r="BK216" s="1">
        <f t="shared" si="124"/>
        <v>25.7</v>
      </c>
      <c r="BL216" s="1">
        <f t="shared" si="133"/>
        <v>1.5</v>
      </c>
      <c r="BM216" s="1">
        <f t="shared" si="134"/>
        <v>5</v>
      </c>
      <c r="BN216" s="21">
        <f t="shared" si="125"/>
        <v>0</v>
      </c>
      <c r="BO216" s="7">
        <f t="shared" si="126"/>
        <v>0</v>
      </c>
      <c r="BP216" s="21" t="str">
        <f t="shared" si="120"/>
        <v>NAN</v>
      </c>
      <c r="BQ216" s="1">
        <f t="shared" si="127"/>
        <v>16.399999999999999</v>
      </c>
      <c r="BR216" s="1">
        <f t="shared" si="128"/>
        <v>37.6</v>
      </c>
      <c r="BS216" s="1">
        <f t="shared" si="129"/>
        <v>0</v>
      </c>
      <c r="BT216" s="1">
        <f t="shared" si="118"/>
        <v>16.2</v>
      </c>
      <c r="BU216" s="1" t="s">
        <v>113</v>
      </c>
      <c r="BV216" s="1">
        <f t="shared" si="119"/>
        <v>12.3</v>
      </c>
      <c r="BW216" s="1" t="str">
        <f t="shared" si="135"/>
        <v>NAN</v>
      </c>
      <c r="BX216" s="1">
        <f t="shared" si="136"/>
        <v>0.64600000000000002</v>
      </c>
      <c r="BY216" s="1">
        <f t="shared" si="137"/>
        <v>1.8680000000000001</v>
      </c>
      <c r="CA216" s="1">
        <f t="shared" si="130"/>
        <v>16.400000000000002</v>
      </c>
      <c r="CB216" s="1">
        <f t="shared" si="131"/>
        <v>-3.4</v>
      </c>
    </row>
    <row r="217" spans="1:80" x14ac:dyDescent="0.2">
      <c r="A217" s="9">
        <f t="shared" si="138"/>
        <v>43677</v>
      </c>
      <c r="B217" s="2">
        <v>212</v>
      </c>
      <c r="C217" s="2">
        <v>21</v>
      </c>
      <c r="D217" s="2">
        <v>13.18</v>
      </c>
      <c r="E217" s="2">
        <v>29.88</v>
      </c>
      <c r="F217" s="2">
        <v>0.623</v>
      </c>
      <c r="G217" s="2">
        <v>12.29</v>
      </c>
      <c r="H217" s="2">
        <v>72.2</v>
      </c>
      <c r="I217" s="2">
        <v>12.81</v>
      </c>
      <c r="J217" s="2">
        <v>14.51</v>
      </c>
      <c r="K217" s="2">
        <v>15.95</v>
      </c>
      <c r="L217" s="2">
        <v>12.47</v>
      </c>
      <c r="M217" s="2">
        <v>22.7</v>
      </c>
      <c r="N217" s="2">
        <v>102.1</v>
      </c>
      <c r="O217" s="2">
        <v>34.450000000000003</v>
      </c>
      <c r="P217" s="2">
        <v>39.340000000000003</v>
      </c>
      <c r="Q217" s="2">
        <v>21.87</v>
      </c>
      <c r="R217" s="2">
        <v>13.24</v>
      </c>
      <c r="S217" s="2">
        <v>1.1990000000000001</v>
      </c>
      <c r="T217" s="2">
        <v>35.15</v>
      </c>
      <c r="U217" s="2">
        <v>-2.3610000000000002</v>
      </c>
      <c r="V217" s="2">
        <v>-2.8319999999999999</v>
      </c>
      <c r="W217" s="2">
        <v>9.51</v>
      </c>
      <c r="X217" s="2">
        <v>11.97</v>
      </c>
      <c r="Y217" s="2">
        <v>2.391</v>
      </c>
      <c r="Z217" s="2">
        <v>0</v>
      </c>
      <c r="AA217" s="2">
        <v>23.25</v>
      </c>
      <c r="AB217" s="2">
        <v>5.2770000000000001</v>
      </c>
      <c r="AC217" s="2">
        <v>1.0149999999999999</v>
      </c>
      <c r="AD217" s="2">
        <v>4.6070000000000002</v>
      </c>
      <c r="AE217" s="2">
        <v>15.74</v>
      </c>
      <c r="AF217" s="2">
        <v>42.53</v>
      </c>
      <c r="AG217" s="2">
        <v>-1.5980000000000001</v>
      </c>
      <c r="AH217" s="2">
        <v>42.53</v>
      </c>
      <c r="AI217" s="2">
        <v>-1.5980000000000001</v>
      </c>
      <c r="AJ217" s="2" t="s">
        <v>113</v>
      </c>
      <c r="AK217" s="2" t="s">
        <v>113</v>
      </c>
      <c r="AL217" s="2">
        <v>12.66</v>
      </c>
      <c r="AM217" s="2">
        <v>26.17</v>
      </c>
      <c r="AN217" s="2">
        <v>0.56999999999999995</v>
      </c>
      <c r="AO217" s="2"/>
      <c r="AP217" s="2"/>
      <c r="AR217" s="5">
        <v>29.74</v>
      </c>
      <c r="AS217" s="5">
        <v>23.25</v>
      </c>
      <c r="AT217" s="5">
        <v>5.27</v>
      </c>
      <c r="AU217" s="7">
        <f t="shared" si="132"/>
        <v>0.22700000000000001</v>
      </c>
      <c r="AV217" s="16"/>
      <c r="AW217" s="29">
        <v>0</v>
      </c>
      <c r="AX217" s="29">
        <v>0</v>
      </c>
      <c r="AY217" s="1">
        <f t="shared" si="109"/>
        <v>98.5</v>
      </c>
      <c r="AZ217" s="1">
        <f t="shared" si="110"/>
        <v>69.5</v>
      </c>
      <c r="BA217" s="1">
        <f t="shared" si="111"/>
        <v>33.6</v>
      </c>
      <c r="BB217" s="8">
        <f t="shared" si="112"/>
        <v>0.92700000000000005</v>
      </c>
      <c r="BC217" s="8">
        <f t="shared" si="113"/>
        <v>1.8320000000000001</v>
      </c>
      <c r="BE217" s="5">
        <f t="shared" si="121"/>
        <v>23.25</v>
      </c>
      <c r="BF217" s="5">
        <f t="shared" si="122"/>
        <v>5.27</v>
      </c>
      <c r="BG217" s="1">
        <f t="shared" si="115"/>
        <v>12.3</v>
      </c>
      <c r="BH217" s="1">
        <f t="shared" si="116"/>
        <v>22.7</v>
      </c>
      <c r="BI217" s="1">
        <f t="shared" si="117"/>
        <v>1.2</v>
      </c>
      <c r="BJ217" s="1">
        <f t="shared" si="123"/>
        <v>69.5</v>
      </c>
      <c r="BK217" s="1">
        <f t="shared" si="124"/>
        <v>33.6</v>
      </c>
      <c r="BL217" s="1">
        <f t="shared" si="133"/>
        <v>1</v>
      </c>
      <c r="BM217" s="1">
        <f t="shared" si="134"/>
        <v>4.5999999999999996</v>
      </c>
      <c r="BN217" s="21">
        <f t="shared" si="125"/>
        <v>0</v>
      </c>
      <c r="BO217" s="7">
        <f t="shared" si="126"/>
        <v>0</v>
      </c>
      <c r="BP217" s="21" t="str">
        <f t="shared" si="120"/>
        <v>NAN</v>
      </c>
      <c r="BQ217" s="1">
        <f t="shared" si="127"/>
        <v>15.7</v>
      </c>
      <c r="BR217" s="1">
        <f t="shared" si="128"/>
        <v>42.5</v>
      </c>
      <c r="BS217" s="1">
        <f t="shared" si="129"/>
        <v>-1.6</v>
      </c>
      <c r="BT217" s="1">
        <f t="shared" si="118"/>
        <v>16</v>
      </c>
      <c r="BU217" s="1" t="s">
        <v>113</v>
      </c>
      <c r="BV217" s="1">
        <f t="shared" si="119"/>
        <v>12.5</v>
      </c>
      <c r="BW217" s="1" t="str">
        <f t="shared" si="135"/>
        <v>NAN</v>
      </c>
      <c r="BX217" s="1">
        <f t="shared" si="136"/>
        <v>0.92700000000000005</v>
      </c>
      <c r="BY217" s="1">
        <f t="shared" si="137"/>
        <v>1.8320000000000001</v>
      </c>
      <c r="CA217" s="1">
        <f t="shared" si="130"/>
        <v>19.8</v>
      </c>
      <c r="CB217" s="1">
        <f t="shared" si="131"/>
        <v>-2.8</v>
      </c>
    </row>
    <row r="218" spans="1:80" x14ac:dyDescent="0.2">
      <c r="A218" s="9">
        <f t="shared" si="138"/>
        <v>43678</v>
      </c>
      <c r="B218" s="2">
        <v>213</v>
      </c>
      <c r="C218" s="2">
        <v>21</v>
      </c>
      <c r="D218" s="2">
        <v>13.19</v>
      </c>
      <c r="E218" s="2">
        <v>31.4</v>
      </c>
      <c r="F218" s="2">
        <v>2.3479999999999999</v>
      </c>
      <c r="G218" s="2">
        <v>14.36</v>
      </c>
      <c r="H218" s="2">
        <v>62.02</v>
      </c>
      <c r="I218" s="2">
        <v>14.78</v>
      </c>
      <c r="J218" s="2">
        <v>15.74</v>
      </c>
      <c r="K218" s="2">
        <v>16.510000000000002</v>
      </c>
      <c r="L218" s="2">
        <v>12.55</v>
      </c>
      <c r="M218" s="2">
        <v>23.8</v>
      </c>
      <c r="N218" s="2">
        <v>102.2</v>
      </c>
      <c r="O218" s="2">
        <v>33.549999999999997</v>
      </c>
      <c r="P218" s="2">
        <v>38.270000000000003</v>
      </c>
      <c r="Q218" s="2">
        <v>21.88</v>
      </c>
      <c r="R218" s="2">
        <v>13.49</v>
      </c>
      <c r="S218" s="2">
        <v>2.9209999999999998</v>
      </c>
      <c r="T218" s="2">
        <v>28.08</v>
      </c>
      <c r="U218" s="2">
        <v>-0.72199999999999998</v>
      </c>
      <c r="V218" s="2">
        <v>-1.276</v>
      </c>
      <c r="W218" s="2">
        <v>10.02</v>
      </c>
      <c r="X218" s="2">
        <v>12</v>
      </c>
      <c r="Y218" s="2">
        <v>2.3069999999999999</v>
      </c>
      <c r="Z218" s="2">
        <v>0</v>
      </c>
      <c r="AA218" s="2">
        <v>25.19</v>
      </c>
      <c r="AB218" s="2">
        <v>5.8550000000000004</v>
      </c>
      <c r="AC218" s="2">
        <v>1.1399999999999999</v>
      </c>
      <c r="AD218" s="2">
        <v>4.4470000000000001</v>
      </c>
      <c r="AE218" s="2">
        <v>16.93</v>
      </c>
      <c r="AF218" s="2">
        <v>41.14</v>
      </c>
      <c r="AG218" s="2">
        <v>-6.3E-2</v>
      </c>
      <c r="AH218" s="2">
        <v>41.14</v>
      </c>
      <c r="AI218" s="2">
        <v>-6.3E-2</v>
      </c>
      <c r="AJ218" s="2" t="s">
        <v>113</v>
      </c>
      <c r="AK218" s="2" t="s">
        <v>113</v>
      </c>
      <c r="AL218" s="2">
        <v>14.78</v>
      </c>
      <c r="AM218" s="2">
        <v>27</v>
      </c>
      <c r="AN218" s="2">
        <v>2.3140000000000001</v>
      </c>
      <c r="AO218" s="2"/>
      <c r="AP218" s="2"/>
      <c r="AR218" s="5">
        <v>29.59</v>
      </c>
      <c r="AS218" s="5">
        <v>25.2</v>
      </c>
      <c r="AT218" s="5">
        <v>5.85</v>
      </c>
      <c r="AU218" s="7">
        <f t="shared" si="132"/>
        <v>0.23200000000000001</v>
      </c>
      <c r="AV218" s="16"/>
      <c r="AW218" s="29">
        <v>0</v>
      </c>
      <c r="AX218" s="29">
        <v>0</v>
      </c>
      <c r="AY218" s="1">
        <f t="shared" si="109"/>
        <v>98.6</v>
      </c>
      <c r="AZ218" s="1">
        <f t="shared" si="110"/>
        <v>59.7</v>
      </c>
      <c r="BA218" s="1">
        <f t="shared" si="111"/>
        <v>26.7</v>
      </c>
      <c r="BB218" s="8">
        <f t="shared" si="112"/>
        <v>0.78700000000000003</v>
      </c>
      <c r="BC218" s="8">
        <f t="shared" si="113"/>
        <v>2.161</v>
      </c>
      <c r="BE218" s="5">
        <f t="shared" si="121"/>
        <v>25.2</v>
      </c>
      <c r="BF218" s="5">
        <f t="shared" si="122"/>
        <v>5.85</v>
      </c>
      <c r="BG218" s="1">
        <f t="shared" si="115"/>
        <v>14.4</v>
      </c>
      <c r="BH218" s="1">
        <f t="shared" si="116"/>
        <v>23.8</v>
      </c>
      <c r="BI218" s="1">
        <f t="shared" si="117"/>
        <v>2.9</v>
      </c>
      <c r="BJ218" s="1">
        <f t="shared" si="123"/>
        <v>59.7</v>
      </c>
      <c r="BK218" s="1">
        <f t="shared" si="124"/>
        <v>26.7</v>
      </c>
      <c r="BL218" s="1">
        <f t="shared" si="133"/>
        <v>1.1000000000000001</v>
      </c>
      <c r="BM218" s="1">
        <f t="shared" si="134"/>
        <v>4.4000000000000004</v>
      </c>
      <c r="BN218" s="21">
        <f t="shared" si="125"/>
        <v>0</v>
      </c>
      <c r="BO218" s="7">
        <f t="shared" si="126"/>
        <v>0</v>
      </c>
      <c r="BP218" s="21" t="str">
        <f t="shared" si="120"/>
        <v>NAN</v>
      </c>
      <c r="BQ218" s="1">
        <f t="shared" si="127"/>
        <v>16.899999999999999</v>
      </c>
      <c r="BR218" s="1">
        <f t="shared" si="128"/>
        <v>41.1</v>
      </c>
      <c r="BS218" s="1">
        <f t="shared" si="129"/>
        <v>-0.1</v>
      </c>
      <c r="BT218" s="1">
        <f t="shared" si="118"/>
        <v>16.5</v>
      </c>
      <c r="BU218" s="1" t="s">
        <v>113</v>
      </c>
      <c r="BV218" s="1">
        <f t="shared" si="119"/>
        <v>12.6</v>
      </c>
      <c r="BW218" s="1" t="str">
        <f t="shared" si="135"/>
        <v>NAN</v>
      </c>
      <c r="BX218" s="1">
        <f t="shared" si="136"/>
        <v>0.78700000000000003</v>
      </c>
      <c r="BY218" s="1">
        <f t="shared" si="137"/>
        <v>2.161</v>
      </c>
      <c r="CA218" s="1">
        <f t="shared" si="130"/>
        <v>17.3</v>
      </c>
      <c r="CB218" s="1">
        <f t="shared" si="131"/>
        <v>-3</v>
      </c>
    </row>
    <row r="219" spans="1:80" x14ac:dyDescent="0.2">
      <c r="A219" s="9">
        <f t="shared" si="138"/>
        <v>43679</v>
      </c>
      <c r="B219" s="2">
        <v>214</v>
      </c>
      <c r="C219" s="2">
        <v>21</v>
      </c>
      <c r="D219" s="2">
        <v>13.19</v>
      </c>
      <c r="E219" s="2">
        <v>27.33</v>
      </c>
      <c r="F219" s="2">
        <v>6.5049999999999999</v>
      </c>
      <c r="G219" s="2">
        <v>14.44</v>
      </c>
      <c r="H219" s="2">
        <v>56.78</v>
      </c>
      <c r="I219" s="2">
        <v>14.62</v>
      </c>
      <c r="J219" s="2">
        <v>15.04</v>
      </c>
      <c r="K219" s="2">
        <v>16.149999999999999</v>
      </c>
      <c r="L219" s="2">
        <v>12.72</v>
      </c>
      <c r="M219" s="2">
        <v>20.96</v>
      </c>
      <c r="N219" s="2">
        <v>87.9</v>
      </c>
      <c r="O219" s="2">
        <v>31.38</v>
      </c>
      <c r="P219" s="2">
        <v>36.520000000000003</v>
      </c>
      <c r="Q219" s="2">
        <v>20.37</v>
      </c>
      <c r="R219" s="2">
        <v>13.61</v>
      </c>
      <c r="S219" s="2">
        <v>7.24</v>
      </c>
      <c r="T219" s="2">
        <v>37.229999999999997</v>
      </c>
      <c r="U219" s="2">
        <v>1.7969999999999999</v>
      </c>
      <c r="V219" s="2">
        <v>-0.88200000000000001</v>
      </c>
      <c r="W219" s="2">
        <v>11.42</v>
      </c>
      <c r="X219" s="2">
        <v>12.28</v>
      </c>
      <c r="Y219" s="2">
        <v>2.3719999999999999</v>
      </c>
      <c r="Z219" s="2">
        <v>0</v>
      </c>
      <c r="AA219" s="2">
        <v>20.41</v>
      </c>
      <c r="AB219" s="2">
        <v>4.7910000000000004</v>
      </c>
      <c r="AC219" s="2">
        <v>1.8320000000000001</v>
      </c>
      <c r="AD219" s="2">
        <v>6.367</v>
      </c>
      <c r="AE219" s="2">
        <v>15.99</v>
      </c>
      <c r="AF219" s="2">
        <v>38.130000000000003</v>
      </c>
      <c r="AG219" s="2">
        <v>0.41699999999999998</v>
      </c>
      <c r="AH219" s="2">
        <v>38.130000000000003</v>
      </c>
      <c r="AI219" s="2">
        <v>0.41699999999999998</v>
      </c>
      <c r="AJ219" s="2" t="s">
        <v>113</v>
      </c>
      <c r="AK219" s="2" t="s">
        <v>113</v>
      </c>
      <c r="AL219" s="2">
        <v>14.57</v>
      </c>
      <c r="AM219" s="2">
        <v>22.48</v>
      </c>
      <c r="AN219" s="2">
        <v>6.5830000000000002</v>
      </c>
      <c r="AO219" s="2"/>
      <c r="AP219" s="2"/>
      <c r="AR219" s="5">
        <v>29.42</v>
      </c>
      <c r="AS219" s="5">
        <v>20.41</v>
      </c>
      <c r="AT219" s="5">
        <v>4.79</v>
      </c>
      <c r="AU219" s="7">
        <f t="shared" si="132"/>
        <v>0.23499999999999999</v>
      </c>
      <c r="AV219" s="16"/>
      <c r="AW219" s="29">
        <v>0</v>
      </c>
      <c r="AX219" s="29">
        <v>0</v>
      </c>
      <c r="AY219" s="1">
        <f t="shared" si="109"/>
        <v>84.8</v>
      </c>
      <c r="AZ219" s="1">
        <f t="shared" si="110"/>
        <v>54.6</v>
      </c>
      <c r="BA219" s="1">
        <f t="shared" si="111"/>
        <v>35.6</v>
      </c>
      <c r="BB219" s="8">
        <f t="shared" si="112"/>
        <v>0.88300000000000001</v>
      </c>
      <c r="BC219" s="8">
        <f t="shared" si="113"/>
        <v>1.597</v>
      </c>
      <c r="BE219" s="5">
        <f t="shared" si="121"/>
        <v>20.41</v>
      </c>
      <c r="BF219" s="5">
        <f t="shared" si="122"/>
        <v>4.79</v>
      </c>
      <c r="BG219" s="1">
        <f t="shared" si="115"/>
        <v>14.4</v>
      </c>
      <c r="BH219" s="1">
        <f t="shared" si="116"/>
        <v>21</v>
      </c>
      <c r="BI219" s="1">
        <f t="shared" si="117"/>
        <v>7.2</v>
      </c>
      <c r="BJ219" s="1">
        <f t="shared" si="123"/>
        <v>54.6</v>
      </c>
      <c r="BK219" s="1">
        <f t="shared" si="124"/>
        <v>35.6</v>
      </c>
      <c r="BL219" s="1">
        <f t="shared" si="133"/>
        <v>1.8</v>
      </c>
      <c r="BM219" s="1">
        <f t="shared" si="134"/>
        <v>6.4</v>
      </c>
      <c r="BN219" s="21">
        <f t="shared" si="125"/>
        <v>0</v>
      </c>
      <c r="BO219" s="7">
        <f t="shared" si="126"/>
        <v>0</v>
      </c>
      <c r="BP219" s="21" t="str">
        <f t="shared" si="120"/>
        <v>NAN</v>
      </c>
      <c r="BQ219" s="1">
        <f t="shared" si="127"/>
        <v>16</v>
      </c>
      <c r="BR219" s="1">
        <f t="shared" si="128"/>
        <v>38.1</v>
      </c>
      <c r="BS219" s="1">
        <f t="shared" si="129"/>
        <v>0.4</v>
      </c>
      <c r="BT219" s="1">
        <f t="shared" si="118"/>
        <v>16.2</v>
      </c>
      <c r="BU219" s="1" t="s">
        <v>113</v>
      </c>
      <c r="BV219" s="1">
        <f t="shared" si="119"/>
        <v>12.7</v>
      </c>
      <c r="BW219" s="1" t="str">
        <f t="shared" si="135"/>
        <v>NAN</v>
      </c>
      <c r="BX219" s="1">
        <f t="shared" si="136"/>
        <v>0.88300000000000001</v>
      </c>
      <c r="BY219" s="1">
        <f t="shared" si="137"/>
        <v>1.597</v>
      </c>
      <c r="CA219" s="1">
        <f t="shared" si="130"/>
        <v>17.100000000000001</v>
      </c>
      <c r="CB219" s="1">
        <f t="shared" si="131"/>
        <v>-6.8</v>
      </c>
    </row>
    <row r="220" spans="1:80" x14ac:dyDescent="0.2">
      <c r="A220" s="9">
        <f t="shared" si="138"/>
        <v>43680</v>
      </c>
      <c r="B220" s="2">
        <v>215</v>
      </c>
      <c r="C220" s="2">
        <v>21</v>
      </c>
      <c r="D220" s="2">
        <v>13.15</v>
      </c>
      <c r="E220" s="2">
        <v>25.1</v>
      </c>
      <c r="F220" s="2">
        <v>-0.50700000000000001</v>
      </c>
      <c r="G220" s="2">
        <v>9.32</v>
      </c>
      <c r="H220" s="2">
        <v>69.11</v>
      </c>
      <c r="I220" s="2">
        <v>9.99</v>
      </c>
      <c r="J220" s="2">
        <v>11.13</v>
      </c>
      <c r="K220" s="2">
        <v>14.51</v>
      </c>
      <c r="L220" s="2">
        <v>12.74</v>
      </c>
      <c r="M220" s="2">
        <v>17.38</v>
      </c>
      <c r="N220" s="2">
        <v>101.1</v>
      </c>
      <c r="O220" s="2">
        <v>27.49</v>
      </c>
      <c r="P220" s="2">
        <v>33.159999999999997</v>
      </c>
      <c r="Q220" s="2">
        <v>19.27</v>
      </c>
      <c r="R220" s="2">
        <v>13.59</v>
      </c>
      <c r="S220" s="2">
        <v>-0.32700000000000001</v>
      </c>
      <c r="T220" s="2">
        <v>37.96</v>
      </c>
      <c r="U220" s="2">
        <v>-3.6739999999999999</v>
      </c>
      <c r="V220" s="2">
        <v>-5.069</v>
      </c>
      <c r="W220" s="2">
        <v>8.77</v>
      </c>
      <c r="X220" s="2">
        <v>12.19</v>
      </c>
      <c r="Y220" s="2">
        <v>2.34</v>
      </c>
      <c r="Z220" s="2">
        <v>0</v>
      </c>
      <c r="AA220" s="2">
        <v>22.92</v>
      </c>
      <c r="AB220" s="2">
        <v>5.3449999999999998</v>
      </c>
      <c r="AC220" s="2">
        <v>1.5329999999999999</v>
      </c>
      <c r="AD220" s="2">
        <v>5.274</v>
      </c>
      <c r="AE220" s="2">
        <v>12.32</v>
      </c>
      <c r="AF220" s="2">
        <v>36.200000000000003</v>
      </c>
      <c r="AG220" s="2">
        <v>-3.746</v>
      </c>
      <c r="AH220" s="2">
        <v>36.200000000000003</v>
      </c>
      <c r="AI220" s="2">
        <v>-3.746</v>
      </c>
      <c r="AJ220" s="2" t="s">
        <v>113</v>
      </c>
      <c r="AK220" s="2" t="s">
        <v>113</v>
      </c>
      <c r="AL220" s="2">
        <v>10</v>
      </c>
      <c r="AM220" s="2">
        <v>21.74</v>
      </c>
      <c r="AN220" s="2">
        <v>-1.05</v>
      </c>
      <c r="AO220" s="2"/>
      <c r="AP220" s="2"/>
      <c r="AR220" s="5">
        <v>29.25</v>
      </c>
      <c r="AS220" s="5">
        <v>22.92</v>
      </c>
      <c r="AT220" s="5">
        <v>5.34</v>
      </c>
      <c r="AU220" s="7">
        <f t="shared" si="132"/>
        <v>0.23300000000000001</v>
      </c>
      <c r="AV220" s="16"/>
      <c r="AW220" s="29">
        <v>0</v>
      </c>
      <c r="AX220" s="29">
        <v>0</v>
      </c>
      <c r="AY220" s="1">
        <f t="shared" si="109"/>
        <v>97.6</v>
      </c>
      <c r="AZ220" s="1">
        <f t="shared" si="110"/>
        <v>66.5</v>
      </c>
      <c r="BA220" s="1">
        <f t="shared" si="111"/>
        <v>36.299999999999997</v>
      </c>
      <c r="BB220" s="8">
        <f t="shared" si="112"/>
        <v>0.72</v>
      </c>
      <c r="BC220" s="8">
        <f t="shared" si="113"/>
        <v>1.2629999999999999</v>
      </c>
      <c r="BE220" s="5">
        <f t="shared" si="121"/>
        <v>22.92</v>
      </c>
      <c r="BF220" s="5">
        <f t="shared" si="122"/>
        <v>5.34</v>
      </c>
      <c r="BG220" s="1">
        <f t="shared" si="115"/>
        <v>9.3000000000000007</v>
      </c>
      <c r="BH220" s="1">
        <f t="shared" si="116"/>
        <v>17.399999999999999</v>
      </c>
      <c r="BI220" s="1">
        <f t="shared" si="117"/>
        <v>-0.3</v>
      </c>
      <c r="BJ220" s="1">
        <f t="shared" si="123"/>
        <v>66.5</v>
      </c>
      <c r="BK220" s="1">
        <f t="shared" si="124"/>
        <v>36.299999999999997</v>
      </c>
      <c r="BL220" s="1">
        <f t="shared" si="133"/>
        <v>1.5</v>
      </c>
      <c r="BM220" s="1">
        <f t="shared" si="134"/>
        <v>5.3</v>
      </c>
      <c r="BN220" s="21">
        <f t="shared" si="125"/>
        <v>0</v>
      </c>
      <c r="BO220" s="7">
        <f t="shared" si="126"/>
        <v>0</v>
      </c>
      <c r="BP220" s="21" t="str">
        <f t="shared" si="120"/>
        <v>NAN</v>
      </c>
      <c r="BQ220" s="1">
        <f t="shared" si="127"/>
        <v>12.3</v>
      </c>
      <c r="BR220" s="1">
        <f t="shared" si="128"/>
        <v>36.200000000000003</v>
      </c>
      <c r="BS220" s="1">
        <f t="shared" si="129"/>
        <v>-3.7</v>
      </c>
      <c r="BT220" s="1">
        <f t="shared" si="118"/>
        <v>14.5</v>
      </c>
      <c r="BU220" s="1" t="s">
        <v>113</v>
      </c>
      <c r="BV220" s="1">
        <f t="shared" si="119"/>
        <v>12.7</v>
      </c>
      <c r="BW220" s="1" t="str">
        <f t="shared" si="135"/>
        <v>NAN</v>
      </c>
      <c r="BX220" s="1">
        <f t="shared" si="136"/>
        <v>0.72</v>
      </c>
      <c r="BY220" s="1">
        <f t="shared" si="137"/>
        <v>1.2629999999999999</v>
      </c>
      <c r="CA220" s="1">
        <f t="shared" si="130"/>
        <v>18.800000000000004</v>
      </c>
      <c r="CB220" s="1">
        <f t="shared" si="131"/>
        <v>-3.4000000000000004</v>
      </c>
    </row>
    <row r="221" spans="1:80" x14ac:dyDescent="0.2">
      <c r="A221" s="9">
        <f t="shared" si="138"/>
        <v>43681</v>
      </c>
      <c r="B221" s="2">
        <v>216</v>
      </c>
      <c r="C221" s="2">
        <v>21</v>
      </c>
      <c r="D221" s="2">
        <v>13.17</v>
      </c>
      <c r="E221" s="2">
        <v>27.85</v>
      </c>
      <c r="F221" s="2">
        <v>-1.1659999999999999</v>
      </c>
      <c r="G221" s="2">
        <v>10.8</v>
      </c>
      <c r="H221" s="2">
        <v>68.010000000000005</v>
      </c>
      <c r="I221" s="2">
        <v>11.49</v>
      </c>
      <c r="J221" s="2">
        <v>12.92</v>
      </c>
      <c r="K221" s="2">
        <v>14.67</v>
      </c>
      <c r="L221" s="2">
        <v>12.52</v>
      </c>
      <c r="M221" s="2">
        <v>20.04</v>
      </c>
      <c r="N221" s="2">
        <v>102.6</v>
      </c>
      <c r="O221" s="2">
        <v>29.17</v>
      </c>
      <c r="P221" s="2">
        <v>34.15</v>
      </c>
      <c r="Q221" s="2">
        <v>20.37</v>
      </c>
      <c r="R221" s="2">
        <v>13.52</v>
      </c>
      <c r="S221" s="2">
        <v>-7.0000000000000001E-3</v>
      </c>
      <c r="T221" s="2">
        <v>24.02</v>
      </c>
      <c r="U221" s="2">
        <v>-4.0830000000000002</v>
      </c>
      <c r="V221" s="2">
        <v>-5.3029999999999999</v>
      </c>
      <c r="W221" s="2">
        <v>7.53</v>
      </c>
      <c r="X221" s="2">
        <v>11.9</v>
      </c>
      <c r="Y221" s="2">
        <v>2.3479999999999999</v>
      </c>
      <c r="Z221" s="2">
        <v>0</v>
      </c>
      <c r="AA221" s="2">
        <v>26.75</v>
      </c>
      <c r="AB221" s="2">
        <v>6.22</v>
      </c>
      <c r="AC221" s="2">
        <v>1.4219999999999999</v>
      </c>
      <c r="AD221" s="2">
        <v>4.9800000000000004</v>
      </c>
      <c r="AE221" s="2">
        <v>14.24</v>
      </c>
      <c r="AF221" s="2">
        <v>37.57</v>
      </c>
      <c r="AG221" s="2">
        <v>-3.7469999999999999</v>
      </c>
      <c r="AH221" s="2">
        <v>37.57</v>
      </c>
      <c r="AI221" s="2">
        <v>-3.7469999999999999</v>
      </c>
      <c r="AJ221" s="2" t="s">
        <v>113</v>
      </c>
      <c r="AK221" s="2" t="s">
        <v>113</v>
      </c>
      <c r="AL221" s="2">
        <v>11.25</v>
      </c>
      <c r="AM221" s="2">
        <v>22.98</v>
      </c>
      <c r="AN221" s="2">
        <v>-0.79</v>
      </c>
      <c r="AO221" s="2"/>
      <c r="AP221" s="2"/>
      <c r="AR221" s="5">
        <v>29.08</v>
      </c>
      <c r="AS221" s="5">
        <v>26.76</v>
      </c>
      <c r="AT221" s="5">
        <v>6.22</v>
      </c>
      <c r="AU221" s="7">
        <f t="shared" si="132"/>
        <v>0.23200000000000001</v>
      </c>
      <c r="AV221" s="16"/>
      <c r="AW221" s="29">
        <v>0</v>
      </c>
      <c r="AX221" s="29">
        <v>0</v>
      </c>
      <c r="AY221" s="1">
        <f t="shared" si="109"/>
        <v>99</v>
      </c>
      <c r="AZ221" s="1">
        <f t="shared" si="110"/>
        <v>65.5</v>
      </c>
      <c r="BA221" s="1">
        <f t="shared" si="111"/>
        <v>22.8</v>
      </c>
      <c r="BB221" s="8">
        <f t="shared" si="112"/>
        <v>0.53400000000000003</v>
      </c>
      <c r="BC221" s="8">
        <f t="shared" si="113"/>
        <v>1.8080000000000001</v>
      </c>
      <c r="BE221" s="5">
        <f t="shared" si="121"/>
        <v>26.76</v>
      </c>
      <c r="BF221" s="5">
        <f t="shared" si="122"/>
        <v>6.22</v>
      </c>
      <c r="BG221" s="1">
        <f t="shared" si="115"/>
        <v>10.8</v>
      </c>
      <c r="BH221" s="1">
        <f t="shared" si="116"/>
        <v>20</v>
      </c>
      <c r="BI221" s="1">
        <f t="shared" si="117"/>
        <v>0</v>
      </c>
      <c r="BJ221" s="1">
        <f t="shared" si="123"/>
        <v>65.5</v>
      </c>
      <c r="BK221" s="1">
        <f t="shared" si="124"/>
        <v>22.8</v>
      </c>
      <c r="BL221" s="1">
        <f t="shared" si="133"/>
        <v>1.4</v>
      </c>
      <c r="BM221" s="1">
        <f t="shared" si="134"/>
        <v>5</v>
      </c>
      <c r="BN221" s="21">
        <f t="shared" si="125"/>
        <v>0</v>
      </c>
      <c r="BO221" s="7">
        <f t="shared" si="126"/>
        <v>0</v>
      </c>
      <c r="BP221" s="21" t="str">
        <f t="shared" si="120"/>
        <v>NAN</v>
      </c>
      <c r="BQ221" s="1">
        <f t="shared" si="127"/>
        <v>14.2</v>
      </c>
      <c r="BR221" s="1">
        <f t="shared" si="128"/>
        <v>37.6</v>
      </c>
      <c r="BS221" s="1">
        <f t="shared" si="129"/>
        <v>-3.7</v>
      </c>
      <c r="BT221" s="1">
        <f t="shared" si="118"/>
        <v>14.7</v>
      </c>
      <c r="BU221" s="1" t="s">
        <v>113</v>
      </c>
      <c r="BV221" s="1">
        <f t="shared" si="119"/>
        <v>12.5</v>
      </c>
      <c r="BW221" s="1" t="str">
        <f t="shared" si="135"/>
        <v>NAN</v>
      </c>
      <c r="BX221" s="1">
        <f t="shared" si="136"/>
        <v>0.53400000000000003</v>
      </c>
      <c r="BY221" s="1">
        <f t="shared" si="137"/>
        <v>1.8080000000000001</v>
      </c>
      <c r="CA221" s="1">
        <f t="shared" si="130"/>
        <v>17.600000000000001</v>
      </c>
      <c r="CB221" s="1">
        <f t="shared" si="131"/>
        <v>-3.7</v>
      </c>
    </row>
    <row r="222" spans="1:80" x14ac:dyDescent="0.2">
      <c r="A222" s="9">
        <f t="shared" si="138"/>
        <v>43682</v>
      </c>
      <c r="B222" s="2">
        <v>217</v>
      </c>
      <c r="C222" s="2">
        <v>21</v>
      </c>
      <c r="D222" s="2">
        <v>13.18</v>
      </c>
      <c r="E222" s="2">
        <v>33.9</v>
      </c>
      <c r="F222" s="2">
        <v>0.68500000000000005</v>
      </c>
      <c r="G222" s="2">
        <v>14.27</v>
      </c>
      <c r="H222" s="2">
        <v>63.68</v>
      </c>
      <c r="I222" s="2">
        <v>14.85</v>
      </c>
      <c r="J222" s="2">
        <v>16.02</v>
      </c>
      <c r="K222" s="2">
        <v>16.149999999999999</v>
      </c>
      <c r="L222" s="2">
        <v>12.49</v>
      </c>
      <c r="M222" s="2">
        <v>24.8</v>
      </c>
      <c r="N222" s="2">
        <v>101.8</v>
      </c>
      <c r="O222" s="2">
        <v>34.49</v>
      </c>
      <c r="P222" s="2">
        <v>38.56</v>
      </c>
      <c r="Q222" s="2">
        <v>22.3</v>
      </c>
      <c r="R222" s="2">
        <v>13.46</v>
      </c>
      <c r="S222" s="2">
        <v>2.0019999999999998</v>
      </c>
      <c r="T222" s="2">
        <v>29.52</v>
      </c>
      <c r="U222" s="2">
        <v>-2.3170000000000002</v>
      </c>
      <c r="V222" s="2">
        <v>-3.4929999999999999</v>
      </c>
      <c r="W222" s="2">
        <v>8.5399999999999991</v>
      </c>
      <c r="X222" s="2">
        <v>11.86</v>
      </c>
      <c r="Y222" s="2">
        <v>2.3380000000000001</v>
      </c>
      <c r="Z222" s="2">
        <v>0</v>
      </c>
      <c r="AA222" s="2">
        <v>26.16</v>
      </c>
      <c r="AB222" s="2">
        <v>6.0949999999999998</v>
      </c>
      <c r="AC222" s="2">
        <v>1.044</v>
      </c>
      <c r="AD222" s="2">
        <v>5.407</v>
      </c>
      <c r="AE222" s="2">
        <v>17.29</v>
      </c>
      <c r="AF222" s="2">
        <v>41.69</v>
      </c>
      <c r="AG222" s="2">
        <v>-2.0649999999999999</v>
      </c>
      <c r="AH222" s="2">
        <v>41.69</v>
      </c>
      <c r="AI222" s="2">
        <v>-2.0649999999999999</v>
      </c>
      <c r="AJ222" s="2" t="s">
        <v>113</v>
      </c>
      <c r="AK222" s="2" t="s">
        <v>113</v>
      </c>
      <c r="AL222" s="2">
        <v>14.95</v>
      </c>
      <c r="AM222" s="2">
        <v>29.42</v>
      </c>
      <c r="AN222" s="2">
        <v>1.0960000000000001</v>
      </c>
      <c r="AO222" s="2"/>
      <c r="AP222" s="2"/>
      <c r="AR222" s="5">
        <v>28.91</v>
      </c>
      <c r="AS222" s="5">
        <v>26.16</v>
      </c>
      <c r="AT222" s="5">
        <v>6.09</v>
      </c>
      <c r="AU222" s="7">
        <f t="shared" si="132"/>
        <v>0.23300000000000001</v>
      </c>
      <c r="AV222" s="16"/>
      <c r="AW222" s="29">
        <v>0</v>
      </c>
      <c r="AX222" s="29">
        <v>0</v>
      </c>
      <c r="AY222" s="1">
        <f t="shared" si="109"/>
        <v>98.2</v>
      </c>
      <c r="AZ222" s="1">
        <f t="shared" si="110"/>
        <v>61.3</v>
      </c>
      <c r="BA222" s="1">
        <f t="shared" si="111"/>
        <v>28.1</v>
      </c>
      <c r="BB222" s="8">
        <f t="shared" si="112"/>
        <v>0.879</v>
      </c>
      <c r="BC222" s="8">
        <f t="shared" si="113"/>
        <v>2.2490000000000001</v>
      </c>
      <c r="BE222" s="5">
        <f t="shared" si="121"/>
        <v>26.16</v>
      </c>
      <c r="BF222" s="5">
        <f t="shared" si="122"/>
        <v>6.09</v>
      </c>
      <c r="BG222" s="1">
        <f t="shared" si="115"/>
        <v>14.3</v>
      </c>
      <c r="BH222" s="1">
        <f t="shared" si="116"/>
        <v>24.8</v>
      </c>
      <c r="BI222" s="1">
        <f t="shared" si="117"/>
        <v>2</v>
      </c>
      <c r="BJ222" s="1">
        <f t="shared" si="123"/>
        <v>61.3</v>
      </c>
      <c r="BK222" s="1">
        <f t="shared" si="124"/>
        <v>28.1</v>
      </c>
      <c r="BL222" s="1">
        <f t="shared" si="133"/>
        <v>1</v>
      </c>
      <c r="BM222" s="1">
        <f t="shared" si="134"/>
        <v>5.4</v>
      </c>
      <c r="BN222" s="21">
        <f t="shared" si="125"/>
        <v>0</v>
      </c>
      <c r="BO222" s="7">
        <f t="shared" si="126"/>
        <v>0</v>
      </c>
      <c r="BP222" s="21" t="str">
        <f t="shared" si="120"/>
        <v>NAN</v>
      </c>
      <c r="BQ222" s="1">
        <f t="shared" si="127"/>
        <v>17.3</v>
      </c>
      <c r="BR222" s="1">
        <f t="shared" si="128"/>
        <v>41.7</v>
      </c>
      <c r="BS222" s="1">
        <f t="shared" si="129"/>
        <v>-2.1</v>
      </c>
      <c r="BT222" s="1">
        <f t="shared" si="118"/>
        <v>16.2</v>
      </c>
      <c r="BU222" s="1" t="s">
        <v>113</v>
      </c>
      <c r="BV222" s="1">
        <f t="shared" si="119"/>
        <v>12.5</v>
      </c>
      <c r="BW222" s="1" t="str">
        <f t="shared" si="135"/>
        <v>NAN</v>
      </c>
      <c r="BX222" s="1">
        <f t="shared" si="136"/>
        <v>0.879</v>
      </c>
      <c r="BY222" s="1">
        <f t="shared" si="137"/>
        <v>2.2490000000000001</v>
      </c>
      <c r="CA222" s="1">
        <f t="shared" si="130"/>
        <v>16.900000000000002</v>
      </c>
      <c r="CB222" s="1">
        <f t="shared" si="131"/>
        <v>-4.0999999999999996</v>
      </c>
    </row>
    <row r="223" spans="1:80" x14ac:dyDescent="0.2">
      <c r="A223" s="9">
        <f t="shared" si="138"/>
        <v>43683</v>
      </c>
      <c r="B223" s="2">
        <v>218</v>
      </c>
      <c r="C223" s="2">
        <v>21</v>
      </c>
      <c r="D223" s="2">
        <v>13.18</v>
      </c>
      <c r="E223" s="2">
        <v>34.71</v>
      </c>
      <c r="F223" s="2">
        <v>2.6579999999999999</v>
      </c>
      <c r="G223" s="2">
        <v>16.239999999999998</v>
      </c>
      <c r="H223" s="2">
        <v>48.98</v>
      </c>
      <c r="I223" s="2">
        <v>16.22</v>
      </c>
      <c r="J223" s="2">
        <v>17.05</v>
      </c>
      <c r="K223" s="2">
        <v>17.07</v>
      </c>
      <c r="L223" s="2">
        <v>12.67</v>
      </c>
      <c r="M223" s="2">
        <v>26.96</v>
      </c>
      <c r="N223" s="2">
        <v>101.3</v>
      </c>
      <c r="O223" s="2">
        <v>36.04</v>
      </c>
      <c r="P223" s="2">
        <v>40.69</v>
      </c>
      <c r="Q223" s="2">
        <v>23.06</v>
      </c>
      <c r="R223" s="2">
        <v>13.66</v>
      </c>
      <c r="S223" s="2">
        <v>3.351</v>
      </c>
      <c r="T223" s="2">
        <v>9.26</v>
      </c>
      <c r="U223" s="2">
        <v>-1.181</v>
      </c>
      <c r="V223" s="2">
        <v>-2.4900000000000002</v>
      </c>
      <c r="W223" s="2">
        <v>9.94</v>
      </c>
      <c r="X223" s="2">
        <v>12.11</v>
      </c>
      <c r="Y223" s="2">
        <v>2.3530000000000002</v>
      </c>
      <c r="Z223" s="2">
        <v>0</v>
      </c>
      <c r="AA223" s="2">
        <v>26.9</v>
      </c>
      <c r="AB223" s="2">
        <v>6.359</v>
      </c>
      <c r="AC223" s="2">
        <v>1.2270000000000001</v>
      </c>
      <c r="AD223" s="2">
        <v>5.22</v>
      </c>
      <c r="AE223" s="2">
        <v>18.07</v>
      </c>
      <c r="AF223" s="2">
        <v>43.38</v>
      </c>
      <c r="AG223" s="2">
        <v>-1.2969999999999999</v>
      </c>
      <c r="AH223" s="2">
        <v>43.38</v>
      </c>
      <c r="AI223" s="2">
        <v>-1.2969999999999999</v>
      </c>
      <c r="AJ223" s="2" t="s">
        <v>113</v>
      </c>
      <c r="AK223" s="2" t="s">
        <v>113</v>
      </c>
      <c r="AL223" s="2">
        <v>16.559999999999999</v>
      </c>
      <c r="AM223" s="2">
        <v>30.03</v>
      </c>
      <c r="AN223" s="2">
        <v>2.698</v>
      </c>
      <c r="AO223" s="2"/>
      <c r="AP223" s="2"/>
      <c r="AR223" s="5">
        <v>28.73</v>
      </c>
      <c r="AS223" s="5">
        <v>26.9</v>
      </c>
      <c r="AT223" s="5">
        <v>6.36</v>
      </c>
      <c r="AU223" s="7">
        <f t="shared" si="132"/>
        <v>0.23599999999999999</v>
      </c>
      <c r="AV223" s="16"/>
      <c r="AW223" s="29">
        <v>0</v>
      </c>
      <c r="AX223" s="29">
        <v>0</v>
      </c>
      <c r="AY223" s="1">
        <f t="shared" si="109"/>
        <v>97.8</v>
      </c>
      <c r="AZ223" s="1">
        <f t="shared" si="110"/>
        <v>47</v>
      </c>
      <c r="BA223" s="1">
        <f t="shared" si="111"/>
        <v>8.5</v>
      </c>
      <c r="BB223" s="8">
        <f t="shared" si="112"/>
        <v>0.30199999999999999</v>
      </c>
      <c r="BC223" s="8">
        <f t="shared" si="113"/>
        <v>3.2509999999999999</v>
      </c>
      <c r="BE223" s="5">
        <f t="shared" si="121"/>
        <v>26.9</v>
      </c>
      <c r="BF223" s="5">
        <f t="shared" si="122"/>
        <v>6.36</v>
      </c>
      <c r="BG223" s="1">
        <f t="shared" si="115"/>
        <v>16.2</v>
      </c>
      <c r="BH223" s="1">
        <f t="shared" si="116"/>
        <v>27</v>
      </c>
      <c r="BI223" s="1">
        <f t="shared" si="117"/>
        <v>3.4</v>
      </c>
      <c r="BJ223" s="1">
        <f t="shared" si="123"/>
        <v>47</v>
      </c>
      <c r="BK223" s="1">
        <f t="shared" si="124"/>
        <v>8.5</v>
      </c>
      <c r="BL223" s="1">
        <f t="shared" si="133"/>
        <v>1.2</v>
      </c>
      <c r="BM223" s="1">
        <f t="shared" si="134"/>
        <v>5.2</v>
      </c>
      <c r="BN223" s="21">
        <f t="shared" si="125"/>
        <v>0</v>
      </c>
      <c r="BO223" s="7">
        <f t="shared" si="126"/>
        <v>0</v>
      </c>
      <c r="BP223" s="21" t="str">
        <f t="shared" si="120"/>
        <v>NAN</v>
      </c>
      <c r="BQ223" s="1">
        <f t="shared" si="127"/>
        <v>18.100000000000001</v>
      </c>
      <c r="BR223" s="1">
        <f t="shared" si="128"/>
        <v>43.4</v>
      </c>
      <c r="BS223" s="1">
        <f t="shared" si="129"/>
        <v>-1.3</v>
      </c>
      <c r="BT223" s="1">
        <f t="shared" si="118"/>
        <v>17.100000000000001</v>
      </c>
      <c r="BU223" s="1" t="s">
        <v>113</v>
      </c>
      <c r="BV223" s="1">
        <f t="shared" si="119"/>
        <v>12.7</v>
      </c>
      <c r="BW223" s="1" t="str">
        <f t="shared" si="135"/>
        <v>NAN</v>
      </c>
      <c r="BX223" s="1">
        <f t="shared" si="136"/>
        <v>0.30199999999999999</v>
      </c>
      <c r="BY223" s="1">
        <f t="shared" si="137"/>
        <v>3.2509999999999999</v>
      </c>
      <c r="CA223" s="1">
        <f t="shared" si="130"/>
        <v>16.399999999999999</v>
      </c>
      <c r="CB223" s="1">
        <f t="shared" si="131"/>
        <v>-4.7</v>
      </c>
    </row>
    <row r="224" spans="1:80" x14ac:dyDescent="0.2">
      <c r="A224" s="9">
        <f t="shared" si="138"/>
        <v>43684</v>
      </c>
      <c r="B224" s="2">
        <v>219</v>
      </c>
      <c r="C224" s="2">
        <v>21</v>
      </c>
      <c r="D224" s="2">
        <v>13.2</v>
      </c>
      <c r="E224" s="2">
        <v>34.01</v>
      </c>
      <c r="F224" s="2">
        <v>0.64400000000000002</v>
      </c>
      <c r="G224" s="2">
        <v>16.89</v>
      </c>
      <c r="H224" s="2">
        <v>43.12</v>
      </c>
      <c r="I224" s="2">
        <v>16.82</v>
      </c>
      <c r="J224" s="2">
        <v>17.579999999999998</v>
      </c>
      <c r="K224" s="2">
        <v>17.079999999999998</v>
      </c>
      <c r="L224" s="2">
        <v>12.88</v>
      </c>
      <c r="M224" s="2">
        <v>27.53</v>
      </c>
      <c r="N224" s="2">
        <v>91</v>
      </c>
      <c r="O224" s="2">
        <v>36.119999999999997</v>
      </c>
      <c r="P224" s="2">
        <v>41.19</v>
      </c>
      <c r="Q224" s="2">
        <v>23.26</v>
      </c>
      <c r="R224" s="2">
        <v>13.88</v>
      </c>
      <c r="S224" s="2">
        <v>2.145</v>
      </c>
      <c r="T224" s="2">
        <v>13.06</v>
      </c>
      <c r="U224" s="2">
        <v>-2.2989999999999999</v>
      </c>
      <c r="V224" s="2">
        <v>-3.2829999999999999</v>
      </c>
      <c r="W224" s="2">
        <v>9.33</v>
      </c>
      <c r="X224" s="2">
        <v>12.32</v>
      </c>
      <c r="Y224" s="2">
        <v>2.351</v>
      </c>
      <c r="Z224" s="2">
        <v>0</v>
      </c>
      <c r="AA224" s="2">
        <v>26.76</v>
      </c>
      <c r="AB224" s="2">
        <v>6.3559999999999999</v>
      </c>
      <c r="AC224" s="2">
        <v>1.456</v>
      </c>
      <c r="AD224" s="2">
        <v>5.62</v>
      </c>
      <c r="AE224" s="2">
        <v>18.350000000000001</v>
      </c>
      <c r="AF224" s="2">
        <v>43.73</v>
      </c>
      <c r="AG224" s="2">
        <v>-2.343</v>
      </c>
      <c r="AH224" s="2">
        <v>43.73</v>
      </c>
      <c r="AI224" s="2">
        <v>-2.343</v>
      </c>
      <c r="AJ224" s="2" t="s">
        <v>113</v>
      </c>
      <c r="AK224" s="2" t="s">
        <v>113</v>
      </c>
      <c r="AL224" s="2">
        <v>17.010000000000002</v>
      </c>
      <c r="AM224" s="2">
        <v>30.42</v>
      </c>
      <c r="AN224" s="2">
        <v>1.101</v>
      </c>
      <c r="AO224" s="2"/>
      <c r="AP224" s="2"/>
      <c r="AR224" s="5">
        <v>28.55</v>
      </c>
      <c r="AS224" s="5">
        <v>26.77</v>
      </c>
      <c r="AT224" s="5">
        <v>6.35</v>
      </c>
      <c r="AU224" s="7">
        <f t="shared" si="132"/>
        <v>0.23699999999999999</v>
      </c>
      <c r="AV224" s="16"/>
      <c r="AW224" s="29">
        <v>0</v>
      </c>
      <c r="AX224" s="29">
        <v>0</v>
      </c>
      <c r="AY224" s="1">
        <f t="shared" si="109"/>
        <v>87.8</v>
      </c>
      <c r="AZ224" s="1">
        <f t="shared" si="110"/>
        <v>41.3</v>
      </c>
      <c r="BA224" s="1">
        <f t="shared" si="111"/>
        <v>12.2</v>
      </c>
      <c r="BB224" s="8">
        <f t="shared" si="112"/>
        <v>0.44900000000000001</v>
      </c>
      <c r="BC224" s="8">
        <f t="shared" si="113"/>
        <v>3.2309999999999999</v>
      </c>
      <c r="BE224" s="5">
        <f t="shared" si="121"/>
        <v>26.77</v>
      </c>
      <c r="BF224" s="5">
        <f t="shared" si="122"/>
        <v>6.35</v>
      </c>
      <c r="BG224" s="1">
        <f t="shared" si="115"/>
        <v>16.899999999999999</v>
      </c>
      <c r="BH224" s="1">
        <f t="shared" si="116"/>
        <v>27.5</v>
      </c>
      <c r="BI224" s="1">
        <f t="shared" si="117"/>
        <v>2.1</v>
      </c>
      <c r="BJ224" s="1">
        <f t="shared" si="123"/>
        <v>41.3</v>
      </c>
      <c r="BK224" s="1">
        <f t="shared" si="124"/>
        <v>12.2</v>
      </c>
      <c r="BL224" s="1">
        <f t="shared" si="133"/>
        <v>1.5</v>
      </c>
      <c r="BM224" s="1">
        <f t="shared" si="134"/>
        <v>5.6</v>
      </c>
      <c r="BN224" s="21">
        <f t="shared" si="125"/>
        <v>0</v>
      </c>
      <c r="BO224" s="7">
        <f t="shared" si="126"/>
        <v>0</v>
      </c>
      <c r="BP224" s="21" t="str">
        <f t="shared" si="120"/>
        <v>NAN</v>
      </c>
      <c r="BQ224" s="1">
        <f t="shared" si="127"/>
        <v>18.399999999999999</v>
      </c>
      <c r="BR224" s="1">
        <f t="shared" si="128"/>
        <v>43.7</v>
      </c>
      <c r="BS224" s="1">
        <f t="shared" si="129"/>
        <v>-2.2999999999999998</v>
      </c>
      <c r="BT224" s="1">
        <f t="shared" si="118"/>
        <v>17.100000000000001</v>
      </c>
      <c r="BU224" s="1" t="s">
        <v>113</v>
      </c>
      <c r="BV224" s="1">
        <f t="shared" si="119"/>
        <v>12.9</v>
      </c>
      <c r="BW224" s="1" t="str">
        <f t="shared" si="135"/>
        <v>NAN</v>
      </c>
      <c r="BX224" s="1">
        <f t="shared" si="136"/>
        <v>0.44900000000000001</v>
      </c>
      <c r="BY224" s="1">
        <f t="shared" si="137"/>
        <v>3.2309999999999999</v>
      </c>
      <c r="CA224" s="1">
        <f t="shared" si="130"/>
        <v>16.200000000000003</v>
      </c>
      <c r="CB224" s="1">
        <f t="shared" si="131"/>
        <v>-4.4000000000000004</v>
      </c>
    </row>
    <row r="225" spans="1:80" x14ac:dyDescent="0.2">
      <c r="A225" s="9">
        <f t="shared" si="138"/>
        <v>43685</v>
      </c>
      <c r="B225" s="2">
        <v>220</v>
      </c>
      <c r="C225" s="2">
        <v>21</v>
      </c>
      <c r="D225" s="2">
        <v>13.21</v>
      </c>
      <c r="E225" s="2">
        <v>33.72</v>
      </c>
      <c r="F225" s="2">
        <v>4.0590000000000002</v>
      </c>
      <c r="G225" s="2">
        <v>17.77</v>
      </c>
      <c r="H225" s="2">
        <v>42.67</v>
      </c>
      <c r="I225" s="2">
        <v>17.489999999999998</v>
      </c>
      <c r="J225" s="2">
        <v>18.329999999999998</v>
      </c>
      <c r="K225" s="2">
        <v>17.760000000000002</v>
      </c>
      <c r="L225" s="2">
        <v>13.07</v>
      </c>
      <c r="M225" s="2">
        <v>26.55</v>
      </c>
      <c r="N225" s="2">
        <v>81.099999999999994</v>
      </c>
      <c r="O225" s="2">
        <v>34.79</v>
      </c>
      <c r="P225" s="2">
        <v>40.35</v>
      </c>
      <c r="Q225" s="2">
        <v>23.53</v>
      </c>
      <c r="R225" s="2">
        <v>14.03</v>
      </c>
      <c r="S225" s="2">
        <v>5.2679999999999998</v>
      </c>
      <c r="T225" s="2">
        <v>16</v>
      </c>
      <c r="U225" s="2">
        <v>-0.41799999999999998</v>
      </c>
      <c r="V225" s="2">
        <v>-2.294</v>
      </c>
      <c r="W225" s="2">
        <v>10.53</v>
      </c>
      <c r="X225" s="2">
        <v>12.54</v>
      </c>
      <c r="Y225" s="2">
        <v>2.3180000000000001</v>
      </c>
      <c r="Z225" s="2">
        <v>0</v>
      </c>
      <c r="AA225" s="2">
        <v>26.36</v>
      </c>
      <c r="AB225" s="2">
        <v>6.2679999999999998</v>
      </c>
      <c r="AC225" s="2">
        <v>1.5029999999999999</v>
      </c>
      <c r="AD225" s="2">
        <v>5.6740000000000004</v>
      </c>
      <c r="AE225" s="2">
        <v>19.13</v>
      </c>
      <c r="AF225" s="2">
        <v>42.9</v>
      </c>
      <c r="AG225" s="2">
        <v>-1.3</v>
      </c>
      <c r="AH225" s="2">
        <v>42.9</v>
      </c>
      <c r="AI225" s="2">
        <v>-1.3</v>
      </c>
      <c r="AJ225" s="2" t="s">
        <v>113</v>
      </c>
      <c r="AK225" s="2" t="s">
        <v>113</v>
      </c>
      <c r="AL225" s="2">
        <v>18</v>
      </c>
      <c r="AM225" s="2">
        <v>29.52</v>
      </c>
      <c r="AN225" s="2">
        <v>3.7970000000000002</v>
      </c>
      <c r="AO225" s="2"/>
      <c r="AP225" s="2"/>
      <c r="AR225" s="5">
        <v>28.36</v>
      </c>
      <c r="AS225" s="5">
        <v>26.36</v>
      </c>
      <c r="AT225" s="5">
        <v>6.26</v>
      </c>
      <c r="AU225" s="7">
        <f t="shared" si="132"/>
        <v>0.23699999999999999</v>
      </c>
      <c r="AV225" s="16"/>
      <c r="AW225" s="29">
        <v>0</v>
      </c>
      <c r="AX225" s="29">
        <v>0</v>
      </c>
      <c r="AY225" s="1">
        <f t="shared" si="109"/>
        <v>78.2</v>
      </c>
      <c r="AZ225" s="1">
        <f t="shared" si="110"/>
        <v>40.9</v>
      </c>
      <c r="BA225" s="1">
        <f t="shared" si="111"/>
        <v>15</v>
      </c>
      <c r="BB225" s="8">
        <f t="shared" si="112"/>
        <v>0.52100000000000002</v>
      </c>
      <c r="BC225" s="8">
        <f t="shared" si="113"/>
        <v>2.952</v>
      </c>
      <c r="BE225" s="5">
        <f t="shared" si="121"/>
        <v>26.36</v>
      </c>
      <c r="BF225" s="5">
        <f t="shared" si="122"/>
        <v>6.26</v>
      </c>
      <c r="BG225" s="1">
        <f t="shared" si="115"/>
        <v>17.8</v>
      </c>
      <c r="BH225" s="1">
        <f t="shared" si="116"/>
        <v>26.6</v>
      </c>
      <c r="BI225" s="1">
        <f t="shared" si="117"/>
        <v>5.3</v>
      </c>
      <c r="BJ225" s="1">
        <f t="shared" si="123"/>
        <v>40.9</v>
      </c>
      <c r="BK225" s="1">
        <f t="shared" si="124"/>
        <v>15</v>
      </c>
      <c r="BL225" s="1">
        <f t="shared" si="133"/>
        <v>1.5</v>
      </c>
      <c r="BM225" s="1">
        <f t="shared" si="134"/>
        <v>5.7</v>
      </c>
      <c r="BN225" s="21">
        <f t="shared" si="125"/>
        <v>0</v>
      </c>
      <c r="BO225" s="7">
        <f t="shared" si="126"/>
        <v>0</v>
      </c>
      <c r="BP225" s="21" t="str">
        <f t="shared" si="120"/>
        <v>NAN</v>
      </c>
      <c r="BQ225" s="1">
        <f t="shared" si="127"/>
        <v>19.100000000000001</v>
      </c>
      <c r="BR225" s="1">
        <f t="shared" si="128"/>
        <v>42.9</v>
      </c>
      <c r="BS225" s="1">
        <f t="shared" si="129"/>
        <v>-1.3</v>
      </c>
      <c r="BT225" s="1">
        <f t="shared" si="118"/>
        <v>17.8</v>
      </c>
      <c r="BU225" s="1" t="s">
        <v>113</v>
      </c>
      <c r="BV225" s="1">
        <f t="shared" si="119"/>
        <v>13.1</v>
      </c>
      <c r="BW225" s="1" t="str">
        <f t="shared" si="135"/>
        <v>NAN</v>
      </c>
      <c r="BX225" s="1">
        <f t="shared" si="136"/>
        <v>0.52100000000000002</v>
      </c>
      <c r="BY225" s="1">
        <f t="shared" si="137"/>
        <v>2.952</v>
      </c>
      <c r="CA225" s="1">
        <f t="shared" si="130"/>
        <v>16.299999999999997</v>
      </c>
      <c r="CB225" s="1">
        <f t="shared" si="131"/>
        <v>-6.6</v>
      </c>
    </row>
    <row r="226" spans="1:80" x14ac:dyDescent="0.2">
      <c r="A226" s="9">
        <f t="shared" si="138"/>
        <v>43686</v>
      </c>
      <c r="B226" s="2">
        <v>221</v>
      </c>
      <c r="C226" s="2">
        <v>21</v>
      </c>
      <c r="D226" s="2">
        <v>13.21</v>
      </c>
      <c r="E226" s="2">
        <v>32.049999999999997</v>
      </c>
      <c r="F226" s="2">
        <v>6.9249999999999998</v>
      </c>
      <c r="G226" s="2">
        <v>16.7</v>
      </c>
      <c r="H226" s="2">
        <v>55.77</v>
      </c>
      <c r="I226" s="2">
        <v>16.82</v>
      </c>
      <c r="J226" s="2">
        <v>18.07</v>
      </c>
      <c r="K226" s="2">
        <v>17.940000000000001</v>
      </c>
      <c r="L226" s="2">
        <v>13.31</v>
      </c>
      <c r="M226" s="2">
        <v>23.81</v>
      </c>
      <c r="N226" s="2">
        <v>88.4</v>
      </c>
      <c r="O226" s="2">
        <v>32.72</v>
      </c>
      <c r="P226" s="2">
        <v>38.07</v>
      </c>
      <c r="Q226" s="2">
        <v>22.86</v>
      </c>
      <c r="R226" s="2">
        <v>14.17</v>
      </c>
      <c r="S226" s="2">
        <v>6.7389999999999999</v>
      </c>
      <c r="T226" s="2">
        <v>32.07</v>
      </c>
      <c r="U226" s="2">
        <v>2.7010000000000001</v>
      </c>
      <c r="V226" s="2">
        <v>0.78100000000000003</v>
      </c>
      <c r="W226" s="2">
        <v>12.26</v>
      </c>
      <c r="X226" s="2">
        <v>12.91</v>
      </c>
      <c r="Y226" s="2">
        <v>2.3490000000000002</v>
      </c>
      <c r="Z226" s="2">
        <v>0</v>
      </c>
      <c r="AA226" s="2">
        <v>20.91</v>
      </c>
      <c r="AB226" s="2">
        <v>4.9790000000000001</v>
      </c>
      <c r="AC226" s="2">
        <v>1.2230000000000001</v>
      </c>
      <c r="AD226" s="2">
        <v>4.9800000000000004</v>
      </c>
      <c r="AE226" s="2">
        <v>19.09</v>
      </c>
      <c r="AF226" s="2">
        <v>40.630000000000003</v>
      </c>
      <c r="AG226" s="2">
        <v>1.7669999999999999</v>
      </c>
      <c r="AH226" s="2">
        <v>40.630000000000003</v>
      </c>
      <c r="AI226" s="2">
        <v>1.7669999999999999</v>
      </c>
      <c r="AJ226" s="2" t="s">
        <v>113</v>
      </c>
      <c r="AK226" s="2" t="s">
        <v>113</v>
      </c>
      <c r="AL226" s="2">
        <v>16.940000000000001</v>
      </c>
      <c r="AM226" s="2">
        <v>26</v>
      </c>
      <c r="AN226" s="2">
        <v>5.992</v>
      </c>
      <c r="AO226" s="2"/>
      <c r="AP226" s="2"/>
      <c r="AR226" s="5">
        <v>28.17</v>
      </c>
      <c r="AS226" s="5">
        <v>20.91</v>
      </c>
      <c r="AT226" s="5">
        <v>4.97</v>
      </c>
      <c r="AU226" s="7">
        <f t="shared" si="132"/>
        <v>0.23799999999999999</v>
      </c>
      <c r="AV226" s="16"/>
      <c r="AW226" s="29">
        <v>0</v>
      </c>
      <c r="AX226" s="29">
        <v>0</v>
      </c>
      <c r="AY226" s="1">
        <f t="shared" si="109"/>
        <v>85.2</v>
      </c>
      <c r="AZ226" s="1">
        <f t="shared" si="110"/>
        <v>53.6</v>
      </c>
      <c r="BA226" s="1">
        <f t="shared" si="111"/>
        <v>30.6</v>
      </c>
      <c r="BB226" s="8">
        <f t="shared" si="112"/>
        <v>0.90300000000000002</v>
      </c>
      <c r="BC226" s="8">
        <f t="shared" si="113"/>
        <v>2.048</v>
      </c>
      <c r="BE226" s="5">
        <f t="shared" si="121"/>
        <v>20.91</v>
      </c>
      <c r="BF226" s="5">
        <f t="shared" si="122"/>
        <v>4.97</v>
      </c>
      <c r="BG226" s="1">
        <f t="shared" ref="BG226:BG257" si="139">ROUND(G226,1)</f>
        <v>16.7</v>
      </c>
      <c r="BH226" s="1">
        <f t="shared" ref="BH226:BH257" si="140">ROUND(M226,1)</f>
        <v>23.8</v>
      </c>
      <c r="BI226" s="1">
        <f t="shared" ref="BI226:BI257" si="141">ROUND(S226,1)</f>
        <v>6.7</v>
      </c>
      <c r="BJ226" s="1">
        <f t="shared" si="123"/>
        <v>53.6</v>
      </c>
      <c r="BK226" s="1">
        <f t="shared" si="124"/>
        <v>30.6</v>
      </c>
      <c r="BL226" s="1">
        <f t="shared" si="133"/>
        <v>1.2</v>
      </c>
      <c r="BM226" s="1">
        <f t="shared" si="134"/>
        <v>5</v>
      </c>
      <c r="BN226" s="21">
        <f t="shared" si="125"/>
        <v>0</v>
      </c>
      <c r="BO226" s="7">
        <f t="shared" si="126"/>
        <v>0</v>
      </c>
      <c r="BP226" s="21" t="str">
        <f t="shared" si="120"/>
        <v>NAN</v>
      </c>
      <c r="BQ226" s="1">
        <f t="shared" si="127"/>
        <v>19.100000000000001</v>
      </c>
      <c r="BR226" s="1">
        <f t="shared" si="128"/>
        <v>40.6</v>
      </c>
      <c r="BS226" s="1">
        <f t="shared" si="129"/>
        <v>1.8</v>
      </c>
      <c r="BT226" s="1">
        <f t="shared" ref="BT226:BT257" si="142">ROUND(K226,1)</f>
        <v>17.899999999999999</v>
      </c>
      <c r="BU226" s="1" t="s">
        <v>113</v>
      </c>
      <c r="BV226" s="1">
        <f t="shared" ref="BV226:BV257" si="143">ROUND(L226,1)</f>
        <v>13.3</v>
      </c>
      <c r="BW226" s="1" t="str">
        <f t="shared" si="135"/>
        <v>NAN</v>
      </c>
      <c r="BX226" s="1">
        <f t="shared" si="136"/>
        <v>0.90300000000000002</v>
      </c>
      <c r="BY226" s="1">
        <f t="shared" si="137"/>
        <v>2.048</v>
      </c>
      <c r="CA226" s="1">
        <f t="shared" si="130"/>
        <v>16.8</v>
      </c>
      <c r="CB226" s="1">
        <f t="shared" si="131"/>
        <v>-4.9000000000000004</v>
      </c>
    </row>
    <row r="227" spans="1:80" x14ac:dyDescent="0.2">
      <c r="A227" s="9">
        <f t="shared" si="138"/>
        <v>43687</v>
      </c>
      <c r="B227" s="2">
        <v>222</v>
      </c>
      <c r="C227" s="2">
        <v>21</v>
      </c>
      <c r="D227" s="2">
        <v>13.2</v>
      </c>
      <c r="E227" s="2">
        <v>24.21</v>
      </c>
      <c r="F227" s="2">
        <v>9.94</v>
      </c>
      <c r="G227" s="2">
        <v>13.26</v>
      </c>
      <c r="H227" s="2">
        <v>84.2</v>
      </c>
      <c r="I227" s="2">
        <v>13.65</v>
      </c>
      <c r="J227" s="2">
        <v>14.21</v>
      </c>
      <c r="K227" s="2">
        <v>15.92</v>
      </c>
      <c r="L227" s="2">
        <v>13.43</v>
      </c>
      <c r="M227" s="2">
        <v>18.850000000000001</v>
      </c>
      <c r="N227" s="2">
        <v>101.2</v>
      </c>
      <c r="O227" s="2">
        <v>28.69</v>
      </c>
      <c r="P227" s="2">
        <v>31.72</v>
      </c>
      <c r="Q227" s="2">
        <v>18.57</v>
      </c>
      <c r="R227" s="2">
        <v>13.85</v>
      </c>
      <c r="S227" s="2">
        <v>8.19</v>
      </c>
      <c r="T227" s="2">
        <v>52.38</v>
      </c>
      <c r="U227" s="2">
        <v>6.9359999999999999</v>
      </c>
      <c r="V227" s="2">
        <v>3.8119999999999998</v>
      </c>
      <c r="W227" s="2">
        <v>13.06</v>
      </c>
      <c r="X227" s="2">
        <v>13.06</v>
      </c>
      <c r="Y227" s="2">
        <v>2.306</v>
      </c>
      <c r="Z227" s="2">
        <v>30.23</v>
      </c>
      <c r="AA227" s="2">
        <v>10.96</v>
      </c>
      <c r="AB227" s="2">
        <v>2.3889999999999998</v>
      </c>
      <c r="AC227" s="2">
        <v>0.86599999999999999</v>
      </c>
      <c r="AD227" s="2">
        <v>4.2869999999999999</v>
      </c>
      <c r="AE227" s="2">
        <v>14.59</v>
      </c>
      <c r="AF227" s="2">
        <v>27.52</v>
      </c>
      <c r="AG227" s="2">
        <v>5.87</v>
      </c>
      <c r="AH227" s="2">
        <v>27.52</v>
      </c>
      <c r="AI227" s="2">
        <v>5.87</v>
      </c>
      <c r="AJ227" s="2" t="s">
        <v>113</v>
      </c>
      <c r="AK227" s="2" t="s">
        <v>113</v>
      </c>
      <c r="AL227" s="2">
        <v>13.58</v>
      </c>
      <c r="AM227" s="2">
        <v>21.24</v>
      </c>
      <c r="AN227" s="2">
        <v>8.18</v>
      </c>
      <c r="AO227" s="2"/>
      <c r="AP227" s="2"/>
      <c r="AR227" s="5">
        <v>27.99</v>
      </c>
      <c r="AS227" s="5">
        <v>10.96</v>
      </c>
      <c r="AT227" s="5">
        <v>2.39</v>
      </c>
      <c r="AU227" s="7">
        <f t="shared" si="132"/>
        <v>0.218</v>
      </c>
      <c r="AV227" s="16"/>
      <c r="AW227" s="29">
        <v>23.114000000000001</v>
      </c>
      <c r="AX227" s="29">
        <v>0</v>
      </c>
      <c r="AY227" s="1">
        <f t="shared" si="109"/>
        <v>97.7</v>
      </c>
      <c r="AZ227" s="1">
        <f t="shared" si="110"/>
        <v>81.2</v>
      </c>
      <c r="BA227" s="1">
        <f t="shared" si="111"/>
        <v>50.3</v>
      </c>
      <c r="BB227" s="8">
        <f t="shared" si="112"/>
        <v>1.095</v>
      </c>
      <c r="BC227" s="8">
        <f t="shared" si="113"/>
        <v>1.0820000000000001</v>
      </c>
      <c r="BE227" s="5">
        <f t="shared" si="121"/>
        <v>10.96</v>
      </c>
      <c r="BF227" s="5">
        <f t="shared" si="122"/>
        <v>2.39</v>
      </c>
      <c r="BG227" s="1">
        <f t="shared" si="139"/>
        <v>13.3</v>
      </c>
      <c r="BH227" s="1">
        <f t="shared" si="140"/>
        <v>18.899999999999999</v>
      </c>
      <c r="BI227" s="1">
        <f t="shared" si="141"/>
        <v>8.1999999999999993</v>
      </c>
      <c r="BJ227" s="1">
        <f t="shared" si="123"/>
        <v>81.2</v>
      </c>
      <c r="BK227" s="1">
        <f t="shared" si="124"/>
        <v>50.3</v>
      </c>
      <c r="BL227" s="1">
        <f t="shared" si="133"/>
        <v>0.9</v>
      </c>
      <c r="BM227" s="1">
        <f t="shared" si="134"/>
        <v>4.3</v>
      </c>
      <c r="BN227" s="21">
        <f t="shared" si="125"/>
        <v>23.114000000000001</v>
      </c>
      <c r="BO227" s="7">
        <f t="shared" si="126"/>
        <v>0</v>
      </c>
      <c r="BP227" s="21" t="str">
        <f t="shared" si="120"/>
        <v>NAN</v>
      </c>
      <c r="BQ227" s="1">
        <f t="shared" si="127"/>
        <v>14.6</v>
      </c>
      <c r="BR227" s="1">
        <f t="shared" si="128"/>
        <v>27.5</v>
      </c>
      <c r="BS227" s="1">
        <f t="shared" si="129"/>
        <v>5.9</v>
      </c>
      <c r="BT227" s="1">
        <f t="shared" si="142"/>
        <v>15.9</v>
      </c>
      <c r="BU227" s="1" t="s">
        <v>113</v>
      </c>
      <c r="BV227" s="1">
        <f t="shared" si="143"/>
        <v>13.4</v>
      </c>
      <c r="BW227" s="1" t="str">
        <f t="shared" si="135"/>
        <v>NAN</v>
      </c>
      <c r="BX227" s="1">
        <f t="shared" si="136"/>
        <v>1.095</v>
      </c>
      <c r="BY227" s="1">
        <f t="shared" si="137"/>
        <v>1.0820000000000001</v>
      </c>
      <c r="CA227" s="1">
        <f t="shared" si="130"/>
        <v>8.6000000000000014</v>
      </c>
      <c r="CB227" s="1">
        <f t="shared" si="131"/>
        <v>-2.2999999999999989</v>
      </c>
    </row>
    <row r="228" spans="1:80" x14ac:dyDescent="0.2">
      <c r="A228" s="9">
        <f t="shared" si="138"/>
        <v>43688</v>
      </c>
      <c r="B228" s="2">
        <v>223</v>
      </c>
      <c r="C228" s="2">
        <v>21</v>
      </c>
      <c r="D228" s="2">
        <v>13.18</v>
      </c>
      <c r="E228" s="2">
        <v>15.68</v>
      </c>
      <c r="F228" s="2">
        <v>7.83</v>
      </c>
      <c r="G228" s="2">
        <v>9.58</v>
      </c>
      <c r="H228" s="2">
        <v>95.2</v>
      </c>
      <c r="I228" s="2">
        <v>9.5500000000000007</v>
      </c>
      <c r="J228" s="2">
        <v>10.39</v>
      </c>
      <c r="K228" s="2">
        <v>12.91</v>
      </c>
      <c r="L228" s="2">
        <v>13.23</v>
      </c>
      <c r="M228" s="2">
        <v>12.6</v>
      </c>
      <c r="N228" s="2">
        <v>102.4</v>
      </c>
      <c r="O228" s="2">
        <v>15.26</v>
      </c>
      <c r="P228" s="2">
        <v>17.61</v>
      </c>
      <c r="Q228" s="2">
        <v>14.85</v>
      </c>
      <c r="R228" s="2">
        <v>13.44</v>
      </c>
      <c r="S228" s="2">
        <v>7.88</v>
      </c>
      <c r="T228" s="2">
        <v>76.8</v>
      </c>
      <c r="U228" s="2">
        <v>6.85</v>
      </c>
      <c r="V228" s="2">
        <v>7.03</v>
      </c>
      <c r="W228" s="2">
        <v>10.78</v>
      </c>
      <c r="X228" s="2">
        <v>12.94</v>
      </c>
      <c r="Y228" s="2">
        <v>2.3530000000000002</v>
      </c>
      <c r="Z228" s="2">
        <v>8.64</v>
      </c>
      <c r="AA228" s="2">
        <v>7.07</v>
      </c>
      <c r="AB228" s="2">
        <v>1.3340000000000001</v>
      </c>
      <c r="AC228" s="2">
        <v>1.5289999999999999</v>
      </c>
      <c r="AD228" s="2">
        <v>5.8339999999999996</v>
      </c>
      <c r="AE228" s="2">
        <v>10.92</v>
      </c>
      <c r="AF228" s="2">
        <v>17.260000000000002</v>
      </c>
      <c r="AG228" s="2">
        <v>7.62</v>
      </c>
      <c r="AH228" s="2">
        <v>17.260000000000002</v>
      </c>
      <c r="AI228" s="2">
        <v>7.62</v>
      </c>
      <c r="AJ228" s="2" t="s">
        <v>113</v>
      </c>
      <c r="AK228" s="2" t="s">
        <v>113</v>
      </c>
      <c r="AL228" s="2">
        <v>9.43</v>
      </c>
      <c r="AM228" s="2">
        <v>12.86</v>
      </c>
      <c r="AN228" s="2">
        <v>7.53</v>
      </c>
      <c r="AO228" s="2"/>
      <c r="AP228" s="2"/>
      <c r="AR228" s="5">
        <v>27.79</v>
      </c>
      <c r="AS228" s="5">
        <v>7.07</v>
      </c>
      <c r="AT228" s="5">
        <v>1.33</v>
      </c>
      <c r="AU228" s="7">
        <f t="shared" si="132"/>
        <v>0.188</v>
      </c>
      <c r="AV228" s="16"/>
      <c r="AW228" s="29">
        <v>8.6359999999999992</v>
      </c>
      <c r="AX228" s="29">
        <v>0</v>
      </c>
      <c r="AY228" s="1">
        <f t="shared" si="109"/>
        <v>98.8</v>
      </c>
      <c r="AZ228" s="1">
        <f t="shared" si="110"/>
        <v>91.8</v>
      </c>
      <c r="BA228" s="1">
        <f t="shared" si="111"/>
        <v>74</v>
      </c>
      <c r="BB228" s="8">
        <f t="shared" si="112"/>
        <v>1.079</v>
      </c>
      <c r="BC228" s="8">
        <f t="shared" si="113"/>
        <v>0.379</v>
      </c>
      <c r="BE228" s="5">
        <f t="shared" si="121"/>
        <v>7.07</v>
      </c>
      <c r="BF228" s="5">
        <f t="shared" si="122"/>
        <v>1.33</v>
      </c>
      <c r="BG228" s="1">
        <f t="shared" si="139"/>
        <v>9.6</v>
      </c>
      <c r="BH228" s="1">
        <f t="shared" si="140"/>
        <v>12.6</v>
      </c>
      <c r="BI228" s="1">
        <f t="shared" si="141"/>
        <v>7.9</v>
      </c>
      <c r="BJ228" s="1">
        <f t="shared" si="123"/>
        <v>91.8</v>
      </c>
      <c r="BK228" s="1">
        <f t="shared" si="124"/>
        <v>74</v>
      </c>
      <c r="BL228" s="1">
        <f t="shared" si="133"/>
        <v>1.5</v>
      </c>
      <c r="BM228" s="1">
        <f t="shared" si="134"/>
        <v>5.8</v>
      </c>
      <c r="BN228" s="21">
        <f t="shared" si="125"/>
        <v>8.6359999999999992</v>
      </c>
      <c r="BO228" s="7">
        <f t="shared" si="126"/>
        <v>0</v>
      </c>
      <c r="BP228" s="21" t="str">
        <f t="shared" si="120"/>
        <v>NAN</v>
      </c>
      <c r="BQ228" s="1">
        <f t="shared" si="127"/>
        <v>10.9</v>
      </c>
      <c r="BR228" s="1">
        <f t="shared" si="128"/>
        <v>17.3</v>
      </c>
      <c r="BS228" s="1">
        <f t="shared" si="129"/>
        <v>7.6</v>
      </c>
      <c r="BT228" s="1">
        <f t="shared" si="142"/>
        <v>12.9</v>
      </c>
      <c r="BU228" s="1" t="s">
        <v>113</v>
      </c>
      <c r="BV228" s="1">
        <f t="shared" si="143"/>
        <v>13.2</v>
      </c>
      <c r="BW228" s="1" t="str">
        <f t="shared" si="135"/>
        <v>NAN</v>
      </c>
      <c r="BX228" s="1">
        <f t="shared" si="136"/>
        <v>1.079</v>
      </c>
      <c r="BY228" s="1">
        <f t="shared" si="137"/>
        <v>0.379</v>
      </c>
      <c r="CA228" s="1">
        <f t="shared" si="130"/>
        <v>4.7000000000000011</v>
      </c>
      <c r="CB228" s="1">
        <f t="shared" si="131"/>
        <v>-0.30000000000000071</v>
      </c>
    </row>
    <row r="229" spans="1:80" x14ac:dyDescent="0.2">
      <c r="A229" s="9">
        <f t="shared" si="138"/>
        <v>43689</v>
      </c>
      <c r="B229" s="2">
        <v>224</v>
      </c>
      <c r="C229" s="2">
        <v>21</v>
      </c>
      <c r="D229" s="2">
        <v>13.18</v>
      </c>
      <c r="E229" s="2">
        <v>27.28</v>
      </c>
      <c r="F229" s="2">
        <v>6.57</v>
      </c>
      <c r="G229" s="2">
        <v>11.26</v>
      </c>
      <c r="H229" s="2">
        <v>77.7</v>
      </c>
      <c r="I229" s="2">
        <v>12.31</v>
      </c>
      <c r="J229" s="2">
        <v>13.91</v>
      </c>
      <c r="K229" s="2">
        <v>14.26</v>
      </c>
      <c r="L229" s="2">
        <v>12.69</v>
      </c>
      <c r="M229" s="2">
        <v>18.95</v>
      </c>
      <c r="N229" s="2">
        <v>101.8</v>
      </c>
      <c r="O229" s="2">
        <v>27.89</v>
      </c>
      <c r="P229" s="2">
        <v>31.97</v>
      </c>
      <c r="Q229" s="2">
        <v>19.72</v>
      </c>
      <c r="R229" s="2">
        <v>13.41</v>
      </c>
      <c r="S229" s="2">
        <v>5.1210000000000004</v>
      </c>
      <c r="T229" s="2">
        <v>36.17</v>
      </c>
      <c r="U229" s="2">
        <v>2.508</v>
      </c>
      <c r="V229" s="2">
        <v>2.2629999999999999</v>
      </c>
      <c r="W229" s="2">
        <v>9.8800000000000008</v>
      </c>
      <c r="X229" s="2">
        <v>12.05</v>
      </c>
      <c r="Y229" s="2">
        <v>2.35</v>
      </c>
      <c r="Z229" s="2">
        <v>0</v>
      </c>
      <c r="AA229" s="2">
        <v>21.74</v>
      </c>
      <c r="AB229" s="2">
        <v>4.7350000000000003</v>
      </c>
      <c r="AC229" s="2">
        <v>1.0609999999999999</v>
      </c>
      <c r="AD229" s="2">
        <v>4.82</v>
      </c>
      <c r="AE229" s="2">
        <v>13.62</v>
      </c>
      <c r="AF229" s="2">
        <v>28.63</v>
      </c>
      <c r="AG229" s="2">
        <v>3.1709999999999998</v>
      </c>
      <c r="AH229" s="2">
        <v>28.63</v>
      </c>
      <c r="AI229" s="2">
        <v>3.1709999999999998</v>
      </c>
      <c r="AJ229" s="2" t="s">
        <v>113</v>
      </c>
      <c r="AK229" s="2" t="s">
        <v>113</v>
      </c>
      <c r="AL229" s="2">
        <v>11.9</v>
      </c>
      <c r="AM229" s="2">
        <v>22.05</v>
      </c>
      <c r="AN229" s="2">
        <v>4.8289999999999997</v>
      </c>
      <c r="AO229" s="2"/>
      <c r="AP229" s="2"/>
      <c r="AR229" s="5">
        <v>27.6</v>
      </c>
      <c r="AS229" s="5">
        <v>21.73</v>
      </c>
      <c r="AT229" s="5">
        <v>4.7300000000000004</v>
      </c>
      <c r="AU229" s="7">
        <f t="shared" si="132"/>
        <v>0.218</v>
      </c>
      <c r="AV229" s="16"/>
      <c r="AW229" s="29">
        <v>0.254</v>
      </c>
      <c r="AX229" s="29">
        <v>0</v>
      </c>
      <c r="AY229" s="1">
        <f t="shared" si="109"/>
        <v>98.2</v>
      </c>
      <c r="AZ229" s="1">
        <f t="shared" si="110"/>
        <v>74.900000000000006</v>
      </c>
      <c r="BA229" s="1">
        <f t="shared" si="111"/>
        <v>34.6</v>
      </c>
      <c r="BB229" s="8">
        <f t="shared" si="112"/>
        <v>0.75800000000000001</v>
      </c>
      <c r="BC229" s="8">
        <f t="shared" si="113"/>
        <v>1.4330000000000001</v>
      </c>
      <c r="BE229" s="5">
        <f t="shared" si="121"/>
        <v>21.73</v>
      </c>
      <c r="BF229" s="5">
        <f t="shared" si="122"/>
        <v>4.7300000000000004</v>
      </c>
      <c r="BG229" s="1">
        <f t="shared" si="139"/>
        <v>11.3</v>
      </c>
      <c r="BH229" s="1">
        <f t="shared" si="140"/>
        <v>19</v>
      </c>
      <c r="BI229" s="1">
        <f t="shared" si="141"/>
        <v>5.0999999999999996</v>
      </c>
      <c r="BJ229" s="1">
        <f t="shared" si="123"/>
        <v>74.900000000000006</v>
      </c>
      <c r="BK229" s="1">
        <f t="shared" si="124"/>
        <v>34.6</v>
      </c>
      <c r="BL229" s="1">
        <f t="shared" si="133"/>
        <v>1.1000000000000001</v>
      </c>
      <c r="BM229" s="1">
        <f t="shared" si="134"/>
        <v>4.8</v>
      </c>
      <c r="BN229" s="21">
        <f t="shared" si="125"/>
        <v>0.254</v>
      </c>
      <c r="BO229" s="7">
        <f t="shared" si="126"/>
        <v>0</v>
      </c>
      <c r="BP229" s="21" t="str">
        <f t="shared" si="120"/>
        <v>NAN</v>
      </c>
      <c r="BQ229" s="1">
        <f t="shared" si="127"/>
        <v>13.6</v>
      </c>
      <c r="BR229" s="1">
        <f t="shared" si="128"/>
        <v>28.6</v>
      </c>
      <c r="BS229" s="1">
        <f t="shared" si="129"/>
        <v>3.2</v>
      </c>
      <c r="BT229" s="1">
        <f t="shared" si="142"/>
        <v>14.3</v>
      </c>
      <c r="BU229" s="1" t="s">
        <v>113</v>
      </c>
      <c r="BV229" s="1">
        <f t="shared" si="143"/>
        <v>12.7</v>
      </c>
      <c r="BW229" s="1" t="str">
        <f t="shared" si="135"/>
        <v>NAN</v>
      </c>
      <c r="BX229" s="1">
        <f t="shared" si="136"/>
        <v>0.75800000000000001</v>
      </c>
      <c r="BY229" s="1">
        <f t="shared" si="137"/>
        <v>1.4330000000000001</v>
      </c>
      <c r="CA229" s="1">
        <f t="shared" si="130"/>
        <v>9.6000000000000014</v>
      </c>
      <c r="CB229" s="1">
        <f t="shared" si="131"/>
        <v>-1.8999999999999995</v>
      </c>
    </row>
    <row r="230" spans="1:80" x14ac:dyDescent="0.2">
      <c r="A230" s="9">
        <f t="shared" si="138"/>
        <v>43690</v>
      </c>
      <c r="B230" s="2">
        <v>225</v>
      </c>
      <c r="C230" s="2">
        <v>21</v>
      </c>
      <c r="D230" s="2">
        <v>13.17</v>
      </c>
      <c r="E230" s="2">
        <v>24.23</v>
      </c>
      <c r="F230" s="2">
        <v>1.65</v>
      </c>
      <c r="G230" s="2">
        <v>10.16</v>
      </c>
      <c r="H230" s="2">
        <v>86.1</v>
      </c>
      <c r="I230" s="2">
        <v>9.7799999999999994</v>
      </c>
      <c r="J230" s="2">
        <v>10.82</v>
      </c>
      <c r="K230" s="2">
        <v>12.8</v>
      </c>
      <c r="L230" s="2">
        <v>12.58</v>
      </c>
      <c r="M230" s="2">
        <v>19.03</v>
      </c>
      <c r="N230" s="2">
        <v>102.7</v>
      </c>
      <c r="O230" s="2">
        <v>28.98</v>
      </c>
      <c r="P230" s="2">
        <v>31.05</v>
      </c>
      <c r="Q230" s="2">
        <v>18.170000000000002</v>
      </c>
      <c r="R230" s="2">
        <v>13.44</v>
      </c>
      <c r="S230" s="2">
        <v>2.262</v>
      </c>
      <c r="T230" s="2">
        <v>43.91</v>
      </c>
      <c r="U230" s="2">
        <v>-0.77</v>
      </c>
      <c r="V230" s="2">
        <v>-1.2849999999999999</v>
      </c>
      <c r="W230" s="2">
        <v>7.47</v>
      </c>
      <c r="X230" s="2">
        <v>11.94</v>
      </c>
      <c r="Y230" s="2">
        <v>2.3079999999999998</v>
      </c>
      <c r="Z230" s="2">
        <v>5.08</v>
      </c>
      <c r="AA230" s="2">
        <v>14.1</v>
      </c>
      <c r="AB230" s="2">
        <v>3.2109999999999999</v>
      </c>
      <c r="AC230" s="2">
        <v>0.65800000000000003</v>
      </c>
      <c r="AD230" s="2">
        <v>4.7140000000000004</v>
      </c>
      <c r="AE230" s="2">
        <v>10.99</v>
      </c>
      <c r="AF230" s="2">
        <v>29.46</v>
      </c>
      <c r="AG230" s="2">
        <v>-0.27800000000000002</v>
      </c>
      <c r="AH230" s="2">
        <v>29.46</v>
      </c>
      <c r="AI230" s="2">
        <v>-0.27800000000000002</v>
      </c>
      <c r="AJ230" s="2" t="s">
        <v>113</v>
      </c>
      <c r="AK230" s="2" t="s">
        <v>113</v>
      </c>
      <c r="AL230" s="2">
        <v>10.18</v>
      </c>
      <c r="AM230" s="2">
        <v>20.75</v>
      </c>
      <c r="AN230" s="2">
        <v>1.6950000000000001</v>
      </c>
      <c r="AO230" s="2"/>
      <c r="AP230" s="2"/>
      <c r="AR230" s="5">
        <v>27.4</v>
      </c>
      <c r="AS230" s="5">
        <v>14.1</v>
      </c>
      <c r="AT230" s="5">
        <v>3.21</v>
      </c>
      <c r="AU230" s="7">
        <f t="shared" si="132"/>
        <v>0.22800000000000001</v>
      </c>
      <c r="AV230" s="16"/>
      <c r="AW230" s="29">
        <v>5.5880000000000001</v>
      </c>
      <c r="AX230" s="29">
        <v>0</v>
      </c>
      <c r="AY230" s="1">
        <f t="shared" si="109"/>
        <v>99.1</v>
      </c>
      <c r="AZ230" s="1">
        <f t="shared" si="110"/>
        <v>83</v>
      </c>
      <c r="BA230" s="1">
        <f t="shared" si="111"/>
        <v>42.1</v>
      </c>
      <c r="BB230" s="8">
        <f t="shared" si="112"/>
        <v>0.92700000000000005</v>
      </c>
      <c r="BC230" s="8">
        <f t="shared" si="113"/>
        <v>1.2749999999999999</v>
      </c>
      <c r="BE230" s="5">
        <f t="shared" si="121"/>
        <v>14.1</v>
      </c>
      <c r="BF230" s="5">
        <f t="shared" si="122"/>
        <v>3.21</v>
      </c>
      <c r="BG230" s="1">
        <f t="shared" si="139"/>
        <v>10.199999999999999</v>
      </c>
      <c r="BH230" s="1">
        <f t="shared" si="140"/>
        <v>19</v>
      </c>
      <c r="BI230" s="1">
        <f t="shared" si="141"/>
        <v>2.2999999999999998</v>
      </c>
      <c r="BJ230" s="1">
        <f t="shared" si="123"/>
        <v>83</v>
      </c>
      <c r="BK230" s="1">
        <f t="shared" si="124"/>
        <v>42.1</v>
      </c>
      <c r="BL230" s="1">
        <f t="shared" si="133"/>
        <v>0.7</v>
      </c>
      <c r="BM230" s="1">
        <f t="shared" si="134"/>
        <v>4.7</v>
      </c>
      <c r="BN230" s="21">
        <f t="shared" si="125"/>
        <v>5.5880000000000001</v>
      </c>
      <c r="BO230" s="7">
        <f t="shared" si="126"/>
        <v>0</v>
      </c>
      <c r="BP230" s="21" t="str">
        <f t="shared" si="120"/>
        <v>NAN</v>
      </c>
      <c r="BQ230" s="1">
        <f t="shared" si="127"/>
        <v>11</v>
      </c>
      <c r="BR230" s="1">
        <f t="shared" si="128"/>
        <v>29.5</v>
      </c>
      <c r="BS230" s="1">
        <f t="shared" si="129"/>
        <v>-0.3</v>
      </c>
      <c r="BT230" s="1">
        <f t="shared" si="142"/>
        <v>12.8</v>
      </c>
      <c r="BU230" s="1" t="s">
        <v>113</v>
      </c>
      <c r="BV230" s="1">
        <f t="shared" si="143"/>
        <v>12.6</v>
      </c>
      <c r="BW230" s="1" t="str">
        <f t="shared" si="135"/>
        <v>NAN</v>
      </c>
      <c r="BX230" s="1">
        <f t="shared" si="136"/>
        <v>0.92700000000000005</v>
      </c>
      <c r="BY230" s="1">
        <f t="shared" si="137"/>
        <v>1.2749999999999999</v>
      </c>
      <c r="CA230" s="1">
        <f t="shared" si="130"/>
        <v>10.5</v>
      </c>
      <c r="CB230" s="1">
        <f t="shared" si="131"/>
        <v>-2.5999999999999996</v>
      </c>
    </row>
    <row r="231" spans="1:80" x14ac:dyDescent="0.2">
      <c r="A231" s="9">
        <f t="shared" si="138"/>
        <v>43691</v>
      </c>
      <c r="B231" s="2">
        <v>226</v>
      </c>
      <c r="C231" s="2">
        <v>21</v>
      </c>
      <c r="D231" s="2">
        <v>13.17</v>
      </c>
      <c r="E231" s="2">
        <v>27.56</v>
      </c>
      <c r="F231" s="2">
        <v>2.8450000000000002</v>
      </c>
      <c r="G231" s="2">
        <v>11.26</v>
      </c>
      <c r="H231" s="2">
        <v>76.400000000000006</v>
      </c>
      <c r="I231" s="2">
        <v>11.79</v>
      </c>
      <c r="J231" s="2">
        <v>13.35</v>
      </c>
      <c r="K231" s="2">
        <v>13.5</v>
      </c>
      <c r="L231" s="2">
        <v>12.3</v>
      </c>
      <c r="M231" s="2">
        <v>19.86</v>
      </c>
      <c r="N231" s="2">
        <v>102.8</v>
      </c>
      <c r="O231" s="2">
        <v>30.02</v>
      </c>
      <c r="P231" s="2">
        <v>33.07</v>
      </c>
      <c r="Q231" s="2">
        <v>19.34</v>
      </c>
      <c r="R231" s="2">
        <v>13.27</v>
      </c>
      <c r="S231" s="2">
        <v>3.5510000000000002</v>
      </c>
      <c r="T231" s="2">
        <v>35.22</v>
      </c>
      <c r="U231" s="2">
        <v>1.0369999999999999</v>
      </c>
      <c r="V231" s="2">
        <v>0.52200000000000002</v>
      </c>
      <c r="W231" s="2">
        <v>7.32</v>
      </c>
      <c r="X231" s="2">
        <v>11.69</v>
      </c>
      <c r="Y231" s="2">
        <v>2.3370000000000002</v>
      </c>
      <c r="Z231" s="2">
        <v>0</v>
      </c>
      <c r="AA231" s="2">
        <v>22.94</v>
      </c>
      <c r="AB231" s="2">
        <v>5.1219999999999999</v>
      </c>
      <c r="AC231" s="2">
        <v>0.95199999999999996</v>
      </c>
      <c r="AD231" s="2">
        <v>5.5940000000000003</v>
      </c>
      <c r="AE231" s="2">
        <v>12.63</v>
      </c>
      <c r="AF231" s="2">
        <v>30.62</v>
      </c>
      <c r="AG231" s="2">
        <v>1.4950000000000001</v>
      </c>
      <c r="AH231" s="2">
        <v>30.62</v>
      </c>
      <c r="AI231" s="2">
        <v>1.4950000000000001</v>
      </c>
      <c r="AJ231" s="2" t="s">
        <v>113</v>
      </c>
      <c r="AK231" s="2" t="s">
        <v>113</v>
      </c>
      <c r="AL231" s="2">
        <v>11.74</v>
      </c>
      <c r="AM231" s="2">
        <v>23.46</v>
      </c>
      <c r="AN231" s="2">
        <v>3.0630000000000002</v>
      </c>
      <c r="AO231" s="2"/>
      <c r="AP231" s="2"/>
      <c r="AR231" s="5">
        <v>27.2</v>
      </c>
      <c r="AS231" s="5">
        <v>22.94</v>
      </c>
      <c r="AT231" s="5">
        <v>5.12</v>
      </c>
      <c r="AU231" s="7">
        <f t="shared" si="132"/>
        <v>0.223</v>
      </c>
      <c r="AV231" s="16"/>
      <c r="AW231" s="29">
        <v>0</v>
      </c>
      <c r="AX231" s="29">
        <v>0</v>
      </c>
      <c r="AY231" s="1">
        <f t="shared" si="109"/>
        <v>99.2</v>
      </c>
      <c r="AZ231" s="1">
        <f t="shared" si="110"/>
        <v>73.599999999999994</v>
      </c>
      <c r="BA231" s="1">
        <f t="shared" si="111"/>
        <v>33.700000000000003</v>
      </c>
      <c r="BB231" s="8">
        <f t="shared" si="112"/>
        <v>0.78100000000000003</v>
      </c>
      <c r="BC231" s="8">
        <f t="shared" si="113"/>
        <v>1.5369999999999999</v>
      </c>
      <c r="BE231" s="5">
        <f t="shared" si="121"/>
        <v>22.94</v>
      </c>
      <c r="BF231" s="5">
        <f t="shared" si="122"/>
        <v>5.12</v>
      </c>
      <c r="BG231" s="1">
        <f t="shared" si="139"/>
        <v>11.3</v>
      </c>
      <c r="BH231" s="1">
        <f t="shared" si="140"/>
        <v>19.899999999999999</v>
      </c>
      <c r="BI231" s="1">
        <f t="shared" si="141"/>
        <v>3.6</v>
      </c>
      <c r="BJ231" s="1">
        <f t="shared" si="123"/>
        <v>73.599999999999994</v>
      </c>
      <c r="BK231" s="1">
        <f t="shared" si="124"/>
        <v>33.700000000000003</v>
      </c>
      <c r="BL231" s="1">
        <f t="shared" si="133"/>
        <v>1</v>
      </c>
      <c r="BM231" s="1">
        <f t="shared" si="134"/>
        <v>5.6</v>
      </c>
      <c r="BN231" s="21">
        <f t="shared" si="125"/>
        <v>0</v>
      </c>
      <c r="BO231" s="7">
        <f t="shared" si="126"/>
        <v>0</v>
      </c>
      <c r="BP231" s="21" t="str">
        <f t="shared" si="120"/>
        <v>NAN</v>
      </c>
      <c r="BQ231" s="1">
        <f t="shared" si="127"/>
        <v>12.6</v>
      </c>
      <c r="BR231" s="1">
        <f t="shared" si="128"/>
        <v>30.6</v>
      </c>
      <c r="BS231" s="1">
        <f t="shared" si="129"/>
        <v>1.5</v>
      </c>
      <c r="BT231" s="1">
        <f t="shared" si="142"/>
        <v>13.5</v>
      </c>
      <c r="BU231" s="1" t="s">
        <v>113</v>
      </c>
      <c r="BV231" s="1">
        <f t="shared" si="143"/>
        <v>12.3</v>
      </c>
      <c r="BW231" s="1" t="str">
        <f t="shared" si="135"/>
        <v>NAN</v>
      </c>
      <c r="BX231" s="1">
        <f t="shared" si="136"/>
        <v>0.78100000000000003</v>
      </c>
      <c r="BY231" s="1">
        <f t="shared" si="137"/>
        <v>1.5369999999999999</v>
      </c>
      <c r="CA231" s="1">
        <f t="shared" si="130"/>
        <v>10.700000000000003</v>
      </c>
      <c r="CB231" s="1">
        <f t="shared" si="131"/>
        <v>-2.1</v>
      </c>
    </row>
    <row r="232" spans="1:80" x14ac:dyDescent="0.2">
      <c r="A232" s="9">
        <f t="shared" si="138"/>
        <v>43692</v>
      </c>
      <c r="B232" s="2">
        <v>227</v>
      </c>
      <c r="C232" s="2">
        <v>21</v>
      </c>
      <c r="D232" s="2">
        <v>13.17</v>
      </c>
      <c r="E232" s="2">
        <v>28.46</v>
      </c>
      <c r="F232" s="2">
        <v>1.32</v>
      </c>
      <c r="G232" s="2">
        <v>11.52</v>
      </c>
      <c r="H232" s="2">
        <v>69.83</v>
      </c>
      <c r="I232" s="2">
        <v>11.54</v>
      </c>
      <c r="J232" s="2">
        <v>12.83</v>
      </c>
      <c r="K232" s="2">
        <v>13.56</v>
      </c>
      <c r="L232" s="2">
        <v>12.28</v>
      </c>
      <c r="M232" s="2">
        <v>20.89</v>
      </c>
      <c r="N232" s="2">
        <v>102.9</v>
      </c>
      <c r="O232" s="2">
        <v>30.83</v>
      </c>
      <c r="P232" s="2">
        <v>37.840000000000003</v>
      </c>
      <c r="Q232" s="2">
        <v>19.43</v>
      </c>
      <c r="R232" s="2">
        <v>13.17</v>
      </c>
      <c r="S232" s="2">
        <v>2.4849999999999999</v>
      </c>
      <c r="T232" s="2">
        <v>36.82</v>
      </c>
      <c r="U232" s="2">
        <v>-1.018</v>
      </c>
      <c r="V232" s="2">
        <v>-1.2749999999999999</v>
      </c>
      <c r="W232" s="2">
        <v>6.8520000000000003</v>
      </c>
      <c r="X232" s="2">
        <v>11.74</v>
      </c>
      <c r="Y232" s="2">
        <v>2.35</v>
      </c>
      <c r="Z232" s="2">
        <v>0</v>
      </c>
      <c r="AA232" s="2">
        <v>21.3</v>
      </c>
      <c r="AB232" s="2">
        <v>4.9459999999999997</v>
      </c>
      <c r="AC232" s="2">
        <v>1.052</v>
      </c>
      <c r="AD232" s="2">
        <v>5.1139999999999999</v>
      </c>
      <c r="AE232" s="2">
        <v>12.67</v>
      </c>
      <c r="AF232" s="2">
        <v>35.299999999999997</v>
      </c>
      <c r="AG232" s="2">
        <v>-0.499</v>
      </c>
      <c r="AH232" s="2">
        <v>35.299999999999997</v>
      </c>
      <c r="AI232" s="2">
        <v>-0.499</v>
      </c>
      <c r="AJ232" s="2" t="s">
        <v>113</v>
      </c>
      <c r="AK232" s="2" t="s">
        <v>113</v>
      </c>
      <c r="AL232" s="2">
        <v>11.82</v>
      </c>
      <c r="AM232" s="2">
        <v>24.22</v>
      </c>
      <c r="AN232" s="2">
        <v>1.7</v>
      </c>
      <c r="AO232" s="2"/>
      <c r="AP232" s="2"/>
      <c r="AR232" s="5">
        <v>26.99</v>
      </c>
      <c r="AS232" s="5">
        <v>21.29</v>
      </c>
      <c r="AT232" s="5">
        <v>4.9400000000000004</v>
      </c>
      <c r="AU232" s="7">
        <f t="shared" si="132"/>
        <v>0.23200000000000001</v>
      </c>
      <c r="AV232" s="16"/>
      <c r="AW232" s="29">
        <v>0</v>
      </c>
      <c r="AX232" s="29">
        <v>0</v>
      </c>
      <c r="AY232" s="1">
        <f t="shared" si="109"/>
        <v>99.3</v>
      </c>
      <c r="AZ232" s="1">
        <f t="shared" si="110"/>
        <v>67.2</v>
      </c>
      <c r="BA232" s="1">
        <f t="shared" si="111"/>
        <v>35.200000000000003</v>
      </c>
      <c r="BB232" s="8">
        <f t="shared" si="112"/>
        <v>0.86899999999999999</v>
      </c>
      <c r="BC232" s="8">
        <f t="shared" si="113"/>
        <v>1.6</v>
      </c>
      <c r="BE232" s="5">
        <f t="shared" si="121"/>
        <v>21.29</v>
      </c>
      <c r="BF232" s="5">
        <f t="shared" si="122"/>
        <v>4.9400000000000004</v>
      </c>
      <c r="BG232" s="1">
        <f t="shared" si="139"/>
        <v>11.5</v>
      </c>
      <c r="BH232" s="1">
        <f t="shared" si="140"/>
        <v>20.9</v>
      </c>
      <c r="BI232" s="1">
        <f t="shared" si="141"/>
        <v>2.5</v>
      </c>
      <c r="BJ232" s="1">
        <f t="shared" si="123"/>
        <v>67.2</v>
      </c>
      <c r="BK232" s="1">
        <f t="shared" si="124"/>
        <v>35.200000000000003</v>
      </c>
      <c r="BL232" s="1">
        <f t="shared" si="133"/>
        <v>1.1000000000000001</v>
      </c>
      <c r="BM232" s="1">
        <f t="shared" si="134"/>
        <v>5.0999999999999996</v>
      </c>
      <c r="BN232" s="21">
        <f t="shared" si="125"/>
        <v>0</v>
      </c>
      <c r="BO232" s="7">
        <f t="shared" si="126"/>
        <v>0</v>
      </c>
      <c r="BP232" s="21" t="str">
        <f t="shared" si="120"/>
        <v>NAN</v>
      </c>
      <c r="BQ232" s="1">
        <f t="shared" si="127"/>
        <v>12.7</v>
      </c>
      <c r="BR232" s="1">
        <f t="shared" si="128"/>
        <v>35.299999999999997</v>
      </c>
      <c r="BS232" s="1">
        <f t="shared" si="129"/>
        <v>-0.5</v>
      </c>
      <c r="BT232" s="1">
        <f t="shared" si="142"/>
        <v>13.6</v>
      </c>
      <c r="BU232" s="1" t="s">
        <v>113</v>
      </c>
      <c r="BV232" s="1">
        <f t="shared" si="143"/>
        <v>12.3</v>
      </c>
      <c r="BW232" s="1" t="str">
        <f t="shared" si="135"/>
        <v>NAN</v>
      </c>
      <c r="BX232" s="1">
        <f t="shared" si="136"/>
        <v>0.86899999999999999</v>
      </c>
      <c r="BY232" s="1">
        <f t="shared" si="137"/>
        <v>1.6</v>
      </c>
      <c r="CA232" s="1">
        <f t="shared" si="130"/>
        <v>14.399999999999999</v>
      </c>
      <c r="CB232" s="1">
        <f t="shared" si="131"/>
        <v>-3</v>
      </c>
    </row>
    <row r="233" spans="1:80" x14ac:dyDescent="0.2">
      <c r="A233" s="9">
        <f t="shared" si="138"/>
        <v>43693</v>
      </c>
      <c r="B233" s="2">
        <v>228</v>
      </c>
      <c r="C233" s="2">
        <v>21</v>
      </c>
      <c r="D233" s="2">
        <v>13.19</v>
      </c>
      <c r="E233" s="2">
        <v>19.5</v>
      </c>
      <c r="F233" s="2">
        <v>2.9689999999999999</v>
      </c>
      <c r="G233" s="2">
        <v>10.45</v>
      </c>
      <c r="H233" s="2">
        <v>82.1</v>
      </c>
      <c r="I233" s="2">
        <v>10.34</v>
      </c>
      <c r="J233" s="2">
        <v>10.54</v>
      </c>
      <c r="K233" s="2">
        <v>11.83</v>
      </c>
      <c r="L233" s="2">
        <v>12.28</v>
      </c>
      <c r="M233" s="2">
        <v>15.48</v>
      </c>
      <c r="N233" s="2">
        <v>101.6</v>
      </c>
      <c r="O233" s="2">
        <v>24.04</v>
      </c>
      <c r="P233" s="2">
        <v>29.18</v>
      </c>
      <c r="Q233" s="2">
        <v>15.56</v>
      </c>
      <c r="R233" s="2">
        <v>12.59</v>
      </c>
      <c r="S233" s="2">
        <v>3.0089999999999999</v>
      </c>
      <c r="T233" s="2">
        <v>57.09</v>
      </c>
      <c r="U233" s="2">
        <v>0.19900000000000001</v>
      </c>
      <c r="V233" s="2">
        <v>-0.29599999999999999</v>
      </c>
      <c r="W233" s="2">
        <v>8.2799999999999994</v>
      </c>
      <c r="X233" s="2">
        <v>12.06</v>
      </c>
      <c r="Y233" s="2">
        <v>2.327</v>
      </c>
      <c r="Z233" s="2">
        <v>0.254</v>
      </c>
      <c r="AA233" s="2">
        <v>8.81</v>
      </c>
      <c r="AB233" s="2">
        <v>1.984</v>
      </c>
      <c r="AC233" s="2">
        <v>1.482</v>
      </c>
      <c r="AD233" s="2">
        <v>4.1539999999999999</v>
      </c>
      <c r="AE233" s="2">
        <v>11.09</v>
      </c>
      <c r="AF233" s="2">
        <v>28.36</v>
      </c>
      <c r="AG233" s="2">
        <v>0.44700000000000001</v>
      </c>
      <c r="AH233" s="2">
        <v>28.36</v>
      </c>
      <c r="AI233" s="2">
        <v>0.44700000000000001</v>
      </c>
      <c r="AJ233" s="2" t="s">
        <v>113</v>
      </c>
      <c r="AK233" s="2" t="s">
        <v>113</v>
      </c>
      <c r="AL233" s="2">
        <v>10.42</v>
      </c>
      <c r="AM233" s="2">
        <v>17.29</v>
      </c>
      <c r="AN233" s="2">
        <v>2.3929999999999998</v>
      </c>
      <c r="AO233" s="2"/>
      <c r="AP233" s="2"/>
      <c r="AR233" s="5">
        <v>26.79</v>
      </c>
      <c r="AS233" s="5">
        <v>8.81</v>
      </c>
      <c r="AT233" s="5">
        <v>1.98</v>
      </c>
      <c r="AU233" s="7">
        <f t="shared" si="132"/>
        <v>0.22500000000000001</v>
      </c>
      <c r="AV233" s="16"/>
      <c r="AW233" s="29">
        <v>0.254</v>
      </c>
      <c r="AX233" s="29">
        <v>0</v>
      </c>
      <c r="AY233" s="1">
        <f t="shared" si="109"/>
        <v>98.1</v>
      </c>
      <c r="AZ233" s="1">
        <f t="shared" si="110"/>
        <v>79.099999999999994</v>
      </c>
      <c r="BA233" s="1">
        <f t="shared" si="111"/>
        <v>54.9</v>
      </c>
      <c r="BB233" s="8">
        <f t="shared" si="112"/>
        <v>0.96499999999999997</v>
      </c>
      <c r="BC233" s="8">
        <f t="shared" si="113"/>
        <v>0.79300000000000004</v>
      </c>
      <c r="BE233" s="5">
        <f t="shared" si="121"/>
        <v>8.81</v>
      </c>
      <c r="BF233" s="5">
        <f t="shared" si="122"/>
        <v>1.98</v>
      </c>
      <c r="BG233" s="1">
        <f t="shared" si="139"/>
        <v>10.5</v>
      </c>
      <c r="BH233" s="1">
        <f t="shared" si="140"/>
        <v>15.5</v>
      </c>
      <c r="BI233" s="1">
        <f t="shared" si="141"/>
        <v>3</v>
      </c>
      <c r="BJ233" s="1">
        <f t="shared" si="123"/>
        <v>79.099999999999994</v>
      </c>
      <c r="BK233" s="1">
        <f t="shared" si="124"/>
        <v>54.9</v>
      </c>
      <c r="BL233" s="1">
        <f t="shared" si="133"/>
        <v>1.5</v>
      </c>
      <c r="BM233" s="1">
        <f t="shared" si="134"/>
        <v>4.2</v>
      </c>
      <c r="BN233" s="21">
        <f t="shared" si="125"/>
        <v>0.254</v>
      </c>
      <c r="BO233" s="7">
        <f t="shared" si="126"/>
        <v>0</v>
      </c>
      <c r="BP233" s="21" t="str">
        <f t="shared" si="120"/>
        <v>NAN</v>
      </c>
      <c r="BQ233" s="1">
        <f t="shared" si="127"/>
        <v>11.1</v>
      </c>
      <c r="BR233" s="1">
        <f t="shared" si="128"/>
        <v>28.4</v>
      </c>
      <c r="BS233" s="1">
        <f t="shared" si="129"/>
        <v>0.4</v>
      </c>
      <c r="BT233" s="1">
        <f t="shared" si="142"/>
        <v>11.8</v>
      </c>
      <c r="BU233" s="1" t="s">
        <v>113</v>
      </c>
      <c r="BV233" s="1">
        <f t="shared" si="143"/>
        <v>12.3</v>
      </c>
      <c r="BW233" s="1" t="str">
        <f t="shared" si="135"/>
        <v>NAN</v>
      </c>
      <c r="BX233" s="1">
        <f t="shared" si="136"/>
        <v>0.96499999999999997</v>
      </c>
      <c r="BY233" s="1">
        <f t="shared" si="137"/>
        <v>0.79300000000000004</v>
      </c>
      <c r="CA233" s="1">
        <f t="shared" si="130"/>
        <v>12.899999999999999</v>
      </c>
      <c r="CB233" s="1">
        <f t="shared" si="131"/>
        <v>-2.6</v>
      </c>
    </row>
    <row r="234" spans="1:80" x14ac:dyDescent="0.2">
      <c r="A234" s="9">
        <f t="shared" si="138"/>
        <v>43694</v>
      </c>
      <c r="B234" s="2">
        <v>229</v>
      </c>
      <c r="C234" s="2">
        <v>21</v>
      </c>
      <c r="D234" s="2">
        <v>13.18</v>
      </c>
      <c r="E234" s="2">
        <v>23.55</v>
      </c>
      <c r="F234" s="2">
        <v>1.835</v>
      </c>
      <c r="G234" s="2">
        <v>10.42</v>
      </c>
      <c r="H234" s="2">
        <v>72</v>
      </c>
      <c r="I234" s="2">
        <v>10.91</v>
      </c>
      <c r="J234" s="2">
        <v>11.93</v>
      </c>
      <c r="K234" s="2">
        <v>12.72</v>
      </c>
      <c r="L234" s="2">
        <v>12.06</v>
      </c>
      <c r="M234" s="2">
        <v>17.809999999999999</v>
      </c>
      <c r="N234" s="2">
        <v>101.8</v>
      </c>
      <c r="O234" s="2">
        <v>26.66</v>
      </c>
      <c r="P234" s="2">
        <v>32.799999999999997</v>
      </c>
      <c r="Q234" s="2">
        <v>18.02</v>
      </c>
      <c r="R234" s="2">
        <v>12.91</v>
      </c>
      <c r="S234" s="2">
        <v>1.353</v>
      </c>
      <c r="T234" s="2">
        <v>42.38</v>
      </c>
      <c r="U234" s="2">
        <v>-1.4870000000000001</v>
      </c>
      <c r="V234" s="2">
        <v>-2.1070000000000002</v>
      </c>
      <c r="W234" s="2">
        <v>7.05</v>
      </c>
      <c r="X234" s="2">
        <v>11.66</v>
      </c>
      <c r="Y234" s="2">
        <v>2.363</v>
      </c>
      <c r="Z234" s="2">
        <v>0</v>
      </c>
      <c r="AA234" s="2">
        <v>18.32</v>
      </c>
      <c r="AB234" s="2">
        <v>4.2149999999999999</v>
      </c>
      <c r="AC234" s="2">
        <v>1.786</v>
      </c>
      <c r="AD234" s="2">
        <v>6.0739999999999998</v>
      </c>
      <c r="AE234" s="2">
        <v>11.99</v>
      </c>
      <c r="AF234" s="2">
        <v>33.4</v>
      </c>
      <c r="AG234" s="2">
        <v>-1.1040000000000001</v>
      </c>
      <c r="AH234" s="2">
        <v>33.4</v>
      </c>
      <c r="AI234" s="2">
        <v>-1.1040000000000001</v>
      </c>
      <c r="AJ234" s="2" t="s">
        <v>113</v>
      </c>
      <c r="AK234" s="2" t="s">
        <v>113</v>
      </c>
      <c r="AL234" s="2">
        <v>10.74</v>
      </c>
      <c r="AM234" s="2">
        <v>19.440000000000001</v>
      </c>
      <c r="AN234" s="2">
        <v>1.137</v>
      </c>
      <c r="AO234" s="2"/>
      <c r="AP234" s="2"/>
      <c r="AR234" s="5">
        <v>26.58</v>
      </c>
      <c r="AS234" s="5">
        <v>18.32</v>
      </c>
      <c r="AT234" s="5">
        <v>4.21</v>
      </c>
      <c r="AU234" s="7">
        <f t="shared" si="132"/>
        <v>0.23</v>
      </c>
      <c r="AV234" s="16"/>
      <c r="AW234" s="29">
        <v>0</v>
      </c>
      <c r="AX234" s="29">
        <v>0</v>
      </c>
      <c r="AY234" s="1">
        <f t="shared" si="109"/>
        <v>98.2</v>
      </c>
      <c r="AZ234" s="1">
        <f t="shared" si="110"/>
        <v>69.3</v>
      </c>
      <c r="BA234" s="1">
        <f t="shared" si="111"/>
        <v>40.6</v>
      </c>
      <c r="BB234" s="8">
        <f t="shared" si="112"/>
        <v>0.82799999999999996</v>
      </c>
      <c r="BC234" s="8">
        <f t="shared" si="113"/>
        <v>1.2110000000000001</v>
      </c>
      <c r="BE234" s="5">
        <f t="shared" si="121"/>
        <v>18.32</v>
      </c>
      <c r="BF234" s="5">
        <f t="shared" si="122"/>
        <v>4.21</v>
      </c>
      <c r="BG234" s="1">
        <f t="shared" si="139"/>
        <v>10.4</v>
      </c>
      <c r="BH234" s="1">
        <f t="shared" si="140"/>
        <v>17.8</v>
      </c>
      <c r="BI234" s="1">
        <f t="shared" si="141"/>
        <v>1.4</v>
      </c>
      <c r="BJ234" s="1">
        <f t="shared" si="123"/>
        <v>69.3</v>
      </c>
      <c r="BK234" s="1">
        <f t="shared" si="124"/>
        <v>40.6</v>
      </c>
      <c r="BL234" s="1">
        <f t="shared" si="133"/>
        <v>1.8</v>
      </c>
      <c r="BM234" s="1">
        <f t="shared" si="134"/>
        <v>6.1</v>
      </c>
      <c r="BN234" s="21">
        <f t="shared" si="125"/>
        <v>0</v>
      </c>
      <c r="BO234" s="7">
        <f t="shared" si="126"/>
        <v>0</v>
      </c>
      <c r="BP234" s="21" t="str">
        <f t="shared" si="120"/>
        <v>NAN</v>
      </c>
      <c r="BQ234" s="1">
        <f t="shared" si="127"/>
        <v>12</v>
      </c>
      <c r="BR234" s="1">
        <f t="shared" si="128"/>
        <v>33.4</v>
      </c>
      <c r="BS234" s="1">
        <f t="shared" si="129"/>
        <v>-1.1000000000000001</v>
      </c>
      <c r="BT234" s="1">
        <f t="shared" si="142"/>
        <v>12.7</v>
      </c>
      <c r="BU234" s="1" t="s">
        <v>113</v>
      </c>
      <c r="BV234" s="1">
        <f t="shared" si="143"/>
        <v>12.1</v>
      </c>
      <c r="BW234" s="1" t="str">
        <f t="shared" si="135"/>
        <v>NAN</v>
      </c>
      <c r="BX234" s="1">
        <f t="shared" si="136"/>
        <v>0.82799999999999996</v>
      </c>
      <c r="BY234" s="1">
        <f t="shared" si="137"/>
        <v>1.2110000000000001</v>
      </c>
      <c r="CA234" s="1">
        <f t="shared" si="130"/>
        <v>15.599999999999998</v>
      </c>
      <c r="CB234" s="1">
        <f t="shared" si="131"/>
        <v>-2.5</v>
      </c>
    </row>
    <row r="235" spans="1:80" x14ac:dyDescent="0.2">
      <c r="A235" s="9">
        <f t="shared" si="138"/>
        <v>43695</v>
      </c>
      <c r="B235" s="2">
        <v>230</v>
      </c>
      <c r="C235" s="2">
        <v>21</v>
      </c>
      <c r="D235" s="2">
        <v>13.18</v>
      </c>
      <c r="E235" s="2">
        <v>29.34</v>
      </c>
      <c r="F235" s="2">
        <v>-9.9000000000000005E-2</v>
      </c>
      <c r="G235" s="2">
        <v>12.68</v>
      </c>
      <c r="H235" s="2">
        <v>62.74</v>
      </c>
      <c r="I235" s="2">
        <v>12.86</v>
      </c>
      <c r="J235" s="2">
        <v>13.83</v>
      </c>
      <c r="K235" s="2">
        <v>14.1</v>
      </c>
      <c r="L235" s="2">
        <v>11.86</v>
      </c>
      <c r="M235" s="2">
        <v>22.2</v>
      </c>
      <c r="N235" s="2">
        <v>102.3</v>
      </c>
      <c r="O235" s="2">
        <v>30.97</v>
      </c>
      <c r="P235" s="2">
        <v>34.200000000000003</v>
      </c>
      <c r="Q235" s="2">
        <v>20.94</v>
      </c>
      <c r="R235" s="2">
        <v>12.9</v>
      </c>
      <c r="S235" s="2">
        <v>0.111</v>
      </c>
      <c r="T235" s="2">
        <v>32.880000000000003</v>
      </c>
      <c r="U235" s="2">
        <v>-2.891</v>
      </c>
      <c r="V235" s="2">
        <v>-3.552</v>
      </c>
      <c r="W235" s="2">
        <v>6.2560000000000002</v>
      </c>
      <c r="X235" s="2">
        <v>11.23</v>
      </c>
      <c r="Y235" s="2">
        <v>2.343</v>
      </c>
      <c r="Z235" s="2">
        <v>0</v>
      </c>
      <c r="AA235" s="2">
        <v>24.38</v>
      </c>
      <c r="AB235" s="2">
        <v>5.6669999999999998</v>
      </c>
      <c r="AC235" s="2">
        <v>1.276</v>
      </c>
      <c r="AD235" s="2">
        <v>4.9269999999999996</v>
      </c>
      <c r="AE235" s="2">
        <v>14.07</v>
      </c>
      <c r="AF235" s="2">
        <v>35.020000000000003</v>
      </c>
      <c r="AG235" s="2">
        <v>-2.7719999999999998</v>
      </c>
      <c r="AH235" s="2">
        <v>35.020000000000003</v>
      </c>
      <c r="AI235" s="2">
        <v>-2.7719999999999998</v>
      </c>
      <c r="AJ235" s="2" t="s">
        <v>113</v>
      </c>
      <c r="AK235" s="2" t="s">
        <v>113</v>
      </c>
      <c r="AL235" s="2">
        <v>12.94</v>
      </c>
      <c r="AM235" s="2">
        <v>25.26</v>
      </c>
      <c r="AN235" s="2">
        <v>-0.41</v>
      </c>
      <c r="AO235" s="2"/>
      <c r="AP235" s="2"/>
      <c r="AR235" s="5">
        <v>26.37</v>
      </c>
      <c r="AS235" s="5">
        <v>24.38</v>
      </c>
      <c r="AT235" s="5">
        <v>5.67</v>
      </c>
      <c r="AU235" s="7">
        <f t="shared" si="132"/>
        <v>0.23300000000000001</v>
      </c>
      <c r="AV235" s="16"/>
      <c r="AW235" s="29">
        <v>0</v>
      </c>
      <c r="AX235" s="29">
        <v>0</v>
      </c>
      <c r="AY235" s="1">
        <f t="shared" si="109"/>
        <v>98.7</v>
      </c>
      <c r="AZ235" s="1">
        <f t="shared" si="110"/>
        <v>60.4</v>
      </c>
      <c r="BA235" s="1">
        <f t="shared" si="111"/>
        <v>31.4</v>
      </c>
      <c r="BB235" s="8">
        <f t="shared" si="112"/>
        <v>0.84</v>
      </c>
      <c r="BC235" s="8">
        <f t="shared" si="113"/>
        <v>1.835</v>
      </c>
      <c r="BE235" s="5">
        <f t="shared" si="121"/>
        <v>24.38</v>
      </c>
      <c r="BF235" s="5">
        <f t="shared" si="122"/>
        <v>5.67</v>
      </c>
      <c r="BG235" s="1">
        <f t="shared" si="139"/>
        <v>12.7</v>
      </c>
      <c r="BH235" s="1">
        <f t="shared" si="140"/>
        <v>22.2</v>
      </c>
      <c r="BI235" s="1">
        <f t="shared" si="141"/>
        <v>0.1</v>
      </c>
      <c r="BJ235" s="1">
        <f t="shared" si="123"/>
        <v>60.4</v>
      </c>
      <c r="BK235" s="1">
        <f t="shared" si="124"/>
        <v>31.4</v>
      </c>
      <c r="BL235" s="1">
        <f t="shared" si="133"/>
        <v>1.3</v>
      </c>
      <c r="BM235" s="1">
        <f t="shared" si="134"/>
        <v>4.9000000000000004</v>
      </c>
      <c r="BN235" s="21">
        <f t="shared" si="125"/>
        <v>0</v>
      </c>
      <c r="BO235" s="7">
        <f t="shared" si="126"/>
        <v>0</v>
      </c>
      <c r="BP235" s="21" t="str">
        <f t="shared" si="120"/>
        <v>NAN</v>
      </c>
      <c r="BQ235" s="1">
        <f t="shared" si="127"/>
        <v>14.1</v>
      </c>
      <c r="BR235" s="1">
        <f t="shared" si="128"/>
        <v>35</v>
      </c>
      <c r="BS235" s="1">
        <f t="shared" si="129"/>
        <v>-2.8</v>
      </c>
      <c r="BT235" s="1">
        <f t="shared" si="142"/>
        <v>14.1</v>
      </c>
      <c r="BU235" s="1" t="s">
        <v>113</v>
      </c>
      <c r="BV235" s="1">
        <f t="shared" si="143"/>
        <v>11.9</v>
      </c>
      <c r="BW235" s="1" t="str">
        <f t="shared" si="135"/>
        <v>NAN</v>
      </c>
      <c r="BX235" s="1">
        <f t="shared" si="136"/>
        <v>0.84</v>
      </c>
      <c r="BY235" s="1">
        <f t="shared" si="137"/>
        <v>1.835</v>
      </c>
      <c r="CA235" s="1">
        <f t="shared" si="130"/>
        <v>12.8</v>
      </c>
      <c r="CB235" s="1">
        <f t="shared" si="131"/>
        <v>-2.9</v>
      </c>
    </row>
    <row r="236" spans="1:80" x14ac:dyDescent="0.2">
      <c r="A236" s="9">
        <f t="shared" si="138"/>
        <v>43696</v>
      </c>
      <c r="B236" s="2">
        <v>231</v>
      </c>
      <c r="C236" s="2">
        <v>21</v>
      </c>
      <c r="D236" s="2">
        <v>13.16</v>
      </c>
      <c r="E236" s="2">
        <v>29.24</v>
      </c>
      <c r="F236" s="2">
        <v>3.46</v>
      </c>
      <c r="G236" s="2">
        <v>12.15</v>
      </c>
      <c r="H236" s="2">
        <v>58.63</v>
      </c>
      <c r="I236" s="2">
        <v>12.43</v>
      </c>
      <c r="J236" s="2">
        <v>13.53</v>
      </c>
      <c r="K236" s="2">
        <v>14.67</v>
      </c>
      <c r="L236" s="2">
        <v>12.01</v>
      </c>
      <c r="M236" s="2">
        <v>20.9</v>
      </c>
      <c r="N236" s="2">
        <v>96</v>
      </c>
      <c r="O236" s="2">
        <v>29.39</v>
      </c>
      <c r="P236" s="2">
        <v>34.369999999999997</v>
      </c>
      <c r="Q236" s="2">
        <v>20.81</v>
      </c>
      <c r="R236" s="2">
        <v>12.86</v>
      </c>
      <c r="S236" s="2">
        <v>3.097</v>
      </c>
      <c r="T236" s="2">
        <v>29.62</v>
      </c>
      <c r="U236" s="2">
        <v>-0.85099999999999998</v>
      </c>
      <c r="V236" s="2">
        <v>-1.778</v>
      </c>
      <c r="W236" s="2">
        <v>8.51</v>
      </c>
      <c r="X236" s="2">
        <v>11.39</v>
      </c>
      <c r="Y236" s="2">
        <v>2.35</v>
      </c>
      <c r="Z236" s="2">
        <v>0</v>
      </c>
      <c r="AA236" s="2">
        <v>23.49</v>
      </c>
      <c r="AB236" s="2">
        <v>5.55</v>
      </c>
      <c r="AC236" s="2">
        <v>1.381</v>
      </c>
      <c r="AD236" s="2">
        <v>4.4740000000000002</v>
      </c>
      <c r="AE236" s="2">
        <v>13.9</v>
      </c>
      <c r="AF236" s="2">
        <v>35.58</v>
      </c>
      <c r="AG236" s="2">
        <v>-0.92600000000000005</v>
      </c>
      <c r="AH236" s="2">
        <v>35.58</v>
      </c>
      <c r="AI236" s="2">
        <v>-0.92600000000000005</v>
      </c>
      <c r="AJ236" s="2" t="s">
        <v>113</v>
      </c>
      <c r="AK236" s="2" t="s">
        <v>113</v>
      </c>
      <c r="AL236" s="2">
        <v>12.6</v>
      </c>
      <c r="AM236" s="2">
        <v>24.07</v>
      </c>
      <c r="AN236" s="2">
        <v>2.3239999999999998</v>
      </c>
      <c r="AO236" s="2"/>
      <c r="AP236" s="2"/>
      <c r="AR236" s="5">
        <v>26.15</v>
      </c>
      <c r="AS236" s="5">
        <v>23.49</v>
      </c>
      <c r="AT236" s="5">
        <v>5.55</v>
      </c>
      <c r="AU236" s="7">
        <f t="shared" si="132"/>
        <v>0.23599999999999999</v>
      </c>
      <c r="AV236" s="16"/>
      <c r="AW236" s="29">
        <v>0</v>
      </c>
      <c r="AX236" s="29">
        <v>0</v>
      </c>
      <c r="AY236" s="1">
        <f t="shared" si="109"/>
        <v>92.6</v>
      </c>
      <c r="AZ236" s="1">
        <f t="shared" si="110"/>
        <v>56.4</v>
      </c>
      <c r="BA236" s="1">
        <f t="shared" si="111"/>
        <v>28.2</v>
      </c>
      <c r="BB236" s="8">
        <f t="shared" si="112"/>
        <v>0.69699999999999995</v>
      </c>
      <c r="BC236" s="8">
        <f t="shared" si="113"/>
        <v>1.7749999999999999</v>
      </c>
      <c r="BE236" s="5">
        <f t="shared" si="121"/>
        <v>23.49</v>
      </c>
      <c r="BF236" s="5">
        <f t="shared" si="122"/>
        <v>5.55</v>
      </c>
      <c r="BG236" s="1">
        <f t="shared" si="139"/>
        <v>12.2</v>
      </c>
      <c r="BH236" s="1">
        <f t="shared" si="140"/>
        <v>20.9</v>
      </c>
      <c r="BI236" s="1">
        <f t="shared" si="141"/>
        <v>3.1</v>
      </c>
      <c r="BJ236" s="1">
        <f t="shared" si="123"/>
        <v>56.4</v>
      </c>
      <c r="BK236" s="1">
        <f t="shared" si="124"/>
        <v>28.2</v>
      </c>
      <c r="BL236" s="1">
        <f t="shared" si="133"/>
        <v>1.4</v>
      </c>
      <c r="BM236" s="1">
        <f t="shared" si="134"/>
        <v>4.5</v>
      </c>
      <c r="BN236" s="21">
        <f t="shared" si="125"/>
        <v>0</v>
      </c>
      <c r="BO236" s="7">
        <f t="shared" si="126"/>
        <v>0</v>
      </c>
      <c r="BP236" s="21" t="str">
        <f t="shared" si="120"/>
        <v>NAN</v>
      </c>
      <c r="BQ236" s="1">
        <f t="shared" si="127"/>
        <v>13.9</v>
      </c>
      <c r="BR236" s="1">
        <f t="shared" si="128"/>
        <v>35.6</v>
      </c>
      <c r="BS236" s="1">
        <f t="shared" si="129"/>
        <v>-0.9</v>
      </c>
      <c r="BT236" s="1">
        <f t="shared" si="142"/>
        <v>14.7</v>
      </c>
      <c r="BU236" s="1" t="s">
        <v>113</v>
      </c>
      <c r="BV236" s="1">
        <f t="shared" si="143"/>
        <v>12</v>
      </c>
      <c r="BW236" s="1" t="str">
        <f t="shared" si="135"/>
        <v>NAN</v>
      </c>
      <c r="BX236" s="1">
        <f t="shared" si="136"/>
        <v>0.69699999999999995</v>
      </c>
      <c r="BY236" s="1">
        <f t="shared" si="137"/>
        <v>1.7749999999999999</v>
      </c>
      <c r="CA236" s="1">
        <f t="shared" si="130"/>
        <v>14.700000000000003</v>
      </c>
      <c r="CB236" s="1">
        <f t="shared" si="131"/>
        <v>-4</v>
      </c>
    </row>
    <row r="237" spans="1:80" x14ac:dyDescent="0.2">
      <c r="A237" s="9">
        <f t="shared" si="138"/>
        <v>43697</v>
      </c>
      <c r="B237" s="2">
        <v>232</v>
      </c>
      <c r="C237" s="2">
        <v>21</v>
      </c>
      <c r="D237" s="2">
        <v>13.19</v>
      </c>
      <c r="E237" s="2">
        <v>31.6</v>
      </c>
      <c r="F237" s="2">
        <v>0.93100000000000005</v>
      </c>
      <c r="G237" s="2">
        <v>14.38</v>
      </c>
      <c r="H237" s="2">
        <v>60.23</v>
      </c>
      <c r="I237" s="2">
        <v>14.29</v>
      </c>
      <c r="J237" s="2">
        <v>14.96</v>
      </c>
      <c r="K237" s="2">
        <v>15.29</v>
      </c>
      <c r="L237" s="2">
        <v>12.15</v>
      </c>
      <c r="M237" s="2">
        <v>24.72</v>
      </c>
      <c r="N237" s="2">
        <v>100</v>
      </c>
      <c r="O237" s="2">
        <v>33.770000000000003</v>
      </c>
      <c r="P237" s="2">
        <v>37.409999999999997</v>
      </c>
      <c r="Q237" s="2">
        <v>22.09</v>
      </c>
      <c r="R237" s="2">
        <v>13.11</v>
      </c>
      <c r="S237" s="2">
        <v>2.1389999999999998</v>
      </c>
      <c r="T237" s="2">
        <v>28.27</v>
      </c>
      <c r="U237" s="2">
        <v>-1.5129999999999999</v>
      </c>
      <c r="V237" s="2">
        <v>-2.3530000000000002</v>
      </c>
      <c r="W237" s="2">
        <v>7.6</v>
      </c>
      <c r="X237" s="2">
        <v>11.63</v>
      </c>
      <c r="Y237" s="2">
        <v>2.3149999999999999</v>
      </c>
      <c r="Z237" s="2">
        <v>0</v>
      </c>
      <c r="AA237" s="2">
        <v>22.44</v>
      </c>
      <c r="AB237" s="2">
        <v>5.28</v>
      </c>
      <c r="AC237" s="2">
        <v>1.129</v>
      </c>
      <c r="AD237" s="2">
        <v>4.6070000000000002</v>
      </c>
      <c r="AE237" s="2">
        <v>15.75</v>
      </c>
      <c r="AF237" s="2">
        <v>39.35</v>
      </c>
      <c r="AG237" s="2">
        <v>-1.341</v>
      </c>
      <c r="AH237" s="2">
        <v>39.35</v>
      </c>
      <c r="AI237" s="2">
        <v>-1.341</v>
      </c>
      <c r="AJ237" s="2" t="s">
        <v>113</v>
      </c>
      <c r="AK237" s="2" t="s">
        <v>113</v>
      </c>
      <c r="AL237" s="2">
        <v>14.53</v>
      </c>
      <c r="AM237" s="2">
        <v>27.29</v>
      </c>
      <c r="AN237" s="2">
        <v>1.2929999999999999</v>
      </c>
      <c r="AO237" s="2"/>
      <c r="AP237" s="2"/>
      <c r="AR237" s="5">
        <v>25.94</v>
      </c>
      <c r="AS237" s="5">
        <v>22.44</v>
      </c>
      <c r="AT237" s="5">
        <v>5.28</v>
      </c>
      <c r="AU237" s="7">
        <f t="shared" si="132"/>
        <v>0.23499999999999999</v>
      </c>
      <c r="AV237" s="16"/>
      <c r="AW237" s="29">
        <v>0</v>
      </c>
      <c r="AX237" s="29">
        <v>0</v>
      </c>
      <c r="AY237" s="1">
        <f t="shared" si="109"/>
        <v>96.5</v>
      </c>
      <c r="AZ237" s="1">
        <f t="shared" si="110"/>
        <v>57.9</v>
      </c>
      <c r="BA237" s="1">
        <f t="shared" si="111"/>
        <v>26.9</v>
      </c>
      <c r="BB237" s="8">
        <f t="shared" si="112"/>
        <v>0.83799999999999997</v>
      </c>
      <c r="BC237" s="8">
        <f t="shared" si="113"/>
        <v>2.2770000000000001</v>
      </c>
      <c r="BE237" s="5">
        <f t="shared" si="121"/>
        <v>22.44</v>
      </c>
      <c r="BF237" s="5">
        <f t="shared" si="122"/>
        <v>5.28</v>
      </c>
      <c r="BG237" s="1">
        <f t="shared" si="139"/>
        <v>14.4</v>
      </c>
      <c r="BH237" s="1">
        <f t="shared" si="140"/>
        <v>24.7</v>
      </c>
      <c r="BI237" s="1">
        <f t="shared" si="141"/>
        <v>2.1</v>
      </c>
      <c r="BJ237" s="1">
        <f t="shared" si="123"/>
        <v>57.9</v>
      </c>
      <c r="BK237" s="1">
        <f t="shared" si="124"/>
        <v>26.9</v>
      </c>
      <c r="BL237" s="1">
        <f t="shared" si="133"/>
        <v>1.1000000000000001</v>
      </c>
      <c r="BM237" s="1">
        <f t="shared" si="134"/>
        <v>4.5999999999999996</v>
      </c>
      <c r="BN237" s="21">
        <f t="shared" si="125"/>
        <v>0</v>
      </c>
      <c r="BO237" s="7">
        <f t="shared" si="126"/>
        <v>0</v>
      </c>
      <c r="BP237" s="21" t="str">
        <f t="shared" si="120"/>
        <v>NAN</v>
      </c>
      <c r="BQ237" s="1">
        <f t="shared" si="127"/>
        <v>15.8</v>
      </c>
      <c r="BR237" s="1">
        <f t="shared" si="128"/>
        <v>39.4</v>
      </c>
      <c r="BS237" s="1">
        <f t="shared" si="129"/>
        <v>-1.3</v>
      </c>
      <c r="BT237" s="1">
        <f t="shared" si="142"/>
        <v>15.3</v>
      </c>
      <c r="BU237" s="1" t="s">
        <v>113</v>
      </c>
      <c r="BV237" s="1">
        <f t="shared" si="143"/>
        <v>12.2</v>
      </c>
      <c r="BW237" s="1" t="str">
        <f t="shared" si="135"/>
        <v>NAN</v>
      </c>
      <c r="BX237" s="1">
        <f t="shared" si="136"/>
        <v>0.83799999999999997</v>
      </c>
      <c r="BY237" s="1">
        <f t="shared" si="137"/>
        <v>2.2770000000000001</v>
      </c>
      <c r="CA237" s="1">
        <f t="shared" si="130"/>
        <v>14.7</v>
      </c>
      <c r="CB237" s="1">
        <f t="shared" si="131"/>
        <v>-3.4000000000000004</v>
      </c>
    </row>
    <row r="238" spans="1:80" x14ac:dyDescent="0.2">
      <c r="A238" s="9">
        <f t="shared" si="138"/>
        <v>43698</v>
      </c>
      <c r="B238" s="2">
        <v>233</v>
      </c>
      <c r="C238" s="2">
        <v>21</v>
      </c>
      <c r="D238" s="2">
        <v>13.18</v>
      </c>
      <c r="E238" s="2">
        <v>27.29</v>
      </c>
      <c r="F238" s="2">
        <v>3.8330000000000002</v>
      </c>
      <c r="G238" s="2">
        <v>12.62</v>
      </c>
      <c r="H238" s="2">
        <v>76.400000000000006</v>
      </c>
      <c r="I238" s="2">
        <v>11.7</v>
      </c>
      <c r="J238" s="2">
        <v>11.85</v>
      </c>
      <c r="K238" s="2">
        <v>13.82</v>
      </c>
      <c r="L238" s="2">
        <v>12.37</v>
      </c>
      <c r="M238" s="2">
        <v>21.25</v>
      </c>
      <c r="N238" s="2">
        <v>100.7</v>
      </c>
      <c r="O238" s="2">
        <v>26.76</v>
      </c>
      <c r="P238" s="2">
        <v>31.51</v>
      </c>
      <c r="Q238" s="2">
        <v>17.28</v>
      </c>
      <c r="R238" s="2">
        <v>13.23</v>
      </c>
      <c r="S238" s="2">
        <v>4.7119999999999997</v>
      </c>
      <c r="T238" s="2">
        <v>33.82</v>
      </c>
      <c r="U238" s="2">
        <v>0.155</v>
      </c>
      <c r="V238" s="2">
        <v>-0.97399999999999998</v>
      </c>
      <c r="W238" s="2">
        <v>9.2899999999999991</v>
      </c>
      <c r="X238" s="2">
        <v>12.04</v>
      </c>
      <c r="Y238" s="2">
        <v>2.3279999999999998</v>
      </c>
      <c r="Z238" s="2">
        <v>0.50800000000000001</v>
      </c>
      <c r="AA238" s="2">
        <v>10.83</v>
      </c>
      <c r="AB238" s="2">
        <v>2.52</v>
      </c>
      <c r="AC238" s="2">
        <v>0.79100000000000004</v>
      </c>
      <c r="AD238" s="2">
        <v>4.1269999999999998</v>
      </c>
      <c r="AE238" s="2">
        <v>12.22</v>
      </c>
      <c r="AF238" s="2">
        <v>31.74</v>
      </c>
      <c r="AG238" s="2">
        <v>8.6999999999999994E-2</v>
      </c>
      <c r="AH238" s="2">
        <v>31.74</v>
      </c>
      <c r="AI238" s="2">
        <v>8.6999999999999994E-2</v>
      </c>
      <c r="AJ238" s="2" t="s">
        <v>113</v>
      </c>
      <c r="AK238" s="2" t="s">
        <v>113</v>
      </c>
      <c r="AL238" s="2">
        <v>12.43</v>
      </c>
      <c r="AM238" s="2">
        <v>22.4</v>
      </c>
      <c r="AN238" s="2">
        <v>3.887</v>
      </c>
      <c r="AO238" s="2"/>
      <c r="AP238" s="2"/>
      <c r="AR238" s="5">
        <v>25.72</v>
      </c>
      <c r="AS238" s="5">
        <v>10.83</v>
      </c>
      <c r="AT238" s="5">
        <v>2.52</v>
      </c>
      <c r="AU238" s="7">
        <f t="shared" si="132"/>
        <v>0.23300000000000001</v>
      </c>
      <c r="AV238" s="16"/>
      <c r="AW238" s="29">
        <v>0.50800000000000001</v>
      </c>
      <c r="AX238" s="29">
        <v>0</v>
      </c>
      <c r="AY238" s="1">
        <f t="shared" si="109"/>
        <v>97.2</v>
      </c>
      <c r="AZ238" s="1">
        <f t="shared" si="110"/>
        <v>73.599999999999994</v>
      </c>
      <c r="BA238" s="1">
        <f t="shared" si="111"/>
        <v>32.299999999999997</v>
      </c>
      <c r="BB238" s="8">
        <f t="shared" si="112"/>
        <v>0.81599999999999995</v>
      </c>
      <c r="BC238" s="8">
        <f t="shared" si="113"/>
        <v>1.71</v>
      </c>
      <c r="BE238" s="5">
        <f t="shared" si="121"/>
        <v>10.83</v>
      </c>
      <c r="BF238" s="5">
        <f t="shared" si="122"/>
        <v>2.52</v>
      </c>
      <c r="BG238" s="1">
        <f t="shared" si="139"/>
        <v>12.6</v>
      </c>
      <c r="BH238" s="1">
        <f t="shared" si="140"/>
        <v>21.3</v>
      </c>
      <c r="BI238" s="1">
        <f t="shared" si="141"/>
        <v>4.7</v>
      </c>
      <c r="BJ238" s="1">
        <f t="shared" si="123"/>
        <v>73.599999999999994</v>
      </c>
      <c r="BK238" s="1">
        <f t="shared" si="124"/>
        <v>32.299999999999997</v>
      </c>
      <c r="BL238" s="1">
        <f t="shared" si="133"/>
        <v>0.8</v>
      </c>
      <c r="BM238" s="1">
        <f t="shared" si="134"/>
        <v>4.0999999999999996</v>
      </c>
      <c r="BN238" s="21">
        <f t="shared" si="125"/>
        <v>0.50800000000000001</v>
      </c>
      <c r="BO238" s="7">
        <f t="shared" si="126"/>
        <v>0</v>
      </c>
      <c r="BP238" s="21" t="str">
        <f t="shared" si="120"/>
        <v>NAN</v>
      </c>
      <c r="BQ238" s="1">
        <f t="shared" si="127"/>
        <v>12.2</v>
      </c>
      <c r="BR238" s="1">
        <f t="shared" si="128"/>
        <v>31.7</v>
      </c>
      <c r="BS238" s="1">
        <f t="shared" si="129"/>
        <v>0.1</v>
      </c>
      <c r="BT238" s="1">
        <f t="shared" si="142"/>
        <v>13.8</v>
      </c>
      <c r="BU238" s="1" t="s">
        <v>113</v>
      </c>
      <c r="BV238" s="1">
        <f t="shared" si="143"/>
        <v>12.4</v>
      </c>
      <c r="BW238" s="1" t="str">
        <f t="shared" si="135"/>
        <v>NAN</v>
      </c>
      <c r="BX238" s="1">
        <f t="shared" si="136"/>
        <v>0.81599999999999995</v>
      </c>
      <c r="BY238" s="1">
        <f t="shared" si="137"/>
        <v>1.71</v>
      </c>
      <c r="CA238" s="1">
        <f t="shared" si="130"/>
        <v>10.399999999999999</v>
      </c>
      <c r="CB238" s="1">
        <f t="shared" si="131"/>
        <v>-4.6000000000000005</v>
      </c>
    </row>
    <row r="239" spans="1:80" x14ac:dyDescent="0.2">
      <c r="A239" s="9">
        <f t="shared" si="138"/>
        <v>43699</v>
      </c>
      <c r="B239" s="2">
        <v>234</v>
      </c>
      <c r="C239" s="2">
        <v>21</v>
      </c>
      <c r="D239" s="2">
        <v>13.15</v>
      </c>
      <c r="E239" s="2">
        <v>25.72</v>
      </c>
      <c r="F239" s="2">
        <v>0.314</v>
      </c>
      <c r="G239" s="2">
        <v>8.8800000000000008</v>
      </c>
      <c r="H239" s="2">
        <v>75.2</v>
      </c>
      <c r="I239" s="2">
        <v>9.4700000000000006</v>
      </c>
      <c r="J239" s="2">
        <v>10.73</v>
      </c>
      <c r="K239" s="2">
        <v>13.28</v>
      </c>
      <c r="L239" s="2">
        <v>12.22</v>
      </c>
      <c r="M239" s="2">
        <v>17.190000000000001</v>
      </c>
      <c r="N239" s="2">
        <v>102.3</v>
      </c>
      <c r="O239" s="2">
        <v>26.78</v>
      </c>
      <c r="P239" s="2">
        <v>30.97</v>
      </c>
      <c r="Q239" s="2">
        <v>18.8</v>
      </c>
      <c r="R239" s="2">
        <v>13.12</v>
      </c>
      <c r="S239" s="2">
        <v>0.19600000000000001</v>
      </c>
      <c r="T239" s="2">
        <v>38.770000000000003</v>
      </c>
      <c r="U239" s="2">
        <v>-2.6549999999999998</v>
      </c>
      <c r="V239" s="2">
        <v>-3.5150000000000001</v>
      </c>
      <c r="W239" s="2">
        <v>7.41</v>
      </c>
      <c r="X239" s="2">
        <v>11.52</v>
      </c>
      <c r="Y239" s="2">
        <v>2.3530000000000002</v>
      </c>
      <c r="Z239" s="2">
        <v>0</v>
      </c>
      <c r="AA239" s="2">
        <v>22.88</v>
      </c>
      <c r="AB239" s="2">
        <v>5.327</v>
      </c>
      <c r="AC239" s="2">
        <v>1.528</v>
      </c>
      <c r="AD239" s="2">
        <v>6.58</v>
      </c>
      <c r="AE239" s="2">
        <v>11.32</v>
      </c>
      <c r="AF239" s="2">
        <v>31.83</v>
      </c>
      <c r="AG239" s="2">
        <v>-2.7250000000000001</v>
      </c>
      <c r="AH239" s="2">
        <v>31.83</v>
      </c>
      <c r="AI239" s="2">
        <v>-2.7250000000000001</v>
      </c>
      <c r="AJ239" s="2" t="s">
        <v>113</v>
      </c>
      <c r="AK239" s="2" t="s">
        <v>113</v>
      </c>
      <c r="AL239" s="2">
        <v>9.57</v>
      </c>
      <c r="AM239" s="2">
        <v>21.69</v>
      </c>
      <c r="AN239" s="2">
        <v>-0.30399999999999999</v>
      </c>
      <c r="AO239" s="2"/>
      <c r="AP239" s="2"/>
      <c r="AR239" s="5">
        <v>25.5</v>
      </c>
      <c r="AS239" s="5">
        <v>22.87</v>
      </c>
      <c r="AT239" s="5">
        <v>5.33</v>
      </c>
      <c r="AU239" s="7">
        <f t="shared" si="132"/>
        <v>0.23300000000000001</v>
      </c>
      <c r="AV239" s="16"/>
      <c r="AW239" s="29">
        <v>0</v>
      </c>
      <c r="AX239" s="29">
        <v>0</v>
      </c>
      <c r="AY239" s="1">
        <f t="shared" si="109"/>
        <v>98.7</v>
      </c>
      <c r="AZ239" s="1">
        <f t="shared" si="110"/>
        <v>72.400000000000006</v>
      </c>
      <c r="BA239" s="1">
        <f t="shared" si="111"/>
        <v>37.1</v>
      </c>
      <c r="BB239" s="8">
        <f t="shared" si="112"/>
        <v>0.72699999999999998</v>
      </c>
      <c r="BC239" s="8">
        <f t="shared" si="113"/>
        <v>1.2330000000000001</v>
      </c>
      <c r="BE239" s="5">
        <f t="shared" si="121"/>
        <v>22.87</v>
      </c>
      <c r="BF239" s="5">
        <f t="shared" si="122"/>
        <v>5.33</v>
      </c>
      <c r="BG239" s="1">
        <f t="shared" si="139"/>
        <v>8.9</v>
      </c>
      <c r="BH239" s="1">
        <f t="shared" si="140"/>
        <v>17.2</v>
      </c>
      <c r="BI239" s="1">
        <f t="shared" si="141"/>
        <v>0.2</v>
      </c>
      <c r="BJ239" s="1">
        <f t="shared" si="123"/>
        <v>72.400000000000006</v>
      </c>
      <c r="BK239" s="1">
        <f t="shared" si="124"/>
        <v>37.1</v>
      </c>
      <c r="BL239" s="1">
        <f t="shared" si="133"/>
        <v>1.5</v>
      </c>
      <c r="BM239" s="1">
        <f t="shared" si="134"/>
        <v>6.6</v>
      </c>
      <c r="BN239" s="21">
        <f t="shared" si="125"/>
        <v>0</v>
      </c>
      <c r="BO239" s="7">
        <f t="shared" si="126"/>
        <v>0</v>
      </c>
      <c r="BP239" s="21" t="str">
        <f t="shared" si="120"/>
        <v>NAN</v>
      </c>
      <c r="BQ239" s="1">
        <f t="shared" si="127"/>
        <v>11.3</v>
      </c>
      <c r="BR239" s="1">
        <f t="shared" si="128"/>
        <v>31.8</v>
      </c>
      <c r="BS239" s="1">
        <f t="shared" si="129"/>
        <v>-2.7</v>
      </c>
      <c r="BT239" s="1">
        <f t="shared" si="142"/>
        <v>13.3</v>
      </c>
      <c r="BU239" s="1" t="s">
        <v>113</v>
      </c>
      <c r="BV239" s="1">
        <f t="shared" si="143"/>
        <v>12.2</v>
      </c>
      <c r="BW239" s="1" t="str">
        <f t="shared" si="135"/>
        <v>NAN</v>
      </c>
      <c r="BX239" s="1">
        <f t="shared" si="136"/>
        <v>0.72699999999999998</v>
      </c>
      <c r="BY239" s="1">
        <f t="shared" si="137"/>
        <v>1.2330000000000001</v>
      </c>
      <c r="CA239" s="1">
        <f t="shared" si="130"/>
        <v>14.600000000000001</v>
      </c>
      <c r="CB239" s="1">
        <f t="shared" si="131"/>
        <v>-2.9000000000000004</v>
      </c>
    </row>
    <row r="240" spans="1:80" x14ac:dyDescent="0.2">
      <c r="A240" s="9">
        <f t="shared" si="138"/>
        <v>43700</v>
      </c>
      <c r="B240" s="2">
        <v>235</v>
      </c>
      <c r="C240" s="2">
        <v>21</v>
      </c>
      <c r="D240" s="2">
        <v>13.17</v>
      </c>
      <c r="E240" s="2">
        <v>17.670000000000002</v>
      </c>
      <c r="F240" s="2">
        <v>0.72699999999999998</v>
      </c>
      <c r="G240" s="2">
        <v>8.4</v>
      </c>
      <c r="H240" s="2">
        <v>89.7</v>
      </c>
      <c r="I240" s="2">
        <v>7.71</v>
      </c>
      <c r="J240" s="2">
        <v>7.99</v>
      </c>
      <c r="K240" s="2">
        <v>11.14</v>
      </c>
      <c r="L240" s="2">
        <v>12.12</v>
      </c>
      <c r="M240" s="2">
        <v>16.11</v>
      </c>
      <c r="N240" s="2">
        <v>102.3</v>
      </c>
      <c r="O240" s="2">
        <v>20.32</v>
      </c>
      <c r="P240" s="2">
        <v>24.26</v>
      </c>
      <c r="Q240" s="2">
        <v>14.11</v>
      </c>
      <c r="R240" s="2">
        <v>12.86</v>
      </c>
      <c r="S240" s="2">
        <v>1.3480000000000001</v>
      </c>
      <c r="T240" s="2">
        <v>51.56</v>
      </c>
      <c r="U240" s="2">
        <v>-2.056</v>
      </c>
      <c r="V240" s="2">
        <v>-2.399</v>
      </c>
      <c r="W240" s="2">
        <v>7.56</v>
      </c>
      <c r="X240" s="2">
        <v>11.84</v>
      </c>
      <c r="Y240" s="2">
        <v>2.6880000000000002</v>
      </c>
      <c r="Z240" s="2">
        <v>0.76200000000000001</v>
      </c>
      <c r="AA240" s="2">
        <v>8.24</v>
      </c>
      <c r="AB240" s="2">
        <v>1.849</v>
      </c>
      <c r="AC240" s="2">
        <v>0.64700000000000002</v>
      </c>
      <c r="AD240" s="2">
        <v>3.94</v>
      </c>
      <c r="AE240" s="2">
        <v>8.5</v>
      </c>
      <c r="AF240" s="2">
        <v>22.74</v>
      </c>
      <c r="AG240" s="2">
        <v>-1.4159999999999999</v>
      </c>
      <c r="AH240" s="2">
        <v>22.74</v>
      </c>
      <c r="AI240" s="2">
        <v>-1.4159999999999999</v>
      </c>
      <c r="AJ240" s="2" t="s">
        <v>113</v>
      </c>
      <c r="AK240" s="2" t="s">
        <v>113</v>
      </c>
      <c r="AL240" s="2">
        <v>8.17</v>
      </c>
      <c r="AM240" s="2">
        <v>16.39</v>
      </c>
      <c r="AN240" s="2">
        <v>0.59899999999999998</v>
      </c>
      <c r="AO240" s="2"/>
      <c r="AP240" s="2"/>
      <c r="AR240" s="5">
        <v>25.27</v>
      </c>
      <c r="AS240" s="5">
        <v>8.24</v>
      </c>
      <c r="AT240" s="5">
        <v>1.85</v>
      </c>
      <c r="AU240" s="7">
        <f t="shared" si="132"/>
        <v>0.22500000000000001</v>
      </c>
      <c r="AV240" s="16"/>
      <c r="AW240" s="29">
        <v>1.016</v>
      </c>
      <c r="AX240" s="29">
        <v>0</v>
      </c>
      <c r="AY240" s="1">
        <f t="shared" si="109"/>
        <v>98.7</v>
      </c>
      <c r="AZ240" s="1">
        <f t="shared" si="110"/>
        <v>86.5</v>
      </c>
      <c r="BA240" s="1">
        <f t="shared" si="111"/>
        <v>49.5</v>
      </c>
      <c r="BB240" s="8">
        <f t="shared" si="112"/>
        <v>0.90600000000000003</v>
      </c>
      <c r="BC240" s="8">
        <f t="shared" si="113"/>
        <v>0.92400000000000004</v>
      </c>
      <c r="BE240" s="5">
        <f t="shared" si="121"/>
        <v>8.24</v>
      </c>
      <c r="BF240" s="5">
        <f t="shared" si="122"/>
        <v>1.85</v>
      </c>
      <c r="BG240" s="1">
        <f t="shared" si="139"/>
        <v>8.4</v>
      </c>
      <c r="BH240" s="1">
        <f t="shared" si="140"/>
        <v>16.100000000000001</v>
      </c>
      <c r="BI240" s="1">
        <f t="shared" si="141"/>
        <v>1.3</v>
      </c>
      <c r="BJ240" s="1">
        <f t="shared" si="123"/>
        <v>86.5</v>
      </c>
      <c r="BK240" s="1">
        <f t="shared" si="124"/>
        <v>49.5</v>
      </c>
      <c r="BL240" s="1">
        <f t="shared" si="133"/>
        <v>0.6</v>
      </c>
      <c r="BM240" s="1">
        <f t="shared" si="134"/>
        <v>3.9</v>
      </c>
      <c r="BN240" s="21">
        <f t="shared" si="125"/>
        <v>1.016</v>
      </c>
      <c r="BO240" s="7">
        <f t="shared" si="126"/>
        <v>0</v>
      </c>
      <c r="BP240" s="21" t="str">
        <f t="shared" si="120"/>
        <v>NAN</v>
      </c>
      <c r="BQ240" s="1">
        <f t="shared" si="127"/>
        <v>8.5</v>
      </c>
      <c r="BR240" s="1">
        <f t="shared" si="128"/>
        <v>22.7</v>
      </c>
      <c r="BS240" s="1">
        <f t="shared" si="129"/>
        <v>-1.4</v>
      </c>
      <c r="BT240" s="1">
        <f t="shared" si="142"/>
        <v>11.1</v>
      </c>
      <c r="BU240" s="1" t="s">
        <v>113</v>
      </c>
      <c r="BV240" s="1">
        <f t="shared" si="143"/>
        <v>12.1</v>
      </c>
      <c r="BW240" s="1" t="str">
        <f t="shared" si="135"/>
        <v>NAN</v>
      </c>
      <c r="BX240" s="1">
        <f t="shared" si="136"/>
        <v>0.90600000000000003</v>
      </c>
      <c r="BY240" s="1">
        <f t="shared" si="137"/>
        <v>0.92400000000000004</v>
      </c>
      <c r="CA240" s="1">
        <f t="shared" si="130"/>
        <v>6.5999999999999979</v>
      </c>
      <c r="CB240" s="1">
        <f t="shared" si="131"/>
        <v>-2.7</v>
      </c>
    </row>
    <row r="241" spans="1:80" x14ac:dyDescent="0.2">
      <c r="A241" s="9">
        <f t="shared" si="138"/>
        <v>43701</v>
      </c>
      <c r="B241" s="2">
        <v>236</v>
      </c>
      <c r="C241" s="2">
        <v>21</v>
      </c>
      <c r="D241" s="2">
        <v>13.17</v>
      </c>
      <c r="E241" s="2">
        <v>22.94</v>
      </c>
      <c r="F241" s="2">
        <v>0.623</v>
      </c>
      <c r="G241" s="2">
        <v>9.4499999999999993</v>
      </c>
      <c r="H241" s="2">
        <v>68.31</v>
      </c>
      <c r="I241" s="2">
        <v>9.89</v>
      </c>
      <c r="J241" s="2">
        <v>10.87</v>
      </c>
      <c r="K241" s="2">
        <v>12.06</v>
      </c>
      <c r="L241" s="2">
        <v>11.77</v>
      </c>
      <c r="M241" s="2">
        <v>16.09</v>
      </c>
      <c r="N241" s="2">
        <v>101.8</v>
      </c>
      <c r="O241" s="2">
        <v>24.82</v>
      </c>
      <c r="P241" s="2">
        <v>31.66</v>
      </c>
      <c r="Q241" s="2">
        <v>17.8</v>
      </c>
      <c r="R241" s="2">
        <v>12.55</v>
      </c>
      <c r="S241" s="2">
        <v>0.56399999999999995</v>
      </c>
      <c r="T241" s="2">
        <v>44.24</v>
      </c>
      <c r="U241" s="2">
        <v>-1.835</v>
      </c>
      <c r="V241" s="2">
        <v>-2.3479999999999999</v>
      </c>
      <c r="W241" s="2">
        <v>6.6059999999999999</v>
      </c>
      <c r="X241" s="2">
        <v>11.22</v>
      </c>
      <c r="Y241" s="2">
        <v>2.3220000000000001</v>
      </c>
      <c r="Z241" s="2">
        <v>0</v>
      </c>
      <c r="AA241" s="2">
        <v>21.56</v>
      </c>
      <c r="AB241" s="2">
        <v>5.0549999999999997</v>
      </c>
      <c r="AC241" s="2">
        <v>2.0870000000000002</v>
      </c>
      <c r="AD241" s="2">
        <v>7.03</v>
      </c>
      <c r="AE241" s="2">
        <v>11.35</v>
      </c>
      <c r="AF241" s="2">
        <v>32.07</v>
      </c>
      <c r="AG241" s="2">
        <v>-1.496</v>
      </c>
      <c r="AH241" s="2">
        <v>32.07</v>
      </c>
      <c r="AI241" s="2">
        <v>-1.496</v>
      </c>
      <c r="AJ241" s="2" t="s">
        <v>113</v>
      </c>
      <c r="AK241" s="2" t="s">
        <v>113</v>
      </c>
      <c r="AL241" s="2">
        <v>9.58</v>
      </c>
      <c r="AM241" s="2">
        <v>18.14</v>
      </c>
      <c r="AN241" s="2">
        <v>0.35299999999999998</v>
      </c>
      <c r="AO241" s="2"/>
      <c r="AP241" s="2"/>
      <c r="AR241" s="5">
        <v>25.04</v>
      </c>
      <c r="AS241" s="5">
        <v>21.56</v>
      </c>
      <c r="AT241" s="5">
        <v>5.05</v>
      </c>
      <c r="AU241" s="7">
        <f t="shared" si="132"/>
        <v>0.23400000000000001</v>
      </c>
      <c r="AV241" s="16"/>
      <c r="AW241" s="29">
        <v>0</v>
      </c>
      <c r="AX241" s="29">
        <v>0</v>
      </c>
      <c r="AY241" s="1">
        <f t="shared" si="109"/>
        <v>98.2</v>
      </c>
      <c r="AZ241" s="1">
        <f t="shared" si="110"/>
        <v>65.8</v>
      </c>
      <c r="BA241" s="1">
        <f t="shared" si="111"/>
        <v>42.4</v>
      </c>
      <c r="BB241" s="8">
        <f t="shared" si="112"/>
        <v>0.77500000000000002</v>
      </c>
      <c r="BC241" s="8">
        <f t="shared" si="113"/>
        <v>1.0529999999999999</v>
      </c>
      <c r="BE241" s="5">
        <f t="shared" si="121"/>
        <v>21.56</v>
      </c>
      <c r="BF241" s="5">
        <f t="shared" si="122"/>
        <v>5.05</v>
      </c>
      <c r="BG241" s="1">
        <f t="shared" si="139"/>
        <v>9.5</v>
      </c>
      <c r="BH241" s="1">
        <f t="shared" si="140"/>
        <v>16.100000000000001</v>
      </c>
      <c r="BI241" s="1">
        <f t="shared" si="141"/>
        <v>0.6</v>
      </c>
      <c r="BJ241" s="1">
        <f t="shared" si="123"/>
        <v>65.8</v>
      </c>
      <c r="BK241" s="1">
        <f t="shared" si="124"/>
        <v>42.4</v>
      </c>
      <c r="BL241" s="1">
        <f t="shared" si="133"/>
        <v>2.1</v>
      </c>
      <c r="BM241" s="1">
        <f t="shared" si="134"/>
        <v>7</v>
      </c>
      <c r="BN241" s="21">
        <f t="shared" si="125"/>
        <v>0</v>
      </c>
      <c r="BO241" s="7">
        <f t="shared" si="126"/>
        <v>0</v>
      </c>
      <c r="BP241" s="21" t="str">
        <f t="shared" si="120"/>
        <v>NAN</v>
      </c>
      <c r="BQ241" s="1">
        <f t="shared" si="127"/>
        <v>11.4</v>
      </c>
      <c r="BR241" s="1">
        <f t="shared" si="128"/>
        <v>32.1</v>
      </c>
      <c r="BS241" s="1">
        <f t="shared" si="129"/>
        <v>-1.5</v>
      </c>
      <c r="BT241" s="1">
        <f t="shared" si="142"/>
        <v>12.1</v>
      </c>
      <c r="BU241" s="1" t="s">
        <v>113</v>
      </c>
      <c r="BV241" s="1">
        <f t="shared" si="143"/>
        <v>11.8</v>
      </c>
      <c r="BW241" s="1" t="str">
        <f t="shared" si="135"/>
        <v>NAN</v>
      </c>
      <c r="BX241" s="1">
        <f t="shared" si="136"/>
        <v>0.77500000000000002</v>
      </c>
      <c r="BY241" s="1">
        <f t="shared" si="137"/>
        <v>1.0529999999999999</v>
      </c>
      <c r="CA241" s="1">
        <f t="shared" si="130"/>
        <v>16</v>
      </c>
      <c r="CB241" s="1">
        <f t="shared" si="131"/>
        <v>-2.1</v>
      </c>
    </row>
    <row r="242" spans="1:80" x14ac:dyDescent="0.2">
      <c r="A242" s="9">
        <f t="shared" si="138"/>
        <v>43702</v>
      </c>
      <c r="B242" s="2">
        <v>237</v>
      </c>
      <c r="C242" s="2">
        <v>21</v>
      </c>
      <c r="D242" s="2">
        <v>13.15</v>
      </c>
      <c r="E242" s="2">
        <v>19.72</v>
      </c>
      <c r="F242" s="2">
        <v>1.2989999999999999</v>
      </c>
      <c r="G242" s="2">
        <v>7.26</v>
      </c>
      <c r="H242" s="2">
        <v>88.1</v>
      </c>
      <c r="I242" s="2">
        <v>7.67</v>
      </c>
      <c r="J242" s="2">
        <v>8.7899999999999991</v>
      </c>
      <c r="K242" s="2">
        <v>11.35</v>
      </c>
      <c r="L242" s="2">
        <v>11.66</v>
      </c>
      <c r="M242" s="2">
        <v>13.25</v>
      </c>
      <c r="N242" s="2">
        <v>102.3</v>
      </c>
      <c r="O242" s="2">
        <v>23.14</v>
      </c>
      <c r="P242" s="2">
        <v>28.69</v>
      </c>
      <c r="Q242" s="2">
        <v>15.35</v>
      </c>
      <c r="R242" s="2">
        <v>12.07</v>
      </c>
      <c r="S242" s="2">
        <v>0.105</v>
      </c>
      <c r="T242" s="2">
        <v>56.08</v>
      </c>
      <c r="U242" s="2">
        <v>-1.665</v>
      </c>
      <c r="V242" s="2">
        <v>-2.569</v>
      </c>
      <c r="W242" s="2">
        <v>8.02</v>
      </c>
      <c r="X242" s="2">
        <v>11.25</v>
      </c>
      <c r="Y242" s="2">
        <v>2.2850000000000001</v>
      </c>
      <c r="Z242" s="2">
        <v>6.8579999999999997</v>
      </c>
      <c r="AA242" s="2">
        <v>14.64</v>
      </c>
      <c r="AB242" s="2">
        <v>3.1709999999999998</v>
      </c>
      <c r="AC242" s="2">
        <v>1.325</v>
      </c>
      <c r="AD242" s="2">
        <v>4.9539999999999997</v>
      </c>
      <c r="AE242" s="2">
        <v>9.1</v>
      </c>
      <c r="AF242" s="2">
        <v>25.66</v>
      </c>
      <c r="AG242" s="2">
        <v>-1.3220000000000001</v>
      </c>
      <c r="AH242" s="2">
        <v>25.66</v>
      </c>
      <c r="AI242" s="2">
        <v>-1.3220000000000001</v>
      </c>
      <c r="AJ242" s="2" t="s">
        <v>113</v>
      </c>
      <c r="AK242" s="2" t="s">
        <v>113</v>
      </c>
      <c r="AL242" s="2">
        <v>7.47</v>
      </c>
      <c r="AM242" s="2">
        <v>15.43</v>
      </c>
      <c r="AN242" s="2">
        <v>-0.309</v>
      </c>
      <c r="AO242" s="2"/>
      <c r="AP242" s="2"/>
      <c r="AR242" s="5">
        <v>24.82</v>
      </c>
      <c r="AS242" s="5">
        <v>14.64</v>
      </c>
      <c r="AT242" s="5">
        <v>3.17</v>
      </c>
      <c r="AU242" s="7">
        <f t="shared" si="132"/>
        <v>0.217</v>
      </c>
      <c r="AV242" s="16"/>
      <c r="AW242" s="29">
        <v>7.8739999999999997</v>
      </c>
      <c r="AX242" s="29">
        <v>0</v>
      </c>
      <c r="AY242" s="1">
        <f t="shared" si="109"/>
        <v>98.7</v>
      </c>
      <c r="AZ242" s="1">
        <f t="shared" si="110"/>
        <v>85</v>
      </c>
      <c r="BA242" s="1">
        <f t="shared" si="111"/>
        <v>53.9</v>
      </c>
      <c r="BB242" s="8">
        <f t="shared" si="112"/>
        <v>0.82</v>
      </c>
      <c r="BC242" s="8">
        <f t="shared" si="113"/>
        <v>0.70099999999999996</v>
      </c>
      <c r="BE242" s="5">
        <f t="shared" si="121"/>
        <v>14.64</v>
      </c>
      <c r="BF242" s="5">
        <f t="shared" si="122"/>
        <v>3.17</v>
      </c>
      <c r="BG242" s="1">
        <f t="shared" si="139"/>
        <v>7.3</v>
      </c>
      <c r="BH242" s="1">
        <f t="shared" si="140"/>
        <v>13.3</v>
      </c>
      <c r="BI242" s="1">
        <f t="shared" si="141"/>
        <v>0.1</v>
      </c>
      <c r="BJ242" s="1">
        <f t="shared" si="123"/>
        <v>85</v>
      </c>
      <c r="BK242" s="1">
        <f t="shared" si="124"/>
        <v>53.9</v>
      </c>
      <c r="BL242" s="1">
        <f t="shared" si="133"/>
        <v>1.3</v>
      </c>
      <c r="BM242" s="1">
        <f t="shared" si="134"/>
        <v>5</v>
      </c>
      <c r="BN242" s="21">
        <f t="shared" si="125"/>
        <v>7.8739999999999997</v>
      </c>
      <c r="BO242" s="7">
        <f t="shared" si="126"/>
        <v>0</v>
      </c>
      <c r="BP242" s="21" t="str">
        <f t="shared" si="120"/>
        <v>NAN</v>
      </c>
      <c r="BQ242" s="1">
        <f t="shared" si="127"/>
        <v>9.1</v>
      </c>
      <c r="BR242" s="1">
        <f t="shared" si="128"/>
        <v>25.7</v>
      </c>
      <c r="BS242" s="1">
        <f t="shared" si="129"/>
        <v>-1.3</v>
      </c>
      <c r="BT242" s="1">
        <f t="shared" si="142"/>
        <v>11.4</v>
      </c>
      <c r="BU242" s="1" t="s">
        <v>113</v>
      </c>
      <c r="BV242" s="1">
        <f t="shared" si="143"/>
        <v>11.7</v>
      </c>
      <c r="BW242" s="1" t="str">
        <f t="shared" si="135"/>
        <v>NAN</v>
      </c>
      <c r="BX242" s="1">
        <f t="shared" si="136"/>
        <v>0.82</v>
      </c>
      <c r="BY242" s="1">
        <f t="shared" si="137"/>
        <v>0.70099999999999996</v>
      </c>
      <c r="CA242" s="1">
        <f t="shared" si="130"/>
        <v>12.399999999999999</v>
      </c>
      <c r="CB242" s="1">
        <f t="shared" si="131"/>
        <v>-1.4000000000000001</v>
      </c>
    </row>
    <row r="243" spans="1:80" x14ac:dyDescent="0.2">
      <c r="A243" s="9">
        <f t="shared" si="138"/>
        <v>43703</v>
      </c>
      <c r="B243" s="2">
        <v>238</v>
      </c>
      <c r="C243" s="2">
        <v>21</v>
      </c>
      <c r="D243" s="2">
        <v>13.14</v>
      </c>
      <c r="E243" s="2">
        <v>24.63</v>
      </c>
      <c r="F243" s="2">
        <v>-1.4510000000000001</v>
      </c>
      <c r="G243" s="2">
        <v>7.02</v>
      </c>
      <c r="H243" s="2">
        <v>81.3</v>
      </c>
      <c r="I243" s="2">
        <v>7.46</v>
      </c>
      <c r="J243" s="2">
        <v>8.73</v>
      </c>
      <c r="K243" s="2">
        <v>10.75</v>
      </c>
      <c r="L243" s="2">
        <v>11.45</v>
      </c>
      <c r="M243" s="2">
        <v>15.3</v>
      </c>
      <c r="N243" s="2">
        <v>102.9</v>
      </c>
      <c r="O243" s="2">
        <v>25.49</v>
      </c>
      <c r="P243" s="2">
        <v>30.98</v>
      </c>
      <c r="Q243" s="2">
        <v>16.61</v>
      </c>
      <c r="R243" s="2">
        <v>12.3</v>
      </c>
      <c r="S243" s="2">
        <v>-0.92900000000000005</v>
      </c>
      <c r="T243" s="2">
        <v>44.59</v>
      </c>
      <c r="U243" s="2">
        <v>-3.012</v>
      </c>
      <c r="V243" s="2">
        <v>-3.7160000000000002</v>
      </c>
      <c r="W243" s="2">
        <v>5.3310000000000004</v>
      </c>
      <c r="X243" s="2">
        <v>10.82</v>
      </c>
      <c r="Y243" s="2">
        <v>2.3029999999999999</v>
      </c>
      <c r="Z243" s="2">
        <v>0.50800000000000001</v>
      </c>
      <c r="AA243" s="2">
        <v>19.82</v>
      </c>
      <c r="AB243" s="2">
        <v>4.3840000000000003</v>
      </c>
      <c r="AC243" s="2">
        <v>0.96699999999999997</v>
      </c>
      <c r="AD243" s="2">
        <v>5.0869999999999997</v>
      </c>
      <c r="AE243" s="2">
        <v>8.43</v>
      </c>
      <c r="AF243" s="2">
        <v>26.8</v>
      </c>
      <c r="AG243" s="2">
        <v>-2.2770000000000001</v>
      </c>
      <c r="AH243" s="2">
        <v>26.8</v>
      </c>
      <c r="AI243" s="2">
        <v>-2.2770000000000001</v>
      </c>
      <c r="AJ243" s="2" t="s">
        <v>113</v>
      </c>
      <c r="AK243" s="2" t="s">
        <v>113</v>
      </c>
      <c r="AL243" s="2">
        <v>7.54</v>
      </c>
      <c r="AM243" s="2">
        <v>19.510000000000002</v>
      </c>
      <c r="AN243" s="2">
        <v>-1.3660000000000001</v>
      </c>
      <c r="AO243" s="2"/>
      <c r="AP243" s="2"/>
      <c r="AR243" s="5">
        <v>24.59</v>
      </c>
      <c r="AS243" s="5">
        <v>19.82</v>
      </c>
      <c r="AT243" s="5">
        <v>4.38</v>
      </c>
      <c r="AU243" s="7">
        <f t="shared" si="132"/>
        <v>0.221</v>
      </c>
      <c r="AV243" s="16"/>
      <c r="AW243" s="29">
        <v>0.254</v>
      </c>
      <c r="AX243" s="29">
        <v>0</v>
      </c>
      <c r="AY243" s="1">
        <f t="shared" si="109"/>
        <v>99.3</v>
      </c>
      <c r="AZ243" s="1">
        <f t="shared" si="110"/>
        <v>78.400000000000006</v>
      </c>
      <c r="BA243" s="1">
        <f t="shared" si="111"/>
        <v>42.8</v>
      </c>
      <c r="BB243" s="8">
        <f t="shared" si="112"/>
        <v>0.74399999999999999</v>
      </c>
      <c r="BC243" s="8">
        <f t="shared" si="113"/>
        <v>0.99399999999999999</v>
      </c>
      <c r="BE243" s="5">
        <f t="shared" si="121"/>
        <v>19.82</v>
      </c>
      <c r="BF243" s="5">
        <f t="shared" si="122"/>
        <v>4.38</v>
      </c>
      <c r="BG243" s="1">
        <f t="shared" si="139"/>
        <v>7</v>
      </c>
      <c r="BH243" s="1">
        <f t="shared" si="140"/>
        <v>15.3</v>
      </c>
      <c r="BI243" s="1">
        <f t="shared" si="141"/>
        <v>-0.9</v>
      </c>
      <c r="BJ243" s="1">
        <f t="shared" si="123"/>
        <v>78.400000000000006</v>
      </c>
      <c r="BK243" s="1">
        <f t="shared" si="124"/>
        <v>42.8</v>
      </c>
      <c r="BL243" s="1">
        <f t="shared" si="133"/>
        <v>1</v>
      </c>
      <c r="BM243" s="1">
        <f t="shared" si="134"/>
        <v>5.0999999999999996</v>
      </c>
      <c r="BN243" s="21">
        <f t="shared" si="125"/>
        <v>0.254</v>
      </c>
      <c r="BO243" s="7">
        <f t="shared" si="126"/>
        <v>0</v>
      </c>
      <c r="BP243" s="21" t="str">
        <f t="shared" si="120"/>
        <v>NAN</v>
      </c>
      <c r="BQ243" s="1">
        <f t="shared" si="127"/>
        <v>8.4</v>
      </c>
      <c r="BR243" s="1">
        <f t="shared" si="128"/>
        <v>26.8</v>
      </c>
      <c r="BS243" s="1">
        <f t="shared" si="129"/>
        <v>-2.2999999999999998</v>
      </c>
      <c r="BT243" s="1">
        <f t="shared" si="142"/>
        <v>10.8</v>
      </c>
      <c r="BU243" s="1" t="s">
        <v>113</v>
      </c>
      <c r="BV243" s="1">
        <f t="shared" si="143"/>
        <v>11.5</v>
      </c>
      <c r="BW243" s="1" t="str">
        <f t="shared" si="135"/>
        <v>NAN</v>
      </c>
      <c r="BX243" s="1">
        <f t="shared" si="136"/>
        <v>0.74399999999999999</v>
      </c>
      <c r="BY243" s="1">
        <f t="shared" si="137"/>
        <v>0.99399999999999999</v>
      </c>
      <c r="CA243" s="1">
        <f t="shared" si="130"/>
        <v>11.5</v>
      </c>
      <c r="CB243" s="1">
        <f t="shared" si="131"/>
        <v>-1.4</v>
      </c>
    </row>
    <row r="244" spans="1:80" x14ac:dyDescent="0.2">
      <c r="A244" s="9">
        <f t="shared" si="138"/>
        <v>43704</v>
      </c>
      <c r="B244" s="2">
        <v>239</v>
      </c>
      <c r="C244" s="2">
        <v>21</v>
      </c>
      <c r="D244" s="2">
        <v>13.16</v>
      </c>
      <c r="E244" s="2">
        <v>31.53</v>
      </c>
      <c r="F244" s="2">
        <v>-1.657</v>
      </c>
      <c r="G244" s="2">
        <v>11.68</v>
      </c>
      <c r="H244" s="2">
        <v>68.64</v>
      </c>
      <c r="I244" s="2">
        <v>11.59</v>
      </c>
      <c r="J244" s="2">
        <v>12.61</v>
      </c>
      <c r="K244" s="2">
        <v>12.53</v>
      </c>
      <c r="L244" s="2">
        <v>11.26</v>
      </c>
      <c r="M244" s="2">
        <v>23.21</v>
      </c>
      <c r="N244" s="2">
        <v>102.8</v>
      </c>
      <c r="O244" s="2">
        <v>31.57</v>
      </c>
      <c r="P244" s="2">
        <v>35.21</v>
      </c>
      <c r="Q244" s="2">
        <v>19.899999999999999</v>
      </c>
      <c r="R244" s="2">
        <v>12.3</v>
      </c>
      <c r="S244" s="2">
        <v>-0.47299999999999998</v>
      </c>
      <c r="T244" s="2">
        <v>29.93</v>
      </c>
      <c r="U244" s="2">
        <v>-3.5070000000000001</v>
      </c>
      <c r="V244" s="2">
        <v>-4.0629999999999997</v>
      </c>
      <c r="W244" s="2">
        <v>4.5140000000000002</v>
      </c>
      <c r="X244" s="2">
        <v>10.5</v>
      </c>
      <c r="Y244" s="2">
        <v>2.371</v>
      </c>
      <c r="Z244" s="2">
        <v>0</v>
      </c>
      <c r="AA244" s="2">
        <v>22.31</v>
      </c>
      <c r="AB244" s="2">
        <v>5.2110000000000003</v>
      </c>
      <c r="AC244" s="2">
        <v>0.68899999999999995</v>
      </c>
      <c r="AD244" s="2">
        <v>3.54</v>
      </c>
      <c r="AE244" s="2">
        <v>12.3</v>
      </c>
      <c r="AF244" s="2">
        <v>33.51</v>
      </c>
      <c r="AG244" s="2">
        <v>-3.0350000000000001</v>
      </c>
      <c r="AH244" s="2">
        <v>33.51</v>
      </c>
      <c r="AI244" s="2">
        <v>-3.0350000000000001</v>
      </c>
      <c r="AJ244" s="2" t="s">
        <v>113</v>
      </c>
      <c r="AK244" s="2" t="s">
        <v>113</v>
      </c>
      <c r="AL244" s="2">
        <v>12.05</v>
      </c>
      <c r="AM244" s="2">
        <v>27.22</v>
      </c>
      <c r="AN244" s="2">
        <v>-1.1719999999999999</v>
      </c>
      <c r="AO244" s="2"/>
      <c r="AP244" s="2"/>
      <c r="AR244" s="5">
        <v>24.36</v>
      </c>
      <c r="AS244" s="5">
        <v>22.31</v>
      </c>
      <c r="AT244" s="5">
        <v>5.21</v>
      </c>
      <c r="AU244" s="7">
        <f t="shared" si="132"/>
        <v>0.23400000000000001</v>
      </c>
      <c r="AV244" s="16"/>
      <c r="AW244" s="29">
        <v>0</v>
      </c>
      <c r="AX244" s="29">
        <v>0</v>
      </c>
      <c r="AY244" s="1">
        <f t="shared" si="109"/>
        <v>99.2</v>
      </c>
      <c r="AZ244" s="1">
        <f t="shared" si="110"/>
        <v>66.099999999999994</v>
      </c>
      <c r="BA244" s="1">
        <f t="shared" si="111"/>
        <v>28.5</v>
      </c>
      <c r="BB244" s="8">
        <f t="shared" si="112"/>
        <v>0.81100000000000005</v>
      </c>
      <c r="BC244" s="8">
        <f t="shared" si="113"/>
        <v>2.0350000000000001</v>
      </c>
      <c r="BE244" s="5">
        <f t="shared" si="121"/>
        <v>22.31</v>
      </c>
      <c r="BF244" s="5">
        <f t="shared" si="122"/>
        <v>5.21</v>
      </c>
      <c r="BG244" s="1">
        <f t="shared" si="139"/>
        <v>11.7</v>
      </c>
      <c r="BH244" s="1">
        <f t="shared" si="140"/>
        <v>23.2</v>
      </c>
      <c r="BI244" s="1">
        <f t="shared" si="141"/>
        <v>-0.5</v>
      </c>
      <c r="BJ244" s="1">
        <f t="shared" si="123"/>
        <v>66.099999999999994</v>
      </c>
      <c r="BK244" s="1">
        <f t="shared" si="124"/>
        <v>28.5</v>
      </c>
      <c r="BL244" s="1">
        <f t="shared" si="133"/>
        <v>0.7</v>
      </c>
      <c r="BM244" s="1">
        <f t="shared" si="134"/>
        <v>3.5</v>
      </c>
      <c r="BN244" s="21">
        <f t="shared" si="125"/>
        <v>0</v>
      </c>
      <c r="BO244" s="7">
        <f t="shared" si="126"/>
        <v>0</v>
      </c>
      <c r="BP244" s="21" t="str">
        <f t="shared" si="120"/>
        <v>NAN</v>
      </c>
      <c r="BQ244" s="1">
        <f t="shared" si="127"/>
        <v>12.3</v>
      </c>
      <c r="BR244" s="1">
        <f t="shared" si="128"/>
        <v>33.5</v>
      </c>
      <c r="BS244" s="1">
        <f t="shared" si="129"/>
        <v>-3</v>
      </c>
      <c r="BT244" s="1">
        <f t="shared" si="142"/>
        <v>12.5</v>
      </c>
      <c r="BU244" s="1" t="s">
        <v>113</v>
      </c>
      <c r="BV244" s="1">
        <f t="shared" si="143"/>
        <v>11.3</v>
      </c>
      <c r="BW244" s="1" t="str">
        <f t="shared" si="135"/>
        <v>NAN</v>
      </c>
      <c r="BX244" s="1">
        <f t="shared" si="136"/>
        <v>0.81100000000000005</v>
      </c>
      <c r="BY244" s="1">
        <f t="shared" si="137"/>
        <v>2.0350000000000001</v>
      </c>
      <c r="CA244" s="1">
        <f t="shared" si="130"/>
        <v>10.3</v>
      </c>
      <c r="CB244" s="1">
        <f t="shared" si="131"/>
        <v>-2.5</v>
      </c>
    </row>
    <row r="245" spans="1:80" x14ac:dyDescent="0.2">
      <c r="A245" s="9">
        <f t="shared" si="138"/>
        <v>43705</v>
      </c>
      <c r="B245" s="2">
        <v>240</v>
      </c>
      <c r="C245" s="2">
        <v>21</v>
      </c>
      <c r="D245" s="2">
        <v>13.17</v>
      </c>
      <c r="E245" s="2">
        <v>30.89</v>
      </c>
      <c r="F245" s="2">
        <v>1.1339999999999999</v>
      </c>
      <c r="G245" s="2">
        <v>12.58</v>
      </c>
      <c r="H245" s="2">
        <v>70.5</v>
      </c>
      <c r="I245" s="2">
        <v>12.58</v>
      </c>
      <c r="J245" s="2">
        <v>13.8</v>
      </c>
      <c r="K245" s="2">
        <v>14.07</v>
      </c>
      <c r="L245" s="2">
        <v>11.39</v>
      </c>
      <c r="M245" s="2">
        <v>23.26</v>
      </c>
      <c r="N245" s="2">
        <v>101.9</v>
      </c>
      <c r="O245" s="2">
        <v>32.56</v>
      </c>
      <c r="P245" s="2">
        <v>37.6</v>
      </c>
      <c r="Q245" s="2">
        <v>20.97</v>
      </c>
      <c r="R245" s="2">
        <v>12.36</v>
      </c>
      <c r="S245" s="2">
        <v>2.2919999999999998</v>
      </c>
      <c r="T245" s="2">
        <v>31.8</v>
      </c>
      <c r="U245" s="2">
        <v>-1.724</v>
      </c>
      <c r="V245" s="2">
        <v>-2.4569999999999999</v>
      </c>
      <c r="W245" s="2">
        <v>6.5270000000000001</v>
      </c>
      <c r="X245" s="2">
        <v>10.82</v>
      </c>
      <c r="Y245" s="2">
        <v>2.3050000000000002</v>
      </c>
      <c r="Z245" s="2">
        <v>0</v>
      </c>
      <c r="AA245" s="2">
        <v>22.22</v>
      </c>
      <c r="AB245" s="2">
        <v>5.226</v>
      </c>
      <c r="AC245" s="2">
        <v>0.96699999999999997</v>
      </c>
      <c r="AD245" s="2">
        <v>4.26</v>
      </c>
      <c r="AE245" s="2">
        <v>13.58</v>
      </c>
      <c r="AF245" s="2">
        <v>35.520000000000003</v>
      </c>
      <c r="AG245" s="2">
        <v>-1.546</v>
      </c>
      <c r="AH245" s="2">
        <v>35.520000000000003</v>
      </c>
      <c r="AI245" s="2">
        <v>-1.546</v>
      </c>
      <c r="AJ245" s="2" t="s">
        <v>113</v>
      </c>
      <c r="AK245" s="2" t="s">
        <v>113</v>
      </c>
      <c r="AL245" s="2">
        <v>12.96</v>
      </c>
      <c r="AM245" s="2">
        <v>27.03</v>
      </c>
      <c r="AN245" s="2">
        <v>1.3520000000000001</v>
      </c>
      <c r="AO245" s="2"/>
      <c r="AP245" s="2"/>
      <c r="AR245" s="5">
        <v>24.12</v>
      </c>
      <c r="AS245" s="5">
        <v>22.22</v>
      </c>
      <c r="AT245" s="5">
        <v>5.23</v>
      </c>
      <c r="AU245" s="7">
        <f t="shared" si="132"/>
        <v>0.23499999999999999</v>
      </c>
      <c r="AV245" s="16"/>
      <c r="AW245" s="29">
        <v>0</v>
      </c>
      <c r="AX245" s="29">
        <v>0</v>
      </c>
      <c r="AY245" s="1">
        <f t="shared" si="109"/>
        <v>98.3</v>
      </c>
      <c r="AZ245" s="1">
        <f t="shared" si="110"/>
        <v>67.900000000000006</v>
      </c>
      <c r="BA245" s="1">
        <f t="shared" si="111"/>
        <v>30.3</v>
      </c>
      <c r="BB245" s="8">
        <f t="shared" si="112"/>
        <v>0.86499999999999999</v>
      </c>
      <c r="BC245" s="8">
        <f t="shared" si="113"/>
        <v>1.99</v>
      </c>
      <c r="BE245" s="5">
        <f t="shared" si="121"/>
        <v>22.22</v>
      </c>
      <c r="BF245" s="5">
        <f t="shared" si="122"/>
        <v>5.23</v>
      </c>
      <c r="BG245" s="1">
        <f t="shared" si="139"/>
        <v>12.6</v>
      </c>
      <c r="BH245" s="1">
        <f t="shared" si="140"/>
        <v>23.3</v>
      </c>
      <c r="BI245" s="1">
        <f t="shared" si="141"/>
        <v>2.2999999999999998</v>
      </c>
      <c r="BJ245" s="1">
        <f t="shared" si="123"/>
        <v>67.900000000000006</v>
      </c>
      <c r="BK245" s="1">
        <f t="shared" si="124"/>
        <v>30.3</v>
      </c>
      <c r="BL245" s="1">
        <f t="shared" si="133"/>
        <v>1</v>
      </c>
      <c r="BM245" s="1">
        <f t="shared" si="134"/>
        <v>4.3</v>
      </c>
      <c r="BN245" s="21">
        <f t="shared" si="125"/>
        <v>0</v>
      </c>
      <c r="BO245" s="7">
        <f t="shared" si="126"/>
        <v>0</v>
      </c>
      <c r="BP245" s="21" t="str">
        <f t="shared" si="120"/>
        <v>NAN</v>
      </c>
      <c r="BQ245" s="1">
        <f t="shared" si="127"/>
        <v>13.6</v>
      </c>
      <c r="BR245" s="1">
        <f t="shared" si="128"/>
        <v>35.5</v>
      </c>
      <c r="BS245" s="1">
        <f t="shared" si="129"/>
        <v>-1.5</v>
      </c>
      <c r="BT245" s="1">
        <f t="shared" si="142"/>
        <v>14.1</v>
      </c>
      <c r="BU245" s="1" t="s">
        <v>113</v>
      </c>
      <c r="BV245" s="1">
        <f t="shared" si="143"/>
        <v>11.4</v>
      </c>
      <c r="BW245" s="1" t="str">
        <f t="shared" si="135"/>
        <v>NAN</v>
      </c>
      <c r="BX245" s="1">
        <f t="shared" si="136"/>
        <v>0.86499999999999999</v>
      </c>
      <c r="BY245" s="1">
        <f t="shared" si="137"/>
        <v>1.99</v>
      </c>
      <c r="CA245" s="1">
        <f t="shared" si="130"/>
        <v>12.2</v>
      </c>
      <c r="CB245" s="1">
        <f t="shared" si="131"/>
        <v>-3.8</v>
      </c>
    </row>
    <row r="246" spans="1:80" x14ac:dyDescent="0.2">
      <c r="A246" s="9">
        <f t="shared" si="138"/>
        <v>43706</v>
      </c>
      <c r="B246" s="2">
        <v>241</v>
      </c>
      <c r="C246" s="2">
        <v>21</v>
      </c>
      <c r="D246" s="2">
        <v>13.18</v>
      </c>
      <c r="E246" s="2">
        <v>32.049999999999997</v>
      </c>
      <c r="F246" s="2">
        <v>8.6999999999999994E-2</v>
      </c>
      <c r="G246" s="2">
        <v>13.73</v>
      </c>
      <c r="H246" s="2">
        <v>61.06</v>
      </c>
      <c r="I246" s="2">
        <v>13.51</v>
      </c>
      <c r="J246" s="2">
        <v>14.46</v>
      </c>
      <c r="K246" s="2">
        <v>14.26</v>
      </c>
      <c r="L246" s="2">
        <v>11.59</v>
      </c>
      <c r="M246" s="2">
        <v>25.05</v>
      </c>
      <c r="N246" s="2">
        <v>102.4</v>
      </c>
      <c r="O246" s="2">
        <v>34.340000000000003</v>
      </c>
      <c r="P246" s="2">
        <v>40.25</v>
      </c>
      <c r="Q246" s="2">
        <v>21.19</v>
      </c>
      <c r="R246" s="2">
        <v>12.57</v>
      </c>
      <c r="S246" s="2">
        <v>1.2310000000000001</v>
      </c>
      <c r="T246" s="2">
        <v>15.6</v>
      </c>
      <c r="U246" s="2">
        <v>-2.6190000000000002</v>
      </c>
      <c r="V246" s="2">
        <v>-4.0549999999999997</v>
      </c>
      <c r="W246" s="2">
        <v>6.4210000000000003</v>
      </c>
      <c r="X246" s="2">
        <v>10.92</v>
      </c>
      <c r="Y246" s="2">
        <v>2.37</v>
      </c>
      <c r="Z246" s="2">
        <v>0</v>
      </c>
      <c r="AA246" s="2">
        <v>22.21</v>
      </c>
      <c r="AB246" s="2">
        <v>5.2640000000000002</v>
      </c>
      <c r="AC246" s="2">
        <v>0.96</v>
      </c>
      <c r="AD246" s="2">
        <v>4.74</v>
      </c>
      <c r="AE246" s="2">
        <v>14.51</v>
      </c>
      <c r="AF246" s="2">
        <v>40.21</v>
      </c>
      <c r="AG246" s="2">
        <v>-2.625</v>
      </c>
      <c r="AH246" s="2">
        <v>40.21</v>
      </c>
      <c r="AI246" s="2">
        <v>-2.625</v>
      </c>
      <c r="AJ246" s="2" t="s">
        <v>113</v>
      </c>
      <c r="AK246" s="2" t="s">
        <v>113</v>
      </c>
      <c r="AL246" s="2">
        <v>13.77</v>
      </c>
      <c r="AM246" s="2">
        <v>27.45</v>
      </c>
      <c r="AN246" s="2">
        <v>0.27400000000000002</v>
      </c>
      <c r="AO246" s="2"/>
      <c r="AP246" s="2"/>
      <c r="AR246" s="5">
        <v>23.89</v>
      </c>
      <c r="AS246" s="5">
        <v>22.21</v>
      </c>
      <c r="AT246" s="5">
        <v>5.26</v>
      </c>
      <c r="AU246" s="7">
        <f t="shared" si="132"/>
        <v>0.23699999999999999</v>
      </c>
      <c r="AV246" s="16"/>
      <c r="AW246" s="29">
        <v>0</v>
      </c>
      <c r="AX246" s="29">
        <v>0</v>
      </c>
      <c r="AY246" s="1">
        <f t="shared" si="109"/>
        <v>98.8</v>
      </c>
      <c r="AZ246" s="1">
        <f t="shared" si="110"/>
        <v>58.7</v>
      </c>
      <c r="BA246" s="1">
        <f t="shared" si="111"/>
        <v>14.6</v>
      </c>
      <c r="BB246" s="8">
        <f t="shared" si="112"/>
        <v>0.46400000000000002</v>
      </c>
      <c r="BC246" s="8">
        <f t="shared" si="113"/>
        <v>2.714</v>
      </c>
      <c r="BE246" s="5">
        <f t="shared" si="121"/>
        <v>22.21</v>
      </c>
      <c r="BF246" s="5">
        <f t="shared" si="122"/>
        <v>5.26</v>
      </c>
      <c r="BG246" s="1">
        <f t="shared" si="139"/>
        <v>13.7</v>
      </c>
      <c r="BH246" s="1">
        <f t="shared" si="140"/>
        <v>25.1</v>
      </c>
      <c r="BI246" s="1">
        <f t="shared" si="141"/>
        <v>1.2</v>
      </c>
      <c r="BJ246" s="1">
        <f t="shared" si="123"/>
        <v>58.7</v>
      </c>
      <c r="BK246" s="1">
        <f t="shared" si="124"/>
        <v>14.6</v>
      </c>
      <c r="BL246" s="1">
        <f t="shared" si="133"/>
        <v>1</v>
      </c>
      <c r="BM246" s="1">
        <f t="shared" si="134"/>
        <v>4.7</v>
      </c>
      <c r="BN246" s="21">
        <f t="shared" si="125"/>
        <v>0</v>
      </c>
      <c r="BO246" s="7">
        <f t="shared" si="126"/>
        <v>0</v>
      </c>
      <c r="BP246" s="21" t="str">
        <f t="shared" si="120"/>
        <v>NAN</v>
      </c>
      <c r="BQ246" s="1">
        <f t="shared" si="127"/>
        <v>14.5</v>
      </c>
      <c r="BR246" s="1">
        <f t="shared" si="128"/>
        <v>40.200000000000003</v>
      </c>
      <c r="BS246" s="1">
        <f t="shared" si="129"/>
        <v>-2.6</v>
      </c>
      <c r="BT246" s="1">
        <f t="shared" si="142"/>
        <v>14.3</v>
      </c>
      <c r="BU246" s="1" t="s">
        <v>113</v>
      </c>
      <c r="BV246" s="1">
        <f t="shared" si="143"/>
        <v>11.6</v>
      </c>
      <c r="BW246" s="1" t="str">
        <f t="shared" si="135"/>
        <v>NAN</v>
      </c>
      <c r="BX246" s="1">
        <f t="shared" si="136"/>
        <v>0.46400000000000002</v>
      </c>
      <c r="BY246" s="1">
        <f t="shared" si="137"/>
        <v>2.714</v>
      </c>
      <c r="CA246" s="1">
        <f t="shared" si="130"/>
        <v>15.100000000000001</v>
      </c>
      <c r="CB246" s="1">
        <f t="shared" si="131"/>
        <v>-3.8</v>
      </c>
    </row>
    <row r="247" spans="1:80" x14ac:dyDescent="0.2">
      <c r="A247" s="9">
        <f t="shared" si="138"/>
        <v>43707</v>
      </c>
      <c r="B247" s="2">
        <v>242</v>
      </c>
      <c r="C247" s="2">
        <v>21</v>
      </c>
      <c r="D247" s="2">
        <v>13.19</v>
      </c>
      <c r="E247" s="2">
        <v>31.07</v>
      </c>
      <c r="F247" s="2">
        <v>5.8209999999999997</v>
      </c>
      <c r="G247" s="2">
        <v>13.35</v>
      </c>
      <c r="H247" s="2">
        <v>78.099999999999994</v>
      </c>
      <c r="I247" s="2">
        <v>13.76</v>
      </c>
      <c r="J247" s="2">
        <v>14.57</v>
      </c>
      <c r="K247" s="2">
        <v>14.99</v>
      </c>
      <c r="L247" s="2">
        <v>11.78</v>
      </c>
      <c r="M247" s="2">
        <v>21.9</v>
      </c>
      <c r="N247" s="2">
        <v>101.4</v>
      </c>
      <c r="O247" s="2">
        <v>30.94</v>
      </c>
      <c r="P247" s="2">
        <v>35.72</v>
      </c>
      <c r="Q247" s="2">
        <v>20.5</v>
      </c>
      <c r="R247" s="2">
        <v>12.27</v>
      </c>
      <c r="S247" s="2">
        <v>6.2069999999999999</v>
      </c>
      <c r="T247" s="2">
        <v>40.28</v>
      </c>
      <c r="U247" s="2">
        <v>2.7130000000000001</v>
      </c>
      <c r="V247" s="2">
        <v>1.7909999999999999</v>
      </c>
      <c r="W247" s="2">
        <v>10.15</v>
      </c>
      <c r="X247" s="2">
        <v>11.15</v>
      </c>
      <c r="Y247" s="2">
        <v>2.34</v>
      </c>
      <c r="Z247" s="2">
        <v>0</v>
      </c>
      <c r="AA247" s="2">
        <v>16.399999999999999</v>
      </c>
      <c r="AB247" s="2">
        <v>3.827</v>
      </c>
      <c r="AC247" s="2">
        <v>0.76</v>
      </c>
      <c r="AD247" s="2">
        <v>4.6070000000000002</v>
      </c>
      <c r="AE247" s="2">
        <v>15.6</v>
      </c>
      <c r="AF247" s="2">
        <v>36.04</v>
      </c>
      <c r="AG247" s="2">
        <v>2.78</v>
      </c>
      <c r="AH247" s="2">
        <v>36.04</v>
      </c>
      <c r="AI247" s="2">
        <v>2.78</v>
      </c>
      <c r="AJ247" s="2" t="s">
        <v>113</v>
      </c>
      <c r="AK247" s="2" t="s">
        <v>113</v>
      </c>
      <c r="AL247" s="2">
        <v>13.89</v>
      </c>
      <c r="AM247" s="2">
        <v>25.5</v>
      </c>
      <c r="AN247" s="2">
        <v>5.4029999999999996</v>
      </c>
      <c r="AO247" s="2"/>
      <c r="AP247" s="2"/>
      <c r="AR247" s="5">
        <v>23.65</v>
      </c>
      <c r="AS247" s="5">
        <v>16.399999999999999</v>
      </c>
      <c r="AT247" s="5">
        <v>3.83</v>
      </c>
      <c r="AU247" s="7">
        <f t="shared" si="132"/>
        <v>0.23400000000000001</v>
      </c>
      <c r="AV247" s="16"/>
      <c r="AW247" s="29">
        <v>0</v>
      </c>
      <c r="AX247" s="29">
        <v>0</v>
      </c>
      <c r="AY247" s="1">
        <f t="shared" si="109"/>
        <v>97.9</v>
      </c>
      <c r="AZ247" s="1">
        <f t="shared" si="110"/>
        <v>75.3</v>
      </c>
      <c r="BA247" s="1">
        <f t="shared" si="111"/>
        <v>38.6</v>
      </c>
      <c r="BB247" s="8">
        <f t="shared" si="112"/>
        <v>1.014</v>
      </c>
      <c r="BC247" s="8">
        <f t="shared" si="113"/>
        <v>1.613</v>
      </c>
      <c r="BE247" s="5">
        <f t="shared" si="121"/>
        <v>16.399999999999999</v>
      </c>
      <c r="BF247" s="5">
        <f t="shared" si="122"/>
        <v>3.83</v>
      </c>
      <c r="BG247" s="1">
        <f t="shared" si="139"/>
        <v>13.4</v>
      </c>
      <c r="BH247" s="1">
        <f t="shared" si="140"/>
        <v>21.9</v>
      </c>
      <c r="BI247" s="1">
        <f t="shared" si="141"/>
        <v>6.2</v>
      </c>
      <c r="BJ247" s="1">
        <f t="shared" si="123"/>
        <v>75.3</v>
      </c>
      <c r="BK247" s="1">
        <f t="shared" si="124"/>
        <v>38.6</v>
      </c>
      <c r="BL247" s="1">
        <f t="shared" si="133"/>
        <v>0.8</v>
      </c>
      <c r="BM247" s="1">
        <f t="shared" si="134"/>
        <v>4.5999999999999996</v>
      </c>
      <c r="BN247" s="21">
        <f t="shared" si="125"/>
        <v>0</v>
      </c>
      <c r="BO247" s="7">
        <f t="shared" si="126"/>
        <v>0</v>
      </c>
      <c r="BP247" s="21" t="str">
        <f t="shared" si="120"/>
        <v>NAN</v>
      </c>
      <c r="BQ247" s="1">
        <f t="shared" si="127"/>
        <v>15.6</v>
      </c>
      <c r="BR247" s="1">
        <f t="shared" si="128"/>
        <v>36</v>
      </c>
      <c r="BS247" s="1">
        <f t="shared" si="129"/>
        <v>2.8</v>
      </c>
      <c r="BT247" s="1">
        <f t="shared" si="142"/>
        <v>15</v>
      </c>
      <c r="BU247" s="1" t="s">
        <v>113</v>
      </c>
      <c r="BV247" s="1">
        <f t="shared" si="143"/>
        <v>11.8</v>
      </c>
      <c r="BW247" s="1" t="str">
        <f t="shared" si="135"/>
        <v>NAN</v>
      </c>
      <c r="BX247" s="1">
        <f t="shared" si="136"/>
        <v>1.014</v>
      </c>
      <c r="BY247" s="1">
        <f t="shared" si="137"/>
        <v>1.613</v>
      </c>
      <c r="CA247" s="1">
        <f t="shared" si="130"/>
        <v>14.100000000000001</v>
      </c>
      <c r="CB247" s="1">
        <f t="shared" si="131"/>
        <v>-3.4000000000000004</v>
      </c>
    </row>
    <row r="248" spans="1:80" x14ac:dyDescent="0.2">
      <c r="A248" s="9">
        <f t="shared" si="138"/>
        <v>43708</v>
      </c>
      <c r="B248" s="2">
        <v>243</v>
      </c>
      <c r="C248" s="2">
        <v>21</v>
      </c>
      <c r="D248" s="2">
        <v>13.18</v>
      </c>
      <c r="E248" s="2">
        <v>27.82</v>
      </c>
      <c r="F248" s="2">
        <v>7.32</v>
      </c>
      <c r="G248" s="2">
        <v>13.53</v>
      </c>
      <c r="H248" s="2">
        <v>84.1</v>
      </c>
      <c r="I248" s="2">
        <v>13.26</v>
      </c>
      <c r="J248" s="2">
        <v>13.99</v>
      </c>
      <c r="K248" s="2">
        <v>15.06</v>
      </c>
      <c r="L248" s="2">
        <v>12.06</v>
      </c>
      <c r="M248" s="2">
        <v>22.67</v>
      </c>
      <c r="N248" s="2">
        <v>102.4</v>
      </c>
      <c r="O248" s="2">
        <v>30.75</v>
      </c>
      <c r="P248" s="2">
        <v>37.25</v>
      </c>
      <c r="Q248" s="2">
        <v>20.5</v>
      </c>
      <c r="R248" s="2">
        <v>12.66</v>
      </c>
      <c r="S248" s="2">
        <v>6.3630000000000004</v>
      </c>
      <c r="T248" s="2">
        <v>42.21</v>
      </c>
      <c r="U248" s="2">
        <v>3.6829999999999998</v>
      </c>
      <c r="V248" s="2">
        <v>2.7029999999999998</v>
      </c>
      <c r="W248" s="2">
        <v>11.32</v>
      </c>
      <c r="X248" s="2">
        <v>11.63</v>
      </c>
      <c r="Y248" s="2">
        <v>2.3530000000000002</v>
      </c>
      <c r="Z248" s="2">
        <v>1.016</v>
      </c>
      <c r="AA248" s="2">
        <v>12.68</v>
      </c>
      <c r="AB248" s="2">
        <v>2.9260000000000002</v>
      </c>
      <c r="AC248" s="2">
        <v>0.84899999999999998</v>
      </c>
      <c r="AD248" s="2">
        <v>4.34</v>
      </c>
      <c r="AE248" s="2">
        <v>14.76</v>
      </c>
      <c r="AF248" s="2">
        <v>37.11</v>
      </c>
      <c r="AG248" s="2">
        <v>3.7450000000000001</v>
      </c>
      <c r="AH248" s="2">
        <v>37.11</v>
      </c>
      <c r="AI248" s="2">
        <v>3.7450000000000001</v>
      </c>
      <c r="AJ248" s="2" t="s">
        <v>113</v>
      </c>
      <c r="AK248" s="2" t="s">
        <v>113</v>
      </c>
      <c r="AL248" s="2">
        <v>13.58</v>
      </c>
      <c r="AM248" s="2">
        <v>24.48</v>
      </c>
      <c r="AN248" s="2">
        <v>5.8179999999999996</v>
      </c>
      <c r="AO248" s="2"/>
      <c r="AP248" s="2"/>
      <c r="AR248" s="5">
        <v>23.41</v>
      </c>
      <c r="AS248" s="5">
        <v>12.67</v>
      </c>
      <c r="AT248" s="5">
        <v>2.93</v>
      </c>
      <c r="AU248" s="7">
        <f t="shared" si="132"/>
        <v>0.23100000000000001</v>
      </c>
      <c r="AV248" s="16"/>
      <c r="AW248" s="29">
        <v>1.016</v>
      </c>
      <c r="AX248" s="29">
        <v>0</v>
      </c>
      <c r="AY248" s="1">
        <f t="shared" si="109"/>
        <v>98.8</v>
      </c>
      <c r="AZ248" s="1">
        <f t="shared" si="110"/>
        <v>81.099999999999994</v>
      </c>
      <c r="BA248" s="1">
        <f t="shared" si="111"/>
        <v>40.4</v>
      </c>
      <c r="BB248" s="8">
        <f t="shared" si="112"/>
        <v>1.1120000000000001</v>
      </c>
      <c r="BC248" s="8">
        <f t="shared" si="113"/>
        <v>1.64</v>
      </c>
      <c r="BE248" s="5">
        <f t="shared" si="121"/>
        <v>12.67</v>
      </c>
      <c r="BF248" s="5">
        <f t="shared" si="122"/>
        <v>2.93</v>
      </c>
      <c r="BG248" s="1">
        <f t="shared" si="139"/>
        <v>13.5</v>
      </c>
      <c r="BH248" s="1">
        <f t="shared" si="140"/>
        <v>22.7</v>
      </c>
      <c r="BI248" s="1">
        <f t="shared" si="141"/>
        <v>6.4</v>
      </c>
      <c r="BJ248" s="1">
        <f t="shared" si="123"/>
        <v>81.099999999999994</v>
      </c>
      <c r="BK248" s="1">
        <f t="shared" si="124"/>
        <v>40.4</v>
      </c>
      <c r="BL248" s="1">
        <f t="shared" si="133"/>
        <v>0.8</v>
      </c>
      <c r="BM248" s="1">
        <f t="shared" si="134"/>
        <v>4.3</v>
      </c>
      <c r="BN248" s="21">
        <f t="shared" si="125"/>
        <v>1.016</v>
      </c>
      <c r="BO248" s="7">
        <f t="shared" si="126"/>
        <v>0</v>
      </c>
      <c r="BP248" s="21" t="str">
        <f t="shared" si="120"/>
        <v>NAN</v>
      </c>
      <c r="BQ248" s="1">
        <f t="shared" si="127"/>
        <v>14.8</v>
      </c>
      <c r="BR248" s="1">
        <f t="shared" si="128"/>
        <v>37.1</v>
      </c>
      <c r="BS248" s="1">
        <f t="shared" si="129"/>
        <v>3.7</v>
      </c>
      <c r="BT248" s="1">
        <f t="shared" si="142"/>
        <v>15.1</v>
      </c>
      <c r="BU248" s="1" t="s">
        <v>113</v>
      </c>
      <c r="BV248" s="1">
        <f t="shared" si="143"/>
        <v>12.1</v>
      </c>
      <c r="BW248" s="1" t="str">
        <f t="shared" si="135"/>
        <v>NAN</v>
      </c>
      <c r="BX248" s="1">
        <f t="shared" si="136"/>
        <v>1.1120000000000001</v>
      </c>
      <c r="BY248" s="1">
        <f t="shared" si="137"/>
        <v>1.64</v>
      </c>
      <c r="CA248" s="1">
        <f t="shared" si="130"/>
        <v>14.400000000000002</v>
      </c>
      <c r="CB248" s="1">
        <f t="shared" si="131"/>
        <v>-2.7</v>
      </c>
    </row>
    <row r="249" spans="1:80" x14ac:dyDescent="0.2">
      <c r="A249" s="9">
        <f t="shared" si="138"/>
        <v>43709</v>
      </c>
      <c r="B249" s="2">
        <v>244</v>
      </c>
      <c r="C249" s="2">
        <v>21</v>
      </c>
      <c r="D249" s="2">
        <v>13.17</v>
      </c>
      <c r="E249" s="2">
        <v>27.64</v>
      </c>
      <c r="F249" s="2">
        <v>4.2229999999999999</v>
      </c>
      <c r="G249" s="2">
        <v>12.34</v>
      </c>
      <c r="H249" s="2">
        <v>77.5</v>
      </c>
      <c r="I249" s="2">
        <v>12.55</v>
      </c>
      <c r="J249" s="2">
        <v>13.35</v>
      </c>
      <c r="K249" s="2">
        <v>14.17</v>
      </c>
      <c r="L249" s="2">
        <v>12.12</v>
      </c>
      <c r="M249" s="2">
        <v>21.13</v>
      </c>
      <c r="N249" s="2">
        <v>102.6</v>
      </c>
      <c r="O249" s="2">
        <v>29.3</v>
      </c>
      <c r="P249" s="2">
        <v>34.799999999999997</v>
      </c>
      <c r="Q249" s="2">
        <v>19.2</v>
      </c>
      <c r="R249" s="2">
        <v>12.97</v>
      </c>
      <c r="S249" s="2">
        <v>4.008</v>
      </c>
      <c r="T249" s="2">
        <v>40.96</v>
      </c>
      <c r="U249" s="2">
        <v>0.623</v>
      </c>
      <c r="V249" s="2">
        <v>-0.78900000000000003</v>
      </c>
      <c r="W249" s="2">
        <v>9.06</v>
      </c>
      <c r="X249" s="2">
        <v>11.57</v>
      </c>
      <c r="Y249" s="2">
        <v>2.3260000000000001</v>
      </c>
      <c r="Z249" s="2">
        <v>0.254</v>
      </c>
      <c r="AA249" s="2">
        <v>17.329999999999998</v>
      </c>
      <c r="AB249" s="2">
        <v>3.9889999999999999</v>
      </c>
      <c r="AC249" s="2">
        <v>1.115</v>
      </c>
      <c r="AD249" s="2">
        <v>5.3540000000000001</v>
      </c>
      <c r="AE249" s="2">
        <v>13.51</v>
      </c>
      <c r="AF249" s="2">
        <v>32.299999999999997</v>
      </c>
      <c r="AG249" s="2">
        <v>0.45500000000000002</v>
      </c>
      <c r="AH249" s="2">
        <v>32.299999999999997</v>
      </c>
      <c r="AI249" s="2">
        <v>0.45500000000000002</v>
      </c>
      <c r="AJ249" s="2" t="s">
        <v>113</v>
      </c>
      <c r="AK249" s="2" t="s">
        <v>113</v>
      </c>
      <c r="AL249" s="2">
        <v>12.71</v>
      </c>
      <c r="AM249" s="2">
        <v>24.35</v>
      </c>
      <c r="AN249" s="2">
        <v>3.387</v>
      </c>
      <c r="AO249" s="2"/>
      <c r="AP249" s="2"/>
      <c r="AR249" s="5">
        <v>23.17</v>
      </c>
      <c r="AS249" s="5">
        <v>17.329999999999998</v>
      </c>
      <c r="AT249" s="5">
        <v>3.99</v>
      </c>
      <c r="AU249" s="7">
        <f t="shared" si="132"/>
        <v>0.23</v>
      </c>
      <c r="AV249" s="16"/>
      <c r="AW249" s="29">
        <v>0.254</v>
      </c>
      <c r="AX249" s="29">
        <v>0</v>
      </c>
      <c r="AY249" s="1">
        <f t="shared" si="109"/>
        <v>99</v>
      </c>
      <c r="AZ249" s="1">
        <f t="shared" si="110"/>
        <v>74.7</v>
      </c>
      <c r="BA249" s="1">
        <f t="shared" si="111"/>
        <v>39.200000000000003</v>
      </c>
      <c r="BB249" s="8">
        <f t="shared" si="112"/>
        <v>0.98199999999999998</v>
      </c>
      <c r="BC249" s="8">
        <f t="shared" si="113"/>
        <v>1.5229999999999999</v>
      </c>
      <c r="BE249" s="5">
        <f t="shared" si="121"/>
        <v>17.329999999999998</v>
      </c>
      <c r="BF249" s="5">
        <f t="shared" si="122"/>
        <v>3.99</v>
      </c>
      <c r="BG249" s="1">
        <f t="shared" si="139"/>
        <v>12.3</v>
      </c>
      <c r="BH249" s="1">
        <f t="shared" si="140"/>
        <v>21.1</v>
      </c>
      <c r="BI249" s="1">
        <f t="shared" si="141"/>
        <v>4</v>
      </c>
      <c r="BJ249" s="1">
        <f t="shared" si="123"/>
        <v>74.7</v>
      </c>
      <c r="BK249" s="1">
        <f t="shared" si="124"/>
        <v>39.200000000000003</v>
      </c>
      <c r="BL249" s="1">
        <f t="shared" si="133"/>
        <v>1.1000000000000001</v>
      </c>
      <c r="BM249" s="1">
        <f t="shared" si="134"/>
        <v>5.4</v>
      </c>
      <c r="BN249" s="21">
        <f t="shared" si="125"/>
        <v>0.254</v>
      </c>
      <c r="BO249" s="7">
        <f t="shared" si="126"/>
        <v>0</v>
      </c>
      <c r="BP249" s="21" t="str">
        <f t="shared" si="120"/>
        <v>NAN</v>
      </c>
      <c r="BQ249" s="1">
        <f t="shared" si="127"/>
        <v>13.5</v>
      </c>
      <c r="BR249" s="1">
        <f t="shared" si="128"/>
        <v>32.299999999999997</v>
      </c>
      <c r="BS249" s="1">
        <f t="shared" si="129"/>
        <v>0.5</v>
      </c>
      <c r="BT249" s="1">
        <f t="shared" si="142"/>
        <v>14.2</v>
      </c>
      <c r="BU249" s="1" t="s">
        <v>113</v>
      </c>
      <c r="BV249" s="1">
        <f t="shared" si="143"/>
        <v>12.1</v>
      </c>
      <c r="BW249" s="1" t="str">
        <f t="shared" si="135"/>
        <v>NAN</v>
      </c>
      <c r="BX249" s="1">
        <f t="shared" si="136"/>
        <v>0.98199999999999998</v>
      </c>
      <c r="BY249" s="1">
        <f t="shared" si="137"/>
        <v>1.5229999999999999</v>
      </c>
      <c r="CA249" s="1">
        <f t="shared" si="130"/>
        <v>11.199999999999996</v>
      </c>
      <c r="CB249" s="1">
        <f t="shared" si="131"/>
        <v>-3.5</v>
      </c>
    </row>
    <row r="250" spans="1:80" x14ac:dyDescent="0.2">
      <c r="A250" s="9">
        <f t="shared" si="138"/>
        <v>43710</v>
      </c>
      <c r="B250" s="2">
        <v>245</v>
      </c>
      <c r="C250" s="2">
        <v>21</v>
      </c>
      <c r="D250" s="2">
        <v>13.15</v>
      </c>
      <c r="E250" s="2">
        <v>26</v>
      </c>
      <c r="F250" s="2">
        <v>1.506</v>
      </c>
      <c r="G250" s="2">
        <v>10.36</v>
      </c>
      <c r="H250" s="2">
        <v>76.900000000000006</v>
      </c>
      <c r="I250" s="2">
        <v>10.53</v>
      </c>
      <c r="J250" s="2">
        <v>11.71</v>
      </c>
      <c r="K250" s="2">
        <v>13.72</v>
      </c>
      <c r="L250" s="2">
        <v>12.11</v>
      </c>
      <c r="M250" s="2">
        <v>18.899999999999999</v>
      </c>
      <c r="N250" s="2">
        <v>102.4</v>
      </c>
      <c r="O250" s="2">
        <v>26.61</v>
      </c>
      <c r="P250" s="2">
        <v>33.18</v>
      </c>
      <c r="Q250" s="2">
        <v>19.45</v>
      </c>
      <c r="R250" s="2">
        <v>12.93</v>
      </c>
      <c r="S250" s="2">
        <v>2.4910000000000001</v>
      </c>
      <c r="T250" s="2">
        <v>36.56</v>
      </c>
      <c r="U250" s="2">
        <v>-1.4750000000000001</v>
      </c>
      <c r="V250" s="2">
        <v>-2.6560000000000001</v>
      </c>
      <c r="W250" s="2">
        <v>7.98</v>
      </c>
      <c r="X250" s="2">
        <v>11.53</v>
      </c>
      <c r="Y250" s="2">
        <v>2.343</v>
      </c>
      <c r="Z250" s="2">
        <v>0</v>
      </c>
      <c r="AA250" s="2">
        <v>20.329999999999998</v>
      </c>
      <c r="AB250" s="2">
        <v>4.7889999999999997</v>
      </c>
      <c r="AC250" s="2">
        <v>1.4330000000000001</v>
      </c>
      <c r="AD250" s="2">
        <v>5.0069999999999997</v>
      </c>
      <c r="AE250" s="2">
        <v>11.84</v>
      </c>
      <c r="AF250" s="2">
        <v>32.28</v>
      </c>
      <c r="AG250" s="2">
        <v>-1.121</v>
      </c>
      <c r="AH250" s="2">
        <v>32.28</v>
      </c>
      <c r="AI250" s="2">
        <v>-1.121</v>
      </c>
      <c r="AJ250" s="2" t="s">
        <v>113</v>
      </c>
      <c r="AK250" s="2" t="s">
        <v>113</v>
      </c>
      <c r="AL250" s="2">
        <v>10.64</v>
      </c>
      <c r="AM250" s="2">
        <v>21.71</v>
      </c>
      <c r="AN250" s="2">
        <v>1.8919999999999999</v>
      </c>
      <c r="AO250" s="2"/>
      <c r="AP250" s="2"/>
      <c r="AR250" s="5">
        <v>22.93</v>
      </c>
      <c r="AS250" s="5">
        <v>20.329999999999998</v>
      </c>
      <c r="AT250" s="5">
        <v>4.79</v>
      </c>
      <c r="AU250" s="7">
        <f t="shared" si="132"/>
        <v>0.23599999999999999</v>
      </c>
      <c r="AV250" s="16"/>
      <c r="AW250" s="29">
        <v>0</v>
      </c>
      <c r="AX250" s="29">
        <v>0</v>
      </c>
      <c r="AY250" s="1">
        <f t="shared" si="109"/>
        <v>98.8</v>
      </c>
      <c r="AZ250" s="1">
        <f t="shared" si="110"/>
        <v>74.099999999999994</v>
      </c>
      <c r="BA250" s="1">
        <f t="shared" si="111"/>
        <v>35</v>
      </c>
      <c r="BB250" s="8">
        <f t="shared" si="112"/>
        <v>0.76400000000000001</v>
      </c>
      <c r="BC250" s="8">
        <f t="shared" si="113"/>
        <v>1.419</v>
      </c>
      <c r="BE250" s="5">
        <f t="shared" si="121"/>
        <v>20.329999999999998</v>
      </c>
      <c r="BF250" s="5">
        <f t="shared" si="122"/>
        <v>4.79</v>
      </c>
      <c r="BG250" s="1">
        <f t="shared" si="139"/>
        <v>10.4</v>
      </c>
      <c r="BH250" s="1">
        <f t="shared" si="140"/>
        <v>18.899999999999999</v>
      </c>
      <c r="BI250" s="1">
        <f t="shared" si="141"/>
        <v>2.5</v>
      </c>
      <c r="BJ250" s="1">
        <f t="shared" si="123"/>
        <v>74.099999999999994</v>
      </c>
      <c r="BK250" s="1">
        <f t="shared" si="124"/>
        <v>35</v>
      </c>
      <c r="BL250" s="1">
        <f t="shared" si="133"/>
        <v>1.4</v>
      </c>
      <c r="BM250" s="1">
        <f t="shared" si="134"/>
        <v>5</v>
      </c>
      <c r="BN250" s="21">
        <f t="shared" si="125"/>
        <v>0</v>
      </c>
      <c r="BO250" s="7">
        <f t="shared" si="126"/>
        <v>0</v>
      </c>
      <c r="BP250" s="21" t="str">
        <f t="shared" si="120"/>
        <v>NAN</v>
      </c>
      <c r="BQ250" s="1">
        <f t="shared" si="127"/>
        <v>11.8</v>
      </c>
      <c r="BR250" s="1">
        <f t="shared" si="128"/>
        <v>32.299999999999997</v>
      </c>
      <c r="BS250" s="1">
        <f t="shared" si="129"/>
        <v>-1.1000000000000001</v>
      </c>
      <c r="BT250" s="1">
        <f t="shared" si="142"/>
        <v>13.7</v>
      </c>
      <c r="BU250" s="1" t="s">
        <v>113</v>
      </c>
      <c r="BV250" s="1">
        <f t="shared" si="143"/>
        <v>12.1</v>
      </c>
      <c r="BW250" s="1" t="str">
        <f t="shared" si="135"/>
        <v>NAN</v>
      </c>
      <c r="BX250" s="1">
        <f t="shared" si="136"/>
        <v>0.76400000000000001</v>
      </c>
      <c r="BY250" s="1">
        <f t="shared" si="137"/>
        <v>1.419</v>
      </c>
      <c r="CA250" s="1">
        <f t="shared" si="130"/>
        <v>13.399999999999999</v>
      </c>
      <c r="CB250" s="1">
        <f t="shared" si="131"/>
        <v>-3.6</v>
      </c>
    </row>
    <row r="251" spans="1:80" x14ac:dyDescent="0.2">
      <c r="A251" s="9">
        <f t="shared" si="138"/>
        <v>43711</v>
      </c>
      <c r="B251" s="2">
        <v>246</v>
      </c>
      <c r="C251" s="2">
        <v>21</v>
      </c>
      <c r="D251" s="2">
        <v>13.16</v>
      </c>
      <c r="E251" s="2">
        <v>32.25</v>
      </c>
      <c r="F251" s="2">
        <v>2.5000000000000001E-2</v>
      </c>
      <c r="G251" s="2">
        <v>13.15</v>
      </c>
      <c r="H251" s="2">
        <v>68.290000000000006</v>
      </c>
      <c r="I251" s="2">
        <v>13.41</v>
      </c>
      <c r="J251" s="2">
        <v>14.63</v>
      </c>
      <c r="K251" s="2">
        <v>14.39</v>
      </c>
      <c r="L251" s="2">
        <v>12.07</v>
      </c>
      <c r="M251" s="2">
        <v>24.23</v>
      </c>
      <c r="N251" s="2">
        <v>102.3</v>
      </c>
      <c r="O251" s="2">
        <v>33.36</v>
      </c>
      <c r="P251" s="2">
        <v>38.6</v>
      </c>
      <c r="Q251" s="2">
        <v>21.43</v>
      </c>
      <c r="R251" s="2">
        <v>13.08</v>
      </c>
      <c r="S251" s="2">
        <v>1.593</v>
      </c>
      <c r="T251" s="2">
        <v>28.4</v>
      </c>
      <c r="U251" s="2">
        <v>-2.4119999999999999</v>
      </c>
      <c r="V251" s="2">
        <v>-3.851</v>
      </c>
      <c r="W251" s="2">
        <v>6.8159999999999998</v>
      </c>
      <c r="X251" s="2">
        <v>11.33</v>
      </c>
      <c r="Y251" s="2">
        <v>2.3319999999999999</v>
      </c>
      <c r="Z251" s="2">
        <v>5.3339999999999996</v>
      </c>
      <c r="AA251" s="2">
        <v>20.66</v>
      </c>
      <c r="AB251" s="2">
        <v>4.8520000000000003</v>
      </c>
      <c r="AC251" s="2">
        <v>1.256</v>
      </c>
      <c r="AD251" s="2">
        <v>6.26</v>
      </c>
      <c r="AE251" s="2">
        <v>14.99</v>
      </c>
      <c r="AF251" s="2">
        <v>38.42</v>
      </c>
      <c r="AG251" s="2">
        <v>-2.363</v>
      </c>
      <c r="AH251" s="2">
        <v>38.42</v>
      </c>
      <c r="AI251" s="2">
        <v>-2.363</v>
      </c>
      <c r="AJ251" s="2" t="s">
        <v>113</v>
      </c>
      <c r="AK251" s="2" t="s">
        <v>113</v>
      </c>
      <c r="AL251" s="2">
        <v>13.37</v>
      </c>
      <c r="AM251" s="2">
        <v>27.27</v>
      </c>
      <c r="AN251" s="2">
        <v>0.55200000000000005</v>
      </c>
      <c r="AO251" s="2"/>
      <c r="AP251" s="2"/>
      <c r="AR251" s="5">
        <v>22.69</v>
      </c>
      <c r="AS251" s="5">
        <v>20.66</v>
      </c>
      <c r="AT251" s="5">
        <v>4.8499999999999996</v>
      </c>
      <c r="AU251" s="7">
        <f t="shared" si="132"/>
        <v>0.23499999999999999</v>
      </c>
      <c r="AV251" s="16"/>
      <c r="AW251" s="29">
        <v>5.08</v>
      </c>
      <c r="AX251" s="29">
        <v>0</v>
      </c>
      <c r="AY251" s="1">
        <f t="shared" si="109"/>
        <v>98.7</v>
      </c>
      <c r="AZ251" s="1">
        <f t="shared" si="110"/>
        <v>65.7</v>
      </c>
      <c r="BA251" s="1">
        <f t="shared" si="111"/>
        <v>27</v>
      </c>
      <c r="BB251" s="8">
        <f t="shared" si="112"/>
        <v>0.81699999999999995</v>
      </c>
      <c r="BC251" s="8">
        <f t="shared" si="113"/>
        <v>2.2090000000000001</v>
      </c>
      <c r="BE251" s="5">
        <f t="shared" si="121"/>
        <v>20.66</v>
      </c>
      <c r="BF251" s="5">
        <f t="shared" si="122"/>
        <v>4.8499999999999996</v>
      </c>
      <c r="BG251" s="1">
        <f t="shared" si="139"/>
        <v>13.2</v>
      </c>
      <c r="BH251" s="1">
        <f t="shared" si="140"/>
        <v>24.2</v>
      </c>
      <c r="BI251" s="1">
        <f t="shared" si="141"/>
        <v>1.6</v>
      </c>
      <c r="BJ251" s="1">
        <f t="shared" si="123"/>
        <v>65.7</v>
      </c>
      <c r="BK251" s="1">
        <f t="shared" si="124"/>
        <v>27</v>
      </c>
      <c r="BL251" s="1">
        <f t="shared" si="133"/>
        <v>1.3</v>
      </c>
      <c r="BM251" s="1">
        <f t="shared" si="134"/>
        <v>6.3</v>
      </c>
      <c r="BN251" s="21">
        <f t="shared" si="125"/>
        <v>5.08</v>
      </c>
      <c r="BO251" s="7">
        <f t="shared" si="126"/>
        <v>0</v>
      </c>
      <c r="BP251" s="21" t="str">
        <f t="shared" si="120"/>
        <v>NAN</v>
      </c>
      <c r="BQ251" s="1">
        <f t="shared" si="127"/>
        <v>15</v>
      </c>
      <c r="BR251" s="1">
        <f t="shared" si="128"/>
        <v>38.4</v>
      </c>
      <c r="BS251" s="1">
        <f t="shared" si="129"/>
        <v>-2.4</v>
      </c>
      <c r="BT251" s="1">
        <f t="shared" si="142"/>
        <v>14.4</v>
      </c>
      <c r="BU251" s="1" t="s">
        <v>113</v>
      </c>
      <c r="BV251" s="1">
        <f t="shared" si="143"/>
        <v>12.1</v>
      </c>
      <c r="BW251" s="1" t="str">
        <f t="shared" si="135"/>
        <v>NAN</v>
      </c>
      <c r="BX251" s="1">
        <f t="shared" si="136"/>
        <v>0.81699999999999995</v>
      </c>
      <c r="BY251" s="1">
        <f t="shared" si="137"/>
        <v>2.2090000000000001</v>
      </c>
      <c r="CA251" s="1">
        <f t="shared" si="130"/>
        <v>14.2</v>
      </c>
      <c r="CB251" s="1">
        <f t="shared" si="131"/>
        <v>-4</v>
      </c>
    </row>
    <row r="252" spans="1:80" x14ac:dyDescent="0.2">
      <c r="A252" s="9">
        <f t="shared" si="138"/>
        <v>43712</v>
      </c>
      <c r="B252" s="2">
        <v>247</v>
      </c>
      <c r="C252" s="2">
        <v>21</v>
      </c>
      <c r="D252" s="2">
        <v>13.16</v>
      </c>
      <c r="E252" s="2">
        <v>29.18</v>
      </c>
      <c r="F252" s="2">
        <v>2.2029999999999998</v>
      </c>
      <c r="G252" s="2">
        <v>10.59</v>
      </c>
      <c r="H252" s="2">
        <v>82</v>
      </c>
      <c r="I252" s="2">
        <v>10.62</v>
      </c>
      <c r="J252" s="2">
        <v>11.42</v>
      </c>
      <c r="K252" s="2">
        <v>13.65</v>
      </c>
      <c r="L252" s="2">
        <v>12.09</v>
      </c>
      <c r="M252" s="2">
        <v>20.69</v>
      </c>
      <c r="N252" s="2">
        <v>103</v>
      </c>
      <c r="O252" s="2">
        <v>28.98</v>
      </c>
      <c r="P252" s="2">
        <v>33.799999999999997</v>
      </c>
      <c r="Q252" s="2">
        <v>18.86</v>
      </c>
      <c r="R252" s="2">
        <v>13.03</v>
      </c>
      <c r="S252" s="2">
        <v>2.4060000000000001</v>
      </c>
      <c r="T252" s="2">
        <v>36.479999999999997</v>
      </c>
      <c r="U252" s="2">
        <v>-0.371</v>
      </c>
      <c r="V252" s="2">
        <v>-1.1779999999999999</v>
      </c>
      <c r="W252" s="2">
        <v>7.96</v>
      </c>
      <c r="X252" s="2">
        <v>11.29</v>
      </c>
      <c r="Y252" s="2">
        <v>2.3690000000000002</v>
      </c>
      <c r="Z252" s="2">
        <v>0.254</v>
      </c>
      <c r="AA252" s="2">
        <v>18.850000000000001</v>
      </c>
      <c r="AB252" s="2">
        <v>4.2619999999999996</v>
      </c>
      <c r="AC252" s="2">
        <v>0.63200000000000001</v>
      </c>
      <c r="AD252" s="2">
        <v>3.3540000000000001</v>
      </c>
      <c r="AE252" s="2">
        <v>11.05</v>
      </c>
      <c r="AF252" s="2">
        <v>30.77</v>
      </c>
      <c r="AG252" s="2">
        <v>0.22800000000000001</v>
      </c>
      <c r="AH252" s="2">
        <v>30.77</v>
      </c>
      <c r="AI252" s="2">
        <v>0.22800000000000001</v>
      </c>
      <c r="AJ252" s="2" t="s">
        <v>113</v>
      </c>
      <c r="AK252" s="2" t="s">
        <v>113</v>
      </c>
      <c r="AL252" s="2">
        <v>11.13</v>
      </c>
      <c r="AM252" s="2">
        <v>24.44</v>
      </c>
      <c r="AN252" s="2">
        <v>1.847</v>
      </c>
      <c r="AO252" s="2"/>
      <c r="AP252" s="2"/>
      <c r="AR252" s="5">
        <v>22.44</v>
      </c>
      <c r="AS252" s="5">
        <v>18.850000000000001</v>
      </c>
      <c r="AT252" s="5">
        <v>4.26</v>
      </c>
      <c r="AU252" s="7">
        <f t="shared" si="132"/>
        <v>0.22600000000000001</v>
      </c>
      <c r="AV252" s="16"/>
      <c r="AW252" s="29">
        <v>0.254</v>
      </c>
      <c r="AX252" s="29">
        <v>0</v>
      </c>
      <c r="AY252" s="1">
        <f t="shared" si="109"/>
        <v>99.4</v>
      </c>
      <c r="AZ252" s="1">
        <f t="shared" si="110"/>
        <v>79</v>
      </c>
      <c r="BA252" s="1">
        <f t="shared" si="111"/>
        <v>34.9</v>
      </c>
      <c r="BB252" s="8">
        <f t="shared" si="112"/>
        <v>0.85099999999999998</v>
      </c>
      <c r="BC252" s="8">
        <f t="shared" si="113"/>
        <v>1.587</v>
      </c>
      <c r="BE252" s="5">
        <f t="shared" si="121"/>
        <v>18.850000000000001</v>
      </c>
      <c r="BF252" s="5">
        <f t="shared" si="122"/>
        <v>4.26</v>
      </c>
      <c r="BG252" s="1">
        <f t="shared" si="139"/>
        <v>10.6</v>
      </c>
      <c r="BH252" s="1">
        <f t="shared" si="140"/>
        <v>20.7</v>
      </c>
      <c r="BI252" s="1">
        <f t="shared" si="141"/>
        <v>2.4</v>
      </c>
      <c r="BJ252" s="1">
        <f t="shared" si="123"/>
        <v>79</v>
      </c>
      <c r="BK252" s="1">
        <f t="shared" si="124"/>
        <v>34.9</v>
      </c>
      <c r="BL252" s="1">
        <f t="shared" si="133"/>
        <v>0.6</v>
      </c>
      <c r="BM252" s="1">
        <f t="shared" si="134"/>
        <v>3.4</v>
      </c>
      <c r="BN252" s="21">
        <f t="shared" si="125"/>
        <v>0.254</v>
      </c>
      <c r="BO252" s="7">
        <f t="shared" si="126"/>
        <v>0</v>
      </c>
      <c r="BP252" s="21" t="str">
        <f t="shared" si="120"/>
        <v>NAN</v>
      </c>
      <c r="BQ252" s="1">
        <f t="shared" si="127"/>
        <v>11.1</v>
      </c>
      <c r="BR252" s="1">
        <f t="shared" si="128"/>
        <v>30.8</v>
      </c>
      <c r="BS252" s="1">
        <f t="shared" si="129"/>
        <v>0.2</v>
      </c>
      <c r="BT252" s="1">
        <f t="shared" si="142"/>
        <v>13.7</v>
      </c>
      <c r="BU252" s="1" t="s">
        <v>113</v>
      </c>
      <c r="BV252" s="1">
        <f t="shared" si="143"/>
        <v>12.1</v>
      </c>
      <c r="BW252" s="1" t="str">
        <f t="shared" si="135"/>
        <v>NAN</v>
      </c>
      <c r="BX252" s="1">
        <f t="shared" si="136"/>
        <v>0.85099999999999998</v>
      </c>
      <c r="BY252" s="1">
        <f t="shared" si="137"/>
        <v>1.587</v>
      </c>
      <c r="CA252" s="1">
        <f t="shared" si="130"/>
        <v>10.100000000000001</v>
      </c>
      <c r="CB252" s="1">
        <f t="shared" si="131"/>
        <v>-2.1999999999999997</v>
      </c>
    </row>
    <row r="253" spans="1:80" x14ac:dyDescent="0.2">
      <c r="A253" s="9">
        <f t="shared" si="138"/>
        <v>43713</v>
      </c>
      <c r="B253" s="2">
        <v>248</v>
      </c>
      <c r="C253" s="2">
        <v>21</v>
      </c>
      <c r="D253" s="2">
        <v>13.17</v>
      </c>
      <c r="E253" s="2">
        <v>32.01</v>
      </c>
      <c r="F253" s="2">
        <v>8.6999999999999994E-2</v>
      </c>
      <c r="G253" s="2">
        <v>12.27</v>
      </c>
      <c r="H253" s="2">
        <v>73.8</v>
      </c>
      <c r="I253" s="2">
        <v>12.18</v>
      </c>
      <c r="J253" s="2">
        <v>13.01</v>
      </c>
      <c r="K253" s="2">
        <v>13.57</v>
      </c>
      <c r="L253" s="2">
        <v>12.03</v>
      </c>
      <c r="M253" s="2">
        <v>23.71</v>
      </c>
      <c r="N253" s="2">
        <v>102.8</v>
      </c>
      <c r="O253" s="2">
        <v>32.24</v>
      </c>
      <c r="P253" s="2">
        <v>35.630000000000003</v>
      </c>
      <c r="Q253" s="2">
        <v>20.49</v>
      </c>
      <c r="R253" s="2">
        <v>13.06</v>
      </c>
      <c r="S253" s="2">
        <v>1.117</v>
      </c>
      <c r="T253" s="2">
        <v>31.2</v>
      </c>
      <c r="U253" s="2">
        <v>-2.0230000000000001</v>
      </c>
      <c r="V253" s="2">
        <v>-2.9620000000000002</v>
      </c>
      <c r="W253" s="2">
        <v>6.0069999999999997</v>
      </c>
      <c r="X253" s="2">
        <v>11.19</v>
      </c>
      <c r="Y253" s="2">
        <v>2.2669999999999999</v>
      </c>
      <c r="Z253" s="2">
        <v>0</v>
      </c>
      <c r="AA253" s="2">
        <v>19.989999999999998</v>
      </c>
      <c r="AB253" s="2">
        <v>4.7149999999999999</v>
      </c>
      <c r="AC253" s="2">
        <v>0.76300000000000001</v>
      </c>
      <c r="AD253" s="2">
        <v>3.8069999999999999</v>
      </c>
      <c r="AE253" s="2">
        <v>12.95</v>
      </c>
      <c r="AF253" s="2">
        <v>34.04</v>
      </c>
      <c r="AG253" s="2">
        <v>-1.748</v>
      </c>
      <c r="AH253" s="2">
        <v>34.04</v>
      </c>
      <c r="AI253" s="2">
        <v>-1.748</v>
      </c>
      <c r="AJ253" s="2" t="s">
        <v>113</v>
      </c>
      <c r="AK253" s="2" t="s">
        <v>113</v>
      </c>
      <c r="AL253" s="2">
        <v>12.64</v>
      </c>
      <c r="AM253" s="2">
        <v>26.93</v>
      </c>
      <c r="AN253" s="2">
        <v>0.46100000000000002</v>
      </c>
      <c r="AO253" s="2"/>
      <c r="AP253" s="2"/>
      <c r="AR253" s="5">
        <v>22.2</v>
      </c>
      <c r="AS253" s="5">
        <v>19.989999999999998</v>
      </c>
      <c r="AT253" s="5">
        <v>4.72</v>
      </c>
      <c r="AU253" s="7">
        <f t="shared" si="132"/>
        <v>0.23599999999999999</v>
      </c>
      <c r="AV253" s="16"/>
      <c r="AW253" s="29">
        <v>0</v>
      </c>
      <c r="AX253" s="29">
        <v>0</v>
      </c>
      <c r="AY253" s="1">
        <f t="shared" si="109"/>
        <v>99.2</v>
      </c>
      <c r="AZ253" s="1">
        <f t="shared" si="110"/>
        <v>71.099999999999994</v>
      </c>
      <c r="BA253" s="1">
        <f t="shared" si="111"/>
        <v>29.8</v>
      </c>
      <c r="BB253" s="8">
        <f t="shared" si="112"/>
        <v>0.874</v>
      </c>
      <c r="BC253" s="8">
        <f t="shared" si="113"/>
        <v>2.0590000000000002</v>
      </c>
      <c r="BE253" s="5">
        <f t="shared" si="121"/>
        <v>19.989999999999998</v>
      </c>
      <c r="BF253" s="5">
        <f t="shared" si="122"/>
        <v>4.72</v>
      </c>
      <c r="BG253" s="1">
        <f t="shared" si="139"/>
        <v>12.3</v>
      </c>
      <c r="BH253" s="1">
        <f t="shared" si="140"/>
        <v>23.7</v>
      </c>
      <c r="BI253" s="1">
        <f t="shared" si="141"/>
        <v>1.1000000000000001</v>
      </c>
      <c r="BJ253" s="1">
        <f t="shared" si="123"/>
        <v>71.099999999999994</v>
      </c>
      <c r="BK253" s="1">
        <f t="shared" si="124"/>
        <v>29.8</v>
      </c>
      <c r="BL253" s="1">
        <f t="shared" si="133"/>
        <v>0.8</v>
      </c>
      <c r="BM253" s="1">
        <f t="shared" si="134"/>
        <v>3.8</v>
      </c>
      <c r="BN253" s="21">
        <f t="shared" si="125"/>
        <v>0</v>
      </c>
      <c r="BO253" s="7">
        <f t="shared" si="126"/>
        <v>0</v>
      </c>
      <c r="BP253" s="21" t="str">
        <f t="shared" si="120"/>
        <v>NAN</v>
      </c>
      <c r="BQ253" s="1">
        <f t="shared" si="127"/>
        <v>13</v>
      </c>
      <c r="BR253" s="1">
        <f t="shared" si="128"/>
        <v>34</v>
      </c>
      <c r="BS253" s="1">
        <f t="shared" si="129"/>
        <v>-1.7</v>
      </c>
      <c r="BT253" s="1">
        <f t="shared" si="142"/>
        <v>13.6</v>
      </c>
      <c r="BU253" s="1" t="s">
        <v>113</v>
      </c>
      <c r="BV253" s="1">
        <f t="shared" si="143"/>
        <v>12</v>
      </c>
      <c r="BW253" s="1" t="str">
        <f t="shared" si="135"/>
        <v>NAN</v>
      </c>
      <c r="BX253" s="1">
        <f t="shared" si="136"/>
        <v>0.874</v>
      </c>
      <c r="BY253" s="1">
        <f t="shared" si="137"/>
        <v>2.0590000000000002</v>
      </c>
      <c r="CA253" s="1">
        <f t="shared" si="130"/>
        <v>10.3</v>
      </c>
      <c r="CB253" s="1">
        <f t="shared" si="131"/>
        <v>-2.8</v>
      </c>
    </row>
    <row r="254" spans="1:80" x14ac:dyDescent="0.2">
      <c r="A254" s="9">
        <f t="shared" si="138"/>
        <v>43714</v>
      </c>
      <c r="B254" s="2">
        <v>249</v>
      </c>
      <c r="C254" s="2">
        <v>21</v>
      </c>
      <c r="D254" s="2">
        <v>13.17</v>
      </c>
      <c r="E254" s="2">
        <v>30.73</v>
      </c>
      <c r="F254" s="2">
        <v>5.5720000000000001</v>
      </c>
      <c r="G254" s="2">
        <v>12.86</v>
      </c>
      <c r="H254" s="2">
        <v>75.400000000000006</v>
      </c>
      <c r="I254" s="2">
        <v>12.9</v>
      </c>
      <c r="J254" s="2">
        <v>12.85</v>
      </c>
      <c r="K254" s="2">
        <v>13.9</v>
      </c>
      <c r="L254" s="2">
        <v>11.99</v>
      </c>
      <c r="M254" s="2">
        <v>23.22</v>
      </c>
      <c r="N254" s="2">
        <v>102.2</v>
      </c>
      <c r="O254" s="2">
        <v>30.82</v>
      </c>
      <c r="P254" s="2">
        <v>34.590000000000003</v>
      </c>
      <c r="Q254" s="2">
        <v>19.68</v>
      </c>
      <c r="R254" s="2">
        <v>12.3</v>
      </c>
      <c r="S254" s="2">
        <v>5.0910000000000002</v>
      </c>
      <c r="T254" s="2">
        <v>32.21</v>
      </c>
      <c r="U254" s="2">
        <v>0.67900000000000005</v>
      </c>
      <c r="V254" s="2">
        <v>-0.70499999999999996</v>
      </c>
      <c r="W254" s="2">
        <v>10.06</v>
      </c>
      <c r="X254" s="2">
        <v>11.25</v>
      </c>
      <c r="Y254" s="2">
        <v>2.3260000000000001</v>
      </c>
      <c r="Z254" s="2">
        <v>0</v>
      </c>
      <c r="AA254" s="2">
        <v>14.64</v>
      </c>
      <c r="AB254" s="2">
        <v>3.4169999999999998</v>
      </c>
      <c r="AC254" s="2">
        <v>0.55700000000000005</v>
      </c>
      <c r="AD254" s="2">
        <v>3.6469999999999998</v>
      </c>
      <c r="AE254" s="2">
        <v>13.4</v>
      </c>
      <c r="AF254" s="2">
        <v>33.31</v>
      </c>
      <c r="AG254" s="2">
        <v>0.75</v>
      </c>
      <c r="AH254" s="2">
        <v>33.31</v>
      </c>
      <c r="AI254" s="2">
        <v>0.75</v>
      </c>
      <c r="AJ254" s="2" t="s">
        <v>113</v>
      </c>
      <c r="AK254" s="2" t="s">
        <v>113</v>
      </c>
      <c r="AL254" s="2">
        <v>13.34</v>
      </c>
      <c r="AM254" s="2">
        <v>26.4</v>
      </c>
      <c r="AN254" s="2">
        <v>4.2690000000000001</v>
      </c>
      <c r="AO254" s="2"/>
      <c r="AP254" s="2"/>
      <c r="AR254" s="5">
        <v>21.95</v>
      </c>
      <c r="AS254" s="5">
        <v>14.64</v>
      </c>
      <c r="AT254" s="5">
        <v>3.42</v>
      </c>
      <c r="AU254" s="7">
        <f t="shared" si="132"/>
        <v>0.23400000000000001</v>
      </c>
      <c r="AV254" s="16"/>
      <c r="AW254" s="29">
        <v>0</v>
      </c>
      <c r="AX254" s="29">
        <v>0</v>
      </c>
      <c r="AY254" s="1">
        <f t="shared" ref="AY254:AY317" si="144">ROUND(AZ$1*N254+AZ$2,1)</f>
        <v>98.6</v>
      </c>
      <c r="AZ254" s="1">
        <f t="shared" ref="AZ254:AZ317" si="145">ROUND(H254*AZ$1+AZ$2,1)</f>
        <v>72.599999999999994</v>
      </c>
      <c r="BA254" s="1">
        <f t="shared" ref="BA254:BA317" si="146">ROUND(T254*AZ$1+AZ$2,1)</f>
        <v>30.7</v>
      </c>
      <c r="BB254" s="8">
        <f t="shared" ref="BB254:BB317" si="147">ROUND((0.6105*(EXP((17.273*M254)/(M254+237.3))))*BA254/100,3)</f>
        <v>0.874</v>
      </c>
      <c r="BC254" s="8">
        <f t="shared" ref="BC254:BC317" si="148">ROUND(BB254/BA254*(100-BA254),3)</f>
        <v>1.9730000000000001</v>
      </c>
      <c r="BE254" s="5">
        <f t="shared" si="121"/>
        <v>14.64</v>
      </c>
      <c r="BF254" s="5">
        <f t="shared" si="122"/>
        <v>3.42</v>
      </c>
      <c r="BG254" s="1">
        <f t="shared" si="139"/>
        <v>12.9</v>
      </c>
      <c r="BH254" s="1">
        <f t="shared" si="140"/>
        <v>23.2</v>
      </c>
      <c r="BI254" s="1">
        <f t="shared" si="141"/>
        <v>5.0999999999999996</v>
      </c>
      <c r="BJ254" s="1">
        <f t="shared" si="123"/>
        <v>72.599999999999994</v>
      </c>
      <c r="BK254" s="1">
        <f t="shared" si="124"/>
        <v>30.7</v>
      </c>
      <c r="BL254" s="1">
        <f t="shared" si="133"/>
        <v>0.6</v>
      </c>
      <c r="BM254" s="1">
        <f t="shared" si="134"/>
        <v>3.6</v>
      </c>
      <c r="BN254" s="21">
        <f t="shared" si="125"/>
        <v>0</v>
      </c>
      <c r="BO254" s="7">
        <f t="shared" si="126"/>
        <v>0</v>
      </c>
      <c r="BP254" s="21" t="str">
        <f t="shared" si="120"/>
        <v>NAN</v>
      </c>
      <c r="BQ254" s="1">
        <f t="shared" si="127"/>
        <v>13.4</v>
      </c>
      <c r="BR254" s="1">
        <f t="shared" si="128"/>
        <v>33.299999999999997</v>
      </c>
      <c r="BS254" s="1">
        <f t="shared" si="129"/>
        <v>0.8</v>
      </c>
      <c r="BT254" s="1">
        <f t="shared" si="142"/>
        <v>13.9</v>
      </c>
      <c r="BU254" s="1" t="s">
        <v>113</v>
      </c>
      <c r="BV254" s="1">
        <f t="shared" si="143"/>
        <v>12</v>
      </c>
      <c r="BW254" s="1" t="str">
        <f t="shared" si="135"/>
        <v>NAN</v>
      </c>
      <c r="BX254" s="1">
        <f t="shared" si="136"/>
        <v>0.874</v>
      </c>
      <c r="BY254" s="1">
        <f t="shared" si="137"/>
        <v>1.9730000000000001</v>
      </c>
      <c r="CA254" s="1">
        <f t="shared" si="130"/>
        <v>10.099999999999998</v>
      </c>
      <c r="CB254" s="1">
        <f t="shared" si="131"/>
        <v>-4.3</v>
      </c>
    </row>
    <row r="255" spans="1:80" x14ac:dyDescent="0.2">
      <c r="A255" s="9">
        <f t="shared" si="138"/>
        <v>43715</v>
      </c>
      <c r="B255" s="2">
        <v>250</v>
      </c>
      <c r="C255" s="2">
        <v>21</v>
      </c>
      <c r="D255" s="2">
        <v>13.18</v>
      </c>
      <c r="E255" s="2">
        <v>27.33</v>
      </c>
      <c r="F255" s="2">
        <v>1.65</v>
      </c>
      <c r="G255" s="2">
        <v>12.22</v>
      </c>
      <c r="H255" s="2">
        <v>81.8</v>
      </c>
      <c r="I255" s="2">
        <v>11.74</v>
      </c>
      <c r="J255" s="2">
        <v>11.94</v>
      </c>
      <c r="K255" s="2">
        <v>13.33</v>
      </c>
      <c r="L255" s="2">
        <v>12.03</v>
      </c>
      <c r="M255" s="2">
        <v>21.99</v>
      </c>
      <c r="N255" s="2">
        <v>103</v>
      </c>
      <c r="O255" s="2">
        <v>30.15</v>
      </c>
      <c r="P255" s="2">
        <v>32.619999999999997</v>
      </c>
      <c r="Q255" s="2">
        <v>19.29</v>
      </c>
      <c r="R255" s="2">
        <v>13.02</v>
      </c>
      <c r="S255" s="2">
        <v>3.1469999999999998</v>
      </c>
      <c r="T255" s="2">
        <v>41.02</v>
      </c>
      <c r="U255" s="2">
        <v>-1.4339999999999999</v>
      </c>
      <c r="V255" s="2">
        <v>-2.629</v>
      </c>
      <c r="W255" s="2">
        <v>6.7210000000000001</v>
      </c>
      <c r="X255" s="2">
        <v>11.56</v>
      </c>
      <c r="Y255" s="2">
        <v>2.371</v>
      </c>
      <c r="Z255" s="2">
        <v>0</v>
      </c>
      <c r="AA255" s="2">
        <v>14.76</v>
      </c>
      <c r="AB255" s="2">
        <v>3.4590000000000001</v>
      </c>
      <c r="AC255" s="2">
        <v>0.93400000000000005</v>
      </c>
      <c r="AD255" s="2">
        <v>5.0339999999999998</v>
      </c>
      <c r="AE255" s="2">
        <v>12.75</v>
      </c>
      <c r="AF255" s="2">
        <v>32.85</v>
      </c>
      <c r="AG255" s="2">
        <v>-1.169</v>
      </c>
      <c r="AH255" s="2">
        <v>32.85</v>
      </c>
      <c r="AI255" s="2">
        <v>-1.169</v>
      </c>
      <c r="AJ255" s="2" t="s">
        <v>113</v>
      </c>
      <c r="AK255" s="2" t="s">
        <v>113</v>
      </c>
      <c r="AL255" s="2">
        <v>12.47</v>
      </c>
      <c r="AM255" s="2">
        <v>24.59</v>
      </c>
      <c r="AN255" s="2">
        <v>2.3839999999999999</v>
      </c>
      <c r="AO255" s="2"/>
      <c r="AP255" s="2"/>
      <c r="AR255" s="5">
        <v>21.71</v>
      </c>
      <c r="AS255" s="5">
        <v>14.76</v>
      </c>
      <c r="AT255" s="5">
        <v>3.46</v>
      </c>
      <c r="AU255" s="7">
        <f t="shared" si="132"/>
        <v>0.23400000000000001</v>
      </c>
      <c r="AV255" s="16"/>
      <c r="AW255" s="29">
        <v>0</v>
      </c>
      <c r="AX255" s="29">
        <v>0</v>
      </c>
      <c r="AY255" s="1">
        <f t="shared" si="144"/>
        <v>99.4</v>
      </c>
      <c r="AZ255" s="1">
        <f t="shared" si="145"/>
        <v>78.8</v>
      </c>
      <c r="BA255" s="1">
        <f t="shared" si="146"/>
        <v>39.299999999999997</v>
      </c>
      <c r="BB255" s="8">
        <f t="shared" si="147"/>
        <v>1.038</v>
      </c>
      <c r="BC255" s="8">
        <f t="shared" si="148"/>
        <v>1.603</v>
      </c>
      <c r="BE255" s="5">
        <f t="shared" si="121"/>
        <v>14.76</v>
      </c>
      <c r="BF255" s="5">
        <f t="shared" si="122"/>
        <v>3.46</v>
      </c>
      <c r="BG255" s="1">
        <f t="shared" si="139"/>
        <v>12.2</v>
      </c>
      <c r="BH255" s="1">
        <f t="shared" si="140"/>
        <v>22</v>
      </c>
      <c r="BI255" s="1">
        <f t="shared" si="141"/>
        <v>3.1</v>
      </c>
      <c r="BJ255" s="1">
        <f t="shared" si="123"/>
        <v>78.8</v>
      </c>
      <c r="BK255" s="1">
        <f t="shared" si="124"/>
        <v>39.299999999999997</v>
      </c>
      <c r="BL255" s="1">
        <f t="shared" si="133"/>
        <v>0.9</v>
      </c>
      <c r="BM255" s="1">
        <f t="shared" si="134"/>
        <v>5</v>
      </c>
      <c r="BN255" s="21">
        <f t="shared" si="125"/>
        <v>0</v>
      </c>
      <c r="BO255" s="7">
        <f t="shared" si="126"/>
        <v>0</v>
      </c>
      <c r="BP255" s="21" t="str">
        <f t="shared" si="120"/>
        <v>NAN</v>
      </c>
      <c r="BQ255" s="1">
        <f t="shared" si="127"/>
        <v>12.8</v>
      </c>
      <c r="BR255" s="1">
        <f t="shared" si="128"/>
        <v>32.9</v>
      </c>
      <c r="BS255" s="1">
        <f t="shared" si="129"/>
        <v>-1.2</v>
      </c>
      <c r="BT255" s="1">
        <f t="shared" si="142"/>
        <v>13.3</v>
      </c>
      <c r="BU255" s="1" t="s">
        <v>113</v>
      </c>
      <c r="BV255" s="1">
        <f t="shared" si="143"/>
        <v>12</v>
      </c>
      <c r="BW255" s="1" t="str">
        <f t="shared" si="135"/>
        <v>NAN</v>
      </c>
      <c r="BX255" s="1">
        <f t="shared" si="136"/>
        <v>1.038</v>
      </c>
      <c r="BY255" s="1">
        <f t="shared" si="137"/>
        <v>1.603</v>
      </c>
      <c r="CA255" s="1">
        <f t="shared" si="130"/>
        <v>10.899999999999999</v>
      </c>
      <c r="CB255" s="1">
        <f t="shared" si="131"/>
        <v>-4.3</v>
      </c>
    </row>
    <row r="256" spans="1:80" x14ac:dyDescent="0.2">
      <c r="A256" s="9">
        <f t="shared" si="138"/>
        <v>43716</v>
      </c>
      <c r="B256" s="2">
        <v>251</v>
      </c>
      <c r="C256" s="2">
        <v>21</v>
      </c>
      <c r="D256" s="2">
        <v>13.18</v>
      </c>
      <c r="E256" s="2">
        <v>15.59</v>
      </c>
      <c r="F256" s="2">
        <v>7.2</v>
      </c>
      <c r="G256" s="2">
        <v>8.99</v>
      </c>
      <c r="H256" s="2">
        <v>96.1</v>
      </c>
      <c r="I256" s="2">
        <v>8.56</v>
      </c>
      <c r="J256" s="2">
        <v>9.08</v>
      </c>
      <c r="K256" s="2">
        <v>11.65</v>
      </c>
      <c r="L256" s="2">
        <v>11.98</v>
      </c>
      <c r="M256" s="2">
        <v>12.11</v>
      </c>
      <c r="N256" s="2">
        <v>101.6</v>
      </c>
      <c r="O256" s="2">
        <v>18.04</v>
      </c>
      <c r="P256" s="2">
        <v>16.829999999999998</v>
      </c>
      <c r="Q256" s="2">
        <v>13.4</v>
      </c>
      <c r="R256" s="2">
        <v>12.18</v>
      </c>
      <c r="S256" s="2">
        <v>6.6909999999999998</v>
      </c>
      <c r="T256" s="2">
        <v>80.7</v>
      </c>
      <c r="U256" s="2">
        <v>4.149</v>
      </c>
      <c r="V256" s="2">
        <v>2.7639999999999998</v>
      </c>
      <c r="W256" s="2">
        <v>10.32</v>
      </c>
      <c r="X256" s="2">
        <v>11.74</v>
      </c>
      <c r="Y256" s="2">
        <v>2.6629999999999998</v>
      </c>
      <c r="Z256" s="2">
        <v>8.3800000000000008</v>
      </c>
      <c r="AA256" s="2">
        <v>4.4269999999999996</v>
      </c>
      <c r="AB256" s="2">
        <v>0.81100000000000005</v>
      </c>
      <c r="AC256" s="2">
        <v>0.64200000000000002</v>
      </c>
      <c r="AD256" s="2">
        <v>3.78</v>
      </c>
      <c r="AE256" s="2">
        <v>9.65</v>
      </c>
      <c r="AF256" s="2">
        <v>16.46</v>
      </c>
      <c r="AG256" s="2">
        <v>3.931</v>
      </c>
      <c r="AH256" s="2">
        <v>16.46</v>
      </c>
      <c r="AI256" s="2">
        <v>3.931</v>
      </c>
      <c r="AJ256" s="2" t="s">
        <v>113</v>
      </c>
      <c r="AK256" s="2" t="s">
        <v>113</v>
      </c>
      <c r="AL256" s="2">
        <v>8.8800000000000008</v>
      </c>
      <c r="AM256" s="2">
        <v>13.08</v>
      </c>
      <c r="AN256" s="2">
        <v>6.2329999999999997</v>
      </c>
      <c r="AO256" s="2"/>
      <c r="AP256" s="2"/>
      <c r="AR256" s="5">
        <v>21.46</v>
      </c>
      <c r="AS256" s="5">
        <v>4.43</v>
      </c>
      <c r="AT256" s="5">
        <v>0.81</v>
      </c>
      <c r="AU256" s="7">
        <f t="shared" si="132"/>
        <v>0.183</v>
      </c>
      <c r="AV256" s="16"/>
      <c r="AW256" s="29">
        <v>8.89</v>
      </c>
      <c r="AX256" s="29">
        <v>0</v>
      </c>
      <c r="AY256" s="1">
        <f t="shared" si="144"/>
        <v>98.1</v>
      </c>
      <c r="AZ256" s="1">
        <f t="shared" si="145"/>
        <v>92.7</v>
      </c>
      <c r="BA256" s="1">
        <f t="shared" si="146"/>
        <v>77.8</v>
      </c>
      <c r="BB256" s="8">
        <f t="shared" si="147"/>
        <v>1.099</v>
      </c>
      <c r="BC256" s="8">
        <f t="shared" si="148"/>
        <v>0.314</v>
      </c>
      <c r="BE256" s="5">
        <f t="shared" si="121"/>
        <v>4.43</v>
      </c>
      <c r="BF256" s="5">
        <f t="shared" si="122"/>
        <v>0.81</v>
      </c>
      <c r="BG256" s="1">
        <f t="shared" si="139"/>
        <v>9</v>
      </c>
      <c r="BH256" s="1">
        <f t="shared" si="140"/>
        <v>12.1</v>
      </c>
      <c r="BI256" s="1">
        <f t="shared" si="141"/>
        <v>6.7</v>
      </c>
      <c r="BJ256" s="1">
        <f t="shared" si="123"/>
        <v>92.7</v>
      </c>
      <c r="BK256" s="1">
        <f t="shared" si="124"/>
        <v>77.8</v>
      </c>
      <c r="BL256" s="1">
        <f t="shared" si="133"/>
        <v>0.6</v>
      </c>
      <c r="BM256" s="1">
        <f t="shared" si="134"/>
        <v>3.8</v>
      </c>
      <c r="BN256" s="21">
        <f t="shared" si="125"/>
        <v>8.89</v>
      </c>
      <c r="BO256" s="7">
        <f t="shared" si="126"/>
        <v>0</v>
      </c>
      <c r="BP256" s="21" t="str">
        <f t="shared" si="120"/>
        <v>NAN</v>
      </c>
      <c r="BQ256" s="1">
        <f t="shared" si="127"/>
        <v>9.6999999999999993</v>
      </c>
      <c r="BR256" s="1">
        <f t="shared" si="128"/>
        <v>16.5</v>
      </c>
      <c r="BS256" s="1">
        <f t="shared" si="129"/>
        <v>3.9</v>
      </c>
      <c r="BT256" s="1">
        <f t="shared" si="142"/>
        <v>11.7</v>
      </c>
      <c r="BU256" s="1" t="s">
        <v>113</v>
      </c>
      <c r="BV256" s="1">
        <f t="shared" si="143"/>
        <v>12</v>
      </c>
      <c r="BW256" s="1" t="str">
        <f t="shared" si="135"/>
        <v>NAN</v>
      </c>
      <c r="BX256" s="1">
        <f t="shared" si="136"/>
        <v>1.099</v>
      </c>
      <c r="BY256" s="1">
        <f t="shared" si="137"/>
        <v>0.314</v>
      </c>
      <c r="CA256" s="1">
        <f t="shared" si="130"/>
        <v>4.4000000000000004</v>
      </c>
      <c r="CB256" s="1">
        <f t="shared" si="131"/>
        <v>-2.8000000000000003</v>
      </c>
    </row>
    <row r="257" spans="1:80" x14ac:dyDescent="0.2">
      <c r="A257" s="9">
        <f t="shared" si="138"/>
        <v>43717</v>
      </c>
      <c r="B257" s="2">
        <v>252</v>
      </c>
      <c r="C257" s="2">
        <v>21</v>
      </c>
      <c r="D257" s="2">
        <v>13.17</v>
      </c>
      <c r="E257" s="2">
        <v>21.69</v>
      </c>
      <c r="F257" s="2">
        <v>4.202</v>
      </c>
      <c r="G257" s="2">
        <v>7.39</v>
      </c>
      <c r="H257" s="2">
        <v>95.1</v>
      </c>
      <c r="I257" s="2">
        <v>7.58</v>
      </c>
      <c r="J257" s="2">
        <v>8.66</v>
      </c>
      <c r="K257" s="2">
        <v>10.89</v>
      </c>
      <c r="L257" s="2">
        <v>11.71</v>
      </c>
      <c r="M257" s="2">
        <v>14.46</v>
      </c>
      <c r="N257" s="2">
        <v>102.5</v>
      </c>
      <c r="O257" s="2">
        <v>23.91</v>
      </c>
      <c r="P257" s="2">
        <v>29.26</v>
      </c>
      <c r="Q257" s="2">
        <v>14.84</v>
      </c>
      <c r="R257" s="2">
        <v>11.92</v>
      </c>
      <c r="S257" s="2">
        <v>3.45</v>
      </c>
      <c r="T257" s="2">
        <v>57.21</v>
      </c>
      <c r="U257" s="2">
        <v>1.7190000000000001</v>
      </c>
      <c r="V257" s="2">
        <v>1.7549999999999999</v>
      </c>
      <c r="W257" s="2">
        <v>8.59</v>
      </c>
      <c r="X257" s="2">
        <v>11.21</v>
      </c>
      <c r="Y257" s="2">
        <v>2.347</v>
      </c>
      <c r="Z257" s="2">
        <v>5.3339999999999996</v>
      </c>
      <c r="AA257" s="2">
        <v>8.33</v>
      </c>
      <c r="AB257" s="2">
        <v>1.552</v>
      </c>
      <c r="AC257" s="2">
        <v>0.42899999999999999</v>
      </c>
      <c r="AD257" s="2">
        <v>3.3</v>
      </c>
      <c r="AE257" s="2">
        <v>9.1199999999999992</v>
      </c>
      <c r="AF257" s="2">
        <v>24.44</v>
      </c>
      <c r="AG257" s="2">
        <v>2.6970000000000001</v>
      </c>
      <c r="AH257" s="2">
        <v>24.44</v>
      </c>
      <c r="AI257" s="2">
        <v>2.6970000000000001</v>
      </c>
      <c r="AJ257" s="2" t="s">
        <v>113</v>
      </c>
      <c r="AK257" s="2" t="s">
        <v>113</v>
      </c>
      <c r="AL257" s="2">
        <v>7.58</v>
      </c>
      <c r="AM257" s="2">
        <v>17.350000000000001</v>
      </c>
      <c r="AN257" s="2">
        <v>3.2440000000000002</v>
      </c>
      <c r="AO257" s="2"/>
      <c r="AP257" s="2"/>
      <c r="AR257" s="5">
        <v>21.21</v>
      </c>
      <c r="AS257" s="5">
        <v>8.33</v>
      </c>
      <c r="AT257" s="5">
        <v>1.55</v>
      </c>
      <c r="AU257" s="7">
        <f t="shared" si="132"/>
        <v>0.186</v>
      </c>
      <c r="AV257" s="16"/>
      <c r="AW257" s="29">
        <v>5.3339999999999996</v>
      </c>
      <c r="AX257" s="29">
        <v>0</v>
      </c>
      <c r="AY257" s="1">
        <f t="shared" si="144"/>
        <v>98.9</v>
      </c>
      <c r="AZ257" s="1">
        <f t="shared" si="145"/>
        <v>91.7</v>
      </c>
      <c r="BA257" s="1">
        <f t="shared" si="146"/>
        <v>55</v>
      </c>
      <c r="BB257" s="8">
        <f t="shared" si="147"/>
        <v>0.90600000000000003</v>
      </c>
      <c r="BC257" s="8">
        <f t="shared" si="148"/>
        <v>0.74099999999999999</v>
      </c>
      <c r="BE257" s="5">
        <f t="shared" si="121"/>
        <v>8.33</v>
      </c>
      <c r="BF257" s="5">
        <f t="shared" si="122"/>
        <v>1.55</v>
      </c>
      <c r="BG257" s="1">
        <f t="shared" si="139"/>
        <v>7.4</v>
      </c>
      <c r="BH257" s="1">
        <f t="shared" si="140"/>
        <v>14.5</v>
      </c>
      <c r="BI257" s="1">
        <f t="shared" si="141"/>
        <v>3.5</v>
      </c>
      <c r="BJ257" s="1">
        <f t="shared" si="123"/>
        <v>91.7</v>
      </c>
      <c r="BK257" s="1">
        <f t="shared" si="124"/>
        <v>55</v>
      </c>
      <c r="BL257" s="1">
        <f t="shared" si="133"/>
        <v>0.4</v>
      </c>
      <c r="BM257" s="1">
        <f t="shared" si="134"/>
        <v>3.3</v>
      </c>
      <c r="BN257" s="21">
        <f t="shared" si="125"/>
        <v>5.3339999999999996</v>
      </c>
      <c r="BO257" s="7">
        <f t="shared" si="126"/>
        <v>0</v>
      </c>
      <c r="BP257" s="21" t="str">
        <f t="shared" si="120"/>
        <v>NAN</v>
      </c>
      <c r="BQ257" s="1">
        <f t="shared" si="127"/>
        <v>9.1</v>
      </c>
      <c r="BR257" s="1">
        <f t="shared" si="128"/>
        <v>24.4</v>
      </c>
      <c r="BS257" s="1">
        <f t="shared" si="129"/>
        <v>2.7</v>
      </c>
      <c r="BT257" s="1">
        <f t="shared" si="142"/>
        <v>10.9</v>
      </c>
      <c r="BU257" s="1" t="s">
        <v>113</v>
      </c>
      <c r="BV257" s="1">
        <f t="shared" si="143"/>
        <v>11.7</v>
      </c>
      <c r="BW257" s="1" t="str">
        <f t="shared" si="135"/>
        <v>NAN</v>
      </c>
      <c r="BX257" s="1">
        <f t="shared" si="136"/>
        <v>0.90600000000000003</v>
      </c>
      <c r="BY257" s="1">
        <f t="shared" si="137"/>
        <v>0.74099999999999999</v>
      </c>
      <c r="CA257" s="1">
        <f t="shared" si="130"/>
        <v>9.8999999999999986</v>
      </c>
      <c r="CB257" s="1">
        <f t="shared" si="131"/>
        <v>-0.79999999999999982</v>
      </c>
    </row>
    <row r="258" spans="1:80" x14ac:dyDescent="0.2">
      <c r="A258" s="9">
        <f t="shared" si="138"/>
        <v>43718</v>
      </c>
      <c r="B258" s="2">
        <v>253</v>
      </c>
      <c r="C258" s="2">
        <v>21</v>
      </c>
      <c r="D258" s="2">
        <v>13.16</v>
      </c>
      <c r="E258" s="2">
        <v>19.22</v>
      </c>
      <c r="F258" s="2">
        <v>3.3980000000000001</v>
      </c>
      <c r="G258" s="2">
        <v>7.12</v>
      </c>
      <c r="H258" s="2">
        <v>97</v>
      </c>
      <c r="I258" s="2">
        <v>7.01</v>
      </c>
      <c r="J258" s="2">
        <v>8.02</v>
      </c>
      <c r="K258" s="2">
        <v>10.23</v>
      </c>
      <c r="L258" s="2">
        <v>11.43</v>
      </c>
      <c r="M258" s="2">
        <v>14.34</v>
      </c>
      <c r="N258" s="2">
        <v>102.6</v>
      </c>
      <c r="O258" s="2">
        <v>22.37</v>
      </c>
      <c r="P258" s="2">
        <v>25.87</v>
      </c>
      <c r="Q258" s="2">
        <v>13.83</v>
      </c>
      <c r="R258" s="2">
        <v>12.15</v>
      </c>
      <c r="S258" s="2">
        <v>2.706</v>
      </c>
      <c r="T258" s="2">
        <v>64.11</v>
      </c>
      <c r="U258" s="2">
        <v>0.95199999999999996</v>
      </c>
      <c r="V258" s="2">
        <v>0.47199999999999998</v>
      </c>
      <c r="W258" s="2">
        <v>7.9</v>
      </c>
      <c r="X258" s="2">
        <v>11.02</v>
      </c>
      <c r="Y258" s="2">
        <v>2.3319999999999999</v>
      </c>
      <c r="Z258" s="2">
        <v>6.0960000000000001</v>
      </c>
      <c r="AA258" s="2">
        <v>8</v>
      </c>
      <c r="AB258" s="2">
        <v>1.4339999999999999</v>
      </c>
      <c r="AC258" s="2">
        <v>0.36</v>
      </c>
      <c r="AD258" s="2">
        <v>2.58</v>
      </c>
      <c r="AE258" s="2">
        <v>8.44</v>
      </c>
      <c r="AF258" s="2">
        <v>21.58</v>
      </c>
      <c r="AG258" s="2">
        <v>1.7010000000000001</v>
      </c>
      <c r="AH258" s="2">
        <v>21.58</v>
      </c>
      <c r="AI258" s="2">
        <v>1.7010000000000001</v>
      </c>
      <c r="AJ258" s="2" t="s">
        <v>113</v>
      </c>
      <c r="AK258" s="2" t="s">
        <v>113</v>
      </c>
      <c r="AL258" s="2">
        <v>7.2</v>
      </c>
      <c r="AM258" s="2">
        <v>15.87</v>
      </c>
      <c r="AN258" s="2">
        <v>2.306</v>
      </c>
      <c r="AO258" s="2"/>
      <c r="AP258" s="2"/>
      <c r="AR258" s="5">
        <v>20.96</v>
      </c>
      <c r="AS258" s="5">
        <v>8</v>
      </c>
      <c r="AT258" s="5">
        <v>1.43</v>
      </c>
      <c r="AU258" s="7">
        <f t="shared" si="132"/>
        <v>0.17899999999999999</v>
      </c>
      <c r="AV258" s="16"/>
      <c r="AW258" s="29">
        <v>7.8739999999999997</v>
      </c>
      <c r="AX258" s="29">
        <v>0</v>
      </c>
      <c r="AY258" s="1">
        <f t="shared" si="144"/>
        <v>99</v>
      </c>
      <c r="AZ258" s="1">
        <f t="shared" si="145"/>
        <v>93.6</v>
      </c>
      <c r="BA258" s="1">
        <f t="shared" si="146"/>
        <v>61.7</v>
      </c>
      <c r="BB258" s="8">
        <f t="shared" si="147"/>
        <v>1.008</v>
      </c>
      <c r="BC258" s="8">
        <f t="shared" si="148"/>
        <v>0.626</v>
      </c>
      <c r="BE258" s="5">
        <f t="shared" si="121"/>
        <v>8</v>
      </c>
      <c r="BF258" s="5">
        <f t="shared" si="122"/>
        <v>1.43</v>
      </c>
      <c r="BG258" s="1">
        <f t="shared" ref="BG258:BG289" si="149">ROUND(G258,1)</f>
        <v>7.1</v>
      </c>
      <c r="BH258" s="1">
        <f t="shared" ref="BH258:BH289" si="150">ROUND(M258,1)</f>
        <v>14.3</v>
      </c>
      <c r="BI258" s="1">
        <f t="shared" ref="BI258:BI289" si="151">ROUND(S258,1)</f>
        <v>2.7</v>
      </c>
      <c r="BJ258" s="1">
        <f t="shared" si="123"/>
        <v>93.6</v>
      </c>
      <c r="BK258" s="1">
        <f t="shared" si="124"/>
        <v>61.7</v>
      </c>
      <c r="BL258" s="1">
        <f t="shared" si="133"/>
        <v>0.4</v>
      </c>
      <c r="BM258" s="1">
        <f t="shared" si="134"/>
        <v>2.6</v>
      </c>
      <c r="BN258" s="21">
        <f t="shared" si="125"/>
        <v>7.8739999999999997</v>
      </c>
      <c r="BO258" s="7">
        <f t="shared" si="126"/>
        <v>0</v>
      </c>
      <c r="BP258" s="21" t="str">
        <f t="shared" si="120"/>
        <v>NAN</v>
      </c>
      <c r="BQ258" s="1">
        <f t="shared" si="127"/>
        <v>8.4</v>
      </c>
      <c r="BR258" s="1">
        <f t="shared" si="128"/>
        <v>21.6</v>
      </c>
      <c r="BS258" s="1">
        <f t="shared" si="129"/>
        <v>1.7</v>
      </c>
      <c r="BT258" s="1">
        <f t="shared" ref="BT258:BT289" si="152">ROUND(K258,1)</f>
        <v>10.199999999999999</v>
      </c>
      <c r="BU258" s="1" t="s">
        <v>113</v>
      </c>
      <c r="BV258" s="1">
        <f t="shared" ref="BV258:BV289" si="153">ROUND(L258,1)</f>
        <v>11.4</v>
      </c>
      <c r="BW258" s="1" t="str">
        <f t="shared" si="135"/>
        <v>NAN</v>
      </c>
      <c r="BX258" s="1">
        <f t="shared" si="136"/>
        <v>1.008</v>
      </c>
      <c r="BY258" s="1">
        <f t="shared" si="137"/>
        <v>0.626</v>
      </c>
      <c r="CA258" s="1">
        <f t="shared" si="130"/>
        <v>7.3000000000000007</v>
      </c>
      <c r="CB258" s="1">
        <f t="shared" si="131"/>
        <v>-1.0000000000000002</v>
      </c>
    </row>
    <row r="259" spans="1:80" x14ac:dyDescent="0.2">
      <c r="A259" s="9">
        <f t="shared" si="138"/>
        <v>43719</v>
      </c>
      <c r="B259" s="2">
        <v>254</v>
      </c>
      <c r="C259" s="2">
        <v>21</v>
      </c>
      <c r="D259" s="2">
        <v>13.17</v>
      </c>
      <c r="E259" s="2">
        <v>21.66</v>
      </c>
      <c r="F259" s="2">
        <v>4.3070000000000004</v>
      </c>
      <c r="G259" s="2">
        <v>8.92</v>
      </c>
      <c r="H259" s="2">
        <v>90.9</v>
      </c>
      <c r="I259" s="2">
        <v>9.4700000000000006</v>
      </c>
      <c r="J259" s="2">
        <v>10.56</v>
      </c>
      <c r="K259" s="2">
        <v>11.32</v>
      </c>
      <c r="L259" s="2">
        <v>11.16</v>
      </c>
      <c r="M259" s="2">
        <v>14.44</v>
      </c>
      <c r="N259" s="2">
        <v>102.7</v>
      </c>
      <c r="O259" s="2">
        <v>22.77</v>
      </c>
      <c r="P259" s="2">
        <v>28.37</v>
      </c>
      <c r="Q259" s="2">
        <v>15.64</v>
      </c>
      <c r="R259" s="2">
        <v>11.92</v>
      </c>
      <c r="S259" s="2">
        <v>4.8540000000000001</v>
      </c>
      <c r="T259" s="2">
        <v>56.95</v>
      </c>
      <c r="U259" s="2">
        <v>3.601</v>
      </c>
      <c r="V259" s="2">
        <v>3.0489999999999999</v>
      </c>
      <c r="W259" s="2">
        <v>7.89</v>
      </c>
      <c r="X259" s="2">
        <v>10.69</v>
      </c>
      <c r="Y259" s="2">
        <v>2.327</v>
      </c>
      <c r="Z259" s="2">
        <v>3.048</v>
      </c>
      <c r="AA259" s="2">
        <v>12.52</v>
      </c>
      <c r="AB259" s="2">
        <v>2.4500000000000002</v>
      </c>
      <c r="AC259" s="2">
        <v>0.59299999999999997</v>
      </c>
      <c r="AD259" s="2">
        <v>3.5670000000000002</v>
      </c>
      <c r="AE259" s="2">
        <v>10.71</v>
      </c>
      <c r="AF259" s="2">
        <v>24.29</v>
      </c>
      <c r="AG259" s="2">
        <v>4.2779999999999996</v>
      </c>
      <c r="AH259" s="2">
        <v>24.29</v>
      </c>
      <c r="AI259" s="2">
        <v>4.2779999999999996</v>
      </c>
      <c r="AJ259" s="2" t="s">
        <v>113</v>
      </c>
      <c r="AK259" s="2" t="s">
        <v>113</v>
      </c>
      <c r="AL259" s="2">
        <v>9.3000000000000007</v>
      </c>
      <c r="AM259" s="2">
        <v>16.86</v>
      </c>
      <c r="AN259" s="2">
        <v>4.5359999999999996</v>
      </c>
      <c r="AO259" s="2"/>
      <c r="AP259" s="2"/>
      <c r="AR259" s="5">
        <v>20.71</v>
      </c>
      <c r="AS259" s="5">
        <v>12.52</v>
      </c>
      <c r="AT259" s="5">
        <v>2.4500000000000002</v>
      </c>
      <c r="AU259" s="7">
        <f t="shared" si="132"/>
        <v>0.19600000000000001</v>
      </c>
      <c r="AV259" s="16"/>
      <c r="AW259" s="29">
        <v>3.556</v>
      </c>
      <c r="AX259" s="29">
        <v>0</v>
      </c>
      <c r="AY259" s="1">
        <f t="shared" si="144"/>
        <v>99.1</v>
      </c>
      <c r="AZ259" s="1">
        <f t="shared" si="145"/>
        <v>87.7</v>
      </c>
      <c r="BA259" s="1">
        <f t="shared" si="146"/>
        <v>54.7</v>
      </c>
      <c r="BB259" s="8">
        <f t="shared" si="147"/>
        <v>0.89900000000000002</v>
      </c>
      <c r="BC259" s="8">
        <f t="shared" si="148"/>
        <v>0.745</v>
      </c>
      <c r="BE259" s="5">
        <f t="shared" si="121"/>
        <v>12.52</v>
      </c>
      <c r="BF259" s="5">
        <f t="shared" si="122"/>
        <v>2.4500000000000002</v>
      </c>
      <c r="BG259" s="1">
        <f t="shared" si="149"/>
        <v>8.9</v>
      </c>
      <c r="BH259" s="1">
        <f t="shared" si="150"/>
        <v>14.4</v>
      </c>
      <c r="BI259" s="1">
        <f t="shared" si="151"/>
        <v>4.9000000000000004</v>
      </c>
      <c r="BJ259" s="1">
        <f t="shared" si="123"/>
        <v>87.7</v>
      </c>
      <c r="BK259" s="1">
        <f t="shared" si="124"/>
        <v>54.7</v>
      </c>
      <c r="BL259" s="1">
        <f t="shared" si="133"/>
        <v>0.6</v>
      </c>
      <c r="BM259" s="1">
        <f t="shared" si="134"/>
        <v>3.6</v>
      </c>
      <c r="BN259" s="21">
        <f t="shared" si="125"/>
        <v>3.556</v>
      </c>
      <c r="BO259" s="7">
        <f t="shared" si="126"/>
        <v>0</v>
      </c>
      <c r="BP259" s="21" t="str">
        <f t="shared" ref="BP259:BP322" si="154">IF(AQ259="","NAN",AQ259)</f>
        <v>NAN</v>
      </c>
      <c r="BQ259" s="1">
        <f t="shared" si="127"/>
        <v>10.7</v>
      </c>
      <c r="BR259" s="1">
        <f t="shared" si="128"/>
        <v>24.3</v>
      </c>
      <c r="BS259" s="1">
        <f t="shared" si="129"/>
        <v>4.3</v>
      </c>
      <c r="BT259" s="1">
        <f t="shared" si="152"/>
        <v>11.3</v>
      </c>
      <c r="BU259" s="1" t="s">
        <v>113</v>
      </c>
      <c r="BV259" s="1">
        <f t="shared" si="153"/>
        <v>11.2</v>
      </c>
      <c r="BW259" s="1" t="str">
        <f t="shared" si="135"/>
        <v>NAN</v>
      </c>
      <c r="BX259" s="1">
        <f t="shared" si="136"/>
        <v>0.89900000000000002</v>
      </c>
      <c r="BY259" s="1">
        <f t="shared" si="137"/>
        <v>0.745</v>
      </c>
      <c r="CA259" s="1">
        <f t="shared" si="130"/>
        <v>9.9</v>
      </c>
      <c r="CB259" s="1">
        <f t="shared" si="131"/>
        <v>-0.60000000000000053</v>
      </c>
    </row>
    <row r="260" spans="1:80" x14ac:dyDescent="0.2">
      <c r="A260" s="9">
        <f t="shared" si="138"/>
        <v>43720</v>
      </c>
      <c r="B260" s="2">
        <v>255</v>
      </c>
      <c r="C260" s="2">
        <v>21</v>
      </c>
      <c r="D260" s="2">
        <v>13.18</v>
      </c>
      <c r="E260" s="2">
        <v>22.24</v>
      </c>
      <c r="F260" s="2">
        <v>1.9770000000000001</v>
      </c>
      <c r="G260" s="2">
        <v>9.6199999999999992</v>
      </c>
      <c r="H260" s="2">
        <v>82.5</v>
      </c>
      <c r="I260" s="2">
        <v>9.65</v>
      </c>
      <c r="J260" s="2">
        <v>10.14</v>
      </c>
      <c r="K260" s="2">
        <v>11.21</v>
      </c>
      <c r="L260" s="2">
        <v>11.12</v>
      </c>
      <c r="M260" s="2">
        <v>16.12</v>
      </c>
      <c r="N260" s="2">
        <v>102.9</v>
      </c>
      <c r="O260" s="2">
        <v>24.36</v>
      </c>
      <c r="P260" s="2">
        <v>26.4</v>
      </c>
      <c r="Q260" s="2">
        <v>15.6</v>
      </c>
      <c r="R260" s="2">
        <v>11.97</v>
      </c>
      <c r="S260" s="2">
        <v>2.54</v>
      </c>
      <c r="T260" s="2">
        <v>48.18</v>
      </c>
      <c r="U260" s="2">
        <v>-0.49399999999999999</v>
      </c>
      <c r="V260" s="2">
        <v>-0.86499999999999999</v>
      </c>
      <c r="W260" s="2">
        <v>6.6449999999999996</v>
      </c>
      <c r="X260" s="2">
        <v>10.77</v>
      </c>
      <c r="Y260" s="2">
        <v>2.347</v>
      </c>
      <c r="Z260" s="2">
        <v>0.50800000000000001</v>
      </c>
      <c r="AA260" s="2">
        <v>13.58</v>
      </c>
      <c r="AB260" s="2">
        <v>2.85</v>
      </c>
      <c r="AC260" s="2">
        <v>1.0940000000000001</v>
      </c>
      <c r="AD260" s="2">
        <v>5.5940000000000003</v>
      </c>
      <c r="AE260" s="2">
        <v>10.28</v>
      </c>
      <c r="AF260" s="2">
        <v>24.71</v>
      </c>
      <c r="AG260" s="2">
        <v>0.27700000000000002</v>
      </c>
      <c r="AH260" s="2">
        <v>24.71</v>
      </c>
      <c r="AI260" s="2">
        <v>0.27700000000000002</v>
      </c>
      <c r="AJ260" s="2" t="s">
        <v>113</v>
      </c>
      <c r="AK260" s="2" t="s">
        <v>113</v>
      </c>
      <c r="AL260" s="2">
        <v>9.6999999999999993</v>
      </c>
      <c r="AM260" s="2">
        <v>18.100000000000001</v>
      </c>
      <c r="AN260" s="2">
        <v>2.0779999999999998</v>
      </c>
      <c r="AO260" s="2"/>
      <c r="AP260" s="2"/>
      <c r="AR260" s="5">
        <v>20.46</v>
      </c>
      <c r="AS260" s="5">
        <v>13.58</v>
      </c>
      <c r="AT260" s="5">
        <v>2.85</v>
      </c>
      <c r="AU260" s="7">
        <f t="shared" si="132"/>
        <v>0.21</v>
      </c>
      <c r="AV260" s="16"/>
      <c r="AW260" s="29">
        <v>0.50800000000000001</v>
      </c>
      <c r="AX260" s="29">
        <v>0</v>
      </c>
      <c r="AY260" s="1">
        <f t="shared" si="144"/>
        <v>99.3</v>
      </c>
      <c r="AZ260" s="1">
        <f t="shared" si="145"/>
        <v>79.5</v>
      </c>
      <c r="BA260" s="1">
        <f t="shared" si="146"/>
        <v>46.2</v>
      </c>
      <c r="BB260" s="8">
        <f t="shared" si="147"/>
        <v>0.84599999999999997</v>
      </c>
      <c r="BC260" s="8">
        <f t="shared" si="148"/>
        <v>0.98499999999999999</v>
      </c>
      <c r="BE260" s="5">
        <f t="shared" si="121"/>
        <v>13.58</v>
      </c>
      <c r="BF260" s="5">
        <f t="shared" si="122"/>
        <v>2.85</v>
      </c>
      <c r="BG260" s="1">
        <f t="shared" si="149"/>
        <v>9.6</v>
      </c>
      <c r="BH260" s="1">
        <f t="shared" si="150"/>
        <v>16.100000000000001</v>
      </c>
      <c r="BI260" s="1">
        <f t="shared" si="151"/>
        <v>2.5</v>
      </c>
      <c r="BJ260" s="1">
        <f t="shared" si="123"/>
        <v>79.5</v>
      </c>
      <c r="BK260" s="1">
        <f t="shared" si="124"/>
        <v>46.2</v>
      </c>
      <c r="BL260" s="1">
        <f t="shared" si="133"/>
        <v>1.1000000000000001</v>
      </c>
      <c r="BM260" s="1">
        <f t="shared" si="134"/>
        <v>5.6</v>
      </c>
      <c r="BN260" s="21">
        <f t="shared" si="125"/>
        <v>0.50800000000000001</v>
      </c>
      <c r="BO260" s="7">
        <f t="shared" si="126"/>
        <v>0</v>
      </c>
      <c r="BP260" s="21" t="str">
        <f t="shared" si="154"/>
        <v>NAN</v>
      </c>
      <c r="BQ260" s="1">
        <f t="shared" si="127"/>
        <v>10.3</v>
      </c>
      <c r="BR260" s="1">
        <f t="shared" si="128"/>
        <v>24.7</v>
      </c>
      <c r="BS260" s="1">
        <f t="shared" si="129"/>
        <v>0.3</v>
      </c>
      <c r="BT260" s="1">
        <f t="shared" si="152"/>
        <v>11.2</v>
      </c>
      <c r="BU260" s="1" t="s">
        <v>113</v>
      </c>
      <c r="BV260" s="1">
        <f t="shared" si="153"/>
        <v>11.1</v>
      </c>
      <c r="BW260" s="1" t="str">
        <f t="shared" si="135"/>
        <v>NAN</v>
      </c>
      <c r="BX260" s="1">
        <f t="shared" si="136"/>
        <v>0.84599999999999997</v>
      </c>
      <c r="BY260" s="1">
        <f t="shared" si="137"/>
        <v>0.98499999999999999</v>
      </c>
      <c r="CA260" s="1">
        <f t="shared" si="130"/>
        <v>8.5999999999999979</v>
      </c>
      <c r="CB260" s="1">
        <f t="shared" si="131"/>
        <v>-2.2000000000000002</v>
      </c>
    </row>
    <row r="261" spans="1:80" x14ac:dyDescent="0.2">
      <c r="A261" s="9">
        <f t="shared" si="138"/>
        <v>43721</v>
      </c>
      <c r="B261" s="2">
        <v>256</v>
      </c>
      <c r="C261" s="2">
        <v>21</v>
      </c>
      <c r="D261" s="2">
        <v>13.17</v>
      </c>
      <c r="E261" s="2">
        <v>17.48</v>
      </c>
      <c r="F261" s="2">
        <v>5.0129999999999999</v>
      </c>
      <c r="G261" s="2">
        <v>8.18</v>
      </c>
      <c r="H261" s="2">
        <v>85.9</v>
      </c>
      <c r="I261" s="2">
        <v>8.1300000000000008</v>
      </c>
      <c r="J261" s="2">
        <v>8.75</v>
      </c>
      <c r="K261" s="2">
        <v>10.54</v>
      </c>
      <c r="L261" s="2">
        <v>11.1</v>
      </c>
      <c r="M261" s="2">
        <v>13.07</v>
      </c>
      <c r="N261" s="2">
        <v>102</v>
      </c>
      <c r="O261" s="2">
        <v>22.85</v>
      </c>
      <c r="P261" s="2">
        <v>28.1</v>
      </c>
      <c r="Q261" s="2">
        <v>13.81</v>
      </c>
      <c r="R261" s="2">
        <v>11.62</v>
      </c>
      <c r="S261" s="2">
        <v>4.0659999999999998</v>
      </c>
      <c r="T261" s="2">
        <v>62.37</v>
      </c>
      <c r="U261" s="2">
        <v>2.0089999999999999</v>
      </c>
      <c r="V261" s="2">
        <v>0.68500000000000005</v>
      </c>
      <c r="W261" s="2">
        <v>8.15</v>
      </c>
      <c r="X261" s="2">
        <v>10.88</v>
      </c>
      <c r="Y261" s="2">
        <v>2.2709999999999999</v>
      </c>
      <c r="Z261" s="2">
        <v>1.27</v>
      </c>
      <c r="AA261" s="2">
        <v>11.02</v>
      </c>
      <c r="AB261" s="2">
        <v>2.403</v>
      </c>
      <c r="AC261" s="2">
        <v>1.4219999999999999</v>
      </c>
      <c r="AD261" s="2">
        <v>5.0599999999999996</v>
      </c>
      <c r="AE261" s="2">
        <v>8.9</v>
      </c>
      <c r="AF261" s="2">
        <v>23.57</v>
      </c>
      <c r="AG261" s="2">
        <v>2.0710000000000002</v>
      </c>
      <c r="AH261" s="2">
        <v>23.57</v>
      </c>
      <c r="AI261" s="2">
        <v>2.0710000000000002</v>
      </c>
      <c r="AJ261" s="2" t="s">
        <v>113</v>
      </c>
      <c r="AK261" s="2" t="s">
        <v>113</v>
      </c>
      <c r="AL261" s="2">
        <v>8.19</v>
      </c>
      <c r="AM261" s="2">
        <v>14.44</v>
      </c>
      <c r="AN261" s="2">
        <v>3.823</v>
      </c>
      <c r="AO261" s="2"/>
      <c r="AP261" s="2"/>
      <c r="AR261" s="5">
        <v>20.21</v>
      </c>
      <c r="AS261" s="5">
        <v>11.02</v>
      </c>
      <c r="AT261" s="5">
        <v>2.4</v>
      </c>
      <c r="AU261" s="7">
        <f t="shared" si="132"/>
        <v>0.218</v>
      </c>
      <c r="AV261" s="16"/>
      <c r="AW261" s="29">
        <v>1.524</v>
      </c>
      <c r="AX261" s="29">
        <v>0</v>
      </c>
      <c r="AY261" s="1">
        <f t="shared" si="144"/>
        <v>98.4</v>
      </c>
      <c r="AZ261" s="1">
        <f t="shared" si="145"/>
        <v>82.8</v>
      </c>
      <c r="BA261" s="1">
        <f t="shared" si="146"/>
        <v>60</v>
      </c>
      <c r="BB261" s="8">
        <f t="shared" si="147"/>
        <v>0.90200000000000002</v>
      </c>
      <c r="BC261" s="8">
        <f t="shared" si="148"/>
        <v>0.60099999999999998</v>
      </c>
      <c r="BE261" s="5">
        <f t="shared" si="121"/>
        <v>11.02</v>
      </c>
      <c r="BF261" s="5">
        <f t="shared" si="122"/>
        <v>2.4</v>
      </c>
      <c r="BG261" s="1">
        <f t="shared" si="149"/>
        <v>8.1999999999999993</v>
      </c>
      <c r="BH261" s="1">
        <f t="shared" si="150"/>
        <v>13.1</v>
      </c>
      <c r="BI261" s="1">
        <f t="shared" si="151"/>
        <v>4.0999999999999996</v>
      </c>
      <c r="BJ261" s="1">
        <f t="shared" si="123"/>
        <v>82.8</v>
      </c>
      <c r="BK261" s="1">
        <f t="shared" si="124"/>
        <v>60</v>
      </c>
      <c r="BL261" s="1">
        <f t="shared" si="133"/>
        <v>1.4</v>
      </c>
      <c r="BM261" s="1">
        <f t="shared" si="134"/>
        <v>5.0999999999999996</v>
      </c>
      <c r="BN261" s="21">
        <f t="shared" si="125"/>
        <v>1.524</v>
      </c>
      <c r="BO261" s="7">
        <f t="shared" si="126"/>
        <v>0</v>
      </c>
      <c r="BP261" s="21" t="str">
        <f t="shared" si="154"/>
        <v>NAN</v>
      </c>
      <c r="BQ261" s="1">
        <f t="shared" si="127"/>
        <v>8.9</v>
      </c>
      <c r="BR261" s="1">
        <f t="shared" si="128"/>
        <v>23.6</v>
      </c>
      <c r="BS261" s="1">
        <f t="shared" si="129"/>
        <v>2.1</v>
      </c>
      <c r="BT261" s="1">
        <f t="shared" si="152"/>
        <v>10.5</v>
      </c>
      <c r="BU261" s="1" t="s">
        <v>113</v>
      </c>
      <c r="BV261" s="1">
        <f t="shared" si="153"/>
        <v>11.1</v>
      </c>
      <c r="BW261" s="1" t="str">
        <f t="shared" si="135"/>
        <v>NAN</v>
      </c>
      <c r="BX261" s="1">
        <f t="shared" si="136"/>
        <v>0.90200000000000002</v>
      </c>
      <c r="BY261" s="1">
        <f t="shared" si="137"/>
        <v>0.60099999999999998</v>
      </c>
      <c r="CA261" s="1">
        <f t="shared" si="130"/>
        <v>10.500000000000002</v>
      </c>
      <c r="CB261" s="1">
        <f t="shared" si="131"/>
        <v>-1.9999999999999996</v>
      </c>
    </row>
    <row r="262" spans="1:80" x14ac:dyDescent="0.2">
      <c r="A262" s="9">
        <f t="shared" si="138"/>
        <v>43722</v>
      </c>
      <c r="B262" s="2">
        <v>257</v>
      </c>
      <c r="C262" s="2">
        <v>21</v>
      </c>
      <c r="D262" s="2">
        <v>13.18</v>
      </c>
      <c r="E262" s="2">
        <v>14.83</v>
      </c>
      <c r="F262" s="2">
        <v>5.7590000000000003</v>
      </c>
      <c r="G262" s="2">
        <v>8.02</v>
      </c>
      <c r="H262" s="2">
        <v>92.5</v>
      </c>
      <c r="I262" s="2">
        <v>8.0399999999999991</v>
      </c>
      <c r="J262" s="2">
        <v>8.6300000000000008</v>
      </c>
      <c r="K262" s="2">
        <v>10.130000000000001</v>
      </c>
      <c r="L262" s="2">
        <v>10.93</v>
      </c>
      <c r="M262" s="2">
        <v>11.99</v>
      </c>
      <c r="N262" s="2">
        <v>102.3</v>
      </c>
      <c r="O262" s="2">
        <v>15.44</v>
      </c>
      <c r="P262" s="2">
        <v>17.420000000000002</v>
      </c>
      <c r="Q262" s="2">
        <v>12.81</v>
      </c>
      <c r="R262" s="2">
        <v>11.17</v>
      </c>
      <c r="S262" s="2">
        <v>5.7649999999999997</v>
      </c>
      <c r="T262" s="2">
        <v>73.7</v>
      </c>
      <c r="U262" s="2">
        <v>5.3239999999999998</v>
      </c>
      <c r="V262" s="2">
        <v>5.2779999999999996</v>
      </c>
      <c r="W262" s="2">
        <v>8.42</v>
      </c>
      <c r="X262" s="2">
        <v>10.78</v>
      </c>
      <c r="Y262" s="2">
        <v>2.3580000000000001</v>
      </c>
      <c r="Z262" s="2">
        <v>1.27</v>
      </c>
      <c r="AA262" s="2">
        <v>6.7889999999999997</v>
      </c>
      <c r="AB262" s="2">
        <v>1.248</v>
      </c>
      <c r="AC262" s="2">
        <v>0.95499999999999996</v>
      </c>
      <c r="AD262" s="2">
        <v>3.6739999999999999</v>
      </c>
      <c r="AE262" s="2">
        <v>9.08</v>
      </c>
      <c r="AF262" s="2">
        <v>16.62</v>
      </c>
      <c r="AG262" s="2">
        <v>5.7220000000000004</v>
      </c>
      <c r="AH262" s="2">
        <v>16.62</v>
      </c>
      <c r="AI262" s="2">
        <v>5.7220000000000004</v>
      </c>
      <c r="AJ262" s="2" t="s">
        <v>113</v>
      </c>
      <c r="AK262" s="2" t="s">
        <v>113</v>
      </c>
      <c r="AL262" s="2">
        <v>7.99</v>
      </c>
      <c r="AM262" s="2">
        <v>12.24</v>
      </c>
      <c r="AN262" s="2">
        <v>5.61</v>
      </c>
      <c r="AO262" s="2"/>
      <c r="AP262" s="2"/>
      <c r="AR262" s="5">
        <v>19.95</v>
      </c>
      <c r="AS262" s="5">
        <v>6.79</v>
      </c>
      <c r="AT262" s="5">
        <v>1.25</v>
      </c>
      <c r="AU262" s="7">
        <f t="shared" si="132"/>
        <v>0.184</v>
      </c>
      <c r="AV262" s="16"/>
      <c r="AW262" s="29">
        <v>1.27</v>
      </c>
      <c r="AX262" s="29">
        <v>0</v>
      </c>
      <c r="AY262" s="1">
        <f t="shared" si="144"/>
        <v>98.7</v>
      </c>
      <c r="AZ262" s="1">
        <f t="shared" si="145"/>
        <v>89.2</v>
      </c>
      <c r="BA262" s="1">
        <f t="shared" si="146"/>
        <v>71</v>
      </c>
      <c r="BB262" s="8">
        <f t="shared" si="147"/>
        <v>0.995</v>
      </c>
      <c r="BC262" s="8">
        <f t="shared" si="148"/>
        <v>0.40600000000000003</v>
      </c>
      <c r="BE262" s="5">
        <f t="shared" ref="BE262:BE325" si="155">AS262</f>
        <v>6.79</v>
      </c>
      <c r="BF262" s="5">
        <f t="shared" ref="BF262:BF325" si="156">AT262</f>
        <v>1.25</v>
      </c>
      <c r="BG262" s="1">
        <f t="shared" si="149"/>
        <v>8</v>
      </c>
      <c r="BH262" s="1">
        <f t="shared" si="150"/>
        <v>12</v>
      </c>
      <c r="BI262" s="1">
        <f t="shared" si="151"/>
        <v>5.8</v>
      </c>
      <c r="BJ262" s="1">
        <f t="shared" ref="BJ262:BJ325" si="157">AZ262</f>
        <v>89.2</v>
      </c>
      <c r="BK262" s="1">
        <f t="shared" ref="BK262:BK325" si="158">BA262</f>
        <v>71</v>
      </c>
      <c r="BL262" s="1">
        <f t="shared" si="133"/>
        <v>1</v>
      </c>
      <c r="BM262" s="1">
        <f t="shared" si="134"/>
        <v>3.7</v>
      </c>
      <c r="BN262" s="21">
        <f t="shared" ref="BN262:BN325" si="159">AW262</f>
        <v>1.27</v>
      </c>
      <c r="BO262" s="7">
        <f t="shared" ref="BO262:BO325" si="160">AP262</f>
        <v>0</v>
      </c>
      <c r="BP262" s="21" t="str">
        <f t="shared" si="154"/>
        <v>NAN</v>
      </c>
      <c r="BQ262" s="1">
        <f t="shared" ref="BQ262:BQ325" si="161">IF(AE262="NAN", "NAN", ROUND(AE262,1))</f>
        <v>9.1</v>
      </c>
      <c r="BR262" s="1">
        <f t="shared" ref="BR262:BR325" si="162">IF(AF262="NAN", "NAN", ROUND(AF262,1))</f>
        <v>16.600000000000001</v>
      </c>
      <c r="BS262" s="1">
        <f t="shared" ref="BS262:BS325" si="163">IF(AG262="NAN", "NAN", ROUND(AG262,1))</f>
        <v>5.7</v>
      </c>
      <c r="BT262" s="1">
        <f t="shared" si="152"/>
        <v>10.1</v>
      </c>
      <c r="BU262" s="1" t="s">
        <v>113</v>
      </c>
      <c r="BV262" s="1">
        <f t="shared" si="153"/>
        <v>10.9</v>
      </c>
      <c r="BW262" s="1" t="str">
        <f t="shared" si="135"/>
        <v>NAN</v>
      </c>
      <c r="BX262" s="1">
        <f t="shared" si="136"/>
        <v>0.995</v>
      </c>
      <c r="BY262" s="1">
        <f t="shared" si="137"/>
        <v>0.40600000000000003</v>
      </c>
      <c r="CA262" s="1">
        <f t="shared" ref="CA262:CA325" si="164">IF(BR262="NAN","NAN",BR262-BH262)</f>
        <v>4.6000000000000014</v>
      </c>
      <c r="CB262" s="1">
        <f t="shared" ref="CB262:CB325" si="165">IF(BS262="NAN","NAN",BS262-BI262)</f>
        <v>-9.9999999999999645E-2</v>
      </c>
    </row>
    <row r="263" spans="1:80" x14ac:dyDescent="0.2">
      <c r="A263" s="9">
        <f t="shared" si="138"/>
        <v>43723</v>
      </c>
      <c r="B263" s="2">
        <v>258</v>
      </c>
      <c r="C263" s="2">
        <v>21</v>
      </c>
      <c r="D263" s="2">
        <v>13.17</v>
      </c>
      <c r="E263" s="2">
        <v>9.2799999999999994</v>
      </c>
      <c r="F263" s="2">
        <v>4.8680000000000003</v>
      </c>
      <c r="G263" s="2">
        <v>6.649</v>
      </c>
      <c r="H263" s="2">
        <v>99.6</v>
      </c>
      <c r="I263" s="2">
        <v>6.4050000000000002</v>
      </c>
      <c r="J263" s="2">
        <v>7.13</v>
      </c>
      <c r="K263" s="2">
        <v>8.99</v>
      </c>
      <c r="L263" s="2">
        <v>10.72</v>
      </c>
      <c r="M263" s="2">
        <v>8.6199999999999992</v>
      </c>
      <c r="N263" s="2">
        <v>102</v>
      </c>
      <c r="O263" s="2">
        <v>9.3000000000000007</v>
      </c>
      <c r="P263" s="2">
        <v>11.29</v>
      </c>
      <c r="Q263" s="2">
        <v>10.14</v>
      </c>
      <c r="R263" s="2">
        <v>10.84</v>
      </c>
      <c r="S263" s="2">
        <v>4.6619999999999999</v>
      </c>
      <c r="T263" s="2">
        <v>90.3</v>
      </c>
      <c r="U263" s="2">
        <v>4.1660000000000004</v>
      </c>
      <c r="V263" s="2">
        <v>4.218</v>
      </c>
      <c r="W263" s="2">
        <v>7.99</v>
      </c>
      <c r="X263" s="2">
        <v>10.53</v>
      </c>
      <c r="Y263" s="2">
        <v>2.2589999999999999</v>
      </c>
      <c r="Z263" s="2">
        <v>22.1</v>
      </c>
      <c r="AA263" s="2">
        <v>3.2090000000000001</v>
      </c>
      <c r="AB263" s="2">
        <v>0.503</v>
      </c>
      <c r="AC263" s="2">
        <v>0.71499999999999997</v>
      </c>
      <c r="AD263" s="2">
        <v>2.9540000000000002</v>
      </c>
      <c r="AE263" s="2">
        <v>7.66</v>
      </c>
      <c r="AF263" s="2">
        <v>11.71</v>
      </c>
      <c r="AG263" s="2">
        <v>4.9610000000000003</v>
      </c>
      <c r="AH263" s="2">
        <v>11.71</v>
      </c>
      <c r="AI263" s="2">
        <v>4.9610000000000003</v>
      </c>
      <c r="AJ263" s="2" t="s">
        <v>113</v>
      </c>
      <c r="AK263" s="2" t="s">
        <v>113</v>
      </c>
      <c r="AL263" s="2">
        <v>6.5529999999999999</v>
      </c>
      <c r="AM263" s="2">
        <v>8.6199999999999992</v>
      </c>
      <c r="AN263" s="2">
        <v>4.5570000000000004</v>
      </c>
      <c r="AO263" s="2"/>
      <c r="AP263" s="2"/>
      <c r="AR263" s="5">
        <v>19.7</v>
      </c>
      <c r="AS263" s="5">
        <v>3.21</v>
      </c>
      <c r="AT263" s="5">
        <v>0.5</v>
      </c>
      <c r="AU263" s="7">
        <f t="shared" ref="AU263:AU326" si="166">IF(OR(AS263="NAN",AT263="NAN"),"NAN",ROUND(AT263/AS263,3))</f>
        <v>0.156</v>
      </c>
      <c r="AV263" s="16"/>
      <c r="AW263" s="29">
        <v>22.86</v>
      </c>
      <c r="AX263" s="29">
        <v>0</v>
      </c>
      <c r="AY263" s="1">
        <f t="shared" si="144"/>
        <v>98.4</v>
      </c>
      <c r="AZ263" s="1">
        <f t="shared" si="145"/>
        <v>96.1</v>
      </c>
      <c r="BA263" s="1">
        <f t="shared" si="146"/>
        <v>87.1</v>
      </c>
      <c r="BB263" s="8">
        <f t="shared" si="147"/>
        <v>0.97399999999999998</v>
      </c>
      <c r="BC263" s="8">
        <f t="shared" si="148"/>
        <v>0.14399999999999999</v>
      </c>
      <c r="BE263" s="5">
        <f t="shared" si="155"/>
        <v>3.21</v>
      </c>
      <c r="BF263" s="5">
        <f t="shared" si="156"/>
        <v>0.5</v>
      </c>
      <c r="BG263" s="1">
        <f t="shared" si="149"/>
        <v>6.6</v>
      </c>
      <c r="BH263" s="1">
        <f t="shared" si="150"/>
        <v>8.6</v>
      </c>
      <c r="BI263" s="1">
        <f t="shared" si="151"/>
        <v>4.7</v>
      </c>
      <c r="BJ263" s="1">
        <f t="shared" si="157"/>
        <v>96.1</v>
      </c>
      <c r="BK263" s="1">
        <f t="shared" si="158"/>
        <v>87.1</v>
      </c>
      <c r="BL263" s="1">
        <f t="shared" ref="BL263:BL326" si="167">ROUND(AC263,1)</f>
        <v>0.7</v>
      </c>
      <c r="BM263" s="1">
        <f t="shared" ref="BM263:BM326" si="168">ROUND(AD263,1)</f>
        <v>3</v>
      </c>
      <c r="BN263" s="21">
        <f t="shared" si="159"/>
        <v>22.86</v>
      </c>
      <c r="BO263" s="7">
        <f t="shared" si="160"/>
        <v>0</v>
      </c>
      <c r="BP263" s="21" t="str">
        <f t="shared" si="154"/>
        <v>NAN</v>
      </c>
      <c r="BQ263" s="1">
        <f t="shared" si="161"/>
        <v>7.7</v>
      </c>
      <c r="BR263" s="1">
        <f t="shared" si="162"/>
        <v>11.7</v>
      </c>
      <c r="BS263" s="1">
        <f t="shared" si="163"/>
        <v>5</v>
      </c>
      <c r="BT263" s="1">
        <f t="shared" si="152"/>
        <v>9</v>
      </c>
      <c r="BU263" s="1" t="s">
        <v>113</v>
      </c>
      <c r="BV263" s="1">
        <f t="shared" si="153"/>
        <v>10.7</v>
      </c>
      <c r="BW263" s="1" t="str">
        <f t="shared" ref="BW263:BW326" si="169">AK263</f>
        <v>NAN</v>
      </c>
      <c r="BX263" s="1">
        <f t="shared" ref="BX263:BX326" si="170">BB263</f>
        <v>0.97399999999999998</v>
      </c>
      <c r="BY263" s="1">
        <f t="shared" ref="BY263:BY326" si="171">BC263</f>
        <v>0.14399999999999999</v>
      </c>
      <c r="CA263" s="1">
        <f t="shared" si="164"/>
        <v>3.0999999999999996</v>
      </c>
      <c r="CB263" s="1">
        <f t="shared" si="165"/>
        <v>0.29999999999999982</v>
      </c>
    </row>
    <row r="264" spans="1:80" x14ac:dyDescent="0.2">
      <c r="A264" s="9">
        <f t="shared" ref="A264:A327" si="172">A263+1</f>
        <v>43724</v>
      </c>
      <c r="B264" s="2">
        <v>259</v>
      </c>
      <c r="C264" s="2">
        <v>21</v>
      </c>
      <c r="D264" s="2">
        <v>13.17</v>
      </c>
      <c r="E264" s="2">
        <v>15.7</v>
      </c>
      <c r="F264" s="2">
        <v>2.2440000000000002</v>
      </c>
      <c r="G264" s="2">
        <v>5.6340000000000003</v>
      </c>
      <c r="H264" s="2">
        <v>92.8</v>
      </c>
      <c r="I264" s="2">
        <v>5.907</v>
      </c>
      <c r="J264" s="2">
        <v>6.984</v>
      </c>
      <c r="K264" s="2">
        <v>9.15</v>
      </c>
      <c r="L264" s="2">
        <v>10.44</v>
      </c>
      <c r="M264" s="2">
        <v>10.33</v>
      </c>
      <c r="N264" s="2">
        <v>102.5</v>
      </c>
      <c r="O264" s="2">
        <v>16.13</v>
      </c>
      <c r="P264" s="2">
        <v>20.68</v>
      </c>
      <c r="Q264" s="2">
        <v>12.3</v>
      </c>
      <c r="R264" s="2">
        <v>11.17</v>
      </c>
      <c r="S264" s="2">
        <v>0.91500000000000004</v>
      </c>
      <c r="T264" s="2">
        <v>62.53</v>
      </c>
      <c r="U264" s="2">
        <v>-0.83499999999999996</v>
      </c>
      <c r="V264" s="2">
        <v>-1.6579999999999999</v>
      </c>
      <c r="W264" s="2">
        <v>6.67</v>
      </c>
      <c r="X264" s="2">
        <v>10.23</v>
      </c>
      <c r="Y264" s="2">
        <v>2.2599999999999998</v>
      </c>
      <c r="Z264" s="2">
        <v>2.286</v>
      </c>
      <c r="AA264" s="2">
        <v>9.01</v>
      </c>
      <c r="AB264" s="2">
        <v>1.6759999999999999</v>
      </c>
      <c r="AC264" s="2">
        <v>0.46100000000000002</v>
      </c>
      <c r="AD264" s="2">
        <v>2.9540000000000002</v>
      </c>
      <c r="AE264" s="2">
        <v>7.51</v>
      </c>
      <c r="AF264" s="2">
        <v>17.760000000000002</v>
      </c>
      <c r="AG264" s="2">
        <v>0.109</v>
      </c>
      <c r="AH264" s="2">
        <v>17.760000000000002</v>
      </c>
      <c r="AI264" s="2">
        <v>0.109</v>
      </c>
      <c r="AJ264" s="2" t="s">
        <v>113</v>
      </c>
      <c r="AK264" s="2" t="s">
        <v>113</v>
      </c>
      <c r="AL264" s="2">
        <v>5.9450000000000003</v>
      </c>
      <c r="AM264" s="2">
        <v>11.58</v>
      </c>
      <c r="AN264" s="2">
        <v>0.9</v>
      </c>
      <c r="AO264" s="2"/>
      <c r="AP264" s="2"/>
      <c r="AR264" s="5">
        <v>19.45</v>
      </c>
      <c r="AS264" s="5">
        <v>9.01</v>
      </c>
      <c r="AT264" s="5">
        <v>1.67</v>
      </c>
      <c r="AU264" s="7">
        <f t="shared" si="166"/>
        <v>0.185</v>
      </c>
      <c r="AV264" s="16"/>
      <c r="AW264" s="29">
        <v>2.032</v>
      </c>
      <c r="AX264" s="29">
        <v>0</v>
      </c>
      <c r="AY264" s="1">
        <f t="shared" si="144"/>
        <v>98.9</v>
      </c>
      <c r="AZ264" s="1">
        <f t="shared" si="145"/>
        <v>89.5</v>
      </c>
      <c r="BA264" s="1">
        <f t="shared" si="146"/>
        <v>60.2</v>
      </c>
      <c r="BB264" s="8">
        <f t="shared" si="147"/>
        <v>0.755</v>
      </c>
      <c r="BC264" s="8">
        <f t="shared" si="148"/>
        <v>0.499</v>
      </c>
      <c r="BE264" s="5">
        <f t="shared" si="155"/>
        <v>9.01</v>
      </c>
      <c r="BF264" s="5">
        <f t="shared" si="156"/>
        <v>1.67</v>
      </c>
      <c r="BG264" s="1">
        <f t="shared" si="149"/>
        <v>5.6</v>
      </c>
      <c r="BH264" s="1">
        <f t="shared" si="150"/>
        <v>10.3</v>
      </c>
      <c r="BI264" s="1">
        <f t="shared" si="151"/>
        <v>0.9</v>
      </c>
      <c r="BJ264" s="1">
        <f t="shared" si="157"/>
        <v>89.5</v>
      </c>
      <c r="BK264" s="1">
        <f t="shared" si="158"/>
        <v>60.2</v>
      </c>
      <c r="BL264" s="1">
        <f t="shared" si="167"/>
        <v>0.5</v>
      </c>
      <c r="BM264" s="1">
        <f t="shared" si="168"/>
        <v>3</v>
      </c>
      <c r="BN264" s="21">
        <f t="shared" si="159"/>
        <v>2.032</v>
      </c>
      <c r="BO264" s="7">
        <f t="shared" si="160"/>
        <v>0</v>
      </c>
      <c r="BP264" s="21" t="str">
        <f t="shared" si="154"/>
        <v>NAN</v>
      </c>
      <c r="BQ264" s="1">
        <f t="shared" si="161"/>
        <v>7.5</v>
      </c>
      <c r="BR264" s="1">
        <f t="shared" si="162"/>
        <v>17.8</v>
      </c>
      <c r="BS264" s="1">
        <f t="shared" si="163"/>
        <v>0.1</v>
      </c>
      <c r="BT264" s="1">
        <f t="shared" si="152"/>
        <v>9.1999999999999993</v>
      </c>
      <c r="BU264" s="1" t="s">
        <v>113</v>
      </c>
      <c r="BV264" s="1">
        <f t="shared" si="153"/>
        <v>10.4</v>
      </c>
      <c r="BW264" s="1" t="str">
        <f t="shared" si="169"/>
        <v>NAN</v>
      </c>
      <c r="BX264" s="1">
        <f t="shared" si="170"/>
        <v>0.755</v>
      </c>
      <c r="BY264" s="1">
        <f t="shared" si="171"/>
        <v>0.499</v>
      </c>
      <c r="CA264" s="1">
        <f t="shared" si="164"/>
        <v>7.5</v>
      </c>
      <c r="CB264" s="1">
        <f t="shared" si="165"/>
        <v>-0.8</v>
      </c>
    </row>
    <row r="265" spans="1:80" x14ac:dyDescent="0.2">
      <c r="A265" s="9">
        <f t="shared" si="172"/>
        <v>43725</v>
      </c>
      <c r="B265" s="2">
        <v>260</v>
      </c>
      <c r="C265" s="2">
        <v>21</v>
      </c>
      <c r="D265" s="2">
        <v>13.15</v>
      </c>
      <c r="E265" s="2">
        <v>12.12</v>
      </c>
      <c r="F265" s="2">
        <v>2.7610000000000001</v>
      </c>
      <c r="G265" s="2">
        <v>4.5709999999999997</v>
      </c>
      <c r="H265" s="2">
        <v>96.3</v>
      </c>
      <c r="I265" s="2">
        <v>4.4660000000000002</v>
      </c>
      <c r="J265" s="2">
        <v>5.0570000000000004</v>
      </c>
      <c r="K265" s="2">
        <v>7.64</v>
      </c>
      <c r="L265" s="2">
        <v>10.199999999999999</v>
      </c>
      <c r="M265" s="2">
        <v>8.66</v>
      </c>
      <c r="N265" s="2">
        <v>102.5</v>
      </c>
      <c r="O265" s="2">
        <v>12.78</v>
      </c>
      <c r="P265" s="2">
        <v>17.36</v>
      </c>
      <c r="Q265" s="2">
        <v>10.15</v>
      </c>
      <c r="R265" s="2">
        <v>10.64</v>
      </c>
      <c r="S265" s="2">
        <v>3.0550000000000002</v>
      </c>
      <c r="T265" s="2">
        <v>72.2</v>
      </c>
      <c r="U265" s="2">
        <v>1.8939999999999999</v>
      </c>
      <c r="V265" s="2">
        <v>0.72399999999999998</v>
      </c>
      <c r="W265" s="2">
        <v>5.94</v>
      </c>
      <c r="X265" s="2">
        <v>9.98</v>
      </c>
      <c r="Y265" s="2">
        <v>2.2549999999999999</v>
      </c>
      <c r="Z265" s="2">
        <v>6.35</v>
      </c>
      <c r="AA265" s="2">
        <v>6.3879999999999999</v>
      </c>
      <c r="AB265" s="2">
        <v>1.1459999999999999</v>
      </c>
      <c r="AC265" s="2">
        <v>1.0409999999999999</v>
      </c>
      <c r="AD265" s="2">
        <v>4.7939999999999996</v>
      </c>
      <c r="AE265" s="2">
        <v>6.0019999999999998</v>
      </c>
      <c r="AF265" s="2">
        <v>15.35</v>
      </c>
      <c r="AG265" s="2">
        <v>1.9370000000000001</v>
      </c>
      <c r="AH265" s="2">
        <v>15.35</v>
      </c>
      <c r="AI265" s="2">
        <v>1.9370000000000001</v>
      </c>
      <c r="AJ265" s="2" t="s">
        <v>113</v>
      </c>
      <c r="AK265" s="2" t="s">
        <v>113</v>
      </c>
      <c r="AL265" s="2">
        <v>4.4809999999999999</v>
      </c>
      <c r="AM265" s="2">
        <v>9.0500000000000007</v>
      </c>
      <c r="AN265" s="2">
        <v>2.9079999999999999</v>
      </c>
      <c r="AO265" s="2"/>
      <c r="AP265" s="2"/>
      <c r="AR265" s="5">
        <v>19.2</v>
      </c>
      <c r="AS265" s="5">
        <v>6.39</v>
      </c>
      <c r="AT265" s="5">
        <v>1.1399999999999999</v>
      </c>
      <c r="AU265" s="7">
        <f t="shared" si="166"/>
        <v>0.17799999999999999</v>
      </c>
      <c r="AV265" s="16"/>
      <c r="AW265" s="29">
        <v>6.6040000000000001</v>
      </c>
      <c r="AX265" s="29">
        <v>0</v>
      </c>
      <c r="AY265" s="1">
        <f t="shared" si="144"/>
        <v>98.9</v>
      </c>
      <c r="AZ265" s="1">
        <f t="shared" si="145"/>
        <v>92.9</v>
      </c>
      <c r="BA265" s="1">
        <f t="shared" si="146"/>
        <v>69.5</v>
      </c>
      <c r="BB265" s="8">
        <f t="shared" si="147"/>
        <v>0.77900000000000003</v>
      </c>
      <c r="BC265" s="8">
        <f t="shared" si="148"/>
        <v>0.34200000000000003</v>
      </c>
      <c r="BE265" s="5">
        <f t="shared" si="155"/>
        <v>6.39</v>
      </c>
      <c r="BF265" s="5">
        <f t="shared" si="156"/>
        <v>1.1399999999999999</v>
      </c>
      <c r="BG265" s="1">
        <f t="shared" si="149"/>
        <v>4.5999999999999996</v>
      </c>
      <c r="BH265" s="1">
        <f t="shared" si="150"/>
        <v>8.6999999999999993</v>
      </c>
      <c r="BI265" s="1">
        <f t="shared" si="151"/>
        <v>3.1</v>
      </c>
      <c r="BJ265" s="1">
        <f t="shared" si="157"/>
        <v>92.9</v>
      </c>
      <c r="BK265" s="1">
        <f t="shared" si="158"/>
        <v>69.5</v>
      </c>
      <c r="BL265" s="1">
        <f t="shared" si="167"/>
        <v>1</v>
      </c>
      <c r="BM265" s="1">
        <f t="shared" si="168"/>
        <v>4.8</v>
      </c>
      <c r="BN265" s="21">
        <f t="shared" si="159"/>
        <v>6.6040000000000001</v>
      </c>
      <c r="BO265" s="7">
        <f t="shared" si="160"/>
        <v>0</v>
      </c>
      <c r="BP265" s="21" t="str">
        <f t="shared" si="154"/>
        <v>NAN</v>
      </c>
      <c r="BQ265" s="1">
        <f t="shared" si="161"/>
        <v>6</v>
      </c>
      <c r="BR265" s="1">
        <f t="shared" si="162"/>
        <v>15.4</v>
      </c>
      <c r="BS265" s="1">
        <f t="shared" si="163"/>
        <v>1.9</v>
      </c>
      <c r="BT265" s="1">
        <f t="shared" si="152"/>
        <v>7.6</v>
      </c>
      <c r="BU265" s="1" t="s">
        <v>113</v>
      </c>
      <c r="BV265" s="1">
        <f t="shared" si="153"/>
        <v>10.199999999999999</v>
      </c>
      <c r="BW265" s="1" t="str">
        <f t="shared" si="169"/>
        <v>NAN</v>
      </c>
      <c r="BX265" s="1">
        <f t="shared" si="170"/>
        <v>0.77900000000000003</v>
      </c>
      <c r="BY265" s="1">
        <f t="shared" si="171"/>
        <v>0.34200000000000003</v>
      </c>
      <c r="CA265" s="1">
        <f t="shared" si="164"/>
        <v>6.7000000000000011</v>
      </c>
      <c r="CB265" s="1">
        <f t="shared" si="165"/>
        <v>-1.2000000000000002</v>
      </c>
    </row>
    <row r="266" spans="1:80" x14ac:dyDescent="0.2">
      <c r="A266" s="9">
        <f t="shared" si="172"/>
        <v>43726</v>
      </c>
      <c r="B266" s="2">
        <v>261</v>
      </c>
      <c r="C266" s="2">
        <v>21</v>
      </c>
      <c r="D266" s="2">
        <v>13.17</v>
      </c>
      <c r="E266" s="2">
        <v>11.25</v>
      </c>
      <c r="F266" s="2">
        <v>3.2109999999999999</v>
      </c>
      <c r="G266" s="2">
        <v>5.0759999999999996</v>
      </c>
      <c r="H266" s="2">
        <v>98.1</v>
      </c>
      <c r="I266" s="2">
        <v>5.0220000000000002</v>
      </c>
      <c r="J266" s="2">
        <v>5.6849999999999996</v>
      </c>
      <c r="K266" s="2">
        <v>8.02</v>
      </c>
      <c r="L266" s="2">
        <v>9.89</v>
      </c>
      <c r="M266" s="2">
        <v>8.2100000000000009</v>
      </c>
      <c r="N266" s="2">
        <v>102.6</v>
      </c>
      <c r="O266" s="2">
        <v>13.17</v>
      </c>
      <c r="P266" s="2">
        <v>14.72</v>
      </c>
      <c r="Q266" s="2">
        <v>10.72</v>
      </c>
      <c r="R266" s="2">
        <v>10.15</v>
      </c>
      <c r="S266" s="2">
        <v>2.4279999999999999</v>
      </c>
      <c r="T266" s="2">
        <v>83.3</v>
      </c>
      <c r="U266" s="2">
        <v>1.24</v>
      </c>
      <c r="V266" s="2">
        <v>0.70299999999999996</v>
      </c>
      <c r="W266" s="2">
        <v>6.452</v>
      </c>
      <c r="X266" s="2">
        <v>9.6999999999999993</v>
      </c>
      <c r="Y266" s="2">
        <v>2.258</v>
      </c>
      <c r="Z266" s="2">
        <v>3.302</v>
      </c>
      <c r="AA266" s="2">
        <v>5.8860000000000001</v>
      </c>
      <c r="AB266" s="2">
        <v>0.97899999999999998</v>
      </c>
      <c r="AC266" s="2">
        <v>0.70599999999999996</v>
      </c>
      <c r="AD266" s="2">
        <v>3.5139999999999998</v>
      </c>
      <c r="AE266" s="2">
        <v>6.8390000000000004</v>
      </c>
      <c r="AF266" s="2">
        <v>14.4</v>
      </c>
      <c r="AG266" s="2">
        <v>2.2559999999999998</v>
      </c>
      <c r="AH266" s="2">
        <v>14.4</v>
      </c>
      <c r="AI266" s="2">
        <v>2.2559999999999998</v>
      </c>
      <c r="AJ266" s="2" t="s">
        <v>113</v>
      </c>
      <c r="AK266" s="2" t="s">
        <v>113</v>
      </c>
      <c r="AL266" s="2">
        <v>5.2290000000000001</v>
      </c>
      <c r="AM266" s="2">
        <v>9.1999999999999993</v>
      </c>
      <c r="AN266" s="2">
        <v>2.347</v>
      </c>
      <c r="AO266" s="2"/>
      <c r="AP266" s="2"/>
      <c r="AR266" s="5">
        <v>18.940000000000001</v>
      </c>
      <c r="AS266" s="5">
        <v>5.89</v>
      </c>
      <c r="AT266" s="5">
        <v>0.98</v>
      </c>
      <c r="AU266" s="7">
        <f t="shared" si="166"/>
        <v>0.16600000000000001</v>
      </c>
      <c r="AV266" s="16"/>
      <c r="AW266" s="29">
        <v>3.81</v>
      </c>
      <c r="AX266" s="29">
        <v>0</v>
      </c>
      <c r="AY266" s="1">
        <f t="shared" si="144"/>
        <v>99</v>
      </c>
      <c r="AZ266" s="1">
        <f t="shared" si="145"/>
        <v>94.7</v>
      </c>
      <c r="BA266" s="1">
        <f t="shared" si="146"/>
        <v>80.3</v>
      </c>
      <c r="BB266" s="8">
        <f t="shared" si="147"/>
        <v>0.873</v>
      </c>
      <c r="BC266" s="8">
        <f t="shared" si="148"/>
        <v>0.214</v>
      </c>
      <c r="BE266" s="5">
        <f t="shared" si="155"/>
        <v>5.89</v>
      </c>
      <c r="BF266" s="5">
        <f t="shared" si="156"/>
        <v>0.98</v>
      </c>
      <c r="BG266" s="1">
        <f t="shared" si="149"/>
        <v>5.0999999999999996</v>
      </c>
      <c r="BH266" s="1">
        <f t="shared" si="150"/>
        <v>8.1999999999999993</v>
      </c>
      <c r="BI266" s="1">
        <f t="shared" si="151"/>
        <v>2.4</v>
      </c>
      <c r="BJ266" s="1">
        <f t="shared" si="157"/>
        <v>94.7</v>
      </c>
      <c r="BK266" s="1">
        <f t="shared" si="158"/>
        <v>80.3</v>
      </c>
      <c r="BL266" s="1">
        <f t="shared" si="167"/>
        <v>0.7</v>
      </c>
      <c r="BM266" s="1">
        <f t="shared" si="168"/>
        <v>3.5</v>
      </c>
      <c r="BN266" s="21">
        <f t="shared" si="159"/>
        <v>3.81</v>
      </c>
      <c r="BO266" s="7">
        <f t="shared" si="160"/>
        <v>0</v>
      </c>
      <c r="BP266" s="21" t="str">
        <f t="shared" si="154"/>
        <v>NAN</v>
      </c>
      <c r="BQ266" s="1">
        <f t="shared" si="161"/>
        <v>6.8</v>
      </c>
      <c r="BR266" s="1">
        <f t="shared" si="162"/>
        <v>14.4</v>
      </c>
      <c r="BS266" s="1">
        <f t="shared" si="163"/>
        <v>2.2999999999999998</v>
      </c>
      <c r="BT266" s="1">
        <f t="shared" si="152"/>
        <v>8</v>
      </c>
      <c r="BU266" s="1" t="s">
        <v>113</v>
      </c>
      <c r="BV266" s="1">
        <f t="shared" si="153"/>
        <v>9.9</v>
      </c>
      <c r="BW266" s="1" t="str">
        <f t="shared" si="169"/>
        <v>NAN</v>
      </c>
      <c r="BX266" s="1">
        <f t="shared" si="170"/>
        <v>0.873</v>
      </c>
      <c r="BY266" s="1">
        <f t="shared" si="171"/>
        <v>0.214</v>
      </c>
      <c r="CA266" s="1">
        <f t="shared" si="164"/>
        <v>6.2000000000000011</v>
      </c>
      <c r="CB266" s="1">
        <f t="shared" si="165"/>
        <v>-0.10000000000000009</v>
      </c>
    </row>
    <row r="267" spans="1:80" x14ac:dyDescent="0.2">
      <c r="A267" s="9">
        <f t="shared" si="172"/>
        <v>43727</v>
      </c>
      <c r="B267" s="2">
        <v>262</v>
      </c>
      <c r="C267" s="2">
        <v>21</v>
      </c>
      <c r="D267" s="2">
        <v>13.17</v>
      </c>
      <c r="E267" s="2">
        <v>18.64</v>
      </c>
      <c r="F267" s="2">
        <v>-0.42899999999999999</v>
      </c>
      <c r="G267" s="2">
        <v>6.6840000000000002</v>
      </c>
      <c r="H267" s="2">
        <v>88.3</v>
      </c>
      <c r="I267" s="2">
        <v>6.8849999999999998</v>
      </c>
      <c r="J267" s="2">
        <v>8.35</v>
      </c>
      <c r="K267" s="2">
        <v>9.2100000000000009</v>
      </c>
      <c r="L267" s="2">
        <v>9.75</v>
      </c>
      <c r="M267" s="2">
        <v>11.23</v>
      </c>
      <c r="N267" s="2">
        <v>102.6</v>
      </c>
      <c r="O267" s="2">
        <v>21.23</v>
      </c>
      <c r="P267" s="2">
        <v>26.3</v>
      </c>
      <c r="Q267" s="2">
        <v>13.41</v>
      </c>
      <c r="R267" s="2">
        <v>10.4</v>
      </c>
      <c r="S267" s="2">
        <v>-0.51700000000000002</v>
      </c>
      <c r="T267" s="2">
        <v>59.17</v>
      </c>
      <c r="U267" s="2">
        <v>-2.11</v>
      </c>
      <c r="V267" s="2">
        <v>-2.9849999999999999</v>
      </c>
      <c r="W267" s="2">
        <v>4.8419999999999996</v>
      </c>
      <c r="X267" s="2">
        <v>9.5299999999999994</v>
      </c>
      <c r="Y267" s="2">
        <v>2.6629999999999998</v>
      </c>
      <c r="Z267" s="2">
        <v>0.76200000000000001</v>
      </c>
      <c r="AA267" s="2">
        <v>13.15</v>
      </c>
      <c r="AB267" s="2">
        <v>2.64</v>
      </c>
      <c r="AC267" s="2">
        <v>1.091</v>
      </c>
      <c r="AD267" s="2">
        <v>4.0999999999999996</v>
      </c>
      <c r="AE267" s="2">
        <v>8.0399999999999991</v>
      </c>
      <c r="AF267" s="2">
        <v>20.76</v>
      </c>
      <c r="AG267" s="2">
        <v>-1.2110000000000001</v>
      </c>
      <c r="AH267" s="2">
        <v>20.76</v>
      </c>
      <c r="AI267" s="2">
        <v>-1.2110000000000001</v>
      </c>
      <c r="AJ267" s="2" t="s">
        <v>113</v>
      </c>
      <c r="AK267" s="2" t="s">
        <v>113</v>
      </c>
      <c r="AL267" s="2">
        <v>6.875</v>
      </c>
      <c r="AM267" s="2">
        <v>13.73</v>
      </c>
      <c r="AN267" s="2">
        <v>-0.83799999999999997</v>
      </c>
      <c r="AO267" s="2"/>
      <c r="AP267" s="2"/>
      <c r="AR267" s="5">
        <v>18.690000000000001</v>
      </c>
      <c r="AS267" s="5">
        <v>13.15</v>
      </c>
      <c r="AT267" s="5">
        <v>2.64</v>
      </c>
      <c r="AU267" s="7">
        <f t="shared" si="166"/>
        <v>0.20100000000000001</v>
      </c>
      <c r="AV267" s="16"/>
      <c r="AW267" s="29">
        <v>1.016</v>
      </c>
      <c r="AX267" s="29">
        <v>0</v>
      </c>
      <c r="AY267" s="1">
        <f t="shared" si="144"/>
        <v>99</v>
      </c>
      <c r="AZ267" s="1">
        <f t="shared" si="145"/>
        <v>85.2</v>
      </c>
      <c r="BA267" s="1">
        <f t="shared" si="146"/>
        <v>56.9</v>
      </c>
      <c r="BB267" s="8">
        <f t="shared" si="147"/>
        <v>0.75800000000000001</v>
      </c>
      <c r="BC267" s="8">
        <f t="shared" si="148"/>
        <v>0.57399999999999995</v>
      </c>
      <c r="BE267" s="5">
        <f t="shared" si="155"/>
        <v>13.15</v>
      </c>
      <c r="BF267" s="5">
        <f t="shared" si="156"/>
        <v>2.64</v>
      </c>
      <c r="BG267" s="1">
        <f t="shared" si="149"/>
        <v>6.7</v>
      </c>
      <c r="BH267" s="1">
        <f t="shared" si="150"/>
        <v>11.2</v>
      </c>
      <c r="BI267" s="1">
        <f t="shared" si="151"/>
        <v>-0.5</v>
      </c>
      <c r="BJ267" s="1">
        <f t="shared" si="157"/>
        <v>85.2</v>
      </c>
      <c r="BK267" s="1">
        <f t="shared" si="158"/>
        <v>56.9</v>
      </c>
      <c r="BL267" s="1">
        <f t="shared" si="167"/>
        <v>1.1000000000000001</v>
      </c>
      <c r="BM267" s="1">
        <f t="shared" si="168"/>
        <v>4.0999999999999996</v>
      </c>
      <c r="BN267" s="21">
        <f t="shared" si="159"/>
        <v>1.016</v>
      </c>
      <c r="BO267" s="7">
        <f t="shared" si="160"/>
        <v>0</v>
      </c>
      <c r="BP267" s="21" t="str">
        <f t="shared" si="154"/>
        <v>NAN</v>
      </c>
      <c r="BQ267" s="1">
        <f t="shared" si="161"/>
        <v>8</v>
      </c>
      <c r="BR267" s="1">
        <f t="shared" si="162"/>
        <v>20.8</v>
      </c>
      <c r="BS267" s="1">
        <f t="shared" si="163"/>
        <v>-1.2</v>
      </c>
      <c r="BT267" s="1">
        <f t="shared" si="152"/>
        <v>9.1999999999999993</v>
      </c>
      <c r="BU267" s="1" t="s">
        <v>113</v>
      </c>
      <c r="BV267" s="1">
        <f t="shared" si="153"/>
        <v>9.8000000000000007</v>
      </c>
      <c r="BW267" s="1" t="str">
        <f t="shared" si="169"/>
        <v>NAN</v>
      </c>
      <c r="BX267" s="1">
        <f t="shared" si="170"/>
        <v>0.75800000000000001</v>
      </c>
      <c r="BY267" s="1">
        <f t="shared" si="171"/>
        <v>0.57399999999999995</v>
      </c>
      <c r="CA267" s="1">
        <f t="shared" si="164"/>
        <v>9.6000000000000014</v>
      </c>
      <c r="CB267" s="1">
        <f t="shared" si="165"/>
        <v>-0.7</v>
      </c>
    </row>
    <row r="268" spans="1:80" x14ac:dyDescent="0.2">
      <c r="A268" s="9">
        <f t="shared" si="172"/>
        <v>43728</v>
      </c>
      <c r="B268" s="2">
        <v>263</v>
      </c>
      <c r="C268" s="2">
        <v>21</v>
      </c>
      <c r="D268" s="2">
        <v>13.13</v>
      </c>
      <c r="E268" s="2">
        <v>17.41</v>
      </c>
      <c r="F268" s="2">
        <v>-1.373</v>
      </c>
      <c r="G268" s="2">
        <v>5.4089999999999998</v>
      </c>
      <c r="H268" s="2">
        <v>90.3</v>
      </c>
      <c r="I268" s="2">
        <v>5.5270000000000001</v>
      </c>
      <c r="J268" s="2">
        <v>6.077</v>
      </c>
      <c r="K268" s="2">
        <v>8.7799999999999994</v>
      </c>
      <c r="L268" s="2">
        <v>9.67</v>
      </c>
      <c r="M268" s="2">
        <v>10.72</v>
      </c>
      <c r="N268" s="2">
        <v>102.6</v>
      </c>
      <c r="O268" s="2">
        <v>18.04</v>
      </c>
      <c r="P268" s="2">
        <v>22.56</v>
      </c>
      <c r="Q268" s="2">
        <v>12.05</v>
      </c>
      <c r="R268" s="2">
        <v>10.07</v>
      </c>
      <c r="S268" s="2">
        <v>-1.452</v>
      </c>
      <c r="T268" s="2">
        <v>60.17</v>
      </c>
      <c r="U268" s="2">
        <v>-3.069</v>
      </c>
      <c r="V268" s="2">
        <v>-3.7370000000000001</v>
      </c>
      <c r="W268" s="2">
        <v>4.6779999999999999</v>
      </c>
      <c r="X268" s="2">
        <v>9.19</v>
      </c>
      <c r="Y268" s="2">
        <v>2.347</v>
      </c>
      <c r="Z268" s="2">
        <v>2.794</v>
      </c>
      <c r="AA268" s="2">
        <v>9.6</v>
      </c>
      <c r="AB268" s="2">
        <v>1.847</v>
      </c>
      <c r="AC268" s="2">
        <v>0.98499999999999999</v>
      </c>
      <c r="AD268" s="2">
        <v>5.1669999999999998</v>
      </c>
      <c r="AE268" s="2">
        <v>6.52</v>
      </c>
      <c r="AF268" s="2">
        <v>17.2</v>
      </c>
      <c r="AG268" s="2">
        <v>-2.1509999999999998</v>
      </c>
      <c r="AH268" s="2">
        <v>17.2</v>
      </c>
      <c r="AI268" s="2">
        <v>-2.1509999999999998</v>
      </c>
      <c r="AJ268" s="2" t="s">
        <v>113</v>
      </c>
      <c r="AK268" s="2" t="s">
        <v>113</v>
      </c>
      <c r="AL268" s="2">
        <v>5.6689999999999996</v>
      </c>
      <c r="AM268" s="2">
        <v>13.26</v>
      </c>
      <c r="AN268" s="2">
        <v>-1.9450000000000001</v>
      </c>
      <c r="AO268" s="2"/>
      <c r="AP268" s="2"/>
      <c r="AR268" s="5">
        <v>18.440000000000001</v>
      </c>
      <c r="AS268" s="5">
        <v>9.6</v>
      </c>
      <c r="AT268" s="5">
        <v>1.85</v>
      </c>
      <c r="AU268" s="7">
        <f t="shared" si="166"/>
        <v>0.193</v>
      </c>
      <c r="AV268" s="16"/>
      <c r="AW268" s="29">
        <v>3.302</v>
      </c>
      <c r="AX268" s="29">
        <v>0</v>
      </c>
      <c r="AY268" s="1">
        <f t="shared" si="144"/>
        <v>99</v>
      </c>
      <c r="AZ268" s="1">
        <f t="shared" si="145"/>
        <v>87.1</v>
      </c>
      <c r="BA268" s="1">
        <f t="shared" si="146"/>
        <v>57.9</v>
      </c>
      <c r="BB268" s="8">
        <f t="shared" si="147"/>
        <v>0.746</v>
      </c>
      <c r="BC268" s="8">
        <f t="shared" si="148"/>
        <v>0.54200000000000004</v>
      </c>
      <c r="BE268" s="5">
        <f t="shared" si="155"/>
        <v>9.6</v>
      </c>
      <c r="BF268" s="5">
        <f t="shared" si="156"/>
        <v>1.85</v>
      </c>
      <c r="BG268" s="1">
        <f t="shared" si="149"/>
        <v>5.4</v>
      </c>
      <c r="BH268" s="1">
        <f t="shared" si="150"/>
        <v>10.7</v>
      </c>
      <c r="BI268" s="1">
        <f t="shared" si="151"/>
        <v>-1.5</v>
      </c>
      <c r="BJ268" s="1">
        <f t="shared" si="157"/>
        <v>87.1</v>
      </c>
      <c r="BK268" s="1">
        <f t="shared" si="158"/>
        <v>57.9</v>
      </c>
      <c r="BL268" s="1">
        <f t="shared" si="167"/>
        <v>1</v>
      </c>
      <c r="BM268" s="1">
        <f t="shared" si="168"/>
        <v>5.2</v>
      </c>
      <c r="BN268" s="21">
        <f t="shared" si="159"/>
        <v>3.302</v>
      </c>
      <c r="BO268" s="7">
        <f t="shared" si="160"/>
        <v>0</v>
      </c>
      <c r="BP268" s="21" t="str">
        <f t="shared" si="154"/>
        <v>NAN</v>
      </c>
      <c r="BQ268" s="1">
        <f t="shared" si="161"/>
        <v>6.5</v>
      </c>
      <c r="BR268" s="1">
        <f t="shared" si="162"/>
        <v>17.2</v>
      </c>
      <c r="BS268" s="1">
        <f t="shared" si="163"/>
        <v>-2.2000000000000002</v>
      </c>
      <c r="BT268" s="1">
        <f t="shared" si="152"/>
        <v>8.8000000000000007</v>
      </c>
      <c r="BU268" s="1" t="s">
        <v>113</v>
      </c>
      <c r="BV268" s="1">
        <f t="shared" si="153"/>
        <v>9.6999999999999993</v>
      </c>
      <c r="BW268" s="1" t="str">
        <f t="shared" si="169"/>
        <v>NAN</v>
      </c>
      <c r="BX268" s="1">
        <f t="shared" si="170"/>
        <v>0.746</v>
      </c>
      <c r="BY268" s="1">
        <f t="shared" si="171"/>
        <v>0.54200000000000004</v>
      </c>
      <c r="CA268" s="1">
        <f t="shared" si="164"/>
        <v>6.5</v>
      </c>
      <c r="CB268" s="1">
        <f t="shared" si="165"/>
        <v>-0.70000000000000018</v>
      </c>
    </row>
    <row r="269" spans="1:80" x14ac:dyDescent="0.2">
      <c r="A269" s="9">
        <f t="shared" si="172"/>
        <v>43729</v>
      </c>
      <c r="B269" s="2">
        <v>264</v>
      </c>
      <c r="C269" s="2">
        <v>21</v>
      </c>
      <c r="D269" s="2">
        <v>13.13</v>
      </c>
      <c r="E269" s="2">
        <v>23.23</v>
      </c>
      <c r="F269" s="2">
        <v>-2.5430000000000001</v>
      </c>
      <c r="G269" s="2">
        <v>6.47</v>
      </c>
      <c r="H269" s="2">
        <v>85.8</v>
      </c>
      <c r="I269" s="2">
        <v>6.194</v>
      </c>
      <c r="J269" s="2">
        <v>6.8220000000000001</v>
      </c>
      <c r="K269" s="2">
        <v>8.49</v>
      </c>
      <c r="L269" s="2">
        <v>9.5399999999999991</v>
      </c>
      <c r="M269" s="2">
        <v>16.13</v>
      </c>
      <c r="N269" s="2">
        <v>102.9</v>
      </c>
      <c r="O269" s="2">
        <v>22.67</v>
      </c>
      <c r="P269" s="2">
        <v>27.15</v>
      </c>
      <c r="Q269" s="2">
        <v>14.76</v>
      </c>
      <c r="R269" s="2">
        <v>10.39</v>
      </c>
      <c r="S269" s="2">
        <v>-1.5960000000000001</v>
      </c>
      <c r="T269" s="2">
        <v>49.05</v>
      </c>
      <c r="U269" s="2">
        <v>-3.5779999999999998</v>
      </c>
      <c r="V269" s="2">
        <v>-4.1840000000000002</v>
      </c>
      <c r="W269" s="2">
        <v>3.0310000000000001</v>
      </c>
      <c r="X269" s="2">
        <v>8.8699999999999992</v>
      </c>
      <c r="Y269" s="2">
        <v>2.6709999999999998</v>
      </c>
      <c r="Z269" s="2">
        <v>0.254</v>
      </c>
      <c r="AA269" s="2">
        <v>16.25</v>
      </c>
      <c r="AB269" s="2">
        <v>3.5390000000000001</v>
      </c>
      <c r="AC269" s="2">
        <v>0.68899999999999995</v>
      </c>
      <c r="AD269" s="2">
        <v>5.194</v>
      </c>
      <c r="AE269" s="2">
        <v>6.3410000000000002</v>
      </c>
      <c r="AF269" s="2">
        <v>21.92</v>
      </c>
      <c r="AG269" s="2">
        <v>-2.5750000000000002</v>
      </c>
      <c r="AH269" s="2">
        <v>21.92</v>
      </c>
      <c r="AI269" s="2">
        <v>-2.5750000000000002</v>
      </c>
      <c r="AJ269" s="2" t="s">
        <v>113</v>
      </c>
      <c r="AK269" s="2" t="s">
        <v>113</v>
      </c>
      <c r="AL269" s="2">
        <v>6.5519999999999996</v>
      </c>
      <c r="AM269" s="2">
        <v>18.62</v>
      </c>
      <c r="AN269" s="2">
        <v>-2.0710000000000002</v>
      </c>
      <c r="AO269" s="2"/>
      <c r="AP269" s="2"/>
      <c r="AR269" s="5">
        <v>18.18</v>
      </c>
      <c r="AS269" s="5">
        <v>16.25</v>
      </c>
      <c r="AT269" s="5">
        <v>3.54</v>
      </c>
      <c r="AU269" s="7">
        <f t="shared" si="166"/>
        <v>0.218</v>
      </c>
      <c r="AV269" s="16"/>
      <c r="AW269" s="29">
        <v>0</v>
      </c>
      <c r="AX269" s="29">
        <v>0</v>
      </c>
      <c r="AY269" s="1">
        <f t="shared" si="144"/>
        <v>99.3</v>
      </c>
      <c r="AZ269" s="1">
        <f t="shared" si="145"/>
        <v>82.7</v>
      </c>
      <c r="BA269" s="1">
        <f t="shared" si="146"/>
        <v>47.1</v>
      </c>
      <c r="BB269" s="8">
        <f t="shared" si="147"/>
        <v>0.86299999999999999</v>
      </c>
      <c r="BC269" s="8">
        <f t="shared" si="148"/>
        <v>0.96899999999999997</v>
      </c>
      <c r="BE269" s="5">
        <f t="shared" si="155"/>
        <v>16.25</v>
      </c>
      <c r="BF269" s="5">
        <f t="shared" si="156"/>
        <v>3.54</v>
      </c>
      <c r="BG269" s="1">
        <f t="shared" si="149"/>
        <v>6.5</v>
      </c>
      <c r="BH269" s="1">
        <f t="shared" si="150"/>
        <v>16.100000000000001</v>
      </c>
      <c r="BI269" s="1">
        <f t="shared" si="151"/>
        <v>-1.6</v>
      </c>
      <c r="BJ269" s="1">
        <f t="shared" si="157"/>
        <v>82.7</v>
      </c>
      <c r="BK269" s="1">
        <f t="shared" si="158"/>
        <v>47.1</v>
      </c>
      <c r="BL269" s="1">
        <f t="shared" si="167"/>
        <v>0.7</v>
      </c>
      <c r="BM269" s="1">
        <f t="shared" si="168"/>
        <v>5.2</v>
      </c>
      <c r="BN269" s="21">
        <f t="shared" si="159"/>
        <v>0</v>
      </c>
      <c r="BO269" s="7">
        <f t="shared" si="160"/>
        <v>0</v>
      </c>
      <c r="BP269" s="21" t="str">
        <f t="shared" si="154"/>
        <v>NAN</v>
      </c>
      <c r="BQ269" s="1">
        <f t="shared" si="161"/>
        <v>6.3</v>
      </c>
      <c r="BR269" s="1">
        <f t="shared" si="162"/>
        <v>21.9</v>
      </c>
      <c r="BS269" s="1">
        <f t="shared" si="163"/>
        <v>-2.6</v>
      </c>
      <c r="BT269" s="1">
        <f t="shared" si="152"/>
        <v>8.5</v>
      </c>
      <c r="BU269" s="1" t="s">
        <v>113</v>
      </c>
      <c r="BV269" s="1">
        <f t="shared" si="153"/>
        <v>9.5</v>
      </c>
      <c r="BW269" s="1" t="str">
        <f t="shared" si="169"/>
        <v>NAN</v>
      </c>
      <c r="BX269" s="1">
        <f t="shared" si="170"/>
        <v>0.86299999999999999</v>
      </c>
      <c r="BY269" s="1">
        <f t="shared" si="171"/>
        <v>0.96899999999999997</v>
      </c>
      <c r="CA269" s="1">
        <f t="shared" si="164"/>
        <v>5.7999999999999972</v>
      </c>
      <c r="CB269" s="1">
        <f t="shared" si="165"/>
        <v>-1</v>
      </c>
    </row>
    <row r="270" spans="1:80" x14ac:dyDescent="0.2">
      <c r="A270" s="9">
        <f t="shared" si="172"/>
        <v>43730</v>
      </c>
      <c r="B270" s="2">
        <v>265</v>
      </c>
      <c r="C270" s="2">
        <v>21</v>
      </c>
      <c r="D270" s="2">
        <v>13.16</v>
      </c>
      <c r="E270" s="2">
        <v>13.57</v>
      </c>
      <c r="F270" s="2">
        <v>-0.81599999999999995</v>
      </c>
      <c r="G270" s="2">
        <v>6.524</v>
      </c>
      <c r="H270" s="2">
        <v>97.4</v>
      </c>
      <c r="I270" s="2">
        <v>5.681</v>
      </c>
      <c r="J270" s="2">
        <v>6.0359999999999996</v>
      </c>
      <c r="K270" s="2">
        <v>7.73</v>
      </c>
      <c r="L270" s="2">
        <v>9.4700000000000006</v>
      </c>
      <c r="M270" s="2">
        <v>11.45</v>
      </c>
      <c r="N270" s="2">
        <v>103.1</v>
      </c>
      <c r="O270" s="2">
        <v>15.46</v>
      </c>
      <c r="P270" s="2">
        <v>20.47</v>
      </c>
      <c r="Q270" s="2">
        <v>11.2</v>
      </c>
      <c r="R270" s="2">
        <v>10.119999999999999</v>
      </c>
      <c r="S270" s="2">
        <v>-0.39500000000000002</v>
      </c>
      <c r="T270" s="2">
        <v>78.599999999999994</v>
      </c>
      <c r="U270" s="2">
        <v>-2.7109999999999999</v>
      </c>
      <c r="V270" s="2">
        <v>-3.64</v>
      </c>
      <c r="W270" s="2">
        <v>3.6949999999999998</v>
      </c>
      <c r="X270" s="2">
        <v>9.3000000000000007</v>
      </c>
      <c r="Y270" s="2">
        <v>2.2570000000000001</v>
      </c>
      <c r="Z270" s="2">
        <v>9.4</v>
      </c>
      <c r="AA270" s="2">
        <v>6.4539999999999997</v>
      </c>
      <c r="AB270" s="2">
        <v>1.226</v>
      </c>
      <c r="AC270" s="2">
        <v>0.97599999999999998</v>
      </c>
      <c r="AD270" s="2">
        <v>4.1269999999999998</v>
      </c>
      <c r="AE270" s="2">
        <v>6.617</v>
      </c>
      <c r="AF270" s="2">
        <v>17.190000000000001</v>
      </c>
      <c r="AG270" s="2">
        <v>-2.089</v>
      </c>
      <c r="AH270" s="2">
        <v>17.190000000000001</v>
      </c>
      <c r="AI270" s="2">
        <v>-2.089</v>
      </c>
      <c r="AJ270" s="2" t="s">
        <v>113</v>
      </c>
      <c r="AK270" s="2" t="s">
        <v>113</v>
      </c>
      <c r="AL270" s="2">
        <v>6.2469999999999999</v>
      </c>
      <c r="AM270" s="2">
        <v>11.65</v>
      </c>
      <c r="AN270" s="2">
        <v>-0.61899999999999999</v>
      </c>
      <c r="AO270" s="2"/>
      <c r="AP270" s="2"/>
      <c r="AR270" s="5">
        <v>17.93</v>
      </c>
      <c r="AS270" s="5">
        <v>6.45</v>
      </c>
      <c r="AT270" s="5">
        <v>1.22</v>
      </c>
      <c r="AU270" s="7">
        <f t="shared" si="166"/>
        <v>0.189</v>
      </c>
      <c r="AV270" s="16"/>
      <c r="AW270" s="29">
        <v>9.6519999999999992</v>
      </c>
      <c r="AX270" s="29">
        <v>0</v>
      </c>
      <c r="AY270" s="1">
        <f t="shared" si="144"/>
        <v>99.5</v>
      </c>
      <c r="AZ270" s="1">
        <f t="shared" si="145"/>
        <v>94</v>
      </c>
      <c r="BA270" s="1">
        <f t="shared" si="146"/>
        <v>75.7</v>
      </c>
      <c r="BB270" s="8">
        <f t="shared" si="147"/>
        <v>1.0229999999999999</v>
      </c>
      <c r="BC270" s="8">
        <f t="shared" si="148"/>
        <v>0.32800000000000001</v>
      </c>
      <c r="BE270" s="5">
        <f t="shared" si="155"/>
        <v>6.45</v>
      </c>
      <c r="BF270" s="5">
        <f t="shared" si="156"/>
        <v>1.22</v>
      </c>
      <c r="BG270" s="1">
        <f t="shared" si="149"/>
        <v>6.5</v>
      </c>
      <c r="BH270" s="1">
        <f t="shared" si="150"/>
        <v>11.5</v>
      </c>
      <c r="BI270" s="1">
        <f t="shared" si="151"/>
        <v>-0.4</v>
      </c>
      <c r="BJ270" s="1">
        <f t="shared" si="157"/>
        <v>94</v>
      </c>
      <c r="BK270" s="1">
        <f t="shared" si="158"/>
        <v>75.7</v>
      </c>
      <c r="BL270" s="1">
        <f t="shared" si="167"/>
        <v>1</v>
      </c>
      <c r="BM270" s="1">
        <f t="shared" si="168"/>
        <v>4.0999999999999996</v>
      </c>
      <c r="BN270" s="21">
        <f t="shared" si="159"/>
        <v>9.6519999999999992</v>
      </c>
      <c r="BO270" s="7">
        <f t="shared" si="160"/>
        <v>0</v>
      </c>
      <c r="BP270" s="21" t="str">
        <f t="shared" si="154"/>
        <v>NAN</v>
      </c>
      <c r="BQ270" s="1">
        <f t="shared" si="161"/>
        <v>6.6</v>
      </c>
      <c r="BR270" s="1">
        <f t="shared" si="162"/>
        <v>17.2</v>
      </c>
      <c r="BS270" s="1">
        <f t="shared" si="163"/>
        <v>-2.1</v>
      </c>
      <c r="BT270" s="1">
        <f t="shared" si="152"/>
        <v>7.7</v>
      </c>
      <c r="BU270" s="1" t="s">
        <v>113</v>
      </c>
      <c r="BV270" s="1">
        <f t="shared" si="153"/>
        <v>9.5</v>
      </c>
      <c r="BW270" s="1" t="str">
        <f t="shared" si="169"/>
        <v>NAN</v>
      </c>
      <c r="BX270" s="1">
        <f t="shared" si="170"/>
        <v>1.0229999999999999</v>
      </c>
      <c r="BY270" s="1">
        <f t="shared" si="171"/>
        <v>0.32800000000000001</v>
      </c>
      <c r="CA270" s="1">
        <f t="shared" si="164"/>
        <v>5.6999999999999993</v>
      </c>
      <c r="CB270" s="1">
        <f t="shared" si="165"/>
        <v>-1.7000000000000002</v>
      </c>
    </row>
    <row r="271" spans="1:80" x14ac:dyDescent="0.2">
      <c r="A271" s="9">
        <f t="shared" si="172"/>
        <v>43731</v>
      </c>
      <c r="B271" s="2">
        <v>266</v>
      </c>
      <c r="C271" s="2">
        <v>21</v>
      </c>
      <c r="D271" s="2">
        <v>13.16</v>
      </c>
      <c r="E271" s="2">
        <v>8.65</v>
      </c>
      <c r="F271" s="2">
        <v>3.9529999999999998</v>
      </c>
      <c r="G271" s="2">
        <v>5.9210000000000003</v>
      </c>
      <c r="H271" s="2">
        <v>96.5</v>
      </c>
      <c r="I271" s="2">
        <v>5.2270000000000003</v>
      </c>
      <c r="J271" s="2">
        <v>5.5129999999999999</v>
      </c>
      <c r="K271" s="2">
        <v>7.43</v>
      </c>
      <c r="L271" s="2">
        <v>9.2799999999999994</v>
      </c>
      <c r="M271" s="2">
        <v>7.49</v>
      </c>
      <c r="N271" s="2">
        <v>101.2</v>
      </c>
      <c r="O271" s="2">
        <v>8.1300000000000008</v>
      </c>
      <c r="P271" s="2">
        <v>10.39</v>
      </c>
      <c r="Q271" s="2">
        <v>8.5</v>
      </c>
      <c r="R271" s="2">
        <v>9.49</v>
      </c>
      <c r="S271" s="2">
        <v>3.6989999999999998</v>
      </c>
      <c r="T271" s="2">
        <v>80.7</v>
      </c>
      <c r="U271" s="2">
        <v>1.92</v>
      </c>
      <c r="V271" s="2">
        <v>0.92300000000000004</v>
      </c>
      <c r="W271" s="2">
        <v>6.0490000000000004</v>
      </c>
      <c r="X271" s="2">
        <v>9.14</v>
      </c>
      <c r="Y271" s="2">
        <v>2.2589999999999999</v>
      </c>
      <c r="Z271" s="2">
        <v>4.5720000000000001</v>
      </c>
      <c r="AA271" s="2">
        <v>3.5219999999999998</v>
      </c>
      <c r="AB271" s="2">
        <v>0.54900000000000004</v>
      </c>
      <c r="AC271" s="2">
        <v>1.3260000000000001</v>
      </c>
      <c r="AD271" s="2">
        <v>5.14</v>
      </c>
      <c r="AE271" s="2">
        <v>6.1120000000000001</v>
      </c>
      <c r="AF271" s="2">
        <v>10.62</v>
      </c>
      <c r="AG271" s="2">
        <v>1.988</v>
      </c>
      <c r="AH271" s="2">
        <v>10.62</v>
      </c>
      <c r="AI271" s="2">
        <v>1.988</v>
      </c>
      <c r="AJ271" s="2" t="s">
        <v>113</v>
      </c>
      <c r="AK271" s="2" t="s">
        <v>113</v>
      </c>
      <c r="AL271" s="2">
        <v>5.6879999999999997</v>
      </c>
      <c r="AM271" s="2">
        <v>7.59</v>
      </c>
      <c r="AN271" s="2">
        <v>3.8460000000000001</v>
      </c>
      <c r="AO271" s="2"/>
      <c r="AP271" s="2"/>
      <c r="AR271" s="5">
        <v>17.68</v>
      </c>
      <c r="AS271" s="5">
        <v>3.52</v>
      </c>
      <c r="AT271" s="5">
        <v>0.55000000000000004</v>
      </c>
      <c r="AU271" s="7">
        <f t="shared" si="166"/>
        <v>0.156</v>
      </c>
      <c r="AV271" s="16"/>
      <c r="AW271" s="29">
        <v>5.08</v>
      </c>
      <c r="AX271" s="29">
        <v>0</v>
      </c>
      <c r="AY271" s="1">
        <f t="shared" si="144"/>
        <v>97.7</v>
      </c>
      <c r="AZ271" s="1">
        <f t="shared" si="145"/>
        <v>93.1</v>
      </c>
      <c r="BA271" s="1">
        <f t="shared" si="146"/>
        <v>77.8</v>
      </c>
      <c r="BB271" s="8">
        <f t="shared" si="147"/>
        <v>0.80600000000000005</v>
      </c>
      <c r="BC271" s="8">
        <f t="shared" si="148"/>
        <v>0.23</v>
      </c>
      <c r="BE271" s="5">
        <f t="shared" si="155"/>
        <v>3.52</v>
      </c>
      <c r="BF271" s="5">
        <f t="shared" si="156"/>
        <v>0.55000000000000004</v>
      </c>
      <c r="BG271" s="1">
        <f t="shared" si="149"/>
        <v>5.9</v>
      </c>
      <c r="BH271" s="1">
        <f t="shared" si="150"/>
        <v>7.5</v>
      </c>
      <c r="BI271" s="1">
        <f t="shared" si="151"/>
        <v>3.7</v>
      </c>
      <c r="BJ271" s="1">
        <f t="shared" si="157"/>
        <v>93.1</v>
      </c>
      <c r="BK271" s="1">
        <f t="shared" si="158"/>
        <v>77.8</v>
      </c>
      <c r="BL271" s="1">
        <f t="shared" si="167"/>
        <v>1.3</v>
      </c>
      <c r="BM271" s="1">
        <f t="shared" si="168"/>
        <v>5.0999999999999996</v>
      </c>
      <c r="BN271" s="21">
        <f t="shared" si="159"/>
        <v>5.08</v>
      </c>
      <c r="BO271" s="7">
        <f t="shared" si="160"/>
        <v>0</v>
      </c>
      <c r="BP271" s="21" t="str">
        <f t="shared" si="154"/>
        <v>NAN</v>
      </c>
      <c r="BQ271" s="1">
        <f t="shared" si="161"/>
        <v>6.1</v>
      </c>
      <c r="BR271" s="1">
        <f t="shared" si="162"/>
        <v>10.6</v>
      </c>
      <c r="BS271" s="1">
        <f t="shared" si="163"/>
        <v>2</v>
      </c>
      <c r="BT271" s="1">
        <f t="shared" si="152"/>
        <v>7.4</v>
      </c>
      <c r="BU271" s="1" t="s">
        <v>113</v>
      </c>
      <c r="BV271" s="1">
        <f t="shared" si="153"/>
        <v>9.3000000000000007</v>
      </c>
      <c r="BW271" s="1" t="str">
        <f t="shared" si="169"/>
        <v>NAN</v>
      </c>
      <c r="BX271" s="1">
        <f t="shared" si="170"/>
        <v>0.80600000000000005</v>
      </c>
      <c r="BY271" s="1">
        <f t="shared" si="171"/>
        <v>0.23</v>
      </c>
      <c r="CA271" s="1">
        <f t="shared" si="164"/>
        <v>3.0999999999999996</v>
      </c>
      <c r="CB271" s="1">
        <f t="shared" si="165"/>
        <v>-1.7000000000000002</v>
      </c>
    </row>
    <row r="272" spans="1:80" x14ac:dyDescent="0.2">
      <c r="A272" s="9">
        <f t="shared" si="172"/>
        <v>43732</v>
      </c>
      <c r="B272" s="2">
        <v>267</v>
      </c>
      <c r="C272" s="2">
        <v>21</v>
      </c>
      <c r="D272" s="2">
        <v>13.14</v>
      </c>
      <c r="E272" s="2">
        <v>15.86</v>
      </c>
      <c r="F272" s="2">
        <v>-2.1739999999999999</v>
      </c>
      <c r="G272" s="2">
        <v>5.79</v>
      </c>
      <c r="H272" s="2">
        <v>82.4</v>
      </c>
      <c r="I272" s="2">
        <v>5.633</v>
      </c>
      <c r="J272" s="2">
        <v>5.742</v>
      </c>
      <c r="K272" s="2">
        <v>7.63</v>
      </c>
      <c r="L272" s="2">
        <v>9.1300000000000008</v>
      </c>
      <c r="M272" s="2">
        <v>10.68</v>
      </c>
      <c r="N272" s="2">
        <v>101.8</v>
      </c>
      <c r="O272" s="2">
        <v>17.72</v>
      </c>
      <c r="P272" s="2">
        <v>22.16</v>
      </c>
      <c r="Q272" s="2">
        <v>11.26</v>
      </c>
      <c r="R272" s="2">
        <v>9.6</v>
      </c>
      <c r="S272" s="2">
        <v>-2.3109999999999999</v>
      </c>
      <c r="T272" s="2">
        <v>57.98</v>
      </c>
      <c r="U272" s="2">
        <v>-4.5039999999999996</v>
      </c>
      <c r="V272" s="2">
        <v>-5.4009999999999998</v>
      </c>
      <c r="W272" s="2">
        <v>3.8839999999999999</v>
      </c>
      <c r="X272" s="2">
        <v>8.8800000000000008</v>
      </c>
      <c r="Y272" s="2">
        <v>2.2839999999999998</v>
      </c>
      <c r="Z272" s="2">
        <v>0</v>
      </c>
      <c r="AA272" s="2">
        <v>11.74</v>
      </c>
      <c r="AB272" s="2">
        <v>2.379</v>
      </c>
      <c r="AC272" s="2">
        <v>2.2490000000000001</v>
      </c>
      <c r="AD272" s="2">
        <v>7.19</v>
      </c>
      <c r="AE272" s="2">
        <v>5.6449999999999996</v>
      </c>
      <c r="AF272" s="2">
        <v>17.88</v>
      </c>
      <c r="AG272" s="2">
        <v>-3.1920000000000002</v>
      </c>
      <c r="AH272" s="2">
        <v>17.88</v>
      </c>
      <c r="AI272" s="2">
        <v>-3.1920000000000002</v>
      </c>
      <c r="AJ272" s="2" t="s">
        <v>113</v>
      </c>
      <c r="AK272" s="2" t="s">
        <v>113</v>
      </c>
      <c r="AL272" s="2">
        <v>5.7430000000000003</v>
      </c>
      <c r="AM272" s="2">
        <v>11.61</v>
      </c>
      <c r="AN272" s="2">
        <v>-3.0369999999999999</v>
      </c>
      <c r="AO272" s="2"/>
      <c r="AP272" s="2"/>
      <c r="AR272" s="5">
        <v>17.43</v>
      </c>
      <c r="AS272" s="5">
        <v>11.74</v>
      </c>
      <c r="AT272" s="5">
        <v>2.38</v>
      </c>
      <c r="AU272" s="7">
        <f t="shared" si="166"/>
        <v>0.20300000000000001</v>
      </c>
      <c r="AV272" s="16"/>
      <c r="AW272" s="29">
        <v>0.254</v>
      </c>
      <c r="AX272" s="29">
        <v>0</v>
      </c>
      <c r="AY272" s="1">
        <f t="shared" si="144"/>
        <v>98.2</v>
      </c>
      <c r="AZ272" s="1">
        <f t="shared" si="145"/>
        <v>79.400000000000006</v>
      </c>
      <c r="BA272" s="1">
        <f t="shared" si="146"/>
        <v>55.7</v>
      </c>
      <c r="BB272" s="8">
        <f t="shared" si="147"/>
        <v>0.71599999999999997</v>
      </c>
      <c r="BC272" s="8">
        <f t="shared" si="148"/>
        <v>0.56899999999999995</v>
      </c>
      <c r="BE272" s="5">
        <f t="shared" si="155"/>
        <v>11.74</v>
      </c>
      <c r="BF272" s="5">
        <f t="shared" si="156"/>
        <v>2.38</v>
      </c>
      <c r="BG272" s="1">
        <f t="shared" si="149"/>
        <v>5.8</v>
      </c>
      <c r="BH272" s="1">
        <f t="shared" si="150"/>
        <v>10.7</v>
      </c>
      <c r="BI272" s="1">
        <f t="shared" si="151"/>
        <v>-2.2999999999999998</v>
      </c>
      <c r="BJ272" s="1">
        <f t="shared" si="157"/>
        <v>79.400000000000006</v>
      </c>
      <c r="BK272" s="1">
        <f t="shared" si="158"/>
        <v>55.7</v>
      </c>
      <c r="BL272" s="1">
        <f t="shared" si="167"/>
        <v>2.2000000000000002</v>
      </c>
      <c r="BM272" s="1">
        <f t="shared" si="168"/>
        <v>7.2</v>
      </c>
      <c r="BN272" s="21">
        <f t="shared" si="159"/>
        <v>0.254</v>
      </c>
      <c r="BO272" s="7">
        <f t="shared" si="160"/>
        <v>0</v>
      </c>
      <c r="BP272" s="21" t="str">
        <f t="shared" si="154"/>
        <v>NAN</v>
      </c>
      <c r="BQ272" s="1">
        <f t="shared" si="161"/>
        <v>5.6</v>
      </c>
      <c r="BR272" s="1">
        <f t="shared" si="162"/>
        <v>17.899999999999999</v>
      </c>
      <c r="BS272" s="1">
        <f t="shared" si="163"/>
        <v>-3.2</v>
      </c>
      <c r="BT272" s="1">
        <f t="shared" si="152"/>
        <v>7.6</v>
      </c>
      <c r="BU272" s="1" t="s">
        <v>113</v>
      </c>
      <c r="BV272" s="1">
        <f t="shared" si="153"/>
        <v>9.1</v>
      </c>
      <c r="BW272" s="1" t="str">
        <f t="shared" si="169"/>
        <v>NAN</v>
      </c>
      <c r="BX272" s="1">
        <f t="shared" si="170"/>
        <v>0.71599999999999997</v>
      </c>
      <c r="BY272" s="1">
        <f t="shared" si="171"/>
        <v>0.56899999999999995</v>
      </c>
      <c r="CA272" s="1">
        <f t="shared" si="164"/>
        <v>7.1999999999999993</v>
      </c>
      <c r="CB272" s="1">
        <f t="shared" si="165"/>
        <v>-0.90000000000000036</v>
      </c>
    </row>
    <row r="273" spans="1:80" x14ac:dyDescent="0.2">
      <c r="A273" s="9">
        <f t="shared" si="172"/>
        <v>43733</v>
      </c>
      <c r="B273" s="2">
        <v>268</v>
      </c>
      <c r="C273" s="2">
        <v>21</v>
      </c>
      <c r="D273" s="2">
        <v>13.17</v>
      </c>
      <c r="E273" s="2">
        <v>15.9</v>
      </c>
      <c r="F273" s="2">
        <v>-2.915</v>
      </c>
      <c r="G273" s="2">
        <v>4.883</v>
      </c>
      <c r="H273" s="2">
        <v>79</v>
      </c>
      <c r="I273" s="2">
        <v>4.8520000000000003</v>
      </c>
      <c r="J273" s="2">
        <v>5.2960000000000003</v>
      </c>
      <c r="K273" s="2">
        <v>6.2939999999999996</v>
      </c>
      <c r="L273" s="2">
        <v>8.93</v>
      </c>
      <c r="M273" s="2">
        <v>9.25</v>
      </c>
      <c r="N273" s="2">
        <v>102.4</v>
      </c>
      <c r="O273" s="2">
        <v>16.27</v>
      </c>
      <c r="P273" s="2">
        <v>20.05</v>
      </c>
      <c r="Q273" s="2">
        <v>9.8699999999999992</v>
      </c>
      <c r="R273" s="2">
        <v>9.58</v>
      </c>
      <c r="S273" s="2">
        <v>-2.29</v>
      </c>
      <c r="T273" s="2">
        <v>50.24</v>
      </c>
      <c r="U273" s="2">
        <v>-4.4290000000000003</v>
      </c>
      <c r="V273" s="2">
        <v>-5.415</v>
      </c>
      <c r="W273" s="2">
        <v>2.6190000000000002</v>
      </c>
      <c r="X273" s="2">
        <v>8.7100000000000009</v>
      </c>
      <c r="Y273" s="2">
        <v>2.3479999999999999</v>
      </c>
      <c r="Z273" s="2">
        <v>0</v>
      </c>
      <c r="AA273" s="2">
        <v>8.69</v>
      </c>
      <c r="AB273" s="2">
        <v>1.7949999999999999</v>
      </c>
      <c r="AC273" s="2">
        <v>1.1180000000000001</v>
      </c>
      <c r="AD273" s="2">
        <v>5.0069999999999997</v>
      </c>
      <c r="AE273" s="2">
        <v>5.2640000000000002</v>
      </c>
      <c r="AF273" s="2">
        <v>17.71</v>
      </c>
      <c r="AG273" s="2">
        <v>-3.456</v>
      </c>
      <c r="AH273" s="2">
        <v>17.71</v>
      </c>
      <c r="AI273" s="2">
        <v>-3.456</v>
      </c>
      <c r="AJ273" s="2" t="s">
        <v>113</v>
      </c>
      <c r="AK273" s="2" t="s">
        <v>113</v>
      </c>
      <c r="AL273" s="2">
        <v>4.8659999999999997</v>
      </c>
      <c r="AM273" s="2">
        <v>10.68</v>
      </c>
      <c r="AN273" s="2">
        <v>-3.0369999999999999</v>
      </c>
      <c r="AO273" s="2"/>
      <c r="AP273" s="2"/>
      <c r="AR273" s="5">
        <v>17.170000000000002</v>
      </c>
      <c r="AS273" s="5">
        <v>8.69</v>
      </c>
      <c r="AT273" s="5">
        <v>1.79</v>
      </c>
      <c r="AU273" s="7">
        <f t="shared" si="166"/>
        <v>0.20599999999999999</v>
      </c>
      <c r="AV273" s="16"/>
      <c r="AW273" s="29">
        <v>0</v>
      </c>
      <c r="AX273" s="29">
        <v>0</v>
      </c>
      <c r="AY273" s="1">
        <f t="shared" si="144"/>
        <v>98.8</v>
      </c>
      <c r="AZ273" s="1">
        <f t="shared" si="145"/>
        <v>76.099999999999994</v>
      </c>
      <c r="BA273" s="1">
        <f t="shared" si="146"/>
        <v>48.2</v>
      </c>
      <c r="BB273" s="8">
        <f t="shared" si="147"/>
        <v>0.56299999999999994</v>
      </c>
      <c r="BC273" s="8">
        <f t="shared" si="148"/>
        <v>0.60499999999999998</v>
      </c>
      <c r="BE273" s="5">
        <f t="shared" si="155"/>
        <v>8.69</v>
      </c>
      <c r="BF273" s="5">
        <f t="shared" si="156"/>
        <v>1.79</v>
      </c>
      <c r="BG273" s="1">
        <f t="shared" si="149"/>
        <v>4.9000000000000004</v>
      </c>
      <c r="BH273" s="1">
        <f t="shared" si="150"/>
        <v>9.3000000000000007</v>
      </c>
      <c r="BI273" s="1">
        <f t="shared" si="151"/>
        <v>-2.2999999999999998</v>
      </c>
      <c r="BJ273" s="1">
        <f t="shared" si="157"/>
        <v>76.099999999999994</v>
      </c>
      <c r="BK273" s="1">
        <f t="shared" si="158"/>
        <v>48.2</v>
      </c>
      <c r="BL273" s="1">
        <f t="shared" si="167"/>
        <v>1.1000000000000001</v>
      </c>
      <c r="BM273" s="1">
        <f t="shared" si="168"/>
        <v>5</v>
      </c>
      <c r="BN273" s="21">
        <f t="shared" si="159"/>
        <v>0</v>
      </c>
      <c r="BO273" s="7">
        <f t="shared" si="160"/>
        <v>0</v>
      </c>
      <c r="BP273" s="21" t="str">
        <f t="shared" si="154"/>
        <v>NAN</v>
      </c>
      <c r="BQ273" s="1">
        <f t="shared" si="161"/>
        <v>5.3</v>
      </c>
      <c r="BR273" s="1">
        <f t="shared" si="162"/>
        <v>17.7</v>
      </c>
      <c r="BS273" s="1">
        <f t="shared" si="163"/>
        <v>-3.5</v>
      </c>
      <c r="BT273" s="1">
        <f t="shared" si="152"/>
        <v>6.3</v>
      </c>
      <c r="BU273" s="1" t="s">
        <v>113</v>
      </c>
      <c r="BV273" s="1">
        <f t="shared" si="153"/>
        <v>8.9</v>
      </c>
      <c r="BW273" s="1" t="str">
        <f t="shared" si="169"/>
        <v>NAN</v>
      </c>
      <c r="BX273" s="1">
        <f t="shared" si="170"/>
        <v>0.56299999999999994</v>
      </c>
      <c r="BY273" s="1">
        <f t="shared" si="171"/>
        <v>0.60499999999999998</v>
      </c>
      <c r="CA273" s="1">
        <f t="shared" si="164"/>
        <v>8.3999999999999986</v>
      </c>
      <c r="CB273" s="1">
        <f t="shared" si="165"/>
        <v>-1.2000000000000002</v>
      </c>
    </row>
    <row r="274" spans="1:80" x14ac:dyDescent="0.2">
      <c r="A274" s="9">
        <f t="shared" si="172"/>
        <v>43734</v>
      </c>
      <c r="B274" s="2">
        <v>269</v>
      </c>
      <c r="C274" s="2">
        <v>21</v>
      </c>
      <c r="D274" s="2">
        <v>13.16</v>
      </c>
      <c r="E274" s="2">
        <v>10.26</v>
      </c>
      <c r="F274" s="2">
        <v>-0.67200000000000004</v>
      </c>
      <c r="G274" s="2">
        <v>3.81</v>
      </c>
      <c r="H274" s="2">
        <v>92.2</v>
      </c>
      <c r="I274" s="2">
        <v>3.6589999999999998</v>
      </c>
      <c r="J274" s="2">
        <v>4.3540000000000001</v>
      </c>
      <c r="K274" s="2">
        <v>6.8719999999999999</v>
      </c>
      <c r="L274" s="2">
        <v>8.66</v>
      </c>
      <c r="M274" s="2">
        <v>8.91</v>
      </c>
      <c r="N274" s="2">
        <v>101.2</v>
      </c>
      <c r="O274" s="2">
        <v>13.12</v>
      </c>
      <c r="P274" s="2">
        <v>14.09</v>
      </c>
      <c r="Q274" s="2">
        <v>9.11</v>
      </c>
      <c r="R274" s="2">
        <v>8.99</v>
      </c>
      <c r="S274" s="2">
        <v>-1.659</v>
      </c>
      <c r="T274" s="2">
        <v>68.069999999999993</v>
      </c>
      <c r="U274" s="2">
        <v>-2.9670000000000001</v>
      </c>
      <c r="V274" s="2">
        <v>-3.4849999999999999</v>
      </c>
      <c r="W274" s="2">
        <v>4.0510000000000002</v>
      </c>
      <c r="X274" s="2">
        <v>8.43</v>
      </c>
      <c r="Y274" s="2">
        <v>2.3809999999999998</v>
      </c>
      <c r="Z274" s="2">
        <v>20.57</v>
      </c>
      <c r="AA274" s="2">
        <v>8.25</v>
      </c>
      <c r="AB274" s="2">
        <v>1.379</v>
      </c>
      <c r="AC274" s="2">
        <v>1.9419999999999999</v>
      </c>
      <c r="AD274" s="2">
        <v>6.9539999999999997</v>
      </c>
      <c r="AE274" s="2">
        <v>5.0519999999999996</v>
      </c>
      <c r="AF274" s="2">
        <v>13.04</v>
      </c>
      <c r="AG274" s="2">
        <v>-1.33</v>
      </c>
      <c r="AH274" s="2">
        <v>13.04</v>
      </c>
      <c r="AI274" s="2">
        <v>-1.33</v>
      </c>
      <c r="AJ274" s="2" t="s">
        <v>113</v>
      </c>
      <c r="AK274" s="2" t="s">
        <v>113</v>
      </c>
      <c r="AL274" s="2">
        <v>3.8050000000000002</v>
      </c>
      <c r="AM274" s="2">
        <v>8.6300000000000008</v>
      </c>
      <c r="AN274" s="2">
        <v>-1.694</v>
      </c>
      <c r="AO274" s="2"/>
      <c r="AP274" s="2"/>
      <c r="AR274" s="5">
        <v>16.93</v>
      </c>
      <c r="AS274" s="5">
        <v>8.24</v>
      </c>
      <c r="AT274" s="5">
        <v>1.38</v>
      </c>
      <c r="AU274" s="7">
        <f t="shared" si="166"/>
        <v>0.16700000000000001</v>
      </c>
      <c r="AV274" s="16"/>
      <c r="AW274" s="29">
        <v>20.32</v>
      </c>
      <c r="AX274" s="29">
        <v>0</v>
      </c>
      <c r="AY274" s="1">
        <f t="shared" si="144"/>
        <v>97.7</v>
      </c>
      <c r="AZ274" s="1">
        <f t="shared" si="145"/>
        <v>88.9</v>
      </c>
      <c r="BA274" s="1">
        <f t="shared" si="146"/>
        <v>65.5</v>
      </c>
      <c r="BB274" s="8">
        <f t="shared" si="147"/>
        <v>0.747</v>
      </c>
      <c r="BC274" s="8">
        <f t="shared" si="148"/>
        <v>0.39300000000000002</v>
      </c>
      <c r="BE274" s="5">
        <f t="shared" si="155"/>
        <v>8.24</v>
      </c>
      <c r="BF274" s="5">
        <f t="shared" si="156"/>
        <v>1.38</v>
      </c>
      <c r="BG274" s="1">
        <f t="shared" si="149"/>
        <v>3.8</v>
      </c>
      <c r="BH274" s="1">
        <f t="shared" si="150"/>
        <v>8.9</v>
      </c>
      <c r="BI274" s="1">
        <f t="shared" si="151"/>
        <v>-1.7</v>
      </c>
      <c r="BJ274" s="1">
        <f t="shared" si="157"/>
        <v>88.9</v>
      </c>
      <c r="BK274" s="1">
        <f t="shared" si="158"/>
        <v>65.5</v>
      </c>
      <c r="BL274" s="1">
        <f t="shared" si="167"/>
        <v>1.9</v>
      </c>
      <c r="BM274" s="1">
        <f t="shared" si="168"/>
        <v>7</v>
      </c>
      <c r="BN274" s="21">
        <f t="shared" si="159"/>
        <v>20.32</v>
      </c>
      <c r="BO274" s="7">
        <f t="shared" si="160"/>
        <v>0</v>
      </c>
      <c r="BP274" s="21" t="str">
        <f t="shared" si="154"/>
        <v>NAN</v>
      </c>
      <c r="BQ274" s="1">
        <f t="shared" si="161"/>
        <v>5.0999999999999996</v>
      </c>
      <c r="BR274" s="1">
        <f t="shared" si="162"/>
        <v>13</v>
      </c>
      <c r="BS274" s="1">
        <f t="shared" si="163"/>
        <v>-1.3</v>
      </c>
      <c r="BT274" s="1">
        <f t="shared" si="152"/>
        <v>6.9</v>
      </c>
      <c r="BU274" s="1" t="s">
        <v>113</v>
      </c>
      <c r="BV274" s="1">
        <f t="shared" si="153"/>
        <v>8.6999999999999993</v>
      </c>
      <c r="BW274" s="1" t="str">
        <f t="shared" si="169"/>
        <v>NAN</v>
      </c>
      <c r="BX274" s="1">
        <f t="shared" si="170"/>
        <v>0.747</v>
      </c>
      <c r="BY274" s="1">
        <f t="shared" si="171"/>
        <v>0.39300000000000002</v>
      </c>
      <c r="CA274" s="1">
        <f t="shared" si="164"/>
        <v>4.0999999999999996</v>
      </c>
      <c r="CB274" s="1">
        <f t="shared" si="165"/>
        <v>0.39999999999999991</v>
      </c>
    </row>
    <row r="275" spans="1:80" x14ac:dyDescent="0.2">
      <c r="A275" s="9">
        <f t="shared" si="172"/>
        <v>43735</v>
      </c>
      <c r="B275" s="2">
        <v>270</v>
      </c>
      <c r="C275" s="2">
        <v>21</v>
      </c>
      <c r="D275" s="2">
        <v>13.14</v>
      </c>
      <c r="E275" s="2">
        <v>6.6550000000000002</v>
      </c>
      <c r="F275" s="2">
        <v>-1.1879999999999999</v>
      </c>
      <c r="G275" s="2">
        <v>0.11</v>
      </c>
      <c r="H275" s="2">
        <v>97.5</v>
      </c>
      <c r="I275" s="2">
        <v>8.3000000000000004E-2</v>
      </c>
      <c r="J275" s="2">
        <v>0.81200000000000006</v>
      </c>
      <c r="K275" s="2">
        <v>4.1970000000000001</v>
      </c>
      <c r="L275" s="2">
        <v>8.42</v>
      </c>
      <c r="M275" s="2">
        <v>4.5460000000000003</v>
      </c>
      <c r="N275" s="2">
        <v>102.1</v>
      </c>
      <c r="O275" s="2">
        <v>6.4080000000000004</v>
      </c>
      <c r="P275" s="2">
        <v>8.5500000000000007</v>
      </c>
      <c r="Q275" s="2">
        <v>5.7039999999999997</v>
      </c>
      <c r="R275" s="2">
        <v>9.1999999999999993</v>
      </c>
      <c r="S275" s="2">
        <v>-1.0589999999999999</v>
      </c>
      <c r="T275" s="2">
        <v>71.2</v>
      </c>
      <c r="U275" s="2">
        <v>-2.161</v>
      </c>
      <c r="V275" s="2">
        <v>-0.95499999999999996</v>
      </c>
      <c r="W275" s="2">
        <v>3.2570000000000001</v>
      </c>
      <c r="X275" s="2">
        <v>8.1300000000000008</v>
      </c>
      <c r="Y275" s="2">
        <v>2.2770000000000001</v>
      </c>
      <c r="Z275" s="2">
        <v>3.048</v>
      </c>
      <c r="AA275" s="2">
        <v>5.0069999999999997</v>
      </c>
      <c r="AB275" s="2">
        <v>1.399</v>
      </c>
      <c r="AC275" s="2">
        <v>0.501</v>
      </c>
      <c r="AD275" s="2">
        <v>3.4870000000000001</v>
      </c>
      <c r="AE275" s="2">
        <v>0.78100000000000003</v>
      </c>
      <c r="AF275" s="2">
        <v>6.0990000000000002</v>
      </c>
      <c r="AG275" s="2">
        <v>-2.4140000000000001</v>
      </c>
      <c r="AH275" s="2">
        <v>6.0990000000000002</v>
      </c>
      <c r="AI275" s="2">
        <v>-2.4140000000000001</v>
      </c>
      <c r="AJ275" s="2" t="s">
        <v>113</v>
      </c>
      <c r="AK275" s="2" t="s">
        <v>113</v>
      </c>
      <c r="AL275" s="2">
        <v>0.3</v>
      </c>
      <c r="AM275" s="2">
        <v>4.2839999999999998</v>
      </c>
      <c r="AN275" s="2">
        <v>-1.196</v>
      </c>
      <c r="AO275" s="2"/>
      <c r="AR275" s="5">
        <v>16.68</v>
      </c>
      <c r="AS275" s="5">
        <v>5.0199999999999996</v>
      </c>
      <c r="AT275" s="5">
        <v>1.4</v>
      </c>
      <c r="AU275" s="7">
        <f t="shared" si="166"/>
        <v>0.27900000000000003</v>
      </c>
      <c r="AV275" s="16"/>
      <c r="AW275" s="29">
        <v>13.382</v>
      </c>
      <c r="AX275" s="29">
        <v>73</v>
      </c>
      <c r="AY275" s="1">
        <f t="shared" si="144"/>
        <v>98.5</v>
      </c>
      <c r="AZ275" s="1">
        <f t="shared" si="145"/>
        <v>94.1</v>
      </c>
      <c r="BA275" s="1">
        <f t="shared" si="146"/>
        <v>68.599999999999994</v>
      </c>
      <c r="BB275" s="8">
        <f t="shared" si="147"/>
        <v>0.57899999999999996</v>
      </c>
      <c r="BC275" s="8">
        <f t="shared" si="148"/>
        <v>0.26500000000000001</v>
      </c>
      <c r="BE275" s="5">
        <f t="shared" si="155"/>
        <v>5.0199999999999996</v>
      </c>
      <c r="BF275" s="5">
        <f t="shared" si="156"/>
        <v>1.4</v>
      </c>
      <c r="BG275" s="1">
        <f t="shared" si="149"/>
        <v>0.1</v>
      </c>
      <c r="BH275" s="1">
        <f t="shared" si="150"/>
        <v>4.5</v>
      </c>
      <c r="BI275" s="1">
        <f t="shared" si="151"/>
        <v>-1.1000000000000001</v>
      </c>
      <c r="BJ275" s="1">
        <f t="shared" si="157"/>
        <v>94.1</v>
      </c>
      <c r="BK275" s="1">
        <f t="shared" si="158"/>
        <v>68.599999999999994</v>
      </c>
      <c r="BL275" s="1">
        <f t="shared" si="167"/>
        <v>0.5</v>
      </c>
      <c r="BM275" s="1">
        <f t="shared" si="168"/>
        <v>3.5</v>
      </c>
      <c r="BN275" s="21">
        <f t="shared" si="159"/>
        <v>13.382</v>
      </c>
      <c r="BO275" s="7">
        <f t="shared" si="160"/>
        <v>0</v>
      </c>
      <c r="BP275" s="21" t="str">
        <f t="shared" si="154"/>
        <v>NAN</v>
      </c>
      <c r="BQ275" s="1">
        <f t="shared" si="161"/>
        <v>0.8</v>
      </c>
      <c r="BR275" s="1">
        <f t="shared" si="162"/>
        <v>6.1</v>
      </c>
      <c r="BS275" s="1">
        <f t="shared" si="163"/>
        <v>-2.4</v>
      </c>
      <c r="BT275" s="1">
        <f t="shared" si="152"/>
        <v>4.2</v>
      </c>
      <c r="BU275" s="1" t="s">
        <v>113</v>
      </c>
      <c r="BV275" s="1">
        <f t="shared" si="153"/>
        <v>8.4</v>
      </c>
      <c r="BW275" s="1" t="str">
        <f t="shared" si="169"/>
        <v>NAN</v>
      </c>
      <c r="BX275" s="1">
        <f t="shared" si="170"/>
        <v>0.57899999999999996</v>
      </c>
      <c r="BY275" s="1">
        <f t="shared" si="171"/>
        <v>0.26500000000000001</v>
      </c>
      <c r="CA275" s="1">
        <f t="shared" si="164"/>
        <v>1.5999999999999996</v>
      </c>
      <c r="CB275" s="1">
        <f t="shared" si="165"/>
        <v>-1.2999999999999998</v>
      </c>
    </row>
    <row r="276" spans="1:80" x14ac:dyDescent="0.2">
      <c r="A276" s="9">
        <f t="shared" si="172"/>
        <v>43736</v>
      </c>
      <c r="B276" s="2">
        <v>271</v>
      </c>
      <c r="C276" s="2">
        <v>21</v>
      </c>
      <c r="D276" s="2">
        <v>13.15</v>
      </c>
      <c r="E276" s="2">
        <v>4.5979999999999999</v>
      </c>
      <c r="F276" s="2">
        <v>-2.73</v>
      </c>
      <c r="G276" s="2">
        <v>-1.48</v>
      </c>
      <c r="H276" s="2">
        <v>94.1</v>
      </c>
      <c r="I276" s="2">
        <v>-1.355</v>
      </c>
      <c r="J276" s="2">
        <v>-0.23799999999999999</v>
      </c>
      <c r="K276" s="2">
        <v>3.0910000000000002</v>
      </c>
      <c r="L276" s="2">
        <v>7.94</v>
      </c>
      <c r="M276" s="2">
        <v>0.878</v>
      </c>
      <c r="N276" s="2">
        <v>102.3</v>
      </c>
      <c r="O276" s="2">
        <v>4.43</v>
      </c>
      <c r="P276" s="2">
        <v>0.154</v>
      </c>
      <c r="Q276" s="2">
        <v>3.484</v>
      </c>
      <c r="R276" s="2">
        <v>8.2100000000000009</v>
      </c>
      <c r="S276" s="2">
        <v>-3.9740000000000002</v>
      </c>
      <c r="T276" s="2">
        <v>79.400000000000006</v>
      </c>
      <c r="U276" s="2">
        <v>-4.2140000000000004</v>
      </c>
      <c r="V276" s="2">
        <v>-0.35</v>
      </c>
      <c r="W276" s="2">
        <v>2.7080000000000002</v>
      </c>
      <c r="X276" s="2">
        <v>7.56</v>
      </c>
      <c r="Y276" s="2">
        <v>2.222</v>
      </c>
      <c r="Z276" s="2">
        <v>0.254</v>
      </c>
      <c r="AA276" s="2">
        <v>4.8230000000000004</v>
      </c>
      <c r="AB276" s="2">
        <v>5.0970000000000004</v>
      </c>
      <c r="AC276" s="2">
        <v>0.91100000000000003</v>
      </c>
      <c r="AD276" s="2">
        <v>3.7</v>
      </c>
      <c r="AE276" s="2">
        <v>-2.552</v>
      </c>
      <c r="AF276" s="2">
        <v>-0.59099999999999997</v>
      </c>
      <c r="AG276" s="2">
        <v>-5.8869999999999996</v>
      </c>
      <c r="AH276" s="2">
        <v>-0.59099999999999997</v>
      </c>
      <c r="AI276" s="2">
        <v>-5.8869999999999996</v>
      </c>
      <c r="AJ276" s="2" t="s">
        <v>113</v>
      </c>
      <c r="AK276" s="2" t="s">
        <v>113</v>
      </c>
      <c r="AL276" s="2">
        <v>-0.97899999999999998</v>
      </c>
      <c r="AM276" s="2">
        <v>3.4849999999999999</v>
      </c>
      <c r="AN276" s="2">
        <v>-3.919</v>
      </c>
      <c r="AO276" s="2"/>
      <c r="AR276" s="5">
        <v>16.43</v>
      </c>
      <c r="AS276" s="5">
        <v>5.88</v>
      </c>
      <c r="AT276" s="5">
        <v>5.08</v>
      </c>
      <c r="AU276" s="7">
        <f t="shared" si="166"/>
        <v>0.86399999999999999</v>
      </c>
      <c r="AV276" s="16"/>
      <c r="AW276" s="29">
        <v>11.654999999999999</v>
      </c>
      <c r="AX276" s="29">
        <v>136</v>
      </c>
      <c r="AY276" s="1">
        <f t="shared" si="144"/>
        <v>98.7</v>
      </c>
      <c r="AZ276" s="1">
        <f t="shared" si="145"/>
        <v>90.8</v>
      </c>
      <c r="BA276" s="1">
        <f t="shared" si="146"/>
        <v>76.5</v>
      </c>
      <c r="BB276" s="8">
        <f t="shared" si="147"/>
        <v>0.498</v>
      </c>
      <c r="BC276" s="8">
        <f t="shared" si="148"/>
        <v>0.153</v>
      </c>
      <c r="BE276" s="5">
        <f t="shared" si="155"/>
        <v>5.88</v>
      </c>
      <c r="BF276" s="5">
        <f t="shared" si="156"/>
        <v>5.08</v>
      </c>
      <c r="BG276" s="1">
        <f t="shared" si="149"/>
        <v>-1.5</v>
      </c>
      <c r="BH276" s="1">
        <f t="shared" si="150"/>
        <v>0.9</v>
      </c>
      <c r="BI276" s="1">
        <f t="shared" si="151"/>
        <v>-4</v>
      </c>
      <c r="BJ276" s="1">
        <f t="shared" si="157"/>
        <v>90.8</v>
      </c>
      <c r="BK276" s="1">
        <f t="shared" si="158"/>
        <v>76.5</v>
      </c>
      <c r="BL276" s="1">
        <f t="shared" si="167"/>
        <v>0.9</v>
      </c>
      <c r="BM276" s="1">
        <f t="shared" si="168"/>
        <v>3.7</v>
      </c>
      <c r="BN276" s="21">
        <f t="shared" si="159"/>
        <v>11.654999999999999</v>
      </c>
      <c r="BO276" s="7">
        <f t="shared" si="160"/>
        <v>0</v>
      </c>
      <c r="BP276" s="21" t="str">
        <f t="shared" si="154"/>
        <v>NAN</v>
      </c>
      <c r="BQ276" s="1">
        <f t="shared" si="161"/>
        <v>-2.6</v>
      </c>
      <c r="BR276" s="1">
        <f t="shared" si="162"/>
        <v>-0.6</v>
      </c>
      <c r="BS276" s="1">
        <f t="shared" si="163"/>
        <v>-5.9</v>
      </c>
      <c r="BT276" s="1">
        <f t="shared" si="152"/>
        <v>3.1</v>
      </c>
      <c r="BU276" s="1" t="s">
        <v>113</v>
      </c>
      <c r="BV276" s="1">
        <f t="shared" si="153"/>
        <v>7.9</v>
      </c>
      <c r="BW276" s="1" t="str">
        <f t="shared" si="169"/>
        <v>NAN</v>
      </c>
      <c r="BX276" s="1">
        <f t="shared" si="170"/>
        <v>0.498</v>
      </c>
      <c r="BY276" s="1">
        <f t="shared" si="171"/>
        <v>0.153</v>
      </c>
      <c r="CA276" s="1">
        <f t="shared" si="164"/>
        <v>-1.5</v>
      </c>
      <c r="CB276" s="1">
        <f t="shared" si="165"/>
        <v>-1.9000000000000004</v>
      </c>
    </row>
    <row r="277" spans="1:80" x14ac:dyDescent="0.2">
      <c r="A277" s="9">
        <f t="shared" si="172"/>
        <v>43737</v>
      </c>
      <c r="B277" s="2">
        <v>272</v>
      </c>
      <c r="C277" s="2">
        <v>21</v>
      </c>
      <c r="D277" s="2">
        <v>13.12</v>
      </c>
      <c r="E277" s="2">
        <v>2.9239999999999999</v>
      </c>
      <c r="F277" s="2">
        <v>-6.5629999999999997</v>
      </c>
      <c r="G277" s="2">
        <v>-3.3639999999999999</v>
      </c>
      <c r="H277" s="2">
        <v>90.8</v>
      </c>
      <c r="I277" s="2">
        <v>-3.4990000000000001</v>
      </c>
      <c r="J277" s="2">
        <v>-0.26300000000000001</v>
      </c>
      <c r="K277" s="2">
        <v>2.645</v>
      </c>
      <c r="L277" s="2">
        <v>7.38</v>
      </c>
      <c r="M277" s="2">
        <v>-0.36</v>
      </c>
      <c r="N277" s="2">
        <v>100.4</v>
      </c>
      <c r="O277" s="2">
        <v>2.835</v>
      </c>
      <c r="P277" s="2">
        <v>-4.2000000000000003E-2</v>
      </c>
      <c r="Q277" s="2">
        <v>2.8849999999999998</v>
      </c>
      <c r="R277" s="2">
        <v>7.6</v>
      </c>
      <c r="S277" s="2">
        <v>-7.66</v>
      </c>
      <c r="T277" s="2">
        <v>75.599999999999994</v>
      </c>
      <c r="U277" s="2">
        <v>-12.61</v>
      </c>
      <c r="V277" s="2">
        <v>-0.42</v>
      </c>
      <c r="W277" s="2">
        <v>2.3519999999999999</v>
      </c>
      <c r="X277" s="2">
        <v>7.04</v>
      </c>
      <c r="Y277" s="2">
        <v>2.2130000000000001</v>
      </c>
      <c r="Z277" s="2">
        <v>0.50800000000000001</v>
      </c>
      <c r="AA277" s="2">
        <v>6.3789999999999996</v>
      </c>
      <c r="AB277" s="2">
        <v>5.3470000000000004</v>
      </c>
      <c r="AC277" s="2">
        <v>0.69</v>
      </c>
      <c r="AD277" s="2">
        <v>4.9539999999999997</v>
      </c>
      <c r="AE277" s="2">
        <v>-5.3179999999999996</v>
      </c>
      <c r="AF277" s="2">
        <v>-1.843</v>
      </c>
      <c r="AG277" s="2">
        <v>-16.399999999999999</v>
      </c>
      <c r="AH277" s="2">
        <v>-1.843</v>
      </c>
      <c r="AI277" s="2">
        <v>-16.399999999999999</v>
      </c>
      <c r="AJ277" s="2" t="s">
        <v>113</v>
      </c>
      <c r="AK277" s="2" t="s">
        <v>113</v>
      </c>
      <c r="AL277" s="2">
        <v>-2.9510000000000001</v>
      </c>
      <c r="AM277" s="2">
        <v>2.0569999999999999</v>
      </c>
      <c r="AN277" s="2">
        <v>-8.2200000000000006</v>
      </c>
      <c r="AO277" s="2"/>
      <c r="AR277" s="5">
        <v>16.18</v>
      </c>
      <c r="AS277" s="5">
        <v>6.38</v>
      </c>
      <c r="AT277" s="5">
        <v>5.35</v>
      </c>
      <c r="AU277" s="7">
        <f t="shared" si="166"/>
        <v>0.83899999999999997</v>
      </c>
      <c r="AV277" s="16"/>
      <c r="AW277" s="29">
        <v>2.415</v>
      </c>
      <c r="AX277" s="29">
        <v>133</v>
      </c>
      <c r="AY277" s="1">
        <f t="shared" si="144"/>
        <v>96.9</v>
      </c>
      <c r="AZ277" s="1">
        <f t="shared" si="145"/>
        <v>87.6</v>
      </c>
      <c r="BA277" s="1">
        <f t="shared" si="146"/>
        <v>72.8</v>
      </c>
      <c r="BB277" s="8">
        <f t="shared" si="147"/>
        <v>0.433</v>
      </c>
      <c r="BC277" s="8">
        <f t="shared" si="148"/>
        <v>0.16200000000000001</v>
      </c>
      <c r="BE277" s="5">
        <f t="shared" si="155"/>
        <v>6.38</v>
      </c>
      <c r="BF277" s="5">
        <f t="shared" si="156"/>
        <v>5.35</v>
      </c>
      <c r="BG277" s="1">
        <f t="shared" si="149"/>
        <v>-3.4</v>
      </c>
      <c r="BH277" s="1">
        <f t="shared" si="150"/>
        <v>-0.4</v>
      </c>
      <c r="BI277" s="1">
        <f t="shared" si="151"/>
        <v>-7.7</v>
      </c>
      <c r="BJ277" s="1">
        <f t="shared" si="157"/>
        <v>87.6</v>
      </c>
      <c r="BK277" s="1">
        <f t="shared" si="158"/>
        <v>72.8</v>
      </c>
      <c r="BL277" s="1">
        <f t="shared" si="167"/>
        <v>0.7</v>
      </c>
      <c r="BM277" s="1">
        <f t="shared" si="168"/>
        <v>5</v>
      </c>
      <c r="BN277" s="21">
        <f t="shared" si="159"/>
        <v>2.415</v>
      </c>
      <c r="BO277" s="7">
        <f t="shared" si="160"/>
        <v>0</v>
      </c>
      <c r="BP277" s="21" t="str">
        <f t="shared" si="154"/>
        <v>NAN</v>
      </c>
      <c r="BQ277" s="1">
        <f t="shared" si="161"/>
        <v>-5.3</v>
      </c>
      <c r="BR277" s="1">
        <f t="shared" si="162"/>
        <v>-1.8</v>
      </c>
      <c r="BS277" s="1">
        <f t="shared" si="163"/>
        <v>-16.399999999999999</v>
      </c>
      <c r="BT277" s="1">
        <f t="shared" si="152"/>
        <v>2.6</v>
      </c>
      <c r="BU277" s="1" t="s">
        <v>113</v>
      </c>
      <c r="BV277" s="1">
        <f t="shared" si="153"/>
        <v>7.4</v>
      </c>
      <c r="BW277" s="1" t="str">
        <f t="shared" si="169"/>
        <v>NAN</v>
      </c>
      <c r="BX277" s="1">
        <f t="shared" si="170"/>
        <v>0.433</v>
      </c>
      <c r="BY277" s="1">
        <f t="shared" si="171"/>
        <v>0.16200000000000001</v>
      </c>
      <c r="CA277" s="1">
        <f t="shared" si="164"/>
        <v>-1.4</v>
      </c>
      <c r="CB277" s="1">
        <f t="shared" si="165"/>
        <v>-8.6999999999999993</v>
      </c>
    </row>
    <row r="278" spans="1:80" x14ac:dyDescent="0.2">
      <c r="A278" s="9">
        <f t="shared" si="172"/>
        <v>43738</v>
      </c>
      <c r="B278" s="2">
        <v>273</v>
      </c>
      <c r="C278" s="2">
        <v>21</v>
      </c>
      <c r="D278" s="2">
        <v>13.12</v>
      </c>
      <c r="E278" s="2">
        <v>8.02</v>
      </c>
      <c r="F278" s="2">
        <v>-6.71</v>
      </c>
      <c r="G278" s="2">
        <v>-2.3119999999999998</v>
      </c>
      <c r="H278" s="2">
        <v>88.8</v>
      </c>
      <c r="I278" s="2">
        <v>-2.2469999999999999</v>
      </c>
      <c r="J278" s="2">
        <v>-0.16800000000000001</v>
      </c>
      <c r="K278" s="2">
        <v>2.52</v>
      </c>
      <c r="L278" s="2">
        <v>6.9710000000000001</v>
      </c>
      <c r="M278" s="2">
        <v>4.0190000000000001</v>
      </c>
      <c r="N278" s="2">
        <v>101</v>
      </c>
      <c r="O278" s="2">
        <v>10.23</v>
      </c>
      <c r="P278" s="2">
        <v>0.73</v>
      </c>
      <c r="Q278" s="2">
        <v>3.363</v>
      </c>
      <c r="R278" s="2">
        <v>7.58</v>
      </c>
      <c r="S278" s="2">
        <v>-6.5830000000000002</v>
      </c>
      <c r="T278" s="2">
        <v>45.25</v>
      </c>
      <c r="U278" s="2">
        <v>-8.5299999999999994</v>
      </c>
      <c r="V278" s="2">
        <v>-0.39</v>
      </c>
      <c r="W278" s="2">
        <v>2.2839999999999998</v>
      </c>
      <c r="X278" s="2">
        <v>6.6669999999999998</v>
      </c>
      <c r="Y278" s="2">
        <v>2.2829999999999999</v>
      </c>
      <c r="Z278" s="2">
        <v>4.3179999999999996</v>
      </c>
      <c r="AA278" s="2">
        <v>9.6999999999999993</v>
      </c>
      <c r="AB278" s="2">
        <v>8.15</v>
      </c>
      <c r="AC278" s="2">
        <v>0.74099999999999999</v>
      </c>
      <c r="AD278" s="2">
        <v>3.7</v>
      </c>
      <c r="AE278" s="2">
        <v>-4.6550000000000002</v>
      </c>
      <c r="AF278" s="2">
        <v>0.36099999999999999</v>
      </c>
      <c r="AG278" s="2">
        <v>-9.75</v>
      </c>
      <c r="AH278" s="2">
        <v>0.36099999999999999</v>
      </c>
      <c r="AI278" s="2">
        <v>-9.75</v>
      </c>
      <c r="AJ278" s="2" t="s">
        <v>113</v>
      </c>
      <c r="AK278" s="2" t="s">
        <v>113</v>
      </c>
      <c r="AL278" s="2">
        <v>-1.825</v>
      </c>
      <c r="AM278" s="2">
        <v>5.7140000000000004</v>
      </c>
      <c r="AN278" s="2">
        <v>-7.3</v>
      </c>
      <c r="AO278" s="2"/>
      <c r="AR278" s="5">
        <v>15.93</v>
      </c>
      <c r="AS278" s="5">
        <v>9.6999999999999993</v>
      </c>
      <c r="AT278" s="5">
        <v>8.15</v>
      </c>
      <c r="AU278" s="7">
        <f t="shared" si="166"/>
        <v>0.84</v>
      </c>
      <c r="AV278" s="16"/>
      <c r="AW278" s="29">
        <v>0</v>
      </c>
      <c r="AX278" s="29">
        <v>67</v>
      </c>
      <c r="AY278" s="1">
        <f t="shared" si="144"/>
        <v>97.5</v>
      </c>
      <c r="AZ278" s="1">
        <f t="shared" si="145"/>
        <v>85.6</v>
      </c>
      <c r="BA278" s="1">
        <f t="shared" si="146"/>
        <v>43.4</v>
      </c>
      <c r="BB278" s="8">
        <f t="shared" si="147"/>
        <v>0.35299999999999998</v>
      </c>
      <c r="BC278" s="8">
        <f t="shared" si="148"/>
        <v>0.46</v>
      </c>
      <c r="BE278" s="5">
        <f t="shared" si="155"/>
        <v>9.6999999999999993</v>
      </c>
      <c r="BF278" s="5">
        <f t="shared" si="156"/>
        <v>8.15</v>
      </c>
      <c r="BG278" s="1">
        <f t="shared" si="149"/>
        <v>-2.2999999999999998</v>
      </c>
      <c r="BH278" s="1">
        <f t="shared" si="150"/>
        <v>4</v>
      </c>
      <c r="BI278" s="1">
        <f t="shared" si="151"/>
        <v>-6.6</v>
      </c>
      <c r="BJ278" s="1">
        <f t="shared" si="157"/>
        <v>85.6</v>
      </c>
      <c r="BK278" s="1">
        <f t="shared" si="158"/>
        <v>43.4</v>
      </c>
      <c r="BL278" s="1">
        <f t="shared" si="167"/>
        <v>0.7</v>
      </c>
      <c r="BM278" s="1">
        <f t="shared" si="168"/>
        <v>3.7</v>
      </c>
      <c r="BN278" s="21">
        <f t="shared" si="159"/>
        <v>0</v>
      </c>
      <c r="BO278" s="7">
        <f t="shared" si="160"/>
        <v>0</v>
      </c>
      <c r="BP278" s="21" t="str">
        <f t="shared" si="154"/>
        <v>NAN</v>
      </c>
      <c r="BQ278" s="1">
        <f t="shared" si="161"/>
        <v>-4.7</v>
      </c>
      <c r="BR278" s="1">
        <f t="shared" si="162"/>
        <v>0.4</v>
      </c>
      <c r="BS278" s="1">
        <f t="shared" si="163"/>
        <v>-9.8000000000000007</v>
      </c>
      <c r="BT278" s="1">
        <f t="shared" si="152"/>
        <v>2.5</v>
      </c>
      <c r="BU278" s="1" t="s">
        <v>113</v>
      </c>
      <c r="BV278" s="1">
        <f t="shared" si="153"/>
        <v>7</v>
      </c>
      <c r="BW278" s="1" t="str">
        <f t="shared" si="169"/>
        <v>NAN</v>
      </c>
      <c r="BX278" s="1">
        <f t="shared" si="170"/>
        <v>0.35299999999999998</v>
      </c>
      <c r="BY278" s="1">
        <f t="shared" si="171"/>
        <v>0.46</v>
      </c>
      <c r="CA278" s="1">
        <f t="shared" si="164"/>
        <v>-3.6</v>
      </c>
      <c r="CB278" s="1">
        <f t="shared" si="165"/>
        <v>-3.2000000000000011</v>
      </c>
    </row>
    <row r="279" spans="1:80" x14ac:dyDescent="0.2">
      <c r="A279" s="9">
        <f t="shared" si="172"/>
        <v>43739</v>
      </c>
      <c r="B279" s="2">
        <v>274</v>
      </c>
      <c r="C279" s="2">
        <v>21</v>
      </c>
      <c r="D279" s="2">
        <v>13.11</v>
      </c>
      <c r="E279" s="2">
        <v>18.64</v>
      </c>
      <c r="F279" s="2">
        <v>-8.68</v>
      </c>
      <c r="G279" s="2">
        <v>7.1999999999999995E-2</v>
      </c>
      <c r="H279" s="2">
        <v>84.5</v>
      </c>
      <c r="I279" s="2">
        <v>-0.69099999999999995</v>
      </c>
      <c r="J279" s="2">
        <v>-1.0840000000000001</v>
      </c>
      <c r="K279" s="2">
        <v>2.427</v>
      </c>
      <c r="L279" s="2">
        <v>6.65</v>
      </c>
      <c r="M279" s="2">
        <v>9.43</v>
      </c>
      <c r="N279" s="2">
        <v>102.2</v>
      </c>
      <c r="O279" s="2">
        <v>15.83</v>
      </c>
      <c r="P279" s="2">
        <v>1.496</v>
      </c>
      <c r="Q279" s="2">
        <v>3.81</v>
      </c>
      <c r="R279" s="2">
        <v>7.64</v>
      </c>
      <c r="S279" s="2">
        <v>-8.8699999999999992</v>
      </c>
      <c r="T279" s="2">
        <v>46.75</v>
      </c>
      <c r="U279" s="2">
        <v>-13.7</v>
      </c>
      <c r="V279" s="2">
        <v>-6.1310000000000002</v>
      </c>
      <c r="W279" s="2">
        <v>1.454</v>
      </c>
      <c r="X279" s="2">
        <v>6.1989999999999998</v>
      </c>
      <c r="Y279" s="2">
        <v>2.3279999999999998</v>
      </c>
      <c r="Z279" s="2">
        <v>5.3339999999999996</v>
      </c>
      <c r="AA279" s="2">
        <v>13.81</v>
      </c>
      <c r="AB279" s="2">
        <v>10.67</v>
      </c>
      <c r="AC279" s="2">
        <v>0.48399999999999999</v>
      </c>
      <c r="AD279" s="2">
        <v>3.3540000000000001</v>
      </c>
      <c r="AE279" s="2">
        <v>-5.4850000000000003</v>
      </c>
      <c r="AF279" s="2">
        <v>1.165</v>
      </c>
      <c r="AG279" s="2">
        <v>-17.88</v>
      </c>
      <c r="AH279" s="2">
        <v>1.165</v>
      </c>
      <c r="AI279" s="2">
        <v>-17.88</v>
      </c>
      <c r="AJ279" s="2" t="s">
        <v>113</v>
      </c>
      <c r="AK279" s="2" t="s">
        <v>113</v>
      </c>
      <c r="AL279" s="2">
        <v>0.26300000000000001</v>
      </c>
      <c r="AM279" s="2">
        <v>12.1</v>
      </c>
      <c r="AN279" s="2">
        <v>-10.08</v>
      </c>
      <c r="AO279" s="2"/>
      <c r="AR279" s="5">
        <v>15.69</v>
      </c>
      <c r="AS279" s="5">
        <v>13.81</v>
      </c>
      <c r="AT279" s="5">
        <v>10.65</v>
      </c>
      <c r="AU279" s="7">
        <f t="shared" si="166"/>
        <v>0.77100000000000002</v>
      </c>
      <c r="AV279" s="16"/>
      <c r="AW279" s="30">
        <v>0</v>
      </c>
      <c r="AX279" s="29">
        <v>42</v>
      </c>
      <c r="AY279" s="1">
        <f t="shared" si="144"/>
        <v>98.6</v>
      </c>
      <c r="AZ279" s="1">
        <f t="shared" si="145"/>
        <v>81.5</v>
      </c>
      <c r="BA279" s="1">
        <f t="shared" si="146"/>
        <v>44.8</v>
      </c>
      <c r="BB279" s="8">
        <f t="shared" si="147"/>
        <v>0.52900000000000003</v>
      </c>
      <c r="BC279" s="8">
        <f t="shared" si="148"/>
        <v>0.65200000000000002</v>
      </c>
      <c r="BE279" s="5">
        <f t="shared" si="155"/>
        <v>13.81</v>
      </c>
      <c r="BF279" s="5">
        <f t="shared" si="156"/>
        <v>10.65</v>
      </c>
      <c r="BG279" s="1">
        <f t="shared" si="149"/>
        <v>0.1</v>
      </c>
      <c r="BH279" s="1">
        <f t="shared" si="150"/>
        <v>9.4</v>
      </c>
      <c r="BI279" s="1">
        <f t="shared" si="151"/>
        <v>-8.9</v>
      </c>
      <c r="BJ279" s="1">
        <f t="shared" si="157"/>
        <v>81.5</v>
      </c>
      <c r="BK279" s="1">
        <f t="shared" si="158"/>
        <v>44.8</v>
      </c>
      <c r="BL279" s="1">
        <f t="shared" si="167"/>
        <v>0.5</v>
      </c>
      <c r="BM279" s="1">
        <f t="shared" si="168"/>
        <v>3.4</v>
      </c>
      <c r="BN279" s="21">
        <f t="shared" si="159"/>
        <v>0</v>
      </c>
      <c r="BO279" s="7">
        <f t="shared" si="160"/>
        <v>0</v>
      </c>
      <c r="BP279" s="21" t="str">
        <f t="shared" si="154"/>
        <v>NAN</v>
      </c>
      <c r="BQ279" s="1">
        <f t="shared" si="161"/>
        <v>-5.5</v>
      </c>
      <c r="BR279" s="1">
        <f t="shared" si="162"/>
        <v>1.2</v>
      </c>
      <c r="BS279" s="1">
        <f t="shared" si="163"/>
        <v>-17.899999999999999</v>
      </c>
      <c r="BT279" s="1">
        <f t="shared" si="152"/>
        <v>2.4</v>
      </c>
      <c r="BU279" s="1" t="s">
        <v>113</v>
      </c>
      <c r="BV279" s="1">
        <f t="shared" si="153"/>
        <v>6.7</v>
      </c>
      <c r="BW279" s="1" t="str">
        <f t="shared" si="169"/>
        <v>NAN</v>
      </c>
      <c r="BX279" s="1">
        <f t="shared" si="170"/>
        <v>0.52900000000000003</v>
      </c>
      <c r="BY279" s="1">
        <f t="shared" si="171"/>
        <v>0.65200000000000002</v>
      </c>
      <c r="CA279" s="1">
        <f t="shared" si="164"/>
        <v>-8.2000000000000011</v>
      </c>
      <c r="CB279" s="1">
        <f t="shared" si="165"/>
        <v>-8.9999999999999982</v>
      </c>
    </row>
    <row r="280" spans="1:80" x14ac:dyDescent="0.2">
      <c r="A280" s="9">
        <f t="shared" si="172"/>
        <v>43740</v>
      </c>
      <c r="B280" s="2">
        <v>275</v>
      </c>
      <c r="C280" s="2">
        <v>21</v>
      </c>
      <c r="D280" s="2">
        <v>13.14</v>
      </c>
      <c r="E280" s="2">
        <v>9.2799999999999994</v>
      </c>
      <c r="F280" s="2">
        <v>-5.7220000000000004</v>
      </c>
      <c r="G280" s="2">
        <v>3.3000000000000002E-2</v>
      </c>
      <c r="H280" s="2">
        <v>90</v>
      </c>
      <c r="I280" s="2">
        <v>-0.255</v>
      </c>
      <c r="J280" s="2">
        <v>-1.69</v>
      </c>
      <c r="K280" s="2">
        <v>1.413</v>
      </c>
      <c r="L280" s="2">
        <v>6.1790000000000003</v>
      </c>
      <c r="M280" s="2">
        <v>4.694</v>
      </c>
      <c r="N280" s="2">
        <v>101.9</v>
      </c>
      <c r="O280" s="2">
        <v>8.0500000000000007</v>
      </c>
      <c r="P280" s="2">
        <v>1.1539999999999999</v>
      </c>
      <c r="Q280" s="2">
        <v>1.7689999999999999</v>
      </c>
      <c r="R280" s="2">
        <v>6.4539999999999997</v>
      </c>
      <c r="S280" s="2">
        <v>-4.7839999999999998</v>
      </c>
      <c r="T280" s="2">
        <v>68.45</v>
      </c>
      <c r="U280" s="2">
        <v>-7.58</v>
      </c>
      <c r="V280" s="2">
        <v>-7.21</v>
      </c>
      <c r="W280" s="2">
        <v>1.0489999999999999</v>
      </c>
      <c r="X280" s="2">
        <v>5.9340000000000002</v>
      </c>
      <c r="Y280" s="2">
        <v>2.3450000000000002</v>
      </c>
      <c r="Z280" s="2">
        <v>0</v>
      </c>
      <c r="AA280" s="2">
        <v>6.8</v>
      </c>
      <c r="AB280" s="2">
        <v>4.6870000000000003</v>
      </c>
      <c r="AC280" s="2">
        <v>1.0880000000000001</v>
      </c>
      <c r="AD280" s="2">
        <v>3.62</v>
      </c>
      <c r="AE280" s="2">
        <v>-2.1930000000000001</v>
      </c>
      <c r="AF280" s="2">
        <v>0.72099999999999997</v>
      </c>
      <c r="AG280" s="2">
        <v>-9.5500000000000007</v>
      </c>
      <c r="AH280" s="2">
        <v>0.72099999999999997</v>
      </c>
      <c r="AI280" s="2">
        <v>-9.5500000000000007</v>
      </c>
      <c r="AJ280" s="2" t="s">
        <v>113</v>
      </c>
      <c r="AK280" s="2" t="s">
        <v>113</v>
      </c>
      <c r="AL280" s="2">
        <v>0.28699999999999998</v>
      </c>
      <c r="AM280" s="2">
        <v>6.5069999999999997</v>
      </c>
      <c r="AN280" s="2">
        <v>-5.6929999999999996</v>
      </c>
      <c r="AO280" s="2"/>
      <c r="AR280" s="5">
        <v>15.45</v>
      </c>
      <c r="AS280" s="5">
        <v>6.8</v>
      </c>
      <c r="AT280" s="5">
        <v>4.6900000000000004</v>
      </c>
      <c r="AU280" s="7">
        <f t="shared" si="166"/>
        <v>0.69</v>
      </c>
      <c r="AV280" s="16"/>
      <c r="AW280" s="30">
        <v>0</v>
      </c>
      <c r="AX280" s="29">
        <v>25</v>
      </c>
      <c r="AY280" s="1">
        <f t="shared" si="144"/>
        <v>98.3</v>
      </c>
      <c r="AZ280" s="1">
        <f t="shared" si="145"/>
        <v>86.8</v>
      </c>
      <c r="BA280" s="1">
        <f t="shared" si="146"/>
        <v>65.900000000000006</v>
      </c>
      <c r="BB280" s="8">
        <f t="shared" si="147"/>
        <v>0.56200000000000006</v>
      </c>
      <c r="BC280" s="8">
        <f t="shared" si="148"/>
        <v>0.29099999999999998</v>
      </c>
      <c r="BE280" s="5">
        <f t="shared" si="155"/>
        <v>6.8</v>
      </c>
      <c r="BF280" s="5">
        <f t="shared" si="156"/>
        <v>4.6900000000000004</v>
      </c>
      <c r="BG280" s="1">
        <f t="shared" si="149"/>
        <v>0</v>
      </c>
      <c r="BH280" s="1">
        <f t="shared" si="150"/>
        <v>4.7</v>
      </c>
      <c r="BI280" s="1">
        <f t="shared" si="151"/>
        <v>-4.8</v>
      </c>
      <c r="BJ280" s="1">
        <f t="shared" si="157"/>
        <v>86.8</v>
      </c>
      <c r="BK280" s="1">
        <f t="shared" si="158"/>
        <v>65.900000000000006</v>
      </c>
      <c r="BL280" s="1">
        <f t="shared" si="167"/>
        <v>1.1000000000000001</v>
      </c>
      <c r="BM280" s="1">
        <f t="shared" si="168"/>
        <v>3.6</v>
      </c>
      <c r="BN280" s="21">
        <f t="shared" si="159"/>
        <v>0</v>
      </c>
      <c r="BO280" s="7">
        <f t="shared" si="160"/>
        <v>0</v>
      </c>
      <c r="BP280" s="21" t="str">
        <f t="shared" si="154"/>
        <v>NAN</v>
      </c>
      <c r="BQ280" s="1">
        <f t="shared" si="161"/>
        <v>-2.2000000000000002</v>
      </c>
      <c r="BR280" s="1">
        <f t="shared" si="162"/>
        <v>0.7</v>
      </c>
      <c r="BS280" s="1">
        <f t="shared" si="163"/>
        <v>-9.6</v>
      </c>
      <c r="BT280" s="1">
        <f t="shared" si="152"/>
        <v>1.4</v>
      </c>
      <c r="BU280" s="1" t="s">
        <v>113</v>
      </c>
      <c r="BV280" s="1">
        <f t="shared" si="153"/>
        <v>6.2</v>
      </c>
      <c r="BW280" s="1" t="str">
        <f t="shared" si="169"/>
        <v>NAN</v>
      </c>
      <c r="BX280" s="1">
        <f t="shared" si="170"/>
        <v>0.56200000000000006</v>
      </c>
      <c r="BY280" s="1">
        <f t="shared" si="171"/>
        <v>0.29099999999999998</v>
      </c>
      <c r="CA280" s="1">
        <f t="shared" si="164"/>
        <v>-4</v>
      </c>
      <c r="CB280" s="1">
        <f t="shared" si="165"/>
        <v>-4.8</v>
      </c>
    </row>
    <row r="281" spans="1:80" x14ac:dyDescent="0.2">
      <c r="A281" s="9">
        <f t="shared" si="172"/>
        <v>43741</v>
      </c>
      <c r="B281" s="2">
        <v>276</v>
      </c>
      <c r="C281" s="2">
        <v>21</v>
      </c>
      <c r="D281" s="2">
        <v>13.13</v>
      </c>
      <c r="E281" s="2">
        <v>11.15</v>
      </c>
      <c r="F281" s="2">
        <v>-1.1879999999999999</v>
      </c>
      <c r="G281" s="2">
        <v>0.79700000000000004</v>
      </c>
      <c r="H281" s="2">
        <v>92.1</v>
      </c>
      <c r="I281" s="2">
        <v>0.90700000000000003</v>
      </c>
      <c r="J281" s="2">
        <v>0.65900000000000003</v>
      </c>
      <c r="K281" s="2">
        <v>1.9690000000000001</v>
      </c>
      <c r="L281" s="2">
        <v>5.8559999999999999</v>
      </c>
      <c r="M281" s="2">
        <v>5.8879999999999999</v>
      </c>
      <c r="N281" s="2">
        <v>101.9</v>
      </c>
      <c r="O281" s="2">
        <v>13.8</v>
      </c>
      <c r="P281" s="2">
        <v>11.9</v>
      </c>
      <c r="Q281" s="2">
        <v>2.984</v>
      </c>
      <c r="R281" s="2">
        <v>6.5860000000000003</v>
      </c>
      <c r="S281" s="2">
        <v>-2.1739999999999999</v>
      </c>
      <c r="T281" s="2">
        <v>67.849999999999994</v>
      </c>
      <c r="U281" s="2">
        <v>-3.6230000000000002</v>
      </c>
      <c r="V281" s="2">
        <v>-5.1449999999999996</v>
      </c>
      <c r="W281" s="2">
        <v>1.3120000000000001</v>
      </c>
      <c r="X281" s="2">
        <v>5.4429999999999996</v>
      </c>
      <c r="Y281" s="2">
        <v>2.3610000000000002</v>
      </c>
      <c r="Z281" s="2">
        <v>0.76200000000000001</v>
      </c>
      <c r="AA281" s="2">
        <v>6.976</v>
      </c>
      <c r="AB281" s="2">
        <v>4.7149999999999999</v>
      </c>
      <c r="AC281" s="2">
        <v>0.94199999999999995</v>
      </c>
      <c r="AD281" s="2">
        <v>3.4870000000000001</v>
      </c>
      <c r="AE281" s="2">
        <v>-0.69399999999999995</v>
      </c>
      <c r="AF281" s="2">
        <v>1.55</v>
      </c>
      <c r="AG281" s="2">
        <v>-4.0810000000000004</v>
      </c>
      <c r="AH281" s="2">
        <v>1.55</v>
      </c>
      <c r="AI281" s="2">
        <v>-4.0810000000000004</v>
      </c>
      <c r="AJ281" s="2" t="s">
        <v>113</v>
      </c>
      <c r="AK281" s="2" t="s">
        <v>113</v>
      </c>
      <c r="AL281" s="2">
        <v>1.3480000000000001</v>
      </c>
      <c r="AM281" s="2">
        <v>8.8699999999999992</v>
      </c>
      <c r="AN281" s="2">
        <v>-2.5499999999999998</v>
      </c>
      <c r="AO281" s="2"/>
      <c r="AR281" s="5">
        <v>15.2</v>
      </c>
      <c r="AS281" s="5">
        <v>7.04</v>
      </c>
      <c r="AT281" s="5">
        <v>4.71</v>
      </c>
      <c r="AU281" s="7">
        <f t="shared" si="166"/>
        <v>0.66900000000000004</v>
      </c>
      <c r="AV281" s="16"/>
      <c r="AW281" s="30">
        <v>0</v>
      </c>
      <c r="AX281" s="29">
        <v>9</v>
      </c>
      <c r="AY281" s="1">
        <f t="shared" si="144"/>
        <v>98.3</v>
      </c>
      <c r="AZ281" s="1">
        <f t="shared" si="145"/>
        <v>88.8</v>
      </c>
      <c r="BA281" s="1">
        <f t="shared" si="146"/>
        <v>65.3</v>
      </c>
      <c r="BB281" s="8">
        <f t="shared" si="147"/>
        <v>0.60599999999999998</v>
      </c>
      <c r="BC281" s="8">
        <f t="shared" si="148"/>
        <v>0.32200000000000001</v>
      </c>
      <c r="BE281" s="5">
        <f t="shared" si="155"/>
        <v>7.04</v>
      </c>
      <c r="BF281" s="5">
        <f t="shared" si="156"/>
        <v>4.71</v>
      </c>
      <c r="BG281" s="1">
        <f t="shared" si="149"/>
        <v>0.8</v>
      </c>
      <c r="BH281" s="1">
        <f t="shared" si="150"/>
        <v>5.9</v>
      </c>
      <c r="BI281" s="1">
        <f t="shared" si="151"/>
        <v>-2.2000000000000002</v>
      </c>
      <c r="BJ281" s="1">
        <f t="shared" si="157"/>
        <v>88.8</v>
      </c>
      <c r="BK281" s="1">
        <f t="shared" si="158"/>
        <v>65.3</v>
      </c>
      <c r="BL281" s="1">
        <f t="shared" si="167"/>
        <v>0.9</v>
      </c>
      <c r="BM281" s="1">
        <f t="shared" si="168"/>
        <v>3.5</v>
      </c>
      <c r="BN281" s="21">
        <f t="shared" si="159"/>
        <v>0</v>
      </c>
      <c r="BO281" s="7">
        <f t="shared" si="160"/>
        <v>0</v>
      </c>
      <c r="BP281" s="21" t="str">
        <f t="shared" si="154"/>
        <v>NAN</v>
      </c>
      <c r="BQ281" s="1">
        <f t="shared" si="161"/>
        <v>-0.7</v>
      </c>
      <c r="BR281" s="1">
        <f t="shared" si="162"/>
        <v>1.6</v>
      </c>
      <c r="BS281" s="1">
        <f t="shared" si="163"/>
        <v>-4.0999999999999996</v>
      </c>
      <c r="BT281" s="1">
        <f t="shared" si="152"/>
        <v>2</v>
      </c>
      <c r="BU281" s="1" t="s">
        <v>113</v>
      </c>
      <c r="BV281" s="1">
        <f t="shared" si="153"/>
        <v>5.9</v>
      </c>
      <c r="BW281" s="1" t="str">
        <f t="shared" si="169"/>
        <v>NAN</v>
      </c>
      <c r="BX281" s="1">
        <f t="shared" si="170"/>
        <v>0.60599999999999998</v>
      </c>
      <c r="BY281" s="1">
        <f t="shared" si="171"/>
        <v>0.32200000000000001</v>
      </c>
      <c r="CA281" s="1">
        <f t="shared" si="164"/>
        <v>-4.3000000000000007</v>
      </c>
      <c r="CB281" s="1">
        <f t="shared" si="165"/>
        <v>-1.8999999999999995</v>
      </c>
    </row>
    <row r="282" spans="1:80" x14ac:dyDescent="0.2">
      <c r="A282" s="9">
        <f t="shared" si="172"/>
        <v>43742</v>
      </c>
      <c r="B282" s="2">
        <v>277</v>
      </c>
      <c r="C282" s="2">
        <v>21</v>
      </c>
      <c r="D282" s="2">
        <v>13.12</v>
      </c>
      <c r="E282" s="2">
        <v>11.28</v>
      </c>
      <c r="F282" s="2">
        <v>-3.0190000000000001</v>
      </c>
      <c r="G282" s="2">
        <v>1.117</v>
      </c>
      <c r="H282" s="2">
        <v>92.3</v>
      </c>
      <c r="I282" s="2">
        <v>1.0129999999999999</v>
      </c>
      <c r="J282" s="2">
        <v>1.042</v>
      </c>
      <c r="K282" s="2">
        <v>2.4780000000000002</v>
      </c>
      <c r="L282" s="2">
        <v>5.5979999999999999</v>
      </c>
      <c r="M282" s="2">
        <v>7.06</v>
      </c>
      <c r="N282" s="2">
        <v>102.4</v>
      </c>
      <c r="O282" s="2">
        <v>11.8</v>
      </c>
      <c r="P282" s="2">
        <v>13.63</v>
      </c>
      <c r="Q282" s="2">
        <v>4.6360000000000001</v>
      </c>
      <c r="R282" s="2">
        <v>6.2629999999999999</v>
      </c>
      <c r="S282" s="2">
        <v>-2.9289999999999998</v>
      </c>
      <c r="T282" s="2">
        <v>56.89</v>
      </c>
      <c r="U282" s="2">
        <v>-4.4000000000000004</v>
      </c>
      <c r="V282" s="2">
        <v>-6.9809999999999999</v>
      </c>
      <c r="W282" s="2">
        <v>1.02</v>
      </c>
      <c r="X282" s="2">
        <v>5.4189999999999996</v>
      </c>
      <c r="Y282" s="2">
        <v>2.3690000000000002</v>
      </c>
      <c r="Z282" s="2">
        <v>0.254</v>
      </c>
      <c r="AA282" s="2">
        <v>7.25</v>
      </c>
      <c r="AB282" s="2">
        <v>3.1949999999999998</v>
      </c>
      <c r="AC282" s="2">
        <v>0.62</v>
      </c>
      <c r="AD282" s="2">
        <v>3.5670000000000002</v>
      </c>
      <c r="AE282" s="2">
        <v>-0.10299999999999999</v>
      </c>
      <c r="AF282" s="2">
        <v>3.4039999999999999</v>
      </c>
      <c r="AG282" s="2">
        <v>-5.3360000000000003</v>
      </c>
      <c r="AH282" s="2">
        <v>3.4039999999999999</v>
      </c>
      <c r="AI282" s="2">
        <v>-5.3360000000000003</v>
      </c>
      <c r="AJ282" s="2" t="s">
        <v>113</v>
      </c>
      <c r="AK282" s="2" t="s">
        <v>113</v>
      </c>
      <c r="AL282" s="2">
        <v>1.2150000000000001</v>
      </c>
      <c r="AM282" s="2">
        <v>7.4</v>
      </c>
      <c r="AN282" s="2">
        <v>-3.3380000000000001</v>
      </c>
      <c r="AO282" s="2"/>
      <c r="AR282" s="5">
        <v>14.96</v>
      </c>
      <c r="AS282" s="5">
        <v>7.25</v>
      </c>
      <c r="AT282" s="5">
        <v>3.19</v>
      </c>
      <c r="AU282" s="7">
        <f t="shared" si="166"/>
        <v>0.44</v>
      </c>
      <c r="AV282" s="16"/>
      <c r="AW282" s="30">
        <v>1</v>
      </c>
      <c r="AX282" s="29">
        <v>0</v>
      </c>
      <c r="AY282" s="1">
        <f t="shared" si="144"/>
        <v>98.8</v>
      </c>
      <c r="AZ282" s="1">
        <f t="shared" si="145"/>
        <v>89</v>
      </c>
      <c r="BA282" s="1">
        <f t="shared" si="146"/>
        <v>54.7</v>
      </c>
      <c r="BB282" s="8">
        <f t="shared" si="147"/>
        <v>0.55000000000000004</v>
      </c>
      <c r="BC282" s="8">
        <f t="shared" si="148"/>
        <v>0.45500000000000002</v>
      </c>
      <c r="BE282" s="5">
        <f t="shared" si="155"/>
        <v>7.25</v>
      </c>
      <c r="BF282" s="5">
        <f t="shared" si="156"/>
        <v>3.19</v>
      </c>
      <c r="BG282" s="1">
        <f t="shared" si="149"/>
        <v>1.1000000000000001</v>
      </c>
      <c r="BH282" s="1">
        <f t="shared" si="150"/>
        <v>7.1</v>
      </c>
      <c r="BI282" s="1">
        <f t="shared" si="151"/>
        <v>-2.9</v>
      </c>
      <c r="BJ282" s="1">
        <f t="shared" si="157"/>
        <v>89</v>
      </c>
      <c r="BK282" s="1">
        <f t="shared" si="158"/>
        <v>54.7</v>
      </c>
      <c r="BL282" s="1">
        <f t="shared" si="167"/>
        <v>0.6</v>
      </c>
      <c r="BM282" s="1">
        <f t="shared" si="168"/>
        <v>3.6</v>
      </c>
      <c r="BN282" s="21">
        <f t="shared" si="159"/>
        <v>1</v>
      </c>
      <c r="BO282" s="7">
        <f t="shared" si="160"/>
        <v>0</v>
      </c>
      <c r="BP282" s="21" t="str">
        <f t="shared" si="154"/>
        <v>NAN</v>
      </c>
      <c r="BQ282" s="1">
        <f t="shared" si="161"/>
        <v>-0.1</v>
      </c>
      <c r="BR282" s="1">
        <f t="shared" si="162"/>
        <v>3.4</v>
      </c>
      <c r="BS282" s="1">
        <f t="shared" si="163"/>
        <v>-5.3</v>
      </c>
      <c r="BT282" s="1">
        <f t="shared" si="152"/>
        <v>2.5</v>
      </c>
      <c r="BU282" s="1" t="s">
        <v>113</v>
      </c>
      <c r="BV282" s="1">
        <f t="shared" si="153"/>
        <v>5.6</v>
      </c>
      <c r="BW282" s="1" t="str">
        <f t="shared" si="169"/>
        <v>NAN</v>
      </c>
      <c r="BX282" s="1">
        <f t="shared" si="170"/>
        <v>0.55000000000000004</v>
      </c>
      <c r="BY282" s="1">
        <f t="shared" si="171"/>
        <v>0.45500000000000002</v>
      </c>
      <c r="CA282" s="1">
        <f t="shared" si="164"/>
        <v>-3.6999999999999997</v>
      </c>
      <c r="CB282" s="1">
        <f t="shared" si="165"/>
        <v>-2.4</v>
      </c>
    </row>
    <row r="283" spans="1:80" x14ac:dyDescent="0.2">
      <c r="A283" s="9">
        <f t="shared" si="172"/>
        <v>43743</v>
      </c>
      <c r="B283" s="2">
        <v>278</v>
      </c>
      <c r="C283" s="2">
        <v>21</v>
      </c>
      <c r="D283" s="2">
        <v>13.11</v>
      </c>
      <c r="E283" s="2">
        <v>12.59</v>
      </c>
      <c r="F283" s="2">
        <v>-5.0919999999999996</v>
      </c>
      <c r="G283" s="2">
        <v>1.3340000000000001</v>
      </c>
      <c r="H283" s="2">
        <v>89.2</v>
      </c>
      <c r="I283" s="2">
        <v>1.1379999999999999</v>
      </c>
      <c r="J283" s="2">
        <v>0.85399999999999998</v>
      </c>
      <c r="K283" s="2">
        <v>3.165</v>
      </c>
      <c r="L283" s="2">
        <v>5.444</v>
      </c>
      <c r="M283" s="2">
        <v>7.41</v>
      </c>
      <c r="N283" s="2">
        <v>101.8</v>
      </c>
      <c r="O283" s="2">
        <v>13.75</v>
      </c>
      <c r="P283" s="2">
        <v>17.61</v>
      </c>
      <c r="Q283" s="2">
        <v>6.1630000000000003</v>
      </c>
      <c r="R283" s="2">
        <v>6.0419999999999998</v>
      </c>
      <c r="S283" s="2">
        <v>-4.5810000000000004</v>
      </c>
      <c r="T283" s="2">
        <v>56.95</v>
      </c>
      <c r="U283" s="2">
        <v>-6.4260000000000002</v>
      </c>
      <c r="V283" s="2">
        <v>-8.18</v>
      </c>
      <c r="W283" s="2">
        <v>1.351</v>
      </c>
      <c r="X283" s="2">
        <v>5.2110000000000003</v>
      </c>
      <c r="Y283" s="2">
        <v>2.34</v>
      </c>
      <c r="Z283" s="2">
        <v>4.3179999999999996</v>
      </c>
      <c r="AA283" s="2">
        <v>9.26</v>
      </c>
      <c r="AB283" s="2">
        <v>2.9279999999999999</v>
      </c>
      <c r="AC283" s="2">
        <v>1.3740000000000001</v>
      </c>
      <c r="AD283" s="2">
        <v>4.5540000000000003</v>
      </c>
      <c r="AE283" s="2">
        <v>0.63500000000000001</v>
      </c>
      <c r="AF283" s="2">
        <v>9.43</v>
      </c>
      <c r="AG283" s="2">
        <v>-5.532</v>
      </c>
      <c r="AH283" s="2">
        <v>9.43</v>
      </c>
      <c r="AI283" s="2">
        <v>-5.532</v>
      </c>
      <c r="AJ283" s="2" t="s">
        <v>113</v>
      </c>
      <c r="AK283" s="2" t="s">
        <v>113</v>
      </c>
      <c r="AL283" s="2">
        <v>1.339</v>
      </c>
      <c r="AM283" s="2">
        <v>9.33</v>
      </c>
      <c r="AN283" s="2">
        <v>-5.3380000000000001</v>
      </c>
      <c r="AO283" s="2"/>
      <c r="AR283" s="5">
        <v>14.72</v>
      </c>
      <c r="AS283" s="5">
        <v>9.26</v>
      </c>
      <c r="AT283" s="5">
        <v>2.93</v>
      </c>
      <c r="AU283" s="7">
        <f t="shared" si="166"/>
        <v>0.316</v>
      </c>
      <c r="AV283" s="16"/>
      <c r="AW283" s="30">
        <v>3</v>
      </c>
      <c r="AX283" s="29">
        <v>0</v>
      </c>
      <c r="AY283" s="1">
        <f t="shared" si="144"/>
        <v>98.2</v>
      </c>
      <c r="AZ283" s="1">
        <f t="shared" si="145"/>
        <v>86</v>
      </c>
      <c r="BA283" s="1">
        <f t="shared" si="146"/>
        <v>54.7</v>
      </c>
      <c r="BB283" s="8">
        <f t="shared" si="147"/>
        <v>0.56299999999999994</v>
      </c>
      <c r="BC283" s="8">
        <f t="shared" si="148"/>
        <v>0.46600000000000003</v>
      </c>
      <c r="BE283" s="5">
        <f t="shared" si="155"/>
        <v>9.26</v>
      </c>
      <c r="BF283" s="5">
        <f t="shared" si="156"/>
        <v>2.93</v>
      </c>
      <c r="BG283" s="1">
        <f t="shared" si="149"/>
        <v>1.3</v>
      </c>
      <c r="BH283" s="1">
        <f t="shared" si="150"/>
        <v>7.4</v>
      </c>
      <c r="BI283" s="1">
        <f t="shared" si="151"/>
        <v>-4.5999999999999996</v>
      </c>
      <c r="BJ283" s="1">
        <f t="shared" si="157"/>
        <v>86</v>
      </c>
      <c r="BK283" s="1">
        <f t="shared" si="158"/>
        <v>54.7</v>
      </c>
      <c r="BL283" s="1">
        <f t="shared" si="167"/>
        <v>1.4</v>
      </c>
      <c r="BM283" s="1">
        <f t="shared" si="168"/>
        <v>4.5999999999999996</v>
      </c>
      <c r="BN283" s="21">
        <f t="shared" si="159"/>
        <v>3</v>
      </c>
      <c r="BO283" s="7">
        <f t="shared" si="160"/>
        <v>0</v>
      </c>
      <c r="BP283" s="21" t="str">
        <f t="shared" si="154"/>
        <v>NAN</v>
      </c>
      <c r="BQ283" s="1">
        <f t="shared" si="161"/>
        <v>0.6</v>
      </c>
      <c r="BR283" s="1">
        <f t="shared" si="162"/>
        <v>9.4</v>
      </c>
      <c r="BS283" s="1">
        <f t="shared" si="163"/>
        <v>-5.5</v>
      </c>
      <c r="BT283" s="1">
        <f t="shared" si="152"/>
        <v>3.2</v>
      </c>
      <c r="BU283" s="1" t="s">
        <v>113</v>
      </c>
      <c r="BV283" s="1">
        <f t="shared" si="153"/>
        <v>5.4</v>
      </c>
      <c r="BW283" s="1" t="str">
        <f t="shared" si="169"/>
        <v>NAN</v>
      </c>
      <c r="BX283" s="1">
        <f t="shared" si="170"/>
        <v>0.56299999999999994</v>
      </c>
      <c r="BY283" s="1">
        <f t="shared" si="171"/>
        <v>0.46600000000000003</v>
      </c>
      <c r="CA283" s="1">
        <f t="shared" si="164"/>
        <v>2</v>
      </c>
      <c r="CB283" s="1">
        <f t="shared" si="165"/>
        <v>-0.90000000000000036</v>
      </c>
    </row>
    <row r="284" spans="1:80" x14ac:dyDescent="0.2">
      <c r="A284" s="9">
        <f t="shared" si="172"/>
        <v>43744</v>
      </c>
      <c r="B284" s="2">
        <v>279</v>
      </c>
      <c r="C284" s="2">
        <v>21</v>
      </c>
      <c r="D284" s="2">
        <v>13.13</v>
      </c>
      <c r="E284" s="2">
        <v>14.92</v>
      </c>
      <c r="F284" s="2">
        <v>-8.14</v>
      </c>
      <c r="G284" s="2">
        <v>1.329</v>
      </c>
      <c r="H284" s="2">
        <v>82.6</v>
      </c>
      <c r="I284" s="2">
        <v>0.89800000000000002</v>
      </c>
      <c r="J284" s="2">
        <v>0.95599999999999996</v>
      </c>
      <c r="K284" s="2">
        <v>3.081</v>
      </c>
      <c r="L284" s="2">
        <v>5.4269999999999996</v>
      </c>
      <c r="M284" s="2">
        <v>9.18</v>
      </c>
      <c r="N284" s="2">
        <v>101.4</v>
      </c>
      <c r="O284" s="2">
        <v>14.25</v>
      </c>
      <c r="P284" s="2">
        <v>17.04</v>
      </c>
      <c r="Q284" s="2">
        <v>6.5609999999999999</v>
      </c>
      <c r="R284" s="2">
        <v>6.1619999999999999</v>
      </c>
      <c r="S284" s="2">
        <v>-6.34</v>
      </c>
      <c r="T284" s="2">
        <v>54.52</v>
      </c>
      <c r="U284" s="2">
        <v>-8.9499999999999993</v>
      </c>
      <c r="V284" s="2">
        <v>-9.83</v>
      </c>
      <c r="W284" s="2">
        <v>0.69099999999999995</v>
      </c>
      <c r="X284" s="2">
        <v>5.242</v>
      </c>
      <c r="Y284" s="2">
        <v>2.3490000000000002</v>
      </c>
      <c r="Z284" s="2">
        <v>0.254</v>
      </c>
      <c r="AA284" s="2">
        <v>11.5</v>
      </c>
      <c r="AB284" s="2">
        <v>2.5539999999999998</v>
      </c>
      <c r="AC284" s="2">
        <v>0.75</v>
      </c>
      <c r="AD284" s="2">
        <v>4.18</v>
      </c>
      <c r="AE284" s="2">
        <v>0.436</v>
      </c>
      <c r="AF284" s="2">
        <v>11.31</v>
      </c>
      <c r="AG284" s="2">
        <v>-8</v>
      </c>
      <c r="AH284" s="2">
        <v>11.31</v>
      </c>
      <c r="AI284" s="2">
        <v>-8</v>
      </c>
      <c r="AJ284" s="2" t="s">
        <v>113</v>
      </c>
      <c r="AK284" s="2" t="s">
        <v>113</v>
      </c>
      <c r="AL284" s="2">
        <v>1.2929999999999999</v>
      </c>
      <c r="AM284" s="2">
        <v>11.38</v>
      </c>
      <c r="AN284" s="2">
        <v>-7.29</v>
      </c>
      <c r="AO284" s="2"/>
      <c r="AR284" s="5">
        <v>14.48</v>
      </c>
      <c r="AS284" s="5">
        <v>11.5</v>
      </c>
      <c r="AT284" s="5">
        <v>2.5499999999999998</v>
      </c>
      <c r="AU284" s="7">
        <f t="shared" si="166"/>
        <v>0.222</v>
      </c>
      <c r="AV284" s="16"/>
      <c r="AW284" s="30">
        <v>1</v>
      </c>
      <c r="AX284" s="29">
        <v>0</v>
      </c>
      <c r="AY284" s="1">
        <f t="shared" si="144"/>
        <v>97.9</v>
      </c>
      <c r="AZ284" s="1">
        <f t="shared" si="145"/>
        <v>79.599999999999994</v>
      </c>
      <c r="BA284" s="1">
        <f t="shared" si="146"/>
        <v>52.4</v>
      </c>
      <c r="BB284" s="8">
        <f t="shared" si="147"/>
        <v>0.60899999999999999</v>
      </c>
      <c r="BC284" s="8">
        <f t="shared" si="148"/>
        <v>0.55300000000000005</v>
      </c>
      <c r="BE284" s="5">
        <f t="shared" si="155"/>
        <v>11.5</v>
      </c>
      <c r="BF284" s="5">
        <f t="shared" si="156"/>
        <v>2.5499999999999998</v>
      </c>
      <c r="BG284" s="1">
        <f t="shared" si="149"/>
        <v>1.3</v>
      </c>
      <c r="BH284" s="1">
        <f t="shared" si="150"/>
        <v>9.1999999999999993</v>
      </c>
      <c r="BI284" s="1">
        <f t="shared" si="151"/>
        <v>-6.3</v>
      </c>
      <c r="BJ284" s="1">
        <f t="shared" si="157"/>
        <v>79.599999999999994</v>
      </c>
      <c r="BK284" s="1">
        <f t="shared" si="158"/>
        <v>52.4</v>
      </c>
      <c r="BL284" s="1">
        <f t="shared" si="167"/>
        <v>0.8</v>
      </c>
      <c r="BM284" s="1">
        <f t="shared" si="168"/>
        <v>4.2</v>
      </c>
      <c r="BN284" s="21">
        <f t="shared" si="159"/>
        <v>1</v>
      </c>
      <c r="BO284" s="7">
        <f t="shared" si="160"/>
        <v>0</v>
      </c>
      <c r="BP284" s="21" t="str">
        <f t="shared" si="154"/>
        <v>NAN</v>
      </c>
      <c r="BQ284" s="1">
        <f t="shared" si="161"/>
        <v>0.4</v>
      </c>
      <c r="BR284" s="1">
        <f t="shared" si="162"/>
        <v>11.3</v>
      </c>
      <c r="BS284" s="1">
        <f t="shared" si="163"/>
        <v>-8</v>
      </c>
      <c r="BT284" s="1">
        <f t="shared" si="152"/>
        <v>3.1</v>
      </c>
      <c r="BU284" s="1" t="s">
        <v>113</v>
      </c>
      <c r="BV284" s="1">
        <f t="shared" si="153"/>
        <v>5.4</v>
      </c>
      <c r="BW284" s="1" t="str">
        <f t="shared" si="169"/>
        <v>NAN</v>
      </c>
      <c r="BX284" s="1">
        <f t="shared" si="170"/>
        <v>0.60899999999999999</v>
      </c>
      <c r="BY284" s="1">
        <f t="shared" si="171"/>
        <v>0.55300000000000005</v>
      </c>
      <c r="CA284" s="1">
        <f t="shared" si="164"/>
        <v>2.1000000000000014</v>
      </c>
      <c r="CB284" s="1">
        <f t="shared" si="165"/>
        <v>-1.7000000000000002</v>
      </c>
    </row>
    <row r="285" spans="1:80" x14ac:dyDescent="0.2">
      <c r="A285" s="9">
        <f t="shared" si="172"/>
        <v>43745</v>
      </c>
      <c r="B285" s="2">
        <v>280</v>
      </c>
      <c r="C285" s="2">
        <v>21</v>
      </c>
      <c r="D285" s="2">
        <v>13.17</v>
      </c>
      <c r="E285" s="2">
        <v>8.92</v>
      </c>
      <c r="F285" s="2">
        <v>1.423</v>
      </c>
      <c r="G285" s="2">
        <v>3.8759999999999999</v>
      </c>
      <c r="H285" s="2">
        <v>89.2</v>
      </c>
      <c r="I285" s="2">
        <v>3.536</v>
      </c>
      <c r="J285" s="2">
        <v>3.2690000000000001</v>
      </c>
      <c r="K285" s="2">
        <v>4.0659999999999998</v>
      </c>
      <c r="L285" s="2">
        <v>5.3689999999999998</v>
      </c>
      <c r="M285" s="2">
        <v>7.2</v>
      </c>
      <c r="N285" s="2">
        <v>101.5</v>
      </c>
      <c r="O285" s="2">
        <v>11.62</v>
      </c>
      <c r="P285" s="2">
        <v>15.16</v>
      </c>
      <c r="Q285" s="2">
        <v>6.0990000000000002</v>
      </c>
      <c r="R285" s="2">
        <v>5.8250000000000002</v>
      </c>
      <c r="S285" s="2">
        <v>1.2350000000000001</v>
      </c>
      <c r="T285" s="2">
        <v>68.36</v>
      </c>
      <c r="U285" s="2">
        <v>0.52700000000000002</v>
      </c>
      <c r="V285" s="2">
        <v>0.215</v>
      </c>
      <c r="W285" s="2">
        <v>2.5059999999999998</v>
      </c>
      <c r="X285" s="2">
        <v>5.21</v>
      </c>
      <c r="Y285" s="2">
        <v>2.379</v>
      </c>
      <c r="Z285" s="2">
        <v>4.8259999999999996</v>
      </c>
      <c r="AA285" s="2">
        <v>4.048</v>
      </c>
      <c r="AB285" s="2">
        <v>0.70599999999999996</v>
      </c>
      <c r="AC285" s="2">
        <v>1.748</v>
      </c>
      <c r="AD285" s="2">
        <v>8.18</v>
      </c>
      <c r="AE285" s="2">
        <v>3.39</v>
      </c>
      <c r="AF285" s="2">
        <v>12.08</v>
      </c>
      <c r="AG285" s="2">
        <v>0.44500000000000001</v>
      </c>
      <c r="AH285" s="2">
        <v>12.08</v>
      </c>
      <c r="AI285" s="2">
        <v>0.44500000000000001</v>
      </c>
      <c r="AJ285" s="2" t="s">
        <v>113</v>
      </c>
      <c r="AK285" s="2" t="s">
        <v>113</v>
      </c>
      <c r="AL285" s="2">
        <v>3.7690000000000001</v>
      </c>
      <c r="AM285" s="2">
        <v>8.2799999999999994</v>
      </c>
      <c r="AN285" s="2">
        <v>1.272</v>
      </c>
      <c r="AO285" s="2"/>
      <c r="AR285" s="5">
        <v>14.24</v>
      </c>
      <c r="AS285" s="5">
        <v>4.05</v>
      </c>
      <c r="AT285" s="5">
        <v>0.7</v>
      </c>
      <c r="AU285" s="7">
        <f t="shared" si="166"/>
        <v>0.17299999999999999</v>
      </c>
      <c r="AV285" s="16"/>
      <c r="AW285" s="29">
        <v>4.8259999999999996</v>
      </c>
      <c r="AX285" s="29">
        <v>0</v>
      </c>
      <c r="AY285" s="1">
        <f t="shared" si="144"/>
        <v>98</v>
      </c>
      <c r="AZ285" s="1">
        <f t="shared" si="145"/>
        <v>86</v>
      </c>
      <c r="BA285" s="1">
        <f t="shared" si="146"/>
        <v>65.8</v>
      </c>
      <c r="BB285" s="8">
        <f t="shared" si="147"/>
        <v>0.66800000000000004</v>
      </c>
      <c r="BC285" s="8">
        <f t="shared" si="148"/>
        <v>0.34699999999999998</v>
      </c>
      <c r="BE285" s="5">
        <f t="shared" si="155"/>
        <v>4.05</v>
      </c>
      <c r="BF285" s="5">
        <f t="shared" si="156"/>
        <v>0.7</v>
      </c>
      <c r="BG285" s="1">
        <f t="shared" si="149"/>
        <v>3.9</v>
      </c>
      <c r="BH285" s="1">
        <f t="shared" si="150"/>
        <v>7.2</v>
      </c>
      <c r="BI285" s="1">
        <f t="shared" si="151"/>
        <v>1.2</v>
      </c>
      <c r="BJ285" s="1">
        <f t="shared" si="157"/>
        <v>86</v>
      </c>
      <c r="BK285" s="1">
        <f t="shared" si="158"/>
        <v>65.8</v>
      </c>
      <c r="BL285" s="1">
        <f t="shared" si="167"/>
        <v>1.7</v>
      </c>
      <c r="BM285" s="1">
        <f t="shared" si="168"/>
        <v>8.1999999999999993</v>
      </c>
      <c r="BN285" s="21">
        <f t="shared" si="159"/>
        <v>4.8259999999999996</v>
      </c>
      <c r="BO285" s="7">
        <f t="shared" si="160"/>
        <v>0</v>
      </c>
      <c r="BP285" s="21" t="str">
        <f t="shared" si="154"/>
        <v>NAN</v>
      </c>
      <c r="BQ285" s="1">
        <f t="shared" si="161"/>
        <v>3.4</v>
      </c>
      <c r="BR285" s="1">
        <f t="shared" si="162"/>
        <v>12.1</v>
      </c>
      <c r="BS285" s="1">
        <f t="shared" si="163"/>
        <v>0.4</v>
      </c>
      <c r="BT285" s="1">
        <f t="shared" si="152"/>
        <v>4.0999999999999996</v>
      </c>
      <c r="BU285" s="1" t="s">
        <v>113</v>
      </c>
      <c r="BV285" s="1">
        <f t="shared" si="153"/>
        <v>5.4</v>
      </c>
      <c r="BW285" s="1" t="str">
        <f t="shared" si="169"/>
        <v>NAN</v>
      </c>
      <c r="BX285" s="1">
        <f t="shared" si="170"/>
        <v>0.66800000000000004</v>
      </c>
      <c r="BY285" s="1">
        <f t="shared" si="171"/>
        <v>0.34699999999999998</v>
      </c>
      <c r="CA285" s="1">
        <f t="shared" si="164"/>
        <v>4.8999999999999995</v>
      </c>
      <c r="CB285" s="1">
        <f t="shared" si="165"/>
        <v>-0.79999999999999993</v>
      </c>
    </row>
    <row r="286" spans="1:80" x14ac:dyDescent="0.2">
      <c r="A286" s="9">
        <f t="shared" si="172"/>
        <v>43746</v>
      </c>
      <c r="B286" s="2">
        <v>281</v>
      </c>
      <c r="C286" s="2">
        <v>21</v>
      </c>
      <c r="D286" s="2">
        <v>13.08</v>
      </c>
      <c r="E286" s="2">
        <v>3.004</v>
      </c>
      <c r="F286" s="2">
        <v>-6.6269999999999998</v>
      </c>
      <c r="G286" s="2">
        <v>-3.5190000000000001</v>
      </c>
      <c r="H286" s="2">
        <v>90.2</v>
      </c>
      <c r="I286" s="2">
        <v>-3.4180000000000001</v>
      </c>
      <c r="J286" s="2">
        <v>-3.1840000000000002</v>
      </c>
      <c r="K286" s="2">
        <v>1.375</v>
      </c>
      <c r="L286" s="2">
        <v>5.367</v>
      </c>
      <c r="M286" s="2">
        <v>1.762</v>
      </c>
      <c r="N286" s="2">
        <v>96.9</v>
      </c>
      <c r="O286" s="2">
        <v>4.149</v>
      </c>
      <c r="P286" s="2">
        <v>4.53</v>
      </c>
      <c r="Q286" s="2">
        <v>3.11</v>
      </c>
      <c r="R286" s="2">
        <v>5.6340000000000003</v>
      </c>
      <c r="S286" s="2">
        <v>-6.9660000000000002</v>
      </c>
      <c r="T286" s="2">
        <v>75</v>
      </c>
      <c r="U286" s="2">
        <v>-7.24</v>
      </c>
      <c r="V286" s="2">
        <v>-7.08</v>
      </c>
      <c r="W286" s="2">
        <v>0.79300000000000004</v>
      </c>
      <c r="X286" s="2">
        <v>5.2210000000000001</v>
      </c>
      <c r="Y286" s="2">
        <v>2.383</v>
      </c>
      <c r="Z286" s="2">
        <v>0.76200000000000001</v>
      </c>
      <c r="AA286" s="2">
        <v>4.3239999999999998</v>
      </c>
      <c r="AB286" s="2">
        <v>2.2730000000000001</v>
      </c>
      <c r="AC286" s="2">
        <v>2.3919999999999999</v>
      </c>
      <c r="AD286" s="2">
        <v>7.38</v>
      </c>
      <c r="AE286" s="2">
        <v>-2.9430000000000001</v>
      </c>
      <c r="AF286" s="2">
        <v>1.0980000000000001</v>
      </c>
      <c r="AG286" s="2">
        <v>-6.641</v>
      </c>
      <c r="AH286" s="2">
        <v>1.0980000000000001</v>
      </c>
      <c r="AI286" s="2">
        <v>-6.641</v>
      </c>
      <c r="AJ286" s="2" t="s">
        <v>113</v>
      </c>
      <c r="AK286" s="2" t="s">
        <v>113</v>
      </c>
      <c r="AL286" s="2">
        <v>-3.2410000000000001</v>
      </c>
      <c r="AM286" s="2">
        <v>2.0720000000000001</v>
      </c>
      <c r="AN286" s="2">
        <v>-6.9459999999999997</v>
      </c>
      <c r="AO286" s="2"/>
      <c r="AR286" s="5">
        <v>14.01</v>
      </c>
      <c r="AS286" s="5">
        <v>4.32</v>
      </c>
      <c r="AT286" s="5">
        <v>2.27</v>
      </c>
      <c r="AU286" s="7">
        <f t="shared" si="166"/>
        <v>0.52500000000000002</v>
      </c>
      <c r="AV286" s="16"/>
      <c r="AW286" s="29">
        <v>4</v>
      </c>
      <c r="AX286" s="29">
        <v>0</v>
      </c>
      <c r="AY286" s="1">
        <f t="shared" si="144"/>
        <v>93.5</v>
      </c>
      <c r="AZ286" s="1">
        <f t="shared" si="145"/>
        <v>87</v>
      </c>
      <c r="BA286" s="1">
        <f t="shared" si="146"/>
        <v>72.3</v>
      </c>
      <c r="BB286" s="8">
        <f t="shared" si="147"/>
        <v>0.501</v>
      </c>
      <c r="BC286" s="8">
        <f t="shared" si="148"/>
        <v>0.192</v>
      </c>
      <c r="BE286" s="5">
        <f t="shared" si="155"/>
        <v>4.32</v>
      </c>
      <c r="BF286" s="5">
        <f t="shared" si="156"/>
        <v>2.27</v>
      </c>
      <c r="BG286" s="1">
        <f t="shared" si="149"/>
        <v>-3.5</v>
      </c>
      <c r="BH286" s="1">
        <f t="shared" si="150"/>
        <v>1.8</v>
      </c>
      <c r="BI286" s="1">
        <f t="shared" si="151"/>
        <v>-7</v>
      </c>
      <c r="BJ286" s="1">
        <f t="shared" si="157"/>
        <v>87</v>
      </c>
      <c r="BK286" s="1">
        <f t="shared" si="158"/>
        <v>72.3</v>
      </c>
      <c r="BL286" s="1">
        <f t="shared" si="167"/>
        <v>2.4</v>
      </c>
      <c r="BM286" s="1">
        <f t="shared" si="168"/>
        <v>7.4</v>
      </c>
      <c r="BN286" s="21">
        <f t="shared" si="159"/>
        <v>4</v>
      </c>
      <c r="BO286" s="7">
        <f t="shared" si="160"/>
        <v>0</v>
      </c>
      <c r="BP286" s="21" t="str">
        <f t="shared" si="154"/>
        <v>NAN</v>
      </c>
      <c r="BQ286" s="1">
        <f t="shared" si="161"/>
        <v>-2.9</v>
      </c>
      <c r="BR286" s="1">
        <f t="shared" si="162"/>
        <v>1.1000000000000001</v>
      </c>
      <c r="BS286" s="1">
        <f t="shared" si="163"/>
        <v>-6.6</v>
      </c>
      <c r="BT286" s="1">
        <f t="shared" si="152"/>
        <v>1.4</v>
      </c>
      <c r="BU286" s="1" t="s">
        <v>113</v>
      </c>
      <c r="BV286" s="1">
        <f t="shared" si="153"/>
        <v>5.4</v>
      </c>
      <c r="BW286" s="1" t="str">
        <f t="shared" si="169"/>
        <v>NAN</v>
      </c>
      <c r="BX286" s="1">
        <f t="shared" si="170"/>
        <v>0.501</v>
      </c>
      <c r="BY286" s="1">
        <f t="shared" si="171"/>
        <v>0.192</v>
      </c>
      <c r="CA286" s="1">
        <f t="shared" si="164"/>
        <v>-0.7</v>
      </c>
      <c r="CB286" s="1">
        <f t="shared" si="165"/>
        <v>0.40000000000000036</v>
      </c>
    </row>
    <row r="287" spans="1:80" x14ac:dyDescent="0.2">
      <c r="A287" s="9">
        <f t="shared" si="172"/>
        <v>43747</v>
      </c>
      <c r="B287" s="2">
        <v>282</v>
      </c>
      <c r="C287" s="2">
        <v>21</v>
      </c>
      <c r="D287" s="2">
        <v>13.07</v>
      </c>
      <c r="E287" s="2">
        <v>6.3380000000000001</v>
      </c>
      <c r="F287" s="2">
        <v>-13.83</v>
      </c>
      <c r="G287" s="2">
        <v>-7.33</v>
      </c>
      <c r="H287" s="2">
        <v>81</v>
      </c>
      <c r="I287" s="2">
        <v>-6.9029999999999996</v>
      </c>
      <c r="J287" s="2">
        <v>-6.4649999999999999</v>
      </c>
      <c r="K287" s="2">
        <v>1.034</v>
      </c>
      <c r="L287" s="2">
        <v>5.1150000000000002</v>
      </c>
      <c r="M287" s="2">
        <v>-2.9790000000000001</v>
      </c>
      <c r="N287" s="2">
        <v>98.2</v>
      </c>
      <c r="O287" s="2">
        <v>3.3639999999999999</v>
      </c>
      <c r="P287" s="2">
        <v>5.7869999999999999</v>
      </c>
      <c r="Q287" s="2">
        <v>1.851</v>
      </c>
      <c r="R287" s="2">
        <v>5.5780000000000003</v>
      </c>
      <c r="S287" s="2">
        <v>-13.74</v>
      </c>
      <c r="T287" s="2">
        <v>48.42</v>
      </c>
      <c r="U287" s="2">
        <v>-16.440000000000001</v>
      </c>
      <c r="V287" s="2">
        <v>-16.02</v>
      </c>
      <c r="W287" s="2">
        <v>0.40699999999999997</v>
      </c>
      <c r="X287" s="2">
        <v>4.6559999999999997</v>
      </c>
      <c r="Y287" s="2">
        <v>2.347</v>
      </c>
      <c r="Z287" s="2">
        <v>0</v>
      </c>
      <c r="AA287" s="2">
        <v>12.92</v>
      </c>
      <c r="AB287" s="2">
        <v>7.88</v>
      </c>
      <c r="AC287" s="2">
        <v>1.7290000000000001</v>
      </c>
      <c r="AD287" s="2">
        <v>4.9269999999999996</v>
      </c>
      <c r="AE287" s="2">
        <v>-8.5</v>
      </c>
      <c r="AF287" s="2">
        <v>-2.9620000000000002</v>
      </c>
      <c r="AG287" s="2">
        <v>-16.32</v>
      </c>
      <c r="AH287" s="2">
        <v>-2.9620000000000002</v>
      </c>
      <c r="AI287" s="2">
        <v>-16.32</v>
      </c>
      <c r="AJ287" s="2" t="s">
        <v>113</v>
      </c>
      <c r="AK287" s="2" t="s">
        <v>113</v>
      </c>
      <c r="AL287" s="2">
        <v>-6.7859999999999996</v>
      </c>
      <c r="AM287" s="2">
        <v>0.122</v>
      </c>
      <c r="AN287" s="2">
        <v>-14.77</v>
      </c>
      <c r="AO287" s="2"/>
      <c r="AR287" s="5">
        <v>13.78</v>
      </c>
      <c r="AS287" s="5">
        <v>12.92</v>
      </c>
      <c r="AT287" s="5">
        <v>7.87</v>
      </c>
      <c r="AU287" s="7">
        <f t="shared" si="166"/>
        <v>0.60899999999999999</v>
      </c>
      <c r="AV287" s="16"/>
      <c r="AW287" s="29">
        <v>3</v>
      </c>
      <c r="AX287" s="29">
        <v>0</v>
      </c>
      <c r="AY287" s="1">
        <f t="shared" si="144"/>
        <v>94.8</v>
      </c>
      <c r="AZ287" s="1">
        <f t="shared" si="145"/>
        <v>78.099999999999994</v>
      </c>
      <c r="BA287" s="1">
        <f t="shared" si="146"/>
        <v>46.5</v>
      </c>
      <c r="BB287" s="8">
        <f t="shared" si="147"/>
        <v>0.22800000000000001</v>
      </c>
      <c r="BC287" s="8">
        <f t="shared" si="148"/>
        <v>0.26200000000000001</v>
      </c>
      <c r="BE287" s="5">
        <f t="shared" si="155"/>
        <v>12.92</v>
      </c>
      <c r="BF287" s="5">
        <f t="shared" si="156"/>
        <v>7.87</v>
      </c>
      <c r="BG287" s="1">
        <f t="shared" si="149"/>
        <v>-7.3</v>
      </c>
      <c r="BH287" s="1">
        <f t="shared" si="150"/>
        <v>-3</v>
      </c>
      <c r="BI287" s="1">
        <f t="shared" si="151"/>
        <v>-13.7</v>
      </c>
      <c r="BJ287" s="1">
        <f t="shared" si="157"/>
        <v>78.099999999999994</v>
      </c>
      <c r="BK287" s="1">
        <f t="shared" si="158"/>
        <v>46.5</v>
      </c>
      <c r="BL287" s="1">
        <f t="shared" si="167"/>
        <v>1.7</v>
      </c>
      <c r="BM287" s="1">
        <f t="shared" si="168"/>
        <v>4.9000000000000004</v>
      </c>
      <c r="BN287" s="21">
        <f t="shared" si="159"/>
        <v>3</v>
      </c>
      <c r="BO287" s="7">
        <f t="shared" si="160"/>
        <v>0</v>
      </c>
      <c r="BP287" s="21" t="str">
        <f t="shared" si="154"/>
        <v>NAN</v>
      </c>
      <c r="BQ287" s="1">
        <f t="shared" si="161"/>
        <v>-8.5</v>
      </c>
      <c r="BR287" s="1">
        <f t="shared" si="162"/>
        <v>-3</v>
      </c>
      <c r="BS287" s="1">
        <f t="shared" si="163"/>
        <v>-16.3</v>
      </c>
      <c r="BT287" s="1">
        <f t="shared" si="152"/>
        <v>1</v>
      </c>
      <c r="BU287" s="1" t="s">
        <v>113</v>
      </c>
      <c r="BV287" s="1">
        <f t="shared" si="153"/>
        <v>5.0999999999999996</v>
      </c>
      <c r="BW287" s="1" t="str">
        <f t="shared" si="169"/>
        <v>NAN</v>
      </c>
      <c r="BX287" s="1">
        <f t="shared" si="170"/>
        <v>0.22800000000000001</v>
      </c>
      <c r="BY287" s="1">
        <f t="shared" si="171"/>
        <v>0.26200000000000001</v>
      </c>
      <c r="CA287" s="1">
        <f t="shared" si="164"/>
        <v>0</v>
      </c>
      <c r="CB287" s="1">
        <f t="shared" si="165"/>
        <v>-2.6000000000000014</v>
      </c>
    </row>
    <row r="288" spans="1:80" x14ac:dyDescent="0.2">
      <c r="A288" s="9">
        <f t="shared" si="172"/>
        <v>43748</v>
      </c>
      <c r="B288" s="2">
        <v>283</v>
      </c>
      <c r="C288" s="2">
        <v>21</v>
      </c>
      <c r="D288" s="2">
        <v>13.08</v>
      </c>
      <c r="E288" s="2">
        <v>13.48</v>
      </c>
      <c r="F288" s="2">
        <v>-15.6</v>
      </c>
      <c r="G288" s="2">
        <v>-4.9470000000000001</v>
      </c>
      <c r="H288" s="2">
        <v>72.599999999999994</v>
      </c>
      <c r="I288" s="2">
        <v>-5.4160000000000004</v>
      </c>
      <c r="J288" s="2">
        <v>-5.0309999999999997</v>
      </c>
      <c r="K288" s="2">
        <v>0.29099999999999998</v>
      </c>
      <c r="L288" s="2">
        <v>4.8499999999999996</v>
      </c>
      <c r="M288" s="2">
        <v>4.3769999999999998</v>
      </c>
      <c r="N288" s="2">
        <v>99.6</v>
      </c>
      <c r="O288" s="2">
        <v>10.37</v>
      </c>
      <c r="P288" s="2">
        <v>12.5</v>
      </c>
      <c r="Q288" s="2">
        <v>1.371</v>
      </c>
      <c r="R288" s="2">
        <v>5.4509999999999996</v>
      </c>
      <c r="S288" s="2">
        <v>-13.97</v>
      </c>
      <c r="T288" s="2">
        <v>25.19</v>
      </c>
      <c r="U288" s="2">
        <v>-16.93</v>
      </c>
      <c r="V288" s="2">
        <v>-16.53</v>
      </c>
      <c r="W288" s="2">
        <v>-0.215</v>
      </c>
      <c r="X288" s="2">
        <v>4.4729999999999999</v>
      </c>
      <c r="Y288" s="2">
        <v>2.3260000000000001</v>
      </c>
      <c r="Z288" s="2">
        <v>0.50800000000000001</v>
      </c>
      <c r="AA288" s="2">
        <v>12.69</v>
      </c>
      <c r="AB288" s="2">
        <v>5.5359999999999996</v>
      </c>
      <c r="AC288" s="2">
        <v>0.70099999999999996</v>
      </c>
      <c r="AD288" s="2">
        <v>3.9940000000000002</v>
      </c>
      <c r="AE288" s="2">
        <v>-7.17</v>
      </c>
      <c r="AF288" s="2">
        <v>3.2090000000000001</v>
      </c>
      <c r="AG288" s="2">
        <v>-16.47</v>
      </c>
      <c r="AH288" s="2">
        <v>3.2090000000000001</v>
      </c>
      <c r="AI288" s="2">
        <v>-16.47</v>
      </c>
      <c r="AJ288" s="2" t="s">
        <v>113</v>
      </c>
      <c r="AK288" s="2" t="s">
        <v>113</v>
      </c>
      <c r="AL288" s="2">
        <v>-5.2030000000000003</v>
      </c>
      <c r="AM288" s="2">
        <v>6.8979999999999997</v>
      </c>
      <c r="AN288" s="2">
        <v>-15.22</v>
      </c>
      <c r="AO288" s="2"/>
      <c r="AR288" s="5">
        <v>13.55</v>
      </c>
      <c r="AS288" s="5">
        <v>12.69</v>
      </c>
      <c r="AT288" s="5">
        <v>5.53</v>
      </c>
      <c r="AU288" s="7">
        <f t="shared" si="166"/>
        <v>0.436</v>
      </c>
      <c r="AV288" s="16"/>
      <c r="AW288" s="29">
        <v>0</v>
      </c>
      <c r="AX288" s="29">
        <v>0</v>
      </c>
      <c r="AY288" s="1">
        <f t="shared" si="144"/>
        <v>96.1</v>
      </c>
      <c r="AZ288" s="1">
        <f t="shared" si="145"/>
        <v>69.900000000000006</v>
      </c>
      <c r="BA288" s="1">
        <f t="shared" si="146"/>
        <v>23.9</v>
      </c>
      <c r="BB288" s="8">
        <f t="shared" si="147"/>
        <v>0.2</v>
      </c>
      <c r="BC288" s="8">
        <f t="shared" si="148"/>
        <v>0.63700000000000001</v>
      </c>
      <c r="BE288" s="5">
        <f t="shared" si="155"/>
        <v>12.69</v>
      </c>
      <c r="BF288" s="5">
        <f t="shared" si="156"/>
        <v>5.53</v>
      </c>
      <c r="BG288" s="1">
        <f t="shared" si="149"/>
        <v>-4.9000000000000004</v>
      </c>
      <c r="BH288" s="1">
        <f t="shared" si="150"/>
        <v>4.4000000000000004</v>
      </c>
      <c r="BI288" s="1">
        <f t="shared" si="151"/>
        <v>-14</v>
      </c>
      <c r="BJ288" s="1">
        <f t="shared" si="157"/>
        <v>69.900000000000006</v>
      </c>
      <c r="BK288" s="1">
        <f t="shared" si="158"/>
        <v>23.9</v>
      </c>
      <c r="BL288" s="1">
        <f t="shared" si="167"/>
        <v>0.7</v>
      </c>
      <c r="BM288" s="1">
        <f t="shared" si="168"/>
        <v>4</v>
      </c>
      <c r="BN288" s="21">
        <f t="shared" si="159"/>
        <v>0</v>
      </c>
      <c r="BO288" s="7">
        <f t="shared" si="160"/>
        <v>0</v>
      </c>
      <c r="BP288" s="21" t="str">
        <f t="shared" si="154"/>
        <v>NAN</v>
      </c>
      <c r="BQ288" s="1">
        <f t="shared" si="161"/>
        <v>-7.2</v>
      </c>
      <c r="BR288" s="1">
        <f t="shared" si="162"/>
        <v>3.2</v>
      </c>
      <c r="BS288" s="1">
        <f t="shared" si="163"/>
        <v>-16.5</v>
      </c>
      <c r="BT288" s="1">
        <f t="shared" si="152"/>
        <v>0.3</v>
      </c>
      <c r="BU288" s="1" t="s">
        <v>113</v>
      </c>
      <c r="BV288" s="1">
        <f t="shared" si="153"/>
        <v>4.9000000000000004</v>
      </c>
      <c r="BW288" s="1" t="str">
        <f t="shared" si="169"/>
        <v>NAN</v>
      </c>
      <c r="BX288" s="1">
        <f t="shared" si="170"/>
        <v>0.2</v>
      </c>
      <c r="BY288" s="1">
        <f t="shared" si="171"/>
        <v>0.63700000000000001</v>
      </c>
      <c r="CA288" s="1">
        <f t="shared" si="164"/>
        <v>-1.2000000000000002</v>
      </c>
      <c r="CB288" s="1">
        <f t="shared" si="165"/>
        <v>-2.5</v>
      </c>
    </row>
    <row r="289" spans="1:80" x14ac:dyDescent="0.2">
      <c r="A289" s="9">
        <f t="shared" si="172"/>
        <v>43749</v>
      </c>
      <c r="B289" s="2">
        <v>284</v>
      </c>
      <c r="C289" s="2">
        <v>21</v>
      </c>
      <c r="D289" s="2">
        <v>13.11</v>
      </c>
      <c r="E289" s="2">
        <v>12.57</v>
      </c>
      <c r="F289" s="2">
        <v>-12.42</v>
      </c>
      <c r="G289" s="2">
        <v>-2.5670000000000002</v>
      </c>
      <c r="H289" s="2">
        <v>70.599999999999994</v>
      </c>
      <c r="I289" s="2">
        <v>-2.9750000000000001</v>
      </c>
      <c r="J289" s="2">
        <v>-3.4790000000000001</v>
      </c>
      <c r="K289" s="2">
        <v>0.11700000000000001</v>
      </c>
      <c r="L289" s="2">
        <v>4.5250000000000004</v>
      </c>
      <c r="M289" s="2">
        <v>5.1619999999999999</v>
      </c>
      <c r="N289" s="2">
        <v>99.3</v>
      </c>
      <c r="O289" s="2">
        <v>10.74</v>
      </c>
      <c r="P289" s="2">
        <v>12.36</v>
      </c>
      <c r="Q289" s="2">
        <v>0.56599999999999995</v>
      </c>
      <c r="R289" s="2">
        <v>4.9889999999999999</v>
      </c>
      <c r="S289" s="2">
        <v>-10.97</v>
      </c>
      <c r="T289" s="2">
        <v>40.35</v>
      </c>
      <c r="U289" s="2">
        <v>-13.56</v>
      </c>
      <c r="V289" s="2">
        <v>-13.31</v>
      </c>
      <c r="W289" s="2">
        <v>-0.28199999999999997</v>
      </c>
      <c r="X289" s="2">
        <v>4.1390000000000002</v>
      </c>
      <c r="Y289" s="2">
        <v>2.347</v>
      </c>
      <c r="Z289" s="2">
        <v>0</v>
      </c>
      <c r="AA289" s="2">
        <v>12.5</v>
      </c>
      <c r="AB289" s="2">
        <v>3.6779999999999999</v>
      </c>
      <c r="AC289" s="2">
        <v>1.2509999999999999</v>
      </c>
      <c r="AD289" s="2">
        <v>4.82</v>
      </c>
      <c r="AE289" s="2">
        <v>-4.3710000000000004</v>
      </c>
      <c r="AF289" s="2">
        <v>5.6379999999999999</v>
      </c>
      <c r="AG289" s="2">
        <v>-12.78</v>
      </c>
      <c r="AH289" s="2">
        <v>5.6379999999999999</v>
      </c>
      <c r="AI289" s="2">
        <v>-12.78</v>
      </c>
      <c r="AJ289" s="2" t="s">
        <v>113</v>
      </c>
      <c r="AK289" s="2" t="s">
        <v>113</v>
      </c>
      <c r="AL289" s="2">
        <v>-2.464</v>
      </c>
      <c r="AM289" s="2">
        <v>8.11</v>
      </c>
      <c r="AN289" s="2">
        <v>-11.84</v>
      </c>
      <c r="AO289" s="2"/>
      <c r="AR289" s="5">
        <v>13.32</v>
      </c>
      <c r="AS289" s="5">
        <v>12.5</v>
      </c>
      <c r="AT289" s="5">
        <v>3.68</v>
      </c>
      <c r="AU289" s="7">
        <f t="shared" si="166"/>
        <v>0.29399999999999998</v>
      </c>
      <c r="AV289" s="16"/>
      <c r="AW289" s="29">
        <v>0</v>
      </c>
      <c r="AX289" s="29">
        <v>0</v>
      </c>
      <c r="AY289" s="1">
        <f t="shared" si="144"/>
        <v>95.8</v>
      </c>
      <c r="AZ289" s="1">
        <f t="shared" si="145"/>
        <v>68</v>
      </c>
      <c r="BA289" s="1">
        <f t="shared" si="146"/>
        <v>38.6</v>
      </c>
      <c r="BB289" s="8">
        <f t="shared" si="147"/>
        <v>0.34</v>
      </c>
      <c r="BC289" s="8">
        <f t="shared" si="148"/>
        <v>0.54100000000000004</v>
      </c>
      <c r="BE289" s="5">
        <f t="shared" si="155"/>
        <v>12.5</v>
      </c>
      <c r="BF289" s="5">
        <f t="shared" si="156"/>
        <v>3.68</v>
      </c>
      <c r="BG289" s="1">
        <f t="shared" si="149"/>
        <v>-2.6</v>
      </c>
      <c r="BH289" s="1">
        <f t="shared" si="150"/>
        <v>5.2</v>
      </c>
      <c r="BI289" s="1">
        <f t="shared" si="151"/>
        <v>-11</v>
      </c>
      <c r="BJ289" s="1">
        <f t="shared" si="157"/>
        <v>68</v>
      </c>
      <c r="BK289" s="1">
        <f t="shared" si="158"/>
        <v>38.6</v>
      </c>
      <c r="BL289" s="1">
        <f t="shared" si="167"/>
        <v>1.3</v>
      </c>
      <c r="BM289" s="1">
        <f t="shared" si="168"/>
        <v>4.8</v>
      </c>
      <c r="BN289" s="21">
        <f t="shared" si="159"/>
        <v>0</v>
      </c>
      <c r="BO289" s="7">
        <f t="shared" si="160"/>
        <v>0</v>
      </c>
      <c r="BP289" s="21" t="str">
        <f t="shared" si="154"/>
        <v>NAN</v>
      </c>
      <c r="BQ289" s="1">
        <f t="shared" si="161"/>
        <v>-4.4000000000000004</v>
      </c>
      <c r="BR289" s="1">
        <f t="shared" si="162"/>
        <v>5.6</v>
      </c>
      <c r="BS289" s="1">
        <f t="shared" si="163"/>
        <v>-12.8</v>
      </c>
      <c r="BT289" s="1">
        <f t="shared" si="152"/>
        <v>0.1</v>
      </c>
      <c r="BU289" s="1" t="s">
        <v>113</v>
      </c>
      <c r="BV289" s="1">
        <f t="shared" si="153"/>
        <v>4.5</v>
      </c>
      <c r="BW289" s="1" t="str">
        <f t="shared" si="169"/>
        <v>NAN</v>
      </c>
      <c r="BX289" s="1">
        <f t="shared" si="170"/>
        <v>0.34</v>
      </c>
      <c r="BY289" s="1">
        <f t="shared" si="171"/>
        <v>0.54100000000000004</v>
      </c>
      <c r="CA289" s="1">
        <f t="shared" si="164"/>
        <v>0.39999999999999947</v>
      </c>
      <c r="CB289" s="1">
        <f t="shared" si="165"/>
        <v>-1.8000000000000007</v>
      </c>
    </row>
    <row r="290" spans="1:80" x14ac:dyDescent="0.2">
      <c r="A290" s="9">
        <f t="shared" si="172"/>
        <v>43750</v>
      </c>
      <c r="B290" s="2">
        <v>285</v>
      </c>
      <c r="C290" s="2">
        <v>21</v>
      </c>
      <c r="D290" s="2">
        <v>13.14</v>
      </c>
      <c r="E290" s="2">
        <v>12.18</v>
      </c>
      <c r="F290" s="2">
        <v>-7.22</v>
      </c>
      <c r="G290" s="2">
        <v>0.13700000000000001</v>
      </c>
      <c r="H290" s="2">
        <v>68.86</v>
      </c>
      <c r="I290" s="2">
        <v>-0.23200000000000001</v>
      </c>
      <c r="J290" s="2">
        <v>-0.64100000000000001</v>
      </c>
      <c r="K290" s="2">
        <v>0.36299999999999999</v>
      </c>
      <c r="L290" s="2">
        <v>4.306</v>
      </c>
      <c r="M290" s="2">
        <v>6.0869999999999997</v>
      </c>
      <c r="N290" s="2">
        <v>91.3</v>
      </c>
      <c r="O290" s="2">
        <v>10.4</v>
      </c>
      <c r="P290" s="2">
        <v>11.9</v>
      </c>
      <c r="Q290" s="2">
        <v>0.872</v>
      </c>
      <c r="R290" s="2">
        <v>4.633</v>
      </c>
      <c r="S290" s="2">
        <v>-5.9470000000000001</v>
      </c>
      <c r="T290" s="2">
        <v>39.11</v>
      </c>
      <c r="U290" s="2">
        <v>-8.32</v>
      </c>
      <c r="V290" s="2">
        <v>-8.99</v>
      </c>
      <c r="W290" s="2">
        <v>-4.1000000000000002E-2</v>
      </c>
      <c r="X290" s="2">
        <v>4.13</v>
      </c>
      <c r="Y290" s="2">
        <v>2.3439999999999999</v>
      </c>
      <c r="Z290" s="2">
        <v>0</v>
      </c>
      <c r="AA290" s="2">
        <v>8.2100000000000009</v>
      </c>
      <c r="AB290" s="2">
        <v>1.8640000000000001</v>
      </c>
      <c r="AC290" s="2">
        <v>0.93500000000000005</v>
      </c>
      <c r="AD290" s="2">
        <v>3.6739999999999999</v>
      </c>
      <c r="AE290" s="2">
        <v>-1.1000000000000001</v>
      </c>
      <c r="AF290" s="2">
        <v>7.16</v>
      </c>
      <c r="AG290" s="2">
        <v>-7.83</v>
      </c>
      <c r="AH290" s="2">
        <v>7.16</v>
      </c>
      <c r="AI290" s="2">
        <v>-7.83</v>
      </c>
      <c r="AJ290" s="2" t="s">
        <v>113</v>
      </c>
      <c r="AK290" s="2" t="s">
        <v>113</v>
      </c>
      <c r="AL290" s="2">
        <v>0.22600000000000001</v>
      </c>
      <c r="AM290" s="2">
        <v>7.8</v>
      </c>
      <c r="AN290" s="2">
        <v>-6.2770000000000001</v>
      </c>
      <c r="AO290" s="2"/>
      <c r="AR290" s="5">
        <v>13.09</v>
      </c>
      <c r="AS290" s="5">
        <v>8.2100000000000009</v>
      </c>
      <c r="AT290" s="5">
        <v>1.86</v>
      </c>
      <c r="AU290" s="7">
        <f t="shared" si="166"/>
        <v>0.22700000000000001</v>
      </c>
      <c r="AV290" s="16"/>
      <c r="AW290" s="29">
        <v>0</v>
      </c>
      <c r="AX290" s="29">
        <v>0</v>
      </c>
      <c r="AY290" s="1">
        <f t="shared" si="144"/>
        <v>88.1</v>
      </c>
      <c r="AZ290" s="1">
        <f t="shared" si="145"/>
        <v>66.3</v>
      </c>
      <c r="BA290" s="1">
        <f t="shared" si="146"/>
        <v>37.4</v>
      </c>
      <c r="BB290" s="8">
        <f t="shared" si="147"/>
        <v>0.35199999999999998</v>
      </c>
      <c r="BC290" s="8">
        <f t="shared" si="148"/>
        <v>0.58899999999999997</v>
      </c>
      <c r="BE290" s="5">
        <f t="shared" si="155"/>
        <v>8.2100000000000009</v>
      </c>
      <c r="BF290" s="5">
        <f t="shared" si="156"/>
        <v>1.86</v>
      </c>
      <c r="BG290" s="1">
        <f t="shared" ref="BG290:BG321" si="173">ROUND(G290,1)</f>
        <v>0.1</v>
      </c>
      <c r="BH290" s="1">
        <f t="shared" ref="BH290:BH321" si="174">ROUND(M290,1)</f>
        <v>6.1</v>
      </c>
      <c r="BI290" s="1">
        <f t="shared" ref="BI290:BI321" si="175">ROUND(S290,1)</f>
        <v>-5.9</v>
      </c>
      <c r="BJ290" s="1">
        <f t="shared" si="157"/>
        <v>66.3</v>
      </c>
      <c r="BK290" s="1">
        <f t="shared" si="158"/>
        <v>37.4</v>
      </c>
      <c r="BL290" s="1">
        <f t="shared" si="167"/>
        <v>0.9</v>
      </c>
      <c r="BM290" s="1">
        <f t="shared" si="168"/>
        <v>3.7</v>
      </c>
      <c r="BN290" s="21">
        <f t="shared" si="159"/>
        <v>0</v>
      </c>
      <c r="BO290" s="7">
        <f t="shared" si="160"/>
        <v>0</v>
      </c>
      <c r="BP290" s="21" t="str">
        <f t="shared" si="154"/>
        <v>NAN</v>
      </c>
      <c r="BQ290" s="1">
        <f t="shared" si="161"/>
        <v>-1.1000000000000001</v>
      </c>
      <c r="BR290" s="1">
        <f t="shared" si="162"/>
        <v>7.2</v>
      </c>
      <c r="BS290" s="1">
        <f t="shared" si="163"/>
        <v>-7.8</v>
      </c>
      <c r="BT290" s="1">
        <f t="shared" ref="BT290:BT321" si="176">ROUND(K290,1)</f>
        <v>0.4</v>
      </c>
      <c r="BU290" s="1" t="s">
        <v>113</v>
      </c>
      <c r="BV290" s="1">
        <f t="shared" ref="BV290:BV321" si="177">ROUND(L290,1)</f>
        <v>4.3</v>
      </c>
      <c r="BW290" s="1" t="str">
        <f t="shared" si="169"/>
        <v>NAN</v>
      </c>
      <c r="BX290" s="1">
        <f t="shared" si="170"/>
        <v>0.35199999999999998</v>
      </c>
      <c r="BY290" s="1">
        <f t="shared" si="171"/>
        <v>0.58899999999999997</v>
      </c>
      <c r="CA290" s="1">
        <f t="shared" si="164"/>
        <v>1.1000000000000005</v>
      </c>
      <c r="CB290" s="1">
        <f t="shared" si="165"/>
        <v>-1.8999999999999995</v>
      </c>
    </row>
    <row r="291" spans="1:80" x14ac:dyDescent="0.2">
      <c r="A291" s="9">
        <f t="shared" si="172"/>
        <v>43751</v>
      </c>
      <c r="B291" s="2">
        <v>286</v>
      </c>
      <c r="C291" s="2">
        <v>21</v>
      </c>
      <c r="D291" s="2">
        <v>13.13</v>
      </c>
      <c r="E291" s="2">
        <v>3.2120000000000002</v>
      </c>
      <c r="F291" s="2">
        <v>-0.53200000000000003</v>
      </c>
      <c r="G291" s="2">
        <v>0.45</v>
      </c>
      <c r="H291" s="2">
        <v>98</v>
      </c>
      <c r="I291" s="2">
        <v>0.14099999999999999</v>
      </c>
      <c r="J291" s="2">
        <v>0.112</v>
      </c>
      <c r="K291" s="2">
        <v>0.629</v>
      </c>
      <c r="L291" s="2">
        <v>4.093</v>
      </c>
      <c r="M291" s="2">
        <v>1.98</v>
      </c>
      <c r="N291" s="2">
        <v>101.5</v>
      </c>
      <c r="O291" s="2">
        <v>3.0649999999999999</v>
      </c>
      <c r="P291" s="2">
        <v>4.0970000000000004</v>
      </c>
      <c r="Q291" s="2">
        <v>1.2</v>
      </c>
      <c r="R291" s="2">
        <v>4.2009999999999996</v>
      </c>
      <c r="S291" s="2">
        <v>-0.93600000000000005</v>
      </c>
      <c r="T291" s="2">
        <v>75.599999999999994</v>
      </c>
      <c r="U291" s="2">
        <v>-1.3080000000000001</v>
      </c>
      <c r="V291" s="2">
        <v>-1.288</v>
      </c>
      <c r="W291" s="2">
        <v>0.315</v>
      </c>
      <c r="X291" s="2">
        <v>3.9809999999999999</v>
      </c>
      <c r="Y291" s="2">
        <v>2.3820000000000001</v>
      </c>
      <c r="Z291" s="2">
        <v>3.048</v>
      </c>
      <c r="AA291" s="2">
        <v>2.145</v>
      </c>
      <c r="AB291" s="2">
        <v>1.0580000000000001</v>
      </c>
      <c r="AC291" s="2">
        <v>0.65400000000000003</v>
      </c>
      <c r="AD291" s="2">
        <v>3.754</v>
      </c>
      <c r="AE291" s="2">
        <v>8.2000000000000003E-2</v>
      </c>
      <c r="AF291" s="2">
        <v>2.1019999999999999</v>
      </c>
      <c r="AG291" s="2">
        <v>-0.93600000000000005</v>
      </c>
      <c r="AH291" s="2">
        <v>2.1019999999999999</v>
      </c>
      <c r="AI291" s="2">
        <v>-0.93600000000000005</v>
      </c>
      <c r="AJ291" s="2" t="s">
        <v>113</v>
      </c>
      <c r="AK291" s="2" t="s">
        <v>113</v>
      </c>
      <c r="AL291" s="2">
        <v>0.497</v>
      </c>
      <c r="AM291" s="2">
        <v>2.5710000000000002</v>
      </c>
      <c r="AN291" s="2">
        <v>-0.94499999999999995</v>
      </c>
      <c r="AO291" s="2"/>
      <c r="AR291" s="5">
        <v>12.87</v>
      </c>
      <c r="AS291" s="5">
        <v>2.23</v>
      </c>
      <c r="AT291" s="5">
        <v>1.06</v>
      </c>
      <c r="AU291" s="7">
        <f t="shared" si="166"/>
        <v>0.47499999999999998</v>
      </c>
      <c r="AV291" s="16"/>
      <c r="AW291" s="29">
        <v>4</v>
      </c>
      <c r="AX291" s="29">
        <v>0</v>
      </c>
      <c r="AY291" s="1">
        <f t="shared" si="144"/>
        <v>98</v>
      </c>
      <c r="AZ291" s="1">
        <f t="shared" si="145"/>
        <v>94.6</v>
      </c>
      <c r="BA291" s="1">
        <f t="shared" si="146"/>
        <v>72.8</v>
      </c>
      <c r="BB291" s="8">
        <f t="shared" si="147"/>
        <v>0.51300000000000001</v>
      </c>
      <c r="BC291" s="8">
        <f t="shared" si="148"/>
        <v>0.192</v>
      </c>
      <c r="BE291" s="5">
        <f t="shared" si="155"/>
        <v>2.23</v>
      </c>
      <c r="BF291" s="5">
        <f t="shared" si="156"/>
        <v>1.06</v>
      </c>
      <c r="BG291" s="1">
        <f t="shared" si="173"/>
        <v>0.5</v>
      </c>
      <c r="BH291" s="1">
        <f t="shared" si="174"/>
        <v>2</v>
      </c>
      <c r="BI291" s="1">
        <f t="shared" si="175"/>
        <v>-0.9</v>
      </c>
      <c r="BJ291" s="1">
        <f t="shared" si="157"/>
        <v>94.6</v>
      </c>
      <c r="BK291" s="1">
        <f t="shared" si="158"/>
        <v>72.8</v>
      </c>
      <c r="BL291" s="1">
        <f t="shared" si="167"/>
        <v>0.7</v>
      </c>
      <c r="BM291" s="1">
        <f t="shared" si="168"/>
        <v>3.8</v>
      </c>
      <c r="BN291" s="21">
        <f t="shared" si="159"/>
        <v>4</v>
      </c>
      <c r="BO291" s="7">
        <f t="shared" si="160"/>
        <v>0</v>
      </c>
      <c r="BP291" s="21" t="str">
        <f t="shared" si="154"/>
        <v>NAN</v>
      </c>
      <c r="BQ291" s="1">
        <f t="shared" si="161"/>
        <v>0.1</v>
      </c>
      <c r="BR291" s="1">
        <f t="shared" si="162"/>
        <v>2.1</v>
      </c>
      <c r="BS291" s="1">
        <f t="shared" si="163"/>
        <v>-0.9</v>
      </c>
      <c r="BT291" s="1">
        <f t="shared" si="176"/>
        <v>0.6</v>
      </c>
      <c r="BU291" s="1" t="s">
        <v>113</v>
      </c>
      <c r="BV291" s="1">
        <f t="shared" si="177"/>
        <v>4.0999999999999996</v>
      </c>
      <c r="BW291" s="1" t="str">
        <f t="shared" si="169"/>
        <v>NAN</v>
      </c>
      <c r="BX291" s="1">
        <f t="shared" si="170"/>
        <v>0.51300000000000001</v>
      </c>
      <c r="BY291" s="1">
        <f t="shared" si="171"/>
        <v>0.192</v>
      </c>
      <c r="CA291" s="1">
        <f t="shared" si="164"/>
        <v>0.10000000000000009</v>
      </c>
      <c r="CB291" s="1">
        <f t="shared" si="165"/>
        <v>0</v>
      </c>
    </row>
    <row r="292" spans="1:80" x14ac:dyDescent="0.2">
      <c r="A292" s="9">
        <f t="shared" si="172"/>
        <v>43752</v>
      </c>
      <c r="B292" s="2">
        <v>287</v>
      </c>
      <c r="C292" s="2">
        <v>21</v>
      </c>
      <c r="D292" s="2">
        <v>13.12</v>
      </c>
      <c r="E292" s="2">
        <v>14.36</v>
      </c>
      <c r="F292" s="2">
        <v>-3.7450000000000001</v>
      </c>
      <c r="G292" s="2">
        <v>0.45500000000000002</v>
      </c>
      <c r="H292" s="2">
        <v>89.9</v>
      </c>
      <c r="I292" s="2">
        <v>0.42199999999999999</v>
      </c>
      <c r="J292" s="2">
        <v>-0.19600000000000001</v>
      </c>
      <c r="K292" s="2">
        <v>2.1429999999999998</v>
      </c>
      <c r="L292" s="2">
        <v>3.9990000000000001</v>
      </c>
      <c r="M292" s="2">
        <v>6.5419999999999998</v>
      </c>
      <c r="N292" s="2">
        <v>101.9</v>
      </c>
      <c r="O292" s="2">
        <v>12.87</v>
      </c>
      <c r="P292" s="2">
        <v>14.25</v>
      </c>
      <c r="Q292" s="2">
        <v>5.1390000000000002</v>
      </c>
      <c r="R292" s="2">
        <v>4.49</v>
      </c>
      <c r="S292" s="2">
        <v>-3.399</v>
      </c>
      <c r="T292" s="2">
        <v>52.24</v>
      </c>
      <c r="U292" s="2">
        <v>-5.56</v>
      </c>
      <c r="V292" s="2">
        <v>-8.01</v>
      </c>
      <c r="W292" s="2">
        <v>0.254</v>
      </c>
      <c r="X292" s="2">
        <v>3.6120000000000001</v>
      </c>
      <c r="Y292" s="2">
        <v>2.3340000000000001</v>
      </c>
      <c r="Z292" s="2">
        <v>1.778</v>
      </c>
      <c r="AA292" s="2">
        <v>9.3000000000000007</v>
      </c>
      <c r="AB292" s="2">
        <v>2.6539999999999999</v>
      </c>
      <c r="AC292" s="2">
        <v>0.52600000000000002</v>
      </c>
      <c r="AD292" s="2">
        <v>3.4870000000000001</v>
      </c>
      <c r="AE292" s="2">
        <v>0.16500000000000001</v>
      </c>
      <c r="AF292" s="2">
        <v>10.01</v>
      </c>
      <c r="AG292" s="2">
        <v>-6.181</v>
      </c>
      <c r="AH292" s="2">
        <v>10.01</v>
      </c>
      <c r="AI292" s="2">
        <v>-6.181</v>
      </c>
      <c r="AJ292" s="2" t="s">
        <v>113</v>
      </c>
      <c r="AK292" s="2" t="s">
        <v>113</v>
      </c>
      <c r="AL292" s="2">
        <v>0.69899999999999995</v>
      </c>
      <c r="AM292" s="2">
        <v>8.77</v>
      </c>
      <c r="AN292" s="2">
        <v>-4.0049999999999999</v>
      </c>
      <c r="AO292" s="2"/>
      <c r="AR292" s="5">
        <v>12.65</v>
      </c>
      <c r="AS292" s="5">
        <v>9.3000000000000007</v>
      </c>
      <c r="AT292" s="5">
        <v>2.65</v>
      </c>
      <c r="AU292" s="7">
        <f t="shared" si="166"/>
        <v>0.28499999999999998</v>
      </c>
      <c r="AV292" s="16"/>
      <c r="AW292" s="29">
        <v>0</v>
      </c>
      <c r="AX292" s="29">
        <v>0</v>
      </c>
      <c r="AY292" s="1">
        <f t="shared" si="144"/>
        <v>98.3</v>
      </c>
      <c r="AZ292" s="1">
        <f t="shared" si="145"/>
        <v>86.7</v>
      </c>
      <c r="BA292" s="1">
        <f t="shared" si="146"/>
        <v>50.2</v>
      </c>
      <c r="BB292" s="8">
        <f t="shared" si="147"/>
        <v>0.48699999999999999</v>
      </c>
      <c r="BC292" s="8">
        <f t="shared" si="148"/>
        <v>0.48299999999999998</v>
      </c>
      <c r="BE292" s="5">
        <f t="shared" si="155"/>
        <v>9.3000000000000007</v>
      </c>
      <c r="BF292" s="5">
        <f t="shared" si="156"/>
        <v>2.65</v>
      </c>
      <c r="BG292" s="1">
        <f t="shared" si="173"/>
        <v>0.5</v>
      </c>
      <c r="BH292" s="1">
        <f t="shared" si="174"/>
        <v>6.5</v>
      </c>
      <c r="BI292" s="1">
        <f t="shared" si="175"/>
        <v>-3.4</v>
      </c>
      <c r="BJ292" s="1">
        <f t="shared" si="157"/>
        <v>86.7</v>
      </c>
      <c r="BK292" s="1">
        <f t="shared" si="158"/>
        <v>50.2</v>
      </c>
      <c r="BL292" s="1">
        <f t="shared" si="167"/>
        <v>0.5</v>
      </c>
      <c r="BM292" s="1">
        <f t="shared" si="168"/>
        <v>3.5</v>
      </c>
      <c r="BN292" s="21">
        <f t="shared" si="159"/>
        <v>0</v>
      </c>
      <c r="BO292" s="7">
        <f t="shared" si="160"/>
        <v>0</v>
      </c>
      <c r="BP292" s="21" t="str">
        <f t="shared" si="154"/>
        <v>NAN</v>
      </c>
      <c r="BQ292" s="1">
        <f t="shared" si="161"/>
        <v>0.2</v>
      </c>
      <c r="BR292" s="1">
        <f t="shared" si="162"/>
        <v>10</v>
      </c>
      <c r="BS292" s="1">
        <f t="shared" si="163"/>
        <v>-6.2</v>
      </c>
      <c r="BT292" s="1">
        <f t="shared" si="176"/>
        <v>2.1</v>
      </c>
      <c r="BU292" s="1" t="s">
        <v>113</v>
      </c>
      <c r="BV292" s="1">
        <f t="shared" si="177"/>
        <v>4</v>
      </c>
      <c r="BW292" s="1" t="str">
        <f t="shared" si="169"/>
        <v>NAN</v>
      </c>
      <c r="BX292" s="1">
        <f t="shared" si="170"/>
        <v>0.48699999999999999</v>
      </c>
      <c r="BY292" s="1">
        <f t="shared" si="171"/>
        <v>0.48299999999999998</v>
      </c>
      <c r="CA292" s="1">
        <f t="shared" si="164"/>
        <v>3.5</v>
      </c>
      <c r="CB292" s="1">
        <f t="shared" si="165"/>
        <v>-2.8000000000000003</v>
      </c>
    </row>
    <row r="293" spans="1:80" x14ac:dyDescent="0.2">
      <c r="A293" s="9">
        <f t="shared" si="172"/>
        <v>43753</v>
      </c>
      <c r="B293" s="2">
        <v>288</v>
      </c>
      <c r="C293" s="2">
        <v>21</v>
      </c>
      <c r="D293" s="2">
        <v>13.15</v>
      </c>
      <c r="E293" s="2">
        <v>4.9480000000000004</v>
      </c>
      <c r="F293" s="2">
        <v>-3.4950000000000001</v>
      </c>
      <c r="G293" s="2">
        <v>1.044</v>
      </c>
      <c r="H293" s="2">
        <v>86.1</v>
      </c>
      <c r="I293" s="2">
        <v>0.45300000000000001</v>
      </c>
      <c r="J293" s="2">
        <v>-9.4E-2</v>
      </c>
      <c r="K293" s="2">
        <v>1.323</v>
      </c>
      <c r="L293" s="2">
        <v>4.0389999999999997</v>
      </c>
      <c r="M293" s="2">
        <v>2.907</v>
      </c>
      <c r="N293" s="2">
        <v>99.8</v>
      </c>
      <c r="O293" s="2">
        <v>4.8019999999999996</v>
      </c>
      <c r="P293" s="2">
        <v>5.4829999999999997</v>
      </c>
      <c r="Q293" s="2">
        <v>2.431</v>
      </c>
      <c r="R293" s="2">
        <v>4.3390000000000004</v>
      </c>
      <c r="S293" s="2">
        <v>-2.6240000000000001</v>
      </c>
      <c r="T293" s="2">
        <v>76.099999999999994</v>
      </c>
      <c r="U293" s="2">
        <v>-4.4169999999999998</v>
      </c>
      <c r="V293" s="2">
        <v>-5.6920000000000002</v>
      </c>
      <c r="W293" s="2">
        <v>0.63400000000000001</v>
      </c>
      <c r="X293" s="2">
        <v>3.9129999999999998</v>
      </c>
      <c r="Y293" s="2">
        <v>2.367</v>
      </c>
      <c r="Z293" s="2">
        <v>0</v>
      </c>
      <c r="AA293" s="2">
        <v>4.3090000000000002</v>
      </c>
      <c r="AB293" s="2">
        <v>0.80400000000000005</v>
      </c>
      <c r="AC293" s="2">
        <v>1.87</v>
      </c>
      <c r="AD293" s="2">
        <v>5.4340000000000002</v>
      </c>
      <c r="AE293" s="2">
        <v>-6.3E-2</v>
      </c>
      <c r="AF293" s="2">
        <v>3.879</v>
      </c>
      <c r="AG293" s="2">
        <v>-3.7250000000000001</v>
      </c>
      <c r="AH293" s="2">
        <v>3.879</v>
      </c>
      <c r="AI293" s="2">
        <v>-3.7250000000000001</v>
      </c>
      <c r="AJ293" s="2" t="s">
        <v>113</v>
      </c>
      <c r="AK293" s="2" t="s">
        <v>113</v>
      </c>
      <c r="AL293" s="2">
        <v>0.82199999999999995</v>
      </c>
      <c r="AM293" s="2">
        <v>3.395</v>
      </c>
      <c r="AN293" s="2">
        <v>-3.1339999999999999</v>
      </c>
      <c r="AO293" s="2"/>
      <c r="AR293" s="5">
        <v>12.43</v>
      </c>
      <c r="AS293" s="5">
        <v>4.3099999999999996</v>
      </c>
      <c r="AT293" s="5">
        <v>0.8</v>
      </c>
      <c r="AU293" s="7">
        <f t="shared" si="166"/>
        <v>0.186</v>
      </c>
      <c r="AV293" s="16"/>
      <c r="AW293" s="29">
        <v>0</v>
      </c>
      <c r="AX293" s="29">
        <v>0</v>
      </c>
      <c r="AY293" s="1">
        <f t="shared" si="144"/>
        <v>96.3</v>
      </c>
      <c r="AZ293" s="1">
        <f t="shared" si="145"/>
        <v>83</v>
      </c>
      <c r="BA293" s="1">
        <f t="shared" si="146"/>
        <v>73.3</v>
      </c>
      <c r="BB293" s="8">
        <f t="shared" si="147"/>
        <v>0.55200000000000005</v>
      </c>
      <c r="BC293" s="8">
        <f t="shared" si="148"/>
        <v>0.20100000000000001</v>
      </c>
      <c r="BE293" s="5">
        <f t="shared" si="155"/>
        <v>4.3099999999999996</v>
      </c>
      <c r="BF293" s="5">
        <f t="shared" si="156"/>
        <v>0.8</v>
      </c>
      <c r="BG293" s="1">
        <f t="shared" si="173"/>
        <v>1</v>
      </c>
      <c r="BH293" s="1">
        <f t="shared" si="174"/>
        <v>2.9</v>
      </c>
      <c r="BI293" s="1">
        <f t="shared" si="175"/>
        <v>-2.6</v>
      </c>
      <c r="BJ293" s="1">
        <f t="shared" si="157"/>
        <v>83</v>
      </c>
      <c r="BK293" s="1">
        <f t="shared" si="158"/>
        <v>73.3</v>
      </c>
      <c r="BL293" s="1">
        <f t="shared" si="167"/>
        <v>1.9</v>
      </c>
      <c r="BM293" s="1">
        <f t="shared" si="168"/>
        <v>5.4</v>
      </c>
      <c r="BN293" s="21">
        <f t="shared" si="159"/>
        <v>0</v>
      </c>
      <c r="BO293" s="7">
        <f t="shared" si="160"/>
        <v>0</v>
      </c>
      <c r="BP293" s="21" t="str">
        <f t="shared" si="154"/>
        <v>NAN</v>
      </c>
      <c r="BQ293" s="1">
        <f t="shared" si="161"/>
        <v>-0.1</v>
      </c>
      <c r="BR293" s="1">
        <f t="shared" si="162"/>
        <v>3.9</v>
      </c>
      <c r="BS293" s="1">
        <f t="shared" si="163"/>
        <v>-3.7</v>
      </c>
      <c r="BT293" s="1">
        <f t="shared" si="176"/>
        <v>1.3</v>
      </c>
      <c r="BU293" s="1" t="s">
        <v>113</v>
      </c>
      <c r="BV293" s="1">
        <f t="shared" si="177"/>
        <v>4</v>
      </c>
      <c r="BW293" s="1" t="str">
        <f t="shared" si="169"/>
        <v>NAN</v>
      </c>
      <c r="BX293" s="1">
        <f t="shared" si="170"/>
        <v>0.55200000000000005</v>
      </c>
      <c r="BY293" s="1">
        <f t="shared" si="171"/>
        <v>0.20100000000000001</v>
      </c>
      <c r="CA293" s="1">
        <f t="shared" si="164"/>
        <v>1</v>
      </c>
      <c r="CB293" s="1">
        <f t="shared" si="165"/>
        <v>-1.1000000000000001</v>
      </c>
    </row>
    <row r="294" spans="1:80" x14ac:dyDescent="0.2">
      <c r="A294" s="9">
        <f t="shared" si="172"/>
        <v>43754</v>
      </c>
      <c r="B294" s="2">
        <v>289</v>
      </c>
      <c r="C294" s="2">
        <v>21</v>
      </c>
      <c r="D294" s="2">
        <v>13.14</v>
      </c>
      <c r="E294" s="2">
        <v>11.71</v>
      </c>
      <c r="F294" s="2">
        <v>0.435</v>
      </c>
      <c r="G294" s="2">
        <v>3.9049999999999998</v>
      </c>
      <c r="H294" s="2">
        <v>81</v>
      </c>
      <c r="I294" s="2">
        <v>3.5939999999999999</v>
      </c>
      <c r="J294" s="2">
        <v>3.3439999999999999</v>
      </c>
      <c r="K294" s="2">
        <v>2.8010000000000002</v>
      </c>
      <c r="L294" s="2">
        <v>4.0540000000000003</v>
      </c>
      <c r="M294" s="2">
        <v>8.52</v>
      </c>
      <c r="N294" s="2">
        <v>101.3</v>
      </c>
      <c r="O294" s="2">
        <v>11.57</v>
      </c>
      <c r="P294" s="2">
        <v>12.84</v>
      </c>
      <c r="Q294" s="2">
        <v>4.9390000000000001</v>
      </c>
      <c r="R294" s="2">
        <v>4.4249999999999998</v>
      </c>
      <c r="S294" s="2">
        <v>1.173</v>
      </c>
      <c r="T294" s="2">
        <v>55.69</v>
      </c>
      <c r="U294" s="2">
        <v>0.185</v>
      </c>
      <c r="V294" s="2">
        <v>-1.3640000000000001</v>
      </c>
      <c r="W294" s="2">
        <v>0.82499999999999996</v>
      </c>
      <c r="X294" s="2">
        <v>3.9540000000000002</v>
      </c>
      <c r="Y294" s="2">
        <v>2.657</v>
      </c>
      <c r="Z294" s="2">
        <v>0.50800000000000001</v>
      </c>
      <c r="AA294" s="2">
        <v>4.7539999999999996</v>
      </c>
      <c r="AB294" s="2">
        <v>0.94699999999999995</v>
      </c>
      <c r="AC294" s="2">
        <v>1.86</v>
      </c>
      <c r="AD294" s="2">
        <v>7.06</v>
      </c>
      <c r="AE294" s="2">
        <v>2.681</v>
      </c>
      <c r="AF294" s="2">
        <v>9.3800000000000008</v>
      </c>
      <c r="AG294" s="2">
        <v>-0.85399999999999998</v>
      </c>
      <c r="AH294" s="2">
        <v>9.3800000000000008</v>
      </c>
      <c r="AI294" s="2">
        <v>-0.85399999999999998</v>
      </c>
      <c r="AJ294" s="2" t="s">
        <v>113</v>
      </c>
      <c r="AK294" s="2" t="s">
        <v>113</v>
      </c>
      <c r="AL294" s="2">
        <v>3.8069999999999999</v>
      </c>
      <c r="AM294" s="2">
        <v>8.2899999999999991</v>
      </c>
      <c r="AN294" s="2">
        <v>1.105</v>
      </c>
      <c r="AO294" s="2"/>
      <c r="AR294" s="5">
        <v>12.21</v>
      </c>
      <c r="AS294" s="5">
        <v>4.75</v>
      </c>
      <c r="AT294" s="5">
        <v>0.95</v>
      </c>
      <c r="AU294" s="7">
        <f t="shared" si="166"/>
        <v>0.2</v>
      </c>
      <c r="AV294" s="16"/>
      <c r="AW294" s="29">
        <v>0.50800000000000001</v>
      </c>
      <c r="AX294" s="29">
        <v>0</v>
      </c>
      <c r="AY294" s="1">
        <f t="shared" si="144"/>
        <v>97.8</v>
      </c>
      <c r="AZ294" s="1">
        <f t="shared" si="145"/>
        <v>78.099999999999994</v>
      </c>
      <c r="BA294" s="1">
        <f t="shared" si="146"/>
        <v>53.5</v>
      </c>
      <c r="BB294" s="8">
        <f t="shared" si="147"/>
        <v>0.59399999999999997</v>
      </c>
      <c r="BC294" s="8">
        <f t="shared" si="148"/>
        <v>0.51600000000000001</v>
      </c>
      <c r="BE294" s="5">
        <f t="shared" si="155"/>
        <v>4.75</v>
      </c>
      <c r="BF294" s="5">
        <f t="shared" si="156"/>
        <v>0.95</v>
      </c>
      <c r="BG294" s="1">
        <f t="shared" si="173"/>
        <v>3.9</v>
      </c>
      <c r="BH294" s="1">
        <f t="shared" si="174"/>
        <v>8.5</v>
      </c>
      <c r="BI294" s="1">
        <f t="shared" si="175"/>
        <v>1.2</v>
      </c>
      <c r="BJ294" s="1">
        <f t="shared" si="157"/>
        <v>78.099999999999994</v>
      </c>
      <c r="BK294" s="1">
        <f t="shared" si="158"/>
        <v>53.5</v>
      </c>
      <c r="BL294" s="1">
        <f t="shared" si="167"/>
        <v>1.9</v>
      </c>
      <c r="BM294" s="1">
        <f t="shared" si="168"/>
        <v>7.1</v>
      </c>
      <c r="BN294" s="21">
        <f t="shared" si="159"/>
        <v>0.50800000000000001</v>
      </c>
      <c r="BO294" s="7">
        <f t="shared" si="160"/>
        <v>0</v>
      </c>
      <c r="BP294" s="21" t="str">
        <f t="shared" si="154"/>
        <v>NAN</v>
      </c>
      <c r="BQ294" s="1">
        <f t="shared" si="161"/>
        <v>2.7</v>
      </c>
      <c r="BR294" s="1">
        <f t="shared" si="162"/>
        <v>9.4</v>
      </c>
      <c r="BS294" s="1">
        <f t="shared" si="163"/>
        <v>-0.9</v>
      </c>
      <c r="BT294" s="1">
        <f t="shared" si="176"/>
        <v>2.8</v>
      </c>
      <c r="BU294" s="1" t="s">
        <v>113</v>
      </c>
      <c r="BV294" s="1">
        <f t="shared" si="177"/>
        <v>4.0999999999999996</v>
      </c>
      <c r="BW294" s="1" t="str">
        <f t="shared" si="169"/>
        <v>NAN</v>
      </c>
      <c r="BX294" s="1">
        <f t="shared" si="170"/>
        <v>0.59399999999999997</v>
      </c>
      <c r="BY294" s="1">
        <f t="shared" si="171"/>
        <v>0.51600000000000001</v>
      </c>
      <c r="CA294" s="1">
        <f t="shared" si="164"/>
        <v>0.90000000000000036</v>
      </c>
      <c r="CB294" s="1">
        <f t="shared" si="165"/>
        <v>-2.1</v>
      </c>
    </row>
    <row r="295" spans="1:80" x14ac:dyDescent="0.2">
      <c r="A295" s="9">
        <f t="shared" si="172"/>
        <v>43755</v>
      </c>
      <c r="B295" s="2">
        <v>290</v>
      </c>
      <c r="C295" s="2">
        <v>21</v>
      </c>
      <c r="D295" s="2">
        <v>13.15</v>
      </c>
      <c r="E295" s="2">
        <v>12.77</v>
      </c>
      <c r="F295" s="2">
        <v>-0.61399999999999999</v>
      </c>
      <c r="G295" s="2">
        <v>2.0569999999999999</v>
      </c>
      <c r="H295" s="2">
        <v>92.4</v>
      </c>
      <c r="I295" s="2">
        <v>1.819</v>
      </c>
      <c r="J295" s="2">
        <v>1.4550000000000001</v>
      </c>
      <c r="K295" s="2">
        <v>3.1669999999999998</v>
      </c>
      <c r="L295" s="2">
        <v>4.141</v>
      </c>
      <c r="M295" s="2">
        <v>6.7169999999999996</v>
      </c>
      <c r="N295" s="2">
        <v>102.6</v>
      </c>
      <c r="O295" s="2">
        <v>10.52</v>
      </c>
      <c r="P295" s="2">
        <v>10.37</v>
      </c>
      <c r="Q295" s="2">
        <v>5.6989999999999998</v>
      </c>
      <c r="R295" s="2">
        <v>4.5739999999999998</v>
      </c>
      <c r="S295" s="2">
        <v>-0.67100000000000004</v>
      </c>
      <c r="T295" s="2">
        <v>65.760000000000005</v>
      </c>
      <c r="U295" s="2">
        <v>-1.9430000000000001</v>
      </c>
      <c r="V295" s="2">
        <v>-5.0049999999999999</v>
      </c>
      <c r="W295" s="2">
        <v>1.212</v>
      </c>
      <c r="X295" s="2">
        <v>3.984</v>
      </c>
      <c r="Y295" s="2">
        <v>2.3450000000000002</v>
      </c>
      <c r="Z295" s="2">
        <v>5.3339999999999996</v>
      </c>
      <c r="AA295" s="2">
        <v>7.02</v>
      </c>
      <c r="AB295" s="2">
        <v>1.613</v>
      </c>
      <c r="AC295" s="2">
        <v>1.0860000000000001</v>
      </c>
      <c r="AD295" s="2">
        <v>5.1669999999999998</v>
      </c>
      <c r="AE295" s="2">
        <v>1.8240000000000001</v>
      </c>
      <c r="AF295" s="2">
        <v>9.8699999999999992</v>
      </c>
      <c r="AG295" s="2">
        <v>-3.38</v>
      </c>
      <c r="AH295" s="2">
        <v>9.8699999999999992</v>
      </c>
      <c r="AI295" s="2">
        <v>-3.38</v>
      </c>
      <c r="AJ295" s="2" t="s">
        <v>113</v>
      </c>
      <c r="AK295" s="2" t="s">
        <v>113</v>
      </c>
      <c r="AL295" s="2">
        <v>1.9470000000000001</v>
      </c>
      <c r="AM295" s="2">
        <v>6.0839999999999996</v>
      </c>
      <c r="AN295" s="2">
        <v>-0.53700000000000003</v>
      </c>
      <c r="AO295" s="2"/>
      <c r="AP295" s="26">
        <v>0</v>
      </c>
      <c r="AR295" s="5">
        <v>11.99</v>
      </c>
      <c r="AS295" s="5">
        <v>7.02</v>
      </c>
      <c r="AT295" s="5">
        <v>1.61</v>
      </c>
      <c r="AU295" s="7">
        <f t="shared" si="166"/>
        <v>0.22900000000000001</v>
      </c>
      <c r="AV295" s="16"/>
      <c r="AW295" s="29">
        <v>9</v>
      </c>
      <c r="AX295" s="29">
        <v>0</v>
      </c>
      <c r="AY295" s="1">
        <f t="shared" si="144"/>
        <v>99</v>
      </c>
      <c r="AZ295" s="1">
        <f t="shared" si="145"/>
        <v>89.1</v>
      </c>
      <c r="BA295" s="1">
        <f t="shared" si="146"/>
        <v>63.3</v>
      </c>
      <c r="BB295" s="8">
        <f t="shared" si="147"/>
        <v>0.622</v>
      </c>
      <c r="BC295" s="8">
        <f t="shared" si="148"/>
        <v>0.36099999999999999</v>
      </c>
      <c r="BE295" s="5">
        <f t="shared" si="155"/>
        <v>7.02</v>
      </c>
      <c r="BF295" s="5">
        <f t="shared" si="156"/>
        <v>1.61</v>
      </c>
      <c r="BG295" s="1">
        <f t="shared" si="173"/>
        <v>2.1</v>
      </c>
      <c r="BH295" s="1">
        <f t="shared" si="174"/>
        <v>6.7</v>
      </c>
      <c r="BI295" s="1">
        <f t="shared" si="175"/>
        <v>-0.7</v>
      </c>
      <c r="BJ295" s="1">
        <f t="shared" si="157"/>
        <v>89.1</v>
      </c>
      <c r="BK295" s="1">
        <f t="shared" si="158"/>
        <v>63.3</v>
      </c>
      <c r="BL295" s="1">
        <f t="shared" si="167"/>
        <v>1.1000000000000001</v>
      </c>
      <c r="BM295" s="1">
        <f t="shared" si="168"/>
        <v>5.2</v>
      </c>
      <c r="BN295" s="21">
        <f t="shared" si="159"/>
        <v>9</v>
      </c>
      <c r="BO295" s="7">
        <f t="shared" si="160"/>
        <v>0</v>
      </c>
      <c r="BP295" s="21" t="str">
        <f t="shared" si="154"/>
        <v>NAN</v>
      </c>
      <c r="BQ295" s="1">
        <f t="shared" si="161"/>
        <v>1.8</v>
      </c>
      <c r="BR295" s="1">
        <f t="shared" si="162"/>
        <v>9.9</v>
      </c>
      <c r="BS295" s="1">
        <f t="shared" si="163"/>
        <v>-3.4</v>
      </c>
      <c r="BT295" s="1">
        <f t="shared" si="176"/>
        <v>3.2</v>
      </c>
      <c r="BU295" s="1" t="s">
        <v>113</v>
      </c>
      <c r="BV295" s="1">
        <f t="shared" si="177"/>
        <v>4.0999999999999996</v>
      </c>
      <c r="BW295" s="1" t="str">
        <f t="shared" si="169"/>
        <v>NAN</v>
      </c>
      <c r="BX295" s="1">
        <f t="shared" si="170"/>
        <v>0.622</v>
      </c>
      <c r="BY295" s="1">
        <f t="shared" si="171"/>
        <v>0.36099999999999999</v>
      </c>
      <c r="CA295" s="1">
        <f t="shared" si="164"/>
        <v>3.2</v>
      </c>
      <c r="CB295" s="1">
        <f t="shared" si="165"/>
        <v>-2.7</v>
      </c>
    </row>
    <row r="296" spans="1:80" x14ac:dyDescent="0.2">
      <c r="A296" s="9">
        <f t="shared" si="172"/>
        <v>43756</v>
      </c>
      <c r="B296" s="2">
        <v>291</v>
      </c>
      <c r="C296" s="2">
        <v>21</v>
      </c>
      <c r="D296" s="2">
        <v>13.13</v>
      </c>
      <c r="E296" s="2">
        <v>8.92</v>
      </c>
      <c r="F296" s="2">
        <v>-2.2360000000000002</v>
      </c>
      <c r="G296" s="2">
        <v>-2.5999999999999999E-2</v>
      </c>
      <c r="H296" s="2">
        <v>91.6</v>
      </c>
      <c r="I296" s="2">
        <v>-0.49399999999999999</v>
      </c>
      <c r="J296" s="2">
        <v>-1.0089999999999999</v>
      </c>
      <c r="K296" s="2">
        <v>1.8</v>
      </c>
      <c r="L296" s="2">
        <v>4.2089999999999996</v>
      </c>
      <c r="M296" s="2">
        <v>3.5430000000000001</v>
      </c>
      <c r="N296" s="2">
        <v>102.5</v>
      </c>
      <c r="O296" s="2">
        <v>5.181</v>
      </c>
      <c r="P296" s="2">
        <v>3.8620000000000001</v>
      </c>
      <c r="Q296" s="2">
        <v>2.9990000000000001</v>
      </c>
      <c r="R296" s="2">
        <v>4.6020000000000003</v>
      </c>
      <c r="S296" s="2">
        <v>-1.9390000000000001</v>
      </c>
      <c r="T296" s="2">
        <v>69.2</v>
      </c>
      <c r="U296" s="2">
        <v>-3.3570000000000002</v>
      </c>
      <c r="V296" s="2">
        <v>-5.7469999999999999</v>
      </c>
      <c r="W296" s="2">
        <v>1.0129999999999999</v>
      </c>
      <c r="X296" s="2">
        <v>4.0659999999999998</v>
      </c>
      <c r="Y296" s="2">
        <v>2.407</v>
      </c>
      <c r="Z296" s="2">
        <v>4.8259999999999996</v>
      </c>
      <c r="AA296" s="2">
        <v>6.4729999999999999</v>
      </c>
      <c r="AB296" s="2">
        <v>3.61</v>
      </c>
      <c r="AC296" s="2">
        <v>1.4139999999999999</v>
      </c>
      <c r="AD296" s="2">
        <v>5.9939999999999998</v>
      </c>
      <c r="AE296" s="2">
        <v>-1.2749999999999999</v>
      </c>
      <c r="AF296" s="2">
        <v>1.6910000000000001</v>
      </c>
      <c r="AG296" s="2">
        <v>-4.782</v>
      </c>
      <c r="AH296" s="2">
        <v>1.6910000000000001</v>
      </c>
      <c r="AI296" s="2">
        <v>-4.782</v>
      </c>
      <c r="AJ296" s="2" t="s">
        <v>113</v>
      </c>
      <c r="AK296" s="2" t="s">
        <v>113</v>
      </c>
      <c r="AL296" s="2">
        <v>-9.1999999999999998E-2</v>
      </c>
      <c r="AM296" s="2">
        <v>3.5750000000000002</v>
      </c>
      <c r="AN296" s="2">
        <v>-2.2440000000000002</v>
      </c>
      <c r="AO296" s="2"/>
      <c r="AP296" s="1">
        <f t="shared" ref="AP296:AP359" si="178">AP$1-Y296</f>
        <v>4.3000000000000149E-2</v>
      </c>
      <c r="AR296" s="5">
        <v>11.78</v>
      </c>
      <c r="AS296" s="5">
        <v>6.47</v>
      </c>
      <c r="AT296" s="5">
        <v>3.61</v>
      </c>
      <c r="AU296" s="7">
        <f t="shared" si="166"/>
        <v>0.55800000000000005</v>
      </c>
      <c r="AV296" s="16"/>
      <c r="AW296" s="29">
        <v>0</v>
      </c>
      <c r="AX296" s="29">
        <v>0</v>
      </c>
      <c r="AY296" s="1">
        <f t="shared" si="144"/>
        <v>98.9</v>
      </c>
      <c r="AZ296" s="1">
        <f t="shared" si="145"/>
        <v>88.4</v>
      </c>
      <c r="BA296" s="1">
        <f t="shared" si="146"/>
        <v>66.599999999999994</v>
      </c>
      <c r="BB296" s="8">
        <f t="shared" si="147"/>
        <v>0.52400000000000002</v>
      </c>
      <c r="BC296" s="8">
        <f t="shared" si="148"/>
        <v>0.26300000000000001</v>
      </c>
      <c r="BE296" s="5">
        <f t="shared" si="155"/>
        <v>6.47</v>
      </c>
      <c r="BF296" s="5">
        <f t="shared" si="156"/>
        <v>3.61</v>
      </c>
      <c r="BG296" s="1">
        <f t="shared" si="173"/>
        <v>0</v>
      </c>
      <c r="BH296" s="1">
        <f t="shared" si="174"/>
        <v>3.5</v>
      </c>
      <c r="BI296" s="1">
        <f t="shared" si="175"/>
        <v>-1.9</v>
      </c>
      <c r="BJ296" s="1">
        <f t="shared" si="157"/>
        <v>88.4</v>
      </c>
      <c r="BK296" s="1">
        <f t="shared" si="158"/>
        <v>66.599999999999994</v>
      </c>
      <c r="BL296" s="1">
        <f t="shared" si="167"/>
        <v>1.4</v>
      </c>
      <c r="BM296" s="1">
        <f t="shared" si="168"/>
        <v>6</v>
      </c>
      <c r="BN296" s="21">
        <f t="shared" si="159"/>
        <v>0</v>
      </c>
      <c r="BO296" s="7">
        <f t="shared" si="160"/>
        <v>4.3000000000000149E-2</v>
      </c>
      <c r="BP296" s="21" t="str">
        <f t="shared" si="154"/>
        <v>NAN</v>
      </c>
      <c r="BQ296" s="1">
        <f t="shared" si="161"/>
        <v>-1.3</v>
      </c>
      <c r="BR296" s="1">
        <f t="shared" si="162"/>
        <v>1.7</v>
      </c>
      <c r="BS296" s="1">
        <f t="shared" si="163"/>
        <v>-4.8</v>
      </c>
      <c r="BT296" s="1">
        <f t="shared" si="176"/>
        <v>1.8</v>
      </c>
      <c r="BU296" s="1" t="s">
        <v>113</v>
      </c>
      <c r="BV296" s="1">
        <f t="shared" si="177"/>
        <v>4.2</v>
      </c>
      <c r="BW296" s="1" t="str">
        <f t="shared" si="169"/>
        <v>NAN</v>
      </c>
      <c r="BX296" s="1">
        <f t="shared" si="170"/>
        <v>0.52400000000000002</v>
      </c>
      <c r="BY296" s="1">
        <f t="shared" si="171"/>
        <v>0.26300000000000001</v>
      </c>
      <c r="CA296" s="1">
        <f t="shared" si="164"/>
        <v>-1.8</v>
      </c>
      <c r="CB296" s="1">
        <f t="shared" si="165"/>
        <v>-2.9</v>
      </c>
    </row>
    <row r="297" spans="1:80" x14ac:dyDescent="0.2">
      <c r="A297" s="9">
        <f t="shared" si="172"/>
        <v>43757</v>
      </c>
      <c r="B297" s="2">
        <v>292</v>
      </c>
      <c r="C297" s="2">
        <v>21</v>
      </c>
      <c r="D297" s="2">
        <v>13.11</v>
      </c>
      <c r="E297" s="2">
        <v>7.76</v>
      </c>
      <c r="F297" s="2">
        <v>-7.33</v>
      </c>
      <c r="G297" s="2">
        <v>-1.9319999999999999</v>
      </c>
      <c r="H297" s="2">
        <v>94.1</v>
      </c>
      <c r="I297" s="2">
        <v>-2.5779999999999998</v>
      </c>
      <c r="J297" s="2">
        <v>-3.0880000000000001</v>
      </c>
      <c r="K297" s="2">
        <v>1.42</v>
      </c>
      <c r="L297" s="2">
        <v>4.1040000000000001</v>
      </c>
      <c r="M297" s="2">
        <v>2.7360000000000002</v>
      </c>
      <c r="N297" s="2">
        <v>102</v>
      </c>
      <c r="O297" s="2">
        <v>8.26</v>
      </c>
      <c r="P297" s="2">
        <v>9.6300000000000008</v>
      </c>
      <c r="Q297" s="2">
        <v>3.089</v>
      </c>
      <c r="R297" s="2">
        <v>4.5419999999999998</v>
      </c>
      <c r="S297" s="2">
        <v>-6.3869999999999996</v>
      </c>
      <c r="T297" s="2">
        <v>70.8</v>
      </c>
      <c r="U297" s="2">
        <v>-8.52</v>
      </c>
      <c r="V297" s="2">
        <v>-9.7100000000000009</v>
      </c>
      <c r="W297" s="2">
        <v>0.59099999999999997</v>
      </c>
      <c r="X297" s="2">
        <v>3.96</v>
      </c>
      <c r="Y297" s="2">
        <v>2.3460000000000001</v>
      </c>
      <c r="Z297" s="2">
        <v>1.016</v>
      </c>
      <c r="AA297" s="2">
        <v>6.8220000000000001</v>
      </c>
      <c r="AB297" s="2">
        <v>3.254</v>
      </c>
      <c r="AC297" s="2">
        <v>0.83099999999999996</v>
      </c>
      <c r="AD297" s="2">
        <v>4.234</v>
      </c>
      <c r="AE297" s="2">
        <v>-3.556</v>
      </c>
      <c r="AF297" s="2">
        <v>4.6630000000000003</v>
      </c>
      <c r="AG297" s="2">
        <v>-9.14</v>
      </c>
      <c r="AH297" s="2">
        <v>4.6630000000000003</v>
      </c>
      <c r="AI297" s="2">
        <v>-9.14</v>
      </c>
      <c r="AJ297" s="2" t="s">
        <v>113</v>
      </c>
      <c r="AK297" s="2" t="s">
        <v>113</v>
      </c>
      <c r="AL297" s="2">
        <v>-2.0880000000000001</v>
      </c>
      <c r="AM297" s="2">
        <v>3.8290000000000002</v>
      </c>
      <c r="AN297" s="2">
        <v>-7.21</v>
      </c>
      <c r="AO297" s="2"/>
      <c r="AP297" s="1">
        <f t="shared" si="178"/>
        <v>0.10400000000000009</v>
      </c>
      <c r="AR297" s="5">
        <v>11.57</v>
      </c>
      <c r="AS297" s="5">
        <v>6.9</v>
      </c>
      <c r="AT297" s="5">
        <v>3.25</v>
      </c>
      <c r="AU297" s="7">
        <f t="shared" si="166"/>
        <v>0.47099999999999997</v>
      </c>
      <c r="AV297" s="16"/>
      <c r="AW297" s="29">
        <v>0</v>
      </c>
      <c r="AX297" s="29">
        <v>0</v>
      </c>
      <c r="AY297" s="1">
        <f t="shared" si="144"/>
        <v>98.4</v>
      </c>
      <c r="AZ297" s="1">
        <f t="shared" si="145"/>
        <v>90.8</v>
      </c>
      <c r="BA297" s="1">
        <f t="shared" si="146"/>
        <v>68.2</v>
      </c>
      <c r="BB297" s="8">
        <f t="shared" si="147"/>
        <v>0.50700000000000001</v>
      </c>
      <c r="BC297" s="8">
        <f t="shared" si="148"/>
        <v>0.23599999999999999</v>
      </c>
      <c r="BE297" s="5">
        <f t="shared" si="155"/>
        <v>6.9</v>
      </c>
      <c r="BF297" s="5">
        <f t="shared" si="156"/>
        <v>3.25</v>
      </c>
      <c r="BG297" s="1">
        <f t="shared" si="173"/>
        <v>-1.9</v>
      </c>
      <c r="BH297" s="1">
        <f t="shared" si="174"/>
        <v>2.7</v>
      </c>
      <c r="BI297" s="1">
        <f t="shared" si="175"/>
        <v>-6.4</v>
      </c>
      <c r="BJ297" s="1">
        <f t="shared" si="157"/>
        <v>90.8</v>
      </c>
      <c r="BK297" s="1">
        <f t="shared" si="158"/>
        <v>68.2</v>
      </c>
      <c r="BL297" s="1">
        <f t="shared" si="167"/>
        <v>0.8</v>
      </c>
      <c r="BM297" s="1">
        <f t="shared" si="168"/>
        <v>4.2</v>
      </c>
      <c r="BN297" s="21">
        <f t="shared" si="159"/>
        <v>0</v>
      </c>
      <c r="BO297" s="7">
        <f t="shared" si="160"/>
        <v>0.10400000000000009</v>
      </c>
      <c r="BP297" s="21" t="str">
        <f t="shared" si="154"/>
        <v>NAN</v>
      </c>
      <c r="BQ297" s="1">
        <f t="shared" si="161"/>
        <v>-3.6</v>
      </c>
      <c r="BR297" s="1">
        <f t="shared" si="162"/>
        <v>4.7</v>
      </c>
      <c r="BS297" s="1">
        <f t="shared" si="163"/>
        <v>-9.1</v>
      </c>
      <c r="BT297" s="1">
        <f t="shared" si="176"/>
        <v>1.4</v>
      </c>
      <c r="BU297" s="1" t="s">
        <v>113</v>
      </c>
      <c r="BV297" s="1">
        <f t="shared" si="177"/>
        <v>4.0999999999999996</v>
      </c>
      <c r="BW297" s="1" t="str">
        <f t="shared" si="169"/>
        <v>NAN</v>
      </c>
      <c r="BX297" s="1">
        <f t="shared" si="170"/>
        <v>0.50700000000000001</v>
      </c>
      <c r="BY297" s="1">
        <f t="shared" si="171"/>
        <v>0.23599999999999999</v>
      </c>
      <c r="CA297" s="1">
        <f t="shared" si="164"/>
        <v>2</v>
      </c>
      <c r="CB297" s="1">
        <f t="shared" si="165"/>
        <v>-2.6999999999999993</v>
      </c>
    </row>
    <row r="298" spans="1:80" x14ac:dyDescent="0.2">
      <c r="A298" s="9">
        <f t="shared" si="172"/>
        <v>43758</v>
      </c>
      <c r="B298" s="2">
        <v>293</v>
      </c>
      <c r="C298" s="2">
        <v>21</v>
      </c>
      <c r="D298" s="2">
        <v>13.13</v>
      </c>
      <c r="E298" s="2">
        <v>3.4820000000000002</v>
      </c>
      <c r="F298" s="2">
        <v>-6.7720000000000002</v>
      </c>
      <c r="G298" s="2">
        <v>-1.627</v>
      </c>
      <c r="H298" s="2">
        <v>95.7</v>
      </c>
      <c r="I298" s="2">
        <v>-1.9510000000000001</v>
      </c>
      <c r="J298" s="2">
        <v>-1.66</v>
      </c>
      <c r="K298" s="2">
        <v>0.436</v>
      </c>
      <c r="L298" s="2">
        <v>3.9209999999999998</v>
      </c>
      <c r="M298" s="2">
        <v>2.39</v>
      </c>
      <c r="N298" s="2">
        <v>102</v>
      </c>
      <c r="O298" s="2">
        <v>5.2249999999999996</v>
      </c>
      <c r="P298" s="2">
        <v>4.62</v>
      </c>
      <c r="Q298" s="2">
        <v>1</v>
      </c>
      <c r="R298" s="2">
        <v>4.2649999999999997</v>
      </c>
      <c r="S298" s="2">
        <v>-3.254</v>
      </c>
      <c r="T298" s="2">
        <v>65.06</v>
      </c>
      <c r="U298" s="2">
        <v>-4.75</v>
      </c>
      <c r="V298" s="2">
        <v>-7.27</v>
      </c>
      <c r="W298" s="2">
        <v>0.27800000000000002</v>
      </c>
      <c r="X298" s="2">
        <v>3.762</v>
      </c>
      <c r="Y298" s="2">
        <v>2.3359999999999999</v>
      </c>
      <c r="Z298" s="2">
        <v>0.50800000000000001</v>
      </c>
      <c r="AA298" s="2">
        <v>2.371</v>
      </c>
      <c r="AB298" s="2">
        <v>1.6910000000000001</v>
      </c>
      <c r="AC298" s="2">
        <v>0.93200000000000005</v>
      </c>
      <c r="AD298" s="2">
        <v>3.86</v>
      </c>
      <c r="AE298" s="2">
        <v>-2.3959999999999999</v>
      </c>
      <c r="AF298" s="2">
        <v>1.0720000000000001</v>
      </c>
      <c r="AG298" s="2">
        <v>-6.1120000000000001</v>
      </c>
      <c r="AH298" s="2">
        <v>1.0720000000000001</v>
      </c>
      <c r="AI298" s="2">
        <v>-6.1120000000000001</v>
      </c>
      <c r="AJ298" s="2" t="s">
        <v>113</v>
      </c>
      <c r="AK298" s="2" t="s">
        <v>113</v>
      </c>
      <c r="AL298" s="2">
        <v>-1.6870000000000001</v>
      </c>
      <c r="AM298" s="2">
        <v>2.1880000000000002</v>
      </c>
      <c r="AN298" s="2">
        <v>-3.7349999999999999</v>
      </c>
      <c r="AO298" s="2"/>
      <c r="AP298" s="1">
        <f t="shared" si="178"/>
        <v>0.11400000000000032</v>
      </c>
      <c r="AR298" s="5">
        <v>11.36</v>
      </c>
      <c r="AS298" s="5">
        <v>2.65</v>
      </c>
      <c r="AT298" s="5">
        <v>1.69</v>
      </c>
      <c r="AU298" s="7">
        <f t="shared" si="166"/>
        <v>0.63800000000000001</v>
      </c>
      <c r="AV298" s="16"/>
      <c r="AW298" s="29">
        <v>7.28</v>
      </c>
      <c r="AX298" s="29">
        <v>45</v>
      </c>
      <c r="AY298" s="1">
        <f t="shared" si="144"/>
        <v>98.4</v>
      </c>
      <c r="AZ298" s="1">
        <f t="shared" si="145"/>
        <v>92.3</v>
      </c>
      <c r="BA298" s="1">
        <f t="shared" si="146"/>
        <v>62.6</v>
      </c>
      <c r="BB298" s="8">
        <f t="shared" si="147"/>
        <v>0.45400000000000001</v>
      </c>
      <c r="BC298" s="8">
        <f t="shared" si="148"/>
        <v>0.27100000000000002</v>
      </c>
      <c r="BE298" s="5">
        <f t="shared" si="155"/>
        <v>2.65</v>
      </c>
      <c r="BF298" s="5">
        <f t="shared" si="156"/>
        <v>1.69</v>
      </c>
      <c r="BG298" s="1">
        <f t="shared" si="173"/>
        <v>-1.6</v>
      </c>
      <c r="BH298" s="1">
        <f t="shared" si="174"/>
        <v>2.4</v>
      </c>
      <c r="BI298" s="1">
        <f t="shared" si="175"/>
        <v>-3.3</v>
      </c>
      <c r="BJ298" s="1">
        <f t="shared" si="157"/>
        <v>92.3</v>
      </c>
      <c r="BK298" s="1">
        <f t="shared" si="158"/>
        <v>62.6</v>
      </c>
      <c r="BL298" s="1">
        <f t="shared" si="167"/>
        <v>0.9</v>
      </c>
      <c r="BM298" s="1">
        <f t="shared" si="168"/>
        <v>3.9</v>
      </c>
      <c r="BN298" s="21">
        <f t="shared" si="159"/>
        <v>7.28</v>
      </c>
      <c r="BO298" s="7">
        <f t="shared" si="160"/>
        <v>0.11400000000000032</v>
      </c>
      <c r="BP298" s="21" t="str">
        <f t="shared" si="154"/>
        <v>NAN</v>
      </c>
      <c r="BQ298" s="1">
        <f t="shared" si="161"/>
        <v>-2.4</v>
      </c>
      <c r="BR298" s="1">
        <f t="shared" si="162"/>
        <v>1.1000000000000001</v>
      </c>
      <c r="BS298" s="1">
        <f t="shared" si="163"/>
        <v>-6.1</v>
      </c>
      <c r="BT298" s="1">
        <f t="shared" si="176"/>
        <v>0.4</v>
      </c>
      <c r="BU298" s="1" t="s">
        <v>113</v>
      </c>
      <c r="BV298" s="1">
        <f t="shared" si="177"/>
        <v>3.9</v>
      </c>
      <c r="BW298" s="1" t="str">
        <f t="shared" si="169"/>
        <v>NAN</v>
      </c>
      <c r="BX298" s="1">
        <f t="shared" si="170"/>
        <v>0.45400000000000001</v>
      </c>
      <c r="BY298" s="1">
        <f t="shared" si="171"/>
        <v>0.27100000000000002</v>
      </c>
      <c r="CA298" s="1">
        <f t="shared" si="164"/>
        <v>-1.2999999999999998</v>
      </c>
      <c r="CB298" s="1">
        <f t="shared" si="165"/>
        <v>-2.8</v>
      </c>
    </row>
    <row r="299" spans="1:80" x14ac:dyDescent="0.2">
      <c r="A299" s="9">
        <f t="shared" si="172"/>
        <v>43759</v>
      </c>
      <c r="B299" s="2">
        <v>294</v>
      </c>
      <c r="C299" s="2">
        <v>21</v>
      </c>
      <c r="D299" s="2">
        <v>13.12</v>
      </c>
      <c r="E299" s="2">
        <v>1.403</v>
      </c>
      <c r="F299" s="2">
        <v>-2.6920000000000002</v>
      </c>
      <c r="G299" s="2">
        <v>-0.67800000000000005</v>
      </c>
      <c r="H299" s="2">
        <v>100.2</v>
      </c>
      <c r="I299" s="2">
        <v>-1.179</v>
      </c>
      <c r="J299" s="2">
        <v>-0.77600000000000002</v>
      </c>
      <c r="K299" s="2">
        <v>0.40400000000000003</v>
      </c>
      <c r="L299" s="2">
        <v>3.7130000000000001</v>
      </c>
      <c r="M299" s="2">
        <v>1.1319999999999999</v>
      </c>
      <c r="N299" s="2">
        <v>103.2</v>
      </c>
      <c r="O299" s="2">
        <v>0.51500000000000001</v>
      </c>
      <c r="P299" s="2">
        <v>-0.124</v>
      </c>
      <c r="Q299" s="2">
        <v>0.54200000000000004</v>
      </c>
      <c r="R299" s="2">
        <v>3.827</v>
      </c>
      <c r="S299" s="2">
        <v>-2.75</v>
      </c>
      <c r="T299" s="2">
        <v>96.1</v>
      </c>
      <c r="U299" s="2">
        <v>-5.57</v>
      </c>
      <c r="V299" s="2">
        <v>-2.7749999999999999</v>
      </c>
      <c r="W299" s="2">
        <v>0.249</v>
      </c>
      <c r="X299" s="2">
        <v>3.5840000000000001</v>
      </c>
      <c r="Y299" s="2">
        <v>2.2429999999999999</v>
      </c>
      <c r="Z299" s="2">
        <v>0</v>
      </c>
      <c r="AA299" s="2">
        <v>0.48099999999999998</v>
      </c>
      <c r="AB299" s="2">
        <v>1.6759999999999999</v>
      </c>
      <c r="AC299" s="2">
        <v>0.96099999999999997</v>
      </c>
      <c r="AD299" s="2">
        <v>3.887</v>
      </c>
      <c r="AE299" s="2">
        <v>-1.849</v>
      </c>
      <c r="AF299" s="2">
        <v>3.3000000000000002E-2</v>
      </c>
      <c r="AG299" s="2">
        <v>-10.43</v>
      </c>
      <c r="AH299" s="2">
        <v>3.3000000000000002E-2</v>
      </c>
      <c r="AI299" s="2">
        <v>-10.43</v>
      </c>
      <c r="AJ299" s="2" t="s">
        <v>113</v>
      </c>
      <c r="AK299" s="2" t="s">
        <v>113</v>
      </c>
      <c r="AL299" s="2">
        <v>-0.70799999999999996</v>
      </c>
      <c r="AM299" s="2">
        <v>1.117</v>
      </c>
      <c r="AN299" s="2">
        <v>-3.2309999999999999</v>
      </c>
      <c r="AO299" s="2"/>
      <c r="AP299" s="1">
        <f t="shared" si="178"/>
        <v>0.20700000000000029</v>
      </c>
      <c r="AR299" s="5">
        <v>11.15</v>
      </c>
      <c r="AS299" s="5">
        <v>1.8</v>
      </c>
      <c r="AT299" s="5">
        <v>1.68</v>
      </c>
      <c r="AU299" s="7">
        <f t="shared" si="166"/>
        <v>0.93300000000000005</v>
      </c>
      <c r="AV299" s="16"/>
      <c r="AW299" s="29">
        <v>9.02</v>
      </c>
      <c r="AX299" s="29">
        <v>127</v>
      </c>
      <c r="AY299" s="1">
        <f t="shared" si="144"/>
        <v>99.6</v>
      </c>
      <c r="AZ299" s="1">
        <f t="shared" si="145"/>
        <v>96.7</v>
      </c>
      <c r="BA299" s="1">
        <f t="shared" si="146"/>
        <v>92.7</v>
      </c>
      <c r="BB299" s="8">
        <f t="shared" si="147"/>
        <v>0.61399999999999999</v>
      </c>
      <c r="BC299" s="8">
        <f t="shared" si="148"/>
        <v>4.8000000000000001E-2</v>
      </c>
      <c r="BE299" s="5">
        <f t="shared" si="155"/>
        <v>1.8</v>
      </c>
      <c r="BF299" s="5">
        <f t="shared" si="156"/>
        <v>1.68</v>
      </c>
      <c r="BG299" s="1">
        <f t="shared" si="173"/>
        <v>-0.7</v>
      </c>
      <c r="BH299" s="1">
        <f t="shared" si="174"/>
        <v>1.1000000000000001</v>
      </c>
      <c r="BI299" s="1">
        <f t="shared" si="175"/>
        <v>-2.8</v>
      </c>
      <c r="BJ299" s="1">
        <f t="shared" si="157"/>
        <v>96.7</v>
      </c>
      <c r="BK299" s="1">
        <f t="shared" si="158"/>
        <v>92.7</v>
      </c>
      <c r="BL299" s="1">
        <f t="shared" si="167"/>
        <v>1</v>
      </c>
      <c r="BM299" s="1">
        <f t="shared" si="168"/>
        <v>3.9</v>
      </c>
      <c r="BN299" s="21">
        <f t="shared" si="159"/>
        <v>9.02</v>
      </c>
      <c r="BO299" s="7">
        <f t="shared" si="160"/>
        <v>0.20700000000000029</v>
      </c>
      <c r="BP299" s="21" t="str">
        <f t="shared" si="154"/>
        <v>NAN</v>
      </c>
      <c r="BQ299" s="1">
        <f t="shared" si="161"/>
        <v>-1.8</v>
      </c>
      <c r="BR299" s="1">
        <f t="shared" si="162"/>
        <v>0</v>
      </c>
      <c r="BS299" s="1">
        <f t="shared" si="163"/>
        <v>-10.4</v>
      </c>
      <c r="BT299" s="1">
        <f t="shared" si="176"/>
        <v>0.4</v>
      </c>
      <c r="BU299" s="1" t="s">
        <v>113</v>
      </c>
      <c r="BV299" s="1">
        <f t="shared" si="177"/>
        <v>3.7</v>
      </c>
      <c r="BW299" s="1" t="str">
        <f t="shared" si="169"/>
        <v>NAN</v>
      </c>
      <c r="BX299" s="1">
        <f t="shared" si="170"/>
        <v>0.61399999999999999</v>
      </c>
      <c r="BY299" s="1">
        <f t="shared" si="171"/>
        <v>4.8000000000000001E-2</v>
      </c>
      <c r="CA299" s="1">
        <f t="shared" si="164"/>
        <v>-1.1000000000000001</v>
      </c>
      <c r="CB299" s="1">
        <f t="shared" si="165"/>
        <v>-7.6000000000000005</v>
      </c>
    </row>
    <row r="300" spans="1:80" x14ac:dyDescent="0.2">
      <c r="A300" s="9">
        <f t="shared" si="172"/>
        <v>43760</v>
      </c>
      <c r="B300" s="2">
        <v>295</v>
      </c>
      <c r="C300" s="2">
        <v>21</v>
      </c>
      <c r="D300" s="2">
        <v>13.14</v>
      </c>
      <c r="E300" s="2">
        <v>11.92</v>
      </c>
      <c r="F300" s="2">
        <v>-0.59199999999999997</v>
      </c>
      <c r="G300" s="2">
        <v>1.7909999999999999</v>
      </c>
      <c r="H300" s="2">
        <v>91</v>
      </c>
      <c r="I300" s="2">
        <v>1.2729999999999999</v>
      </c>
      <c r="J300" s="2">
        <v>-0.17100000000000001</v>
      </c>
      <c r="K300" s="2">
        <v>0.64600000000000002</v>
      </c>
      <c r="L300" s="2">
        <v>3.6230000000000002</v>
      </c>
      <c r="M300" s="2">
        <v>6.7130000000000001</v>
      </c>
      <c r="N300" s="2">
        <v>103.3</v>
      </c>
      <c r="O300" s="2">
        <v>12.15</v>
      </c>
      <c r="P300" s="2">
        <v>0.55500000000000005</v>
      </c>
      <c r="Q300" s="2">
        <v>1.365</v>
      </c>
      <c r="R300" s="2">
        <v>3.9260000000000002</v>
      </c>
      <c r="S300" s="2">
        <v>-0.432</v>
      </c>
      <c r="T300" s="2">
        <v>61.75</v>
      </c>
      <c r="U300" s="2">
        <v>-1.8320000000000001</v>
      </c>
      <c r="V300" s="2">
        <v>-0.39400000000000002</v>
      </c>
      <c r="W300" s="2">
        <v>0.441</v>
      </c>
      <c r="X300" s="2">
        <v>3.476</v>
      </c>
      <c r="Y300" s="2">
        <v>2.294</v>
      </c>
      <c r="Z300" s="2">
        <v>21.84</v>
      </c>
      <c r="AA300" s="2">
        <v>6.77</v>
      </c>
      <c r="AB300" s="2">
        <v>5.6609999999999996</v>
      </c>
      <c r="AC300" s="2">
        <v>2.1160000000000001</v>
      </c>
      <c r="AD300" s="2">
        <v>6.7670000000000003</v>
      </c>
      <c r="AE300" s="2">
        <v>-0.88600000000000001</v>
      </c>
      <c r="AF300" s="2">
        <v>0.88100000000000001</v>
      </c>
      <c r="AG300" s="2">
        <v>-4.0869999999999997</v>
      </c>
      <c r="AH300" s="2">
        <v>0.88100000000000001</v>
      </c>
      <c r="AI300" s="2">
        <v>-4.0869999999999997</v>
      </c>
      <c r="AJ300" s="2" t="s">
        <v>113</v>
      </c>
      <c r="AK300" s="2" t="s">
        <v>113</v>
      </c>
      <c r="AL300" s="2">
        <v>1.6559999999999999</v>
      </c>
      <c r="AM300" s="2">
        <v>7.43</v>
      </c>
      <c r="AN300" s="2">
        <v>-0.34599999999999997</v>
      </c>
      <c r="AO300" s="2"/>
      <c r="AP300" s="1">
        <f t="shared" si="178"/>
        <v>0.15600000000000014</v>
      </c>
      <c r="AR300" s="5">
        <v>10.95</v>
      </c>
      <c r="AS300" s="5">
        <v>6.8</v>
      </c>
      <c r="AT300" s="5">
        <v>5.65</v>
      </c>
      <c r="AU300" s="7">
        <f t="shared" si="166"/>
        <v>0.83099999999999996</v>
      </c>
      <c r="AV300" s="16"/>
      <c r="AW300" s="29">
        <v>2</v>
      </c>
      <c r="AX300" s="29">
        <v>76</v>
      </c>
      <c r="AY300" s="1">
        <f t="shared" si="144"/>
        <v>99.7</v>
      </c>
      <c r="AZ300" s="1">
        <f t="shared" si="145"/>
        <v>87.8</v>
      </c>
      <c r="BA300" s="1">
        <f t="shared" si="146"/>
        <v>59.4</v>
      </c>
      <c r="BB300" s="8">
        <f t="shared" si="147"/>
        <v>0.58299999999999996</v>
      </c>
      <c r="BC300" s="8">
        <f t="shared" si="148"/>
        <v>0.39800000000000002</v>
      </c>
      <c r="BE300" s="5">
        <f t="shared" si="155"/>
        <v>6.8</v>
      </c>
      <c r="BF300" s="5">
        <f t="shared" si="156"/>
        <v>5.65</v>
      </c>
      <c r="BG300" s="1">
        <f t="shared" si="173"/>
        <v>1.8</v>
      </c>
      <c r="BH300" s="1">
        <f t="shared" si="174"/>
        <v>6.7</v>
      </c>
      <c r="BI300" s="1">
        <f t="shared" si="175"/>
        <v>-0.4</v>
      </c>
      <c r="BJ300" s="1">
        <f t="shared" si="157"/>
        <v>87.8</v>
      </c>
      <c r="BK300" s="1">
        <f t="shared" si="158"/>
        <v>59.4</v>
      </c>
      <c r="BL300" s="1">
        <f t="shared" si="167"/>
        <v>2.1</v>
      </c>
      <c r="BM300" s="1">
        <f t="shared" si="168"/>
        <v>6.8</v>
      </c>
      <c r="BN300" s="21">
        <f t="shared" si="159"/>
        <v>2</v>
      </c>
      <c r="BO300" s="7">
        <f t="shared" si="160"/>
        <v>0.15600000000000014</v>
      </c>
      <c r="BP300" s="21" t="str">
        <f t="shared" si="154"/>
        <v>NAN</v>
      </c>
      <c r="BQ300" s="1">
        <f t="shared" si="161"/>
        <v>-0.9</v>
      </c>
      <c r="BR300" s="1">
        <f t="shared" si="162"/>
        <v>0.9</v>
      </c>
      <c r="BS300" s="1">
        <f t="shared" si="163"/>
        <v>-4.0999999999999996</v>
      </c>
      <c r="BT300" s="1">
        <f t="shared" si="176"/>
        <v>0.6</v>
      </c>
      <c r="BU300" s="1" t="s">
        <v>113</v>
      </c>
      <c r="BV300" s="1">
        <f t="shared" si="177"/>
        <v>3.6</v>
      </c>
      <c r="BW300" s="1" t="str">
        <f t="shared" si="169"/>
        <v>NAN</v>
      </c>
      <c r="BX300" s="1">
        <f t="shared" si="170"/>
        <v>0.58299999999999996</v>
      </c>
      <c r="BY300" s="1">
        <f t="shared" si="171"/>
        <v>0.39800000000000002</v>
      </c>
      <c r="CA300" s="1">
        <f t="shared" si="164"/>
        <v>-5.8</v>
      </c>
      <c r="CB300" s="1">
        <f t="shared" si="165"/>
        <v>-3.6999999999999997</v>
      </c>
    </row>
    <row r="301" spans="1:80" x14ac:dyDescent="0.2">
      <c r="A301" s="9">
        <f t="shared" si="172"/>
        <v>43761</v>
      </c>
      <c r="B301" s="2">
        <v>296</v>
      </c>
      <c r="C301" s="2">
        <v>21</v>
      </c>
      <c r="D301" s="2">
        <v>13.12</v>
      </c>
      <c r="E301" s="2">
        <v>11.94</v>
      </c>
      <c r="F301" s="2">
        <v>-4.9269999999999996</v>
      </c>
      <c r="G301" s="2">
        <v>-0.71299999999999997</v>
      </c>
      <c r="H301" s="2">
        <v>80</v>
      </c>
      <c r="I301" s="2">
        <v>-1.4370000000000001</v>
      </c>
      <c r="J301" s="2">
        <v>-1.123</v>
      </c>
      <c r="K301" s="2">
        <v>0.77800000000000002</v>
      </c>
      <c r="L301" s="2">
        <v>3.5019999999999998</v>
      </c>
      <c r="M301" s="2">
        <v>4.2859999999999996</v>
      </c>
      <c r="N301" s="2">
        <v>100.8</v>
      </c>
      <c r="O301" s="2">
        <v>11.47</v>
      </c>
      <c r="P301" s="2">
        <v>0.35399999999999998</v>
      </c>
      <c r="Q301" s="2">
        <v>1.579</v>
      </c>
      <c r="R301" s="2">
        <v>3.8980000000000001</v>
      </c>
      <c r="S301" s="2">
        <v>-5.0170000000000003</v>
      </c>
      <c r="T301" s="2">
        <v>55.33</v>
      </c>
      <c r="U301" s="2">
        <v>-7.97</v>
      </c>
      <c r="V301" s="2">
        <v>-3.6779999999999999</v>
      </c>
      <c r="W301" s="2">
        <v>0.46700000000000003</v>
      </c>
      <c r="X301" s="2">
        <v>3.1230000000000002</v>
      </c>
      <c r="Y301" s="2">
        <v>2.2970000000000002</v>
      </c>
      <c r="Z301" s="2">
        <v>0.76200000000000001</v>
      </c>
      <c r="AA301" s="2">
        <v>7.51</v>
      </c>
      <c r="AB301" s="2">
        <v>6.0990000000000002</v>
      </c>
      <c r="AC301" s="2">
        <v>1.444</v>
      </c>
      <c r="AD301" s="2">
        <v>5.327</v>
      </c>
      <c r="AE301" s="2">
        <v>-5.9980000000000002</v>
      </c>
      <c r="AF301" s="2">
        <v>-1.2789999999999999</v>
      </c>
      <c r="AG301" s="2">
        <v>-12.17</v>
      </c>
      <c r="AH301" s="2">
        <v>-1.2789999999999999</v>
      </c>
      <c r="AI301" s="2">
        <v>-12.17</v>
      </c>
      <c r="AJ301" s="2" t="s">
        <v>113</v>
      </c>
      <c r="AK301" s="2" t="s">
        <v>113</v>
      </c>
      <c r="AL301" s="2">
        <v>-0.68899999999999995</v>
      </c>
      <c r="AM301" s="2">
        <v>6.67</v>
      </c>
      <c r="AN301" s="2">
        <v>-5.633</v>
      </c>
      <c r="AO301" s="2"/>
      <c r="AP301" s="1">
        <f t="shared" si="178"/>
        <v>0.15300000000000002</v>
      </c>
      <c r="AR301" s="5">
        <v>10.75</v>
      </c>
      <c r="AS301" s="5">
        <v>7.51</v>
      </c>
      <c r="AT301" s="5">
        <v>6.09</v>
      </c>
      <c r="AU301" s="7">
        <f t="shared" si="166"/>
        <v>0.81100000000000005</v>
      </c>
      <c r="AV301" s="16"/>
      <c r="AW301" s="29">
        <v>0</v>
      </c>
      <c r="AX301" s="29">
        <v>73</v>
      </c>
      <c r="AY301" s="1">
        <f t="shared" si="144"/>
        <v>97.3</v>
      </c>
      <c r="AZ301" s="1">
        <f t="shared" si="145"/>
        <v>77.099999999999994</v>
      </c>
      <c r="BA301" s="1">
        <f t="shared" si="146"/>
        <v>53.2</v>
      </c>
      <c r="BB301" s="8">
        <f t="shared" si="147"/>
        <v>0.441</v>
      </c>
      <c r="BC301" s="8">
        <f t="shared" si="148"/>
        <v>0.38800000000000001</v>
      </c>
      <c r="BE301" s="5">
        <f t="shared" si="155"/>
        <v>7.51</v>
      </c>
      <c r="BF301" s="5">
        <f t="shared" si="156"/>
        <v>6.09</v>
      </c>
      <c r="BG301" s="1">
        <f t="shared" si="173"/>
        <v>-0.7</v>
      </c>
      <c r="BH301" s="1">
        <f t="shared" si="174"/>
        <v>4.3</v>
      </c>
      <c r="BI301" s="1">
        <f t="shared" si="175"/>
        <v>-5</v>
      </c>
      <c r="BJ301" s="1">
        <f t="shared" si="157"/>
        <v>77.099999999999994</v>
      </c>
      <c r="BK301" s="1">
        <f t="shared" si="158"/>
        <v>53.2</v>
      </c>
      <c r="BL301" s="1">
        <f t="shared" si="167"/>
        <v>1.4</v>
      </c>
      <c r="BM301" s="1">
        <f t="shared" si="168"/>
        <v>5.3</v>
      </c>
      <c r="BN301" s="21">
        <f t="shared" si="159"/>
        <v>0</v>
      </c>
      <c r="BO301" s="7">
        <f t="shared" si="160"/>
        <v>0.15300000000000002</v>
      </c>
      <c r="BP301" s="21" t="str">
        <f t="shared" si="154"/>
        <v>NAN</v>
      </c>
      <c r="BQ301" s="1">
        <f t="shared" si="161"/>
        <v>-6</v>
      </c>
      <c r="BR301" s="1">
        <f t="shared" si="162"/>
        <v>-1.3</v>
      </c>
      <c r="BS301" s="1">
        <f t="shared" si="163"/>
        <v>-12.2</v>
      </c>
      <c r="BT301" s="1">
        <f t="shared" si="176"/>
        <v>0.8</v>
      </c>
      <c r="BU301" s="1" t="s">
        <v>113</v>
      </c>
      <c r="BV301" s="1">
        <f t="shared" si="177"/>
        <v>3.5</v>
      </c>
      <c r="BW301" s="1" t="str">
        <f t="shared" si="169"/>
        <v>NAN</v>
      </c>
      <c r="BX301" s="1">
        <f t="shared" si="170"/>
        <v>0.441</v>
      </c>
      <c r="BY301" s="1">
        <f t="shared" si="171"/>
        <v>0.38800000000000001</v>
      </c>
      <c r="CA301" s="1">
        <f t="shared" si="164"/>
        <v>-5.6</v>
      </c>
      <c r="CB301" s="1">
        <f t="shared" si="165"/>
        <v>-7.1999999999999993</v>
      </c>
    </row>
    <row r="302" spans="1:80" x14ac:dyDescent="0.2">
      <c r="A302" s="9">
        <f t="shared" si="172"/>
        <v>43762</v>
      </c>
      <c r="B302" s="2">
        <v>297</v>
      </c>
      <c r="C302" s="2">
        <v>21</v>
      </c>
      <c r="D302" s="2">
        <v>13.14</v>
      </c>
      <c r="E302" s="2">
        <v>17.77</v>
      </c>
      <c r="F302" s="2">
        <v>-3.7629999999999999</v>
      </c>
      <c r="G302" s="2">
        <v>3.7589999999999999</v>
      </c>
      <c r="H302" s="2">
        <v>84.5</v>
      </c>
      <c r="I302" s="2">
        <v>3.24</v>
      </c>
      <c r="J302" s="2">
        <v>-0.55800000000000005</v>
      </c>
      <c r="K302" s="2">
        <v>0.97599999999999998</v>
      </c>
      <c r="L302" s="2">
        <v>3.4510000000000001</v>
      </c>
      <c r="M302" s="2">
        <v>11.13</v>
      </c>
      <c r="N302" s="2">
        <v>100.8</v>
      </c>
      <c r="O302" s="2">
        <v>15.22</v>
      </c>
      <c r="P302" s="2">
        <v>0.73799999999999999</v>
      </c>
      <c r="Q302" s="2">
        <v>1.796</v>
      </c>
      <c r="R302" s="2">
        <v>3.891</v>
      </c>
      <c r="S302" s="2">
        <v>-2.75</v>
      </c>
      <c r="T302" s="2">
        <v>58.83</v>
      </c>
      <c r="U302" s="2">
        <v>-4.085</v>
      </c>
      <c r="V302" s="2">
        <v>-2.59</v>
      </c>
      <c r="W302" s="2">
        <v>0.54200000000000004</v>
      </c>
      <c r="X302" s="2">
        <v>3.04</v>
      </c>
      <c r="Y302" s="2">
        <v>2.35</v>
      </c>
      <c r="Z302" s="2">
        <v>0</v>
      </c>
      <c r="AA302" s="2">
        <v>8.73</v>
      </c>
      <c r="AB302" s="2">
        <v>6.5019999999999998</v>
      </c>
      <c r="AC302" s="2">
        <v>1.1850000000000001</v>
      </c>
      <c r="AD302" s="2">
        <v>4.42</v>
      </c>
      <c r="AE302" s="2">
        <v>-1.0109999999999999</v>
      </c>
      <c r="AF302" s="2">
        <v>0.93899999999999995</v>
      </c>
      <c r="AG302" s="2">
        <v>-6.524</v>
      </c>
      <c r="AH302" s="2">
        <v>0.93899999999999995</v>
      </c>
      <c r="AI302" s="2">
        <v>-6.524</v>
      </c>
      <c r="AJ302" s="2" t="s">
        <v>113</v>
      </c>
      <c r="AK302" s="2" t="s">
        <v>113</v>
      </c>
      <c r="AL302" s="2">
        <v>3.7559999999999998</v>
      </c>
      <c r="AM302" s="2">
        <v>12.13</v>
      </c>
      <c r="AN302" s="2">
        <v>-3.0880000000000001</v>
      </c>
      <c r="AO302" s="2"/>
      <c r="AP302" s="1">
        <f t="shared" si="178"/>
        <v>0.10000000000000009</v>
      </c>
      <c r="AR302" s="5">
        <v>10.55</v>
      </c>
      <c r="AS302" s="5">
        <v>8.73</v>
      </c>
      <c r="AT302" s="5">
        <v>6.5</v>
      </c>
      <c r="AU302" s="7">
        <f t="shared" si="166"/>
        <v>0.745</v>
      </c>
      <c r="AV302" s="16"/>
      <c r="AW302" s="29">
        <v>0</v>
      </c>
      <c r="AX302" s="29">
        <v>20</v>
      </c>
      <c r="AY302" s="1">
        <f t="shared" si="144"/>
        <v>97.3</v>
      </c>
      <c r="AZ302" s="1">
        <f t="shared" si="145"/>
        <v>81.5</v>
      </c>
      <c r="BA302" s="1">
        <f t="shared" si="146"/>
        <v>56.6</v>
      </c>
      <c r="BB302" s="8">
        <f t="shared" si="147"/>
        <v>0.749</v>
      </c>
      <c r="BC302" s="8">
        <f t="shared" si="148"/>
        <v>0.57399999999999995</v>
      </c>
      <c r="BE302" s="5">
        <f t="shared" si="155"/>
        <v>8.73</v>
      </c>
      <c r="BF302" s="5">
        <f t="shared" si="156"/>
        <v>6.5</v>
      </c>
      <c r="BG302" s="1">
        <f t="shared" si="173"/>
        <v>3.8</v>
      </c>
      <c r="BH302" s="1">
        <f t="shared" si="174"/>
        <v>11.1</v>
      </c>
      <c r="BI302" s="1">
        <f t="shared" si="175"/>
        <v>-2.8</v>
      </c>
      <c r="BJ302" s="1">
        <f t="shared" si="157"/>
        <v>81.5</v>
      </c>
      <c r="BK302" s="1">
        <f t="shared" si="158"/>
        <v>56.6</v>
      </c>
      <c r="BL302" s="1">
        <f t="shared" si="167"/>
        <v>1.2</v>
      </c>
      <c r="BM302" s="1">
        <f t="shared" si="168"/>
        <v>4.4000000000000004</v>
      </c>
      <c r="BN302" s="21">
        <f t="shared" si="159"/>
        <v>0</v>
      </c>
      <c r="BO302" s="7">
        <f t="shared" si="160"/>
        <v>0.10000000000000009</v>
      </c>
      <c r="BP302" s="21" t="str">
        <f t="shared" si="154"/>
        <v>NAN</v>
      </c>
      <c r="BQ302" s="1">
        <f t="shared" si="161"/>
        <v>-1</v>
      </c>
      <c r="BR302" s="1">
        <f t="shared" si="162"/>
        <v>0.9</v>
      </c>
      <c r="BS302" s="1">
        <f t="shared" si="163"/>
        <v>-6.5</v>
      </c>
      <c r="BT302" s="1">
        <f t="shared" si="176"/>
        <v>1</v>
      </c>
      <c r="BU302" s="1" t="s">
        <v>113</v>
      </c>
      <c r="BV302" s="1">
        <f t="shared" si="177"/>
        <v>3.5</v>
      </c>
      <c r="BW302" s="1" t="str">
        <f t="shared" si="169"/>
        <v>NAN</v>
      </c>
      <c r="BX302" s="1">
        <f t="shared" si="170"/>
        <v>0.749</v>
      </c>
      <c r="BY302" s="1">
        <f t="shared" si="171"/>
        <v>0.57399999999999995</v>
      </c>
      <c r="CA302" s="1">
        <f t="shared" si="164"/>
        <v>-10.199999999999999</v>
      </c>
      <c r="CB302" s="1">
        <f t="shared" si="165"/>
        <v>-3.7</v>
      </c>
    </row>
    <row r="303" spans="1:80" x14ac:dyDescent="0.2">
      <c r="A303" s="9">
        <f t="shared" si="172"/>
        <v>43763</v>
      </c>
      <c r="B303" s="2">
        <v>298</v>
      </c>
      <c r="C303" s="2">
        <v>21</v>
      </c>
      <c r="D303" s="2">
        <v>13.14</v>
      </c>
      <c r="E303" s="2">
        <v>10.19</v>
      </c>
      <c r="F303" s="2">
        <v>-2.629</v>
      </c>
      <c r="G303" s="2">
        <v>2.1549999999999998</v>
      </c>
      <c r="H303" s="2">
        <v>85.9</v>
      </c>
      <c r="I303" s="2">
        <v>1.2430000000000001</v>
      </c>
      <c r="J303" s="2">
        <v>-0.69799999999999995</v>
      </c>
      <c r="K303" s="2">
        <v>0.99</v>
      </c>
      <c r="L303" s="2">
        <v>3.331</v>
      </c>
      <c r="M303" s="2">
        <v>9.26</v>
      </c>
      <c r="N303" s="2">
        <v>102.2</v>
      </c>
      <c r="O303" s="2">
        <v>10.7</v>
      </c>
      <c r="P303" s="2">
        <v>8.0399999999999991</v>
      </c>
      <c r="Q303" s="2">
        <v>2.2839999999999998</v>
      </c>
      <c r="R303" s="2">
        <v>3.7490000000000001</v>
      </c>
      <c r="S303" s="2">
        <v>-2.52</v>
      </c>
      <c r="T303" s="2">
        <v>63.91</v>
      </c>
      <c r="U303" s="2">
        <v>-3.9449999999999998</v>
      </c>
      <c r="V303" s="2">
        <v>-5.7560000000000002</v>
      </c>
      <c r="W303" s="2">
        <v>0.35699999999999998</v>
      </c>
      <c r="X303" s="2">
        <v>3.1589999999999998</v>
      </c>
      <c r="Y303" s="2">
        <v>2.3439999999999999</v>
      </c>
      <c r="Z303" s="2">
        <v>0</v>
      </c>
      <c r="AA303" s="2">
        <v>2.9780000000000002</v>
      </c>
      <c r="AB303" s="2">
        <v>1.9370000000000001</v>
      </c>
      <c r="AC303" s="2">
        <v>2.1760000000000002</v>
      </c>
      <c r="AD303" s="2">
        <v>8.4499999999999993</v>
      </c>
      <c r="AE303" s="2">
        <v>-1.8069999999999999</v>
      </c>
      <c r="AF303" s="2">
        <v>1.339</v>
      </c>
      <c r="AG303" s="2">
        <v>-6.5620000000000003</v>
      </c>
      <c r="AH303" s="2">
        <v>1.339</v>
      </c>
      <c r="AI303" s="2">
        <v>-6.5620000000000003</v>
      </c>
      <c r="AJ303" s="2" t="s">
        <v>113</v>
      </c>
      <c r="AK303" s="2" t="s">
        <v>113</v>
      </c>
      <c r="AL303" s="2">
        <v>1.829</v>
      </c>
      <c r="AM303" s="2">
        <v>8.77</v>
      </c>
      <c r="AN303" s="2">
        <v>-2.734</v>
      </c>
      <c r="AO303" s="2"/>
      <c r="AP303" s="1">
        <f t="shared" si="178"/>
        <v>0.10600000000000032</v>
      </c>
      <c r="AR303" s="5">
        <v>10.36</v>
      </c>
      <c r="AS303" s="5">
        <v>2.98</v>
      </c>
      <c r="AT303" s="5">
        <v>1.94</v>
      </c>
      <c r="AU303" s="7">
        <f t="shared" si="166"/>
        <v>0.65100000000000002</v>
      </c>
      <c r="AV303" s="16"/>
      <c r="AW303" s="29">
        <v>0</v>
      </c>
      <c r="AX303" s="29">
        <v>0</v>
      </c>
      <c r="AY303" s="1">
        <f t="shared" si="144"/>
        <v>98.6</v>
      </c>
      <c r="AZ303" s="1">
        <f t="shared" si="145"/>
        <v>82.8</v>
      </c>
      <c r="BA303" s="1">
        <f t="shared" si="146"/>
        <v>61.5</v>
      </c>
      <c r="BB303" s="8">
        <f t="shared" si="147"/>
        <v>0.71799999999999997</v>
      </c>
      <c r="BC303" s="8">
        <f t="shared" si="148"/>
        <v>0.44900000000000001</v>
      </c>
      <c r="BE303" s="5">
        <f t="shared" si="155"/>
        <v>2.98</v>
      </c>
      <c r="BF303" s="5">
        <f t="shared" si="156"/>
        <v>1.94</v>
      </c>
      <c r="BG303" s="1">
        <f t="shared" si="173"/>
        <v>2.2000000000000002</v>
      </c>
      <c r="BH303" s="1">
        <f t="shared" si="174"/>
        <v>9.3000000000000007</v>
      </c>
      <c r="BI303" s="1">
        <f t="shared" si="175"/>
        <v>-2.5</v>
      </c>
      <c r="BJ303" s="1">
        <f t="shared" si="157"/>
        <v>82.8</v>
      </c>
      <c r="BK303" s="1">
        <f t="shared" si="158"/>
        <v>61.5</v>
      </c>
      <c r="BL303" s="1">
        <f t="shared" si="167"/>
        <v>2.2000000000000002</v>
      </c>
      <c r="BM303" s="1">
        <f t="shared" si="168"/>
        <v>8.5</v>
      </c>
      <c r="BN303" s="21">
        <f t="shared" si="159"/>
        <v>0</v>
      </c>
      <c r="BO303" s="7">
        <f t="shared" si="160"/>
        <v>0.10600000000000032</v>
      </c>
      <c r="BP303" s="21" t="str">
        <f t="shared" si="154"/>
        <v>NAN</v>
      </c>
      <c r="BQ303" s="1">
        <f t="shared" si="161"/>
        <v>-1.8</v>
      </c>
      <c r="BR303" s="1">
        <f t="shared" si="162"/>
        <v>1.3</v>
      </c>
      <c r="BS303" s="1">
        <f t="shared" si="163"/>
        <v>-6.6</v>
      </c>
      <c r="BT303" s="1">
        <f t="shared" si="176"/>
        <v>1</v>
      </c>
      <c r="BU303" s="1" t="s">
        <v>113</v>
      </c>
      <c r="BV303" s="1">
        <f t="shared" si="177"/>
        <v>3.3</v>
      </c>
      <c r="BW303" s="1" t="str">
        <f t="shared" si="169"/>
        <v>NAN</v>
      </c>
      <c r="BX303" s="1">
        <f t="shared" si="170"/>
        <v>0.71799999999999997</v>
      </c>
      <c r="BY303" s="1">
        <f t="shared" si="171"/>
        <v>0.44900000000000001</v>
      </c>
      <c r="CA303" s="1">
        <f t="shared" si="164"/>
        <v>-8</v>
      </c>
      <c r="CB303" s="1">
        <f t="shared" si="165"/>
        <v>-4.0999999999999996</v>
      </c>
    </row>
    <row r="304" spans="1:80" x14ac:dyDescent="0.2">
      <c r="A304" s="9">
        <f t="shared" si="172"/>
        <v>43764</v>
      </c>
      <c r="B304" s="2">
        <v>299</v>
      </c>
      <c r="C304" s="2">
        <v>21</v>
      </c>
      <c r="D304" s="2">
        <v>13.1</v>
      </c>
      <c r="E304" s="2">
        <v>6.7160000000000002</v>
      </c>
      <c r="F304" s="2">
        <v>-7.67</v>
      </c>
      <c r="G304" s="2">
        <v>-3.1070000000000002</v>
      </c>
      <c r="H304" s="2">
        <v>83.7</v>
      </c>
      <c r="I304" s="2">
        <v>-3.383</v>
      </c>
      <c r="J304" s="2">
        <v>-4.9960000000000004</v>
      </c>
      <c r="K304" s="2">
        <v>0.40899999999999997</v>
      </c>
      <c r="L304" s="2">
        <v>3.222</v>
      </c>
      <c r="M304" s="2">
        <v>0.45800000000000002</v>
      </c>
      <c r="N304" s="2">
        <v>96.2</v>
      </c>
      <c r="O304" s="2">
        <v>6.1020000000000003</v>
      </c>
      <c r="P304" s="2">
        <v>5.15</v>
      </c>
      <c r="Q304" s="2">
        <v>1.1240000000000001</v>
      </c>
      <c r="R304" s="2">
        <v>3.552</v>
      </c>
      <c r="S304" s="2">
        <v>-6.8789999999999996</v>
      </c>
      <c r="T304" s="2">
        <v>65.650000000000006</v>
      </c>
      <c r="U304" s="2">
        <v>-10.16</v>
      </c>
      <c r="V304" s="2">
        <v>-16.5</v>
      </c>
      <c r="W304" s="2">
        <v>6.7000000000000004E-2</v>
      </c>
      <c r="X304" s="2">
        <v>3.0840000000000001</v>
      </c>
      <c r="Y304" s="2">
        <v>2.3780000000000001</v>
      </c>
      <c r="Z304" s="2">
        <v>1.778</v>
      </c>
      <c r="AA304" s="2">
        <v>8.7100000000000009</v>
      </c>
      <c r="AB304" s="2">
        <v>6.6719999999999997</v>
      </c>
      <c r="AC304" s="2">
        <v>2.2639999999999998</v>
      </c>
      <c r="AD304" s="2">
        <v>7.51</v>
      </c>
      <c r="AE304" s="2">
        <v>-6.4939999999999998</v>
      </c>
      <c r="AF304" s="2">
        <v>-0.28399999999999997</v>
      </c>
      <c r="AG304" s="2">
        <v>-15.56</v>
      </c>
      <c r="AH304" s="2">
        <v>-0.28399999999999997</v>
      </c>
      <c r="AI304" s="2">
        <v>-15.56</v>
      </c>
      <c r="AJ304" s="2" t="s">
        <v>113</v>
      </c>
      <c r="AK304" s="2" t="s">
        <v>113</v>
      </c>
      <c r="AL304" s="2">
        <v>-2.9039999999999999</v>
      </c>
      <c r="AM304" s="2">
        <v>2.4620000000000002</v>
      </c>
      <c r="AN304" s="2">
        <v>-7.59</v>
      </c>
      <c r="AO304" s="2"/>
      <c r="AP304" s="1">
        <f t="shared" si="178"/>
        <v>7.2000000000000064E-2</v>
      </c>
      <c r="AR304" s="5">
        <v>10.17</v>
      </c>
      <c r="AS304" s="5">
        <v>8.7100000000000009</v>
      </c>
      <c r="AT304" s="5">
        <v>6.67</v>
      </c>
      <c r="AU304" s="7">
        <f t="shared" si="166"/>
        <v>0.76600000000000001</v>
      </c>
      <c r="AV304" s="16"/>
      <c r="AW304" s="29">
        <v>0</v>
      </c>
      <c r="AX304" s="29">
        <v>0</v>
      </c>
      <c r="AY304" s="1">
        <f t="shared" si="144"/>
        <v>92.8</v>
      </c>
      <c r="AZ304" s="1">
        <f t="shared" si="145"/>
        <v>80.7</v>
      </c>
      <c r="BA304" s="1">
        <f t="shared" si="146"/>
        <v>63.2</v>
      </c>
      <c r="BB304" s="8">
        <f t="shared" si="147"/>
        <v>0.39900000000000002</v>
      </c>
      <c r="BC304" s="8">
        <f t="shared" si="148"/>
        <v>0.23200000000000001</v>
      </c>
      <c r="BE304" s="5">
        <f t="shared" si="155"/>
        <v>8.7100000000000009</v>
      </c>
      <c r="BF304" s="5">
        <f t="shared" si="156"/>
        <v>6.67</v>
      </c>
      <c r="BG304" s="1">
        <f t="shared" si="173"/>
        <v>-3.1</v>
      </c>
      <c r="BH304" s="1">
        <f t="shared" si="174"/>
        <v>0.5</v>
      </c>
      <c r="BI304" s="1">
        <f t="shared" si="175"/>
        <v>-6.9</v>
      </c>
      <c r="BJ304" s="1">
        <f t="shared" si="157"/>
        <v>80.7</v>
      </c>
      <c r="BK304" s="1">
        <f t="shared" si="158"/>
        <v>63.2</v>
      </c>
      <c r="BL304" s="1">
        <f t="shared" si="167"/>
        <v>2.2999999999999998</v>
      </c>
      <c r="BM304" s="1">
        <f t="shared" si="168"/>
        <v>7.5</v>
      </c>
      <c r="BN304" s="21">
        <f t="shared" si="159"/>
        <v>0</v>
      </c>
      <c r="BO304" s="7">
        <f t="shared" si="160"/>
        <v>7.2000000000000064E-2</v>
      </c>
      <c r="BP304" s="21" t="str">
        <f t="shared" si="154"/>
        <v>NAN</v>
      </c>
      <c r="BQ304" s="1">
        <f t="shared" si="161"/>
        <v>-6.5</v>
      </c>
      <c r="BR304" s="1">
        <f t="shared" si="162"/>
        <v>-0.3</v>
      </c>
      <c r="BS304" s="1">
        <f t="shared" si="163"/>
        <v>-15.6</v>
      </c>
      <c r="BT304" s="1">
        <f t="shared" si="176"/>
        <v>0.4</v>
      </c>
      <c r="BU304" s="1" t="s">
        <v>113</v>
      </c>
      <c r="BV304" s="1">
        <f t="shared" si="177"/>
        <v>3.2</v>
      </c>
      <c r="BW304" s="1" t="str">
        <f t="shared" si="169"/>
        <v>NAN</v>
      </c>
      <c r="BX304" s="1">
        <f t="shared" si="170"/>
        <v>0.39900000000000002</v>
      </c>
      <c r="BY304" s="1">
        <f t="shared" si="171"/>
        <v>0.23200000000000001</v>
      </c>
      <c r="CA304" s="1">
        <f t="shared" si="164"/>
        <v>-0.8</v>
      </c>
      <c r="CB304" s="1">
        <f t="shared" si="165"/>
        <v>-8.6999999999999993</v>
      </c>
    </row>
    <row r="305" spans="1:80" x14ac:dyDescent="0.2">
      <c r="A305" s="9">
        <f t="shared" si="172"/>
        <v>43765</v>
      </c>
      <c r="B305" s="2">
        <v>300</v>
      </c>
      <c r="C305" s="2">
        <v>21</v>
      </c>
      <c r="D305" s="2">
        <v>13.11</v>
      </c>
      <c r="E305" s="2">
        <v>9.17</v>
      </c>
      <c r="F305" s="2">
        <v>-11.33</v>
      </c>
      <c r="G305" s="2">
        <v>-4.556</v>
      </c>
      <c r="H305" s="2">
        <v>70.599999999999994</v>
      </c>
      <c r="I305" s="2">
        <v>-5.1829999999999998</v>
      </c>
      <c r="J305" s="2">
        <v>-8.16</v>
      </c>
      <c r="K305" s="2">
        <v>0.17899999999999999</v>
      </c>
      <c r="L305" s="2">
        <v>3.141</v>
      </c>
      <c r="M305" s="2">
        <v>0.46300000000000002</v>
      </c>
      <c r="N305" s="2">
        <v>100</v>
      </c>
      <c r="O305" s="2">
        <v>6.5289999999999999</v>
      </c>
      <c r="P305" s="2">
        <v>4.6609999999999996</v>
      </c>
      <c r="Q305" s="2">
        <v>1.1519999999999999</v>
      </c>
      <c r="R305" s="2">
        <v>3.5</v>
      </c>
      <c r="S305" s="2">
        <v>-10.66</v>
      </c>
      <c r="T305" s="2">
        <v>46.41</v>
      </c>
      <c r="U305" s="2">
        <v>-14.29</v>
      </c>
      <c r="V305" s="2">
        <v>-19.39</v>
      </c>
      <c r="W305" s="2">
        <v>-0.36599999999999999</v>
      </c>
      <c r="X305" s="2">
        <v>2.7440000000000002</v>
      </c>
      <c r="Y305" s="2">
        <v>2.3660000000000001</v>
      </c>
      <c r="Z305" s="2">
        <v>0</v>
      </c>
      <c r="AA305" s="2">
        <v>9.6</v>
      </c>
      <c r="AB305" s="2">
        <v>7.02</v>
      </c>
      <c r="AC305" s="2">
        <v>1.8169999999999999</v>
      </c>
      <c r="AD305" s="2">
        <v>5.8070000000000004</v>
      </c>
      <c r="AE305" s="2">
        <v>-10.26</v>
      </c>
      <c r="AF305" s="2">
        <v>-3.2410000000000001</v>
      </c>
      <c r="AG305" s="2">
        <v>-17.86</v>
      </c>
      <c r="AH305" s="2">
        <v>-3.2410000000000001</v>
      </c>
      <c r="AI305" s="2">
        <v>-17.86</v>
      </c>
      <c r="AJ305" s="2" t="s">
        <v>113</v>
      </c>
      <c r="AK305" s="2" t="s">
        <v>113</v>
      </c>
      <c r="AL305" s="2">
        <v>-4.5999999999999996</v>
      </c>
      <c r="AM305" s="2">
        <v>3.181</v>
      </c>
      <c r="AN305" s="2">
        <v>-11.39</v>
      </c>
      <c r="AO305" s="2"/>
      <c r="AP305" s="1">
        <f t="shared" si="178"/>
        <v>8.4000000000000075E-2</v>
      </c>
      <c r="AQ305" s="24">
        <f t="shared" ref="AQ305:AQ345" si="179">ROUND(K305,1)</f>
        <v>0.2</v>
      </c>
      <c r="AR305" s="5">
        <v>9.98</v>
      </c>
      <c r="AS305" s="5">
        <v>9.6</v>
      </c>
      <c r="AT305" s="5">
        <v>7.01</v>
      </c>
      <c r="AU305" s="7">
        <f t="shared" si="166"/>
        <v>0.73</v>
      </c>
      <c r="AV305" s="16"/>
      <c r="AW305" s="29">
        <v>0</v>
      </c>
      <c r="AX305" s="29">
        <v>0</v>
      </c>
      <c r="AY305" s="1">
        <f t="shared" si="144"/>
        <v>96.5</v>
      </c>
      <c r="AZ305" s="1">
        <f t="shared" si="145"/>
        <v>68</v>
      </c>
      <c r="BA305" s="1">
        <f t="shared" si="146"/>
        <v>44.5</v>
      </c>
      <c r="BB305" s="8">
        <f t="shared" si="147"/>
        <v>0.28100000000000003</v>
      </c>
      <c r="BC305" s="8">
        <f t="shared" si="148"/>
        <v>0.35</v>
      </c>
      <c r="BE305" s="5">
        <f t="shared" si="155"/>
        <v>9.6</v>
      </c>
      <c r="BF305" s="5">
        <f t="shared" si="156"/>
        <v>7.01</v>
      </c>
      <c r="BG305" s="1">
        <f t="shared" si="173"/>
        <v>-4.5999999999999996</v>
      </c>
      <c r="BH305" s="1">
        <f t="shared" si="174"/>
        <v>0.5</v>
      </c>
      <c r="BI305" s="1">
        <f t="shared" si="175"/>
        <v>-10.7</v>
      </c>
      <c r="BJ305" s="1">
        <f t="shared" si="157"/>
        <v>68</v>
      </c>
      <c r="BK305" s="1">
        <f t="shared" si="158"/>
        <v>44.5</v>
      </c>
      <c r="BL305" s="1">
        <f t="shared" si="167"/>
        <v>1.8</v>
      </c>
      <c r="BM305" s="1">
        <f t="shared" si="168"/>
        <v>5.8</v>
      </c>
      <c r="BN305" s="21">
        <f t="shared" si="159"/>
        <v>0</v>
      </c>
      <c r="BO305" s="7">
        <f t="shared" si="160"/>
        <v>8.4000000000000075E-2</v>
      </c>
      <c r="BP305" s="21">
        <f t="shared" si="154"/>
        <v>0.2</v>
      </c>
      <c r="BQ305" s="1">
        <f t="shared" si="161"/>
        <v>-10.3</v>
      </c>
      <c r="BR305" s="1">
        <f t="shared" si="162"/>
        <v>-3.2</v>
      </c>
      <c r="BS305" s="1">
        <f t="shared" si="163"/>
        <v>-17.899999999999999</v>
      </c>
      <c r="BT305" s="1">
        <f t="shared" si="176"/>
        <v>0.2</v>
      </c>
      <c r="BU305" s="1" t="s">
        <v>113</v>
      </c>
      <c r="BV305" s="1">
        <f t="shared" si="177"/>
        <v>3.1</v>
      </c>
      <c r="BW305" s="1" t="str">
        <f t="shared" si="169"/>
        <v>NAN</v>
      </c>
      <c r="BX305" s="1">
        <f t="shared" si="170"/>
        <v>0.28100000000000003</v>
      </c>
      <c r="BY305" s="1">
        <f t="shared" si="171"/>
        <v>0.35</v>
      </c>
      <c r="CA305" s="1">
        <f t="shared" si="164"/>
        <v>-3.7</v>
      </c>
      <c r="CB305" s="1">
        <f t="shared" si="165"/>
        <v>-7.1999999999999993</v>
      </c>
    </row>
    <row r="306" spans="1:80" x14ac:dyDescent="0.2">
      <c r="A306" s="9">
        <f t="shared" si="172"/>
        <v>43766</v>
      </c>
      <c r="B306" s="2">
        <v>301</v>
      </c>
      <c r="C306" s="2">
        <v>21</v>
      </c>
      <c r="D306" s="2">
        <v>13.06</v>
      </c>
      <c r="E306" s="2">
        <v>3.6869999999999998</v>
      </c>
      <c r="F306" s="2">
        <v>-15.68</v>
      </c>
      <c r="G306" s="2">
        <v>-5.3470000000000004</v>
      </c>
      <c r="H306" s="2">
        <v>60.41</v>
      </c>
      <c r="I306" s="2">
        <v>-6.0970000000000004</v>
      </c>
      <c r="J306" s="2">
        <v>-8.2799999999999994</v>
      </c>
      <c r="K306" s="2">
        <v>-0.14099999999999999</v>
      </c>
      <c r="L306" s="2">
        <v>2.9780000000000002</v>
      </c>
      <c r="M306" s="2">
        <v>-2.052</v>
      </c>
      <c r="N306" s="2">
        <v>87.3</v>
      </c>
      <c r="O306" s="2">
        <v>3.57</v>
      </c>
      <c r="P306" s="2">
        <v>1.591</v>
      </c>
      <c r="Q306" s="2">
        <v>0.19700000000000001</v>
      </c>
      <c r="R306" s="2">
        <v>3.129</v>
      </c>
      <c r="S306" s="2">
        <v>-15.8</v>
      </c>
      <c r="T306" s="2">
        <v>31.42</v>
      </c>
      <c r="U306" s="2">
        <v>-20.68</v>
      </c>
      <c r="V306" s="2">
        <v>-26.82</v>
      </c>
      <c r="W306" s="2">
        <v>-0.51900000000000002</v>
      </c>
      <c r="X306" s="2">
        <v>2.5550000000000002</v>
      </c>
      <c r="Y306" s="2">
        <v>2.3719999999999999</v>
      </c>
      <c r="Z306" s="2">
        <v>0</v>
      </c>
      <c r="AA306" s="2">
        <v>4.0330000000000004</v>
      </c>
      <c r="AB306" s="2">
        <v>2.9929999999999999</v>
      </c>
      <c r="AC306" s="2">
        <v>2.3250000000000002</v>
      </c>
      <c r="AD306" s="2">
        <v>7.09</v>
      </c>
      <c r="AE306" s="2">
        <v>-9.58</v>
      </c>
      <c r="AF306" s="2">
        <v>-2.7069999999999999</v>
      </c>
      <c r="AG306" s="2">
        <v>-25.14</v>
      </c>
      <c r="AH306" s="2">
        <v>-2.7069999999999999</v>
      </c>
      <c r="AI306" s="2">
        <v>-25.14</v>
      </c>
      <c r="AJ306" s="2" t="s">
        <v>113</v>
      </c>
      <c r="AK306" s="2" t="s">
        <v>113</v>
      </c>
      <c r="AL306" s="2">
        <v>-5.3780000000000001</v>
      </c>
      <c r="AM306" s="2">
        <v>-0.49</v>
      </c>
      <c r="AN306" s="2">
        <v>-16.899999999999999</v>
      </c>
      <c r="AO306" s="2"/>
      <c r="AP306" s="1">
        <f t="shared" si="178"/>
        <v>7.8000000000000291E-2</v>
      </c>
      <c r="AQ306" s="24">
        <f t="shared" si="179"/>
        <v>-0.1</v>
      </c>
      <c r="AR306" s="5">
        <v>9.8000000000000007</v>
      </c>
      <c r="AS306" s="5">
        <v>4.03</v>
      </c>
      <c r="AT306" s="5">
        <v>2.98</v>
      </c>
      <c r="AU306" s="7">
        <f t="shared" si="166"/>
        <v>0.73899999999999999</v>
      </c>
      <c r="AV306" s="16"/>
      <c r="AW306" s="30">
        <v>0</v>
      </c>
      <c r="AX306" s="29">
        <v>0</v>
      </c>
      <c r="AY306" s="1">
        <f t="shared" si="144"/>
        <v>84.2</v>
      </c>
      <c r="AZ306" s="1">
        <f t="shared" si="145"/>
        <v>58.1</v>
      </c>
      <c r="BA306" s="1">
        <f t="shared" si="146"/>
        <v>30</v>
      </c>
      <c r="BB306" s="8">
        <f t="shared" si="147"/>
        <v>0.158</v>
      </c>
      <c r="BC306" s="8">
        <f t="shared" si="148"/>
        <v>0.36899999999999999</v>
      </c>
      <c r="BE306" s="5">
        <f t="shared" si="155"/>
        <v>4.03</v>
      </c>
      <c r="BF306" s="5">
        <f t="shared" si="156"/>
        <v>2.98</v>
      </c>
      <c r="BG306" s="1">
        <f t="shared" si="173"/>
        <v>-5.3</v>
      </c>
      <c r="BH306" s="1">
        <f t="shared" si="174"/>
        <v>-2.1</v>
      </c>
      <c r="BI306" s="1">
        <f t="shared" si="175"/>
        <v>-15.8</v>
      </c>
      <c r="BJ306" s="1">
        <f t="shared" si="157"/>
        <v>58.1</v>
      </c>
      <c r="BK306" s="1">
        <f t="shared" si="158"/>
        <v>30</v>
      </c>
      <c r="BL306" s="1">
        <f t="shared" si="167"/>
        <v>2.2999999999999998</v>
      </c>
      <c r="BM306" s="1">
        <f t="shared" si="168"/>
        <v>7.1</v>
      </c>
      <c r="BN306" s="21">
        <f t="shared" si="159"/>
        <v>0</v>
      </c>
      <c r="BO306" s="7">
        <f t="shared" si="160"/>
        <v>7.8000000000000291E-2</v>
      </c>
      <c r="BP306" s="21">
        <f t="shared" si="154"/>
        <v>-0.1</v>
      </c>
      <c r="BQ306" s="1">
        <f t="shared" si="161"/>
        <v>-9.6</v>
      </c>
      <c r="BR306" s="1">
        <f t="shared" si="162"/>
        <v>-2.7</v>
      </c>
      <c r="BS306" s="1">
        <f t="shared" si="163"/>
        <v>-25.1</v>
      </c>
      <c r="BT306" s="1">
        <f t="shared" si="176"/>
        <v>-0.1</v>
      </c>
      <c r="BU306" s="1" t="s">
        <v>113</v>
      </c>
      <c r="BV306" s="1">
        <f t="shared" si="177"/>
        <v>3</v>
      </c>
      <c r="BW306" s="1" t="str">
        <f t="shared" si="169"/>
        <v>NAN</v>
      </c>
      <c r="BX306" s="1">
        <f t="shared" si="170"/>
        <v>0.158</v>
      </c>
      <c r="BY306" s="1">
        <f t="shared" si="171"/>
        <v>0.36899999999999999</v>
      </c>
      <c r="CA306" s="1">
        <f t="shared" si="164"/>
        <v>-0.60000000000000009</v>
      </c>
      <c r="CB306" s="1">
        <f t="shared" si="165"/>
        <v>-9.3000000000000007</v>
      </c>
    </row>
    <row r="307" spans="1:80" x14ac:dyDescent="0.2">
      <c r="A307" s="9">
        <f t="shared" si="172"/>
        <v>43767</v>
      </c>
      <c r="B307" s="2">
        <v>302</v>
      </c>
      <c r="C307" s="2">
        <v>21</v>
      </c>
      <c r="D307" s="2">
        <v>13.07</v>
      </c>
      <c r="E307" s="2">
        <v>7.49</v>
      </c>
      <c r="F307" s="2">
        <v>-23.61</v>
      </c>
      <c r="G307" s="2">
        <v>-10.93</v>
      </c>
      <c r="H307" s="2">
        <v>67.33</v>
      </c>
      <c r="I307" s="2">
        <v>-12.15</v>
      </c>
      <c r="J307" s="2">
        <v>-15.25</v>
      </c>
      <c r="K307" s="2">
        <v>-1.1060000000000001</v>
      </c>
      <c r="L307" s="2">
        <v>2.8969999999999998</v>
      </c>
      <c r="M307" s="2">
        <v>-1.7070000000000001</v>
      </c>
      <c r="N307" s="2">
        <v>93.9</v>
      </c>
      <c r="O307" s="2">
        <v>3.2789999999999999</v>
      </c>
      <c r="P307" s="2">
        <v>2.9950000000000001</v>
      </c>
      <c r="Q307" s="2">
        <v>-4.7E-2</v>
      </c>
      <c r="R307" s="2">
        <v>3.5329999999999999</v>
      </c>
      <c r="S307" s="2">
        <v>-21</v>
      </c>
      <c r="T307" s="2">
        <v>21.19</v>
      </c>
      <c r="U307" s="2">
        <v>-24.79</v>
      </c>
      <c r="V307" s="2">
        <v>-29.68</v>
      </c>
      <c r="W307" s="2">
        <v>-2.3839999999999999</v>
      </c>
      <c r="X307" s="2">
        <v>2.3809999999999998</v>
      </c>
      <c r="Y307" s="2">
        <v>2.3780000000000001</v>
      </c>
      <c r="Z307" s="2">
        <v>0.254</v>
      </c>
      <c r="AA307" s="2">
        <v>9.39</v>
      </c>
      <c r="AB307" s="2">
        <v>6.9630000000000001</v>
      </c>
      <c r="AC307" s="2">
        <v>0.56299999999999994</v>
      </c>
      <c r="AD307" s="2">
        <v>3.8069999999999999</v>
      </c>
      <c r="AE307" s="2">
        <v>-16.95</v>
      </c>
      <c r="AF307" s="2">
        <v>-7.43</v>
      </c>
      <c r="AG307" s="2">
        <v>-27.75</v>
      </c>
      <c r="AH307" s="2">
        <v>-7.43</v>
      </c>
      <c r="AI307" s="2">
        <v>-27.75</v>
      </c>
      <c r="AJ307" s="2" t="s">
        <v>113</v>
      </c>
      <c r="AK307" s="2" t="s">
        <v>113</v>
      </c>
      <c r="AL307" s="2">
        <v>-11.46</v>
      </c>
      <c r="AM307" s="2">
        <v>0.54300000000000004</v>
      </c>
      <c r="AN307" s="2">
        <v>-22.73</v>
      </c>
      <c r="AO307" s="2"/>
      <c r="AP307" s="1">
        <f t="shared" si="178"/>
        <v>7.2000000000000064E-2</v>
      </c>
      <c r="AQ307" s="24">
        <f t="shared" si="179"/>
        <v>-1.1000000000000001</v>
      </c>
      <c r="AR307" s="5">
        <v>9.6199999999999992</v>
      </c>
      <c r="AS307" s="5">
        <v>9.39</v>
      </c>
      <c r="AT307" s="5">
        <v>6.95</v>
      </c>
      <c r="AU307" s="7">
        <f t="shared" si="166"/>
        <v>0.74</v>
      </c>
      <c r="AV307" s="16"/>
      <c r="AW307" s="30">
        <v>0</v>
      </c>
      <c r="AX307" s="29">
        <v>0</v>
      </c>
      <c r="AY307" s="1">
        <f t="shared" si="144"/>
        <v>90.6</v>
      </c>
      <c r="AZ307" s="1">
        <f t="shared" si="145"/>
        <v>64.8</v>
      </c>
      <c r="BA307" s="1">
        <f t="shared" si="146"/>
        <v>20.100000000000001</v>
      </c>
      <c r="BB307" s="8">
        <f t="shared" si="147"/>
        <v>0.108</v>
      </c>
      <c r="BC307" s="8">
        <f t="shared" si="148"/>
        <v>0.42899999999999999</v>
      </c>
      <c r="BE307" s="5">
        <f t="shared" si="155"/>
        <v>9.39</v>
      </c>
      <c r="BF307" s="5">
        <f t="shared" si="156"/>
        <v>6.95</v>
      </c>
      <c r="BG307" s="1">
        <f t="shared" si="173"/>
        <v>-10.9</v>
      </c>
      <c r="BH307" s="1">
        <f t="shared" si="174"/>
        <v>-1.7</v>
      </c>
      <c r="BI307" s="1">
        <f t="shared" si="175"/>
        <v>-21</v>
      </c>
      <c r="BJ307" s="1">
        <f t="shared" si="157"/>
        <v>64.8</v>
      </c>
      <c r="BK307" s="1">
        <f t="shared" si="158"/>
        <v>20.100000000000001</v>
      </c>
      <c r="BL307" s="1">
        <f t="shared" si="167"/>
        <v>0.6</v>
      </c>
      <c r="BM307" s="1">
        <f t="shared" si="168"/>
        <v>3.8</v>
      </c>
      <c r="BN307" s="21">
        <f t="shared" si="159"/>
        <v>0</v>
      </c>
      <c r="BO307" s="7">
        <f t="shared" si="160"/>
        <v>7.2000000000000064E-2</v>
      </c>
      <c r="BP307" s="21">
        <f t="shared" si="154"/>
        <v>-1.1000000000000001</v>
      </c>
      <c r="BQ307" s="1">
        <f t="shared" si="161"/>
        <v>-17</v>
      </c>
      <c r="BR307" s="1">
        <f t="shared" si="162"/>
        <v>-7.4</v>
      </c>
      <c r="BS307" s="1">
        <f t="shared" si="163"/>
        <v>-27.8</v>
      </c>
      <c r="BT307" s="1">
        <f t="shared" si="176"/>
        <v>-1.1000000000000001</v>
      </c>
      <c r="BU307" s="1" t="s">
        <v>113</v>
      </c>
      <c r="BV307" s="1">
        <f t="shared" si="177"/>
        <v>2.9</v>
      </c>
      <c r="BW307" s="1" t="str">
        <f t="shared" si="169"/>
        <v>NAN</v>
      </c>
      <c r="BX307" s="1">
        <f t="shared" si="170"/>
        <v>0.108</v>
      </c>
      <c r="BY307" s="1">
        <f t="shared" si="171"/>
        <v>0.42899999999999999</v>
      </c>
      <c r="CA307" s="1">
        <f t="shared" si="164"/>
        <v>-5.7</v>
      </c>
      <c r="CB307" s="1">
        <f t="shared" si="165"/>
        <v>-6.8000000000000007</v>
      </c>
    </row>
    <row r="308" spans="1:80" x14ac:dyDescent="0.2">
      <c r="A308" s="9">
        <f t="shared" si="172"/>
        <v>43768</v>
      </c>
      <c r="B308" s="2">
        <v>303</v>
      </c>
      <c r="C308" s="2">
        <v>21</v>
      </c>
      <c r="D308" s="2">
        <v>13.1</v>
      </c>
      <c r="E308" s="2">
        <v>10.34</v>
      </c>
      <c r="F308" s="2">
        <v>-16.48</v>
      </c>
      <c r="G308" s="2">
        <v>-6.5330000000000004</v>
      </c>
      <c r="H308" s="2">
        <v>60.86</v>
      </c>
      <c r="I308" s="2">
        <v>-7.45</v>
      </c>
      <c r="J308" s="2">
        <v>-9.5500000000000007</v>
      </c>
      <c r="K308" s="2">
        <v>-1.5489999999999999</v>
      </c>
      <c r="L308" s="2">
        <v>2.8370000000000002</v>
      </c>
      <c r="M308" s="2">
        <v>2.4369999999999998</v>
      </c>
      <c r="N308" s="2">
        <v>96.7</v>
      </c>
      <c r="O308" s="2">
        <v>8.11</v>
      </c>
      <c r="P308" s="2">
        <v>6.8710000000000004</v>
      </c>
      <c r="Q308" s="2">
        <v>-0.251</v>
      </c>
      <c r="R308" s="2">
        <v>3.298</v>
      </c>
      <c r="S308" s="2">
        <v>-14.87</v>
      </c>
      <c r="T308" s="2">
        <v>26.14</v>
      </c>
      <c r="U308" s="2">
        <v>-17.84</v>
      </c>
      <c r="V308" s="2">
        <v>-20.079999999999998</v>
      </c>
      <c r="W308" s="2">
        <v>-3.0169999999999999</v>
      </c>
      <c r="X308" s="2">
        <v>2.629</v>
      </c>
      <c r="Y308" s="2">
        <v>2.3679999999999999</v>
      </c>
      <c r="Z308" s="2">
        <v>0</v>
      </c>
      <c r="AA308" s="2">
        <v>7.69</v>
      </c>
      <c r="AB308" s="2">
        <v>5.5010000000000003</v>
      </c>
      <c r="AC308" s="2">
        <v>0.85599999999999998</v>
      </c>
      <c r="AD308" s="2">
        <v>3.4870000000000001</v>
      </c>
      <c r="AE308" s="2">
        <v>-11.65</v>
      </c>
      <c r="AF308" s="2">
        <v>-2.5310000000000001</v>
      </c>
      <c r="AG308" s="2">
        <v>-19.14</v>
      </c>
      <c r="AH308" s="2">
        <v>-2.5310000000000001</v>
      </c>
      <c r="AI308" s="2">
        <v>-19.14</v>
      </c>
      <c r="AJ308" s="2" t="s">
        <v>113</v>
      </c>
      <c r="AK308" s="2" t="s">
        <v>113</v>
      </c>
      <c r="AL308" s="2">
        <v>-6.7270000000000003</v>
      </c>
      <c r="AM308" s="2">
        <v>5.13</v>
      </c>
      <c r="AN308" s="2">
        <v>-16.04</v>
      </c>
      <c r="AO308" s="2"/>
      <c r="AP308" s="1">
        <f t="shared" si="178"/>
        <v>8.2000000000000295E-2</v>
      </c>
      <c r="AQ308" s="24">
        <f t="shared" si="179"/>
        <v>-1.5</v>
      </c>
      <c r="AR308" s="5">
        <v>9.44</v>
      </c>
      <c r="AS308" s="5">
        <v>7.69</v>
      </c>
      <c r="AT308" s="5">
        <v>5.48</v>
      </c>
      <c r="AU308" s="7">
        <f t="shared" si="166"/>
        <v>0.71299999999999997</v>
      </c>
      <c r="AV308" s="16"/>
      <c r="AW308" s="30">
        <v>0</v>
      </c>
      <c r="AX308" s="29">
        <v>0</v>
      </c>
      <c r="AY308" s="1">
        <f t="shared" si="144"/>
        <v>93.3</v>
      </c>
      <c r="AZ308" s="1">
        <f t="shared" si="145"/>
        <v>58.5</v>
      </c>
      <c r="BA308" s="1">
        <f t="shared" si="146"/>
        <v>24.9</v>
      </c>
      <c r="BB308" s="8">
        <f t="shared" si="147"/>
        <v>0.18099999999999999</v>
      </c>
      <c r="BC308" s="8">
        <f t="shared" si="148"/>
        <v>0.54600000000000004</v>
      </c>
      <c r="BE308" s="5">
        <f t="shared" si="155"/>
        <v>7.69</v>
      </c>
      <c r="BF308" s="5">
        <f t="shared" si="156"/>
        <v>5.48</v>
      </c>
      <c r="BG308" s="1">
        <f t="shared" si="173"/>
        <v>-6.5</v>
      </c>
      <c r="BH308" s="1">
        <f t="shared" si="174"/>
        <v>2.4</v>
      </c>
      <c r="BI308" s="1">
        <f t="shared" si="175"/>
        <v>-14.9</v>
      </c>
      <c r="BJ308" s="1">
        <f t="shared" si="157"/>
        <v>58.5</v>
      </c>
      <c r="BK308" s="1">
        <f t="shared" si="158"/>
        <v>24.9</v>
      </c>
      <c r="BL308" s="1">
        <f t="shared" si="167"/>
        <v>0.9</v>
      </c>
      <c r="BM308" s="1">
        <f t="shared" si="168"/>
        <v>3.5</v>
      </c>
      <c r="BN308" s="21">
        <f t="shared" si="159"/>
        <v>0</v>
      </c>
      <c r="BO308" s="7">
        <f t="shared" si="160"/>
        <v>8.2000000000000295E-2</v>
      </c>
      <c r="BP308" s="21">
        <f t="shared" si="154"/>
        <v>-1.5</v>
      </c>
      <c r="BQ308" s="1">
        <f t="shared" si="161"/>
        <v>-11.7</v>
      </c>
      <c r="BR308" s="1">
        <f t="shared" si="162"/>
        <v>-2.5</v>
      </c>
      <c r="BS308" s="1">
        <f t="shared" si="163"/>
        <v>-19.100000000000001</v>
      </c>
      <c r="BT308" s="1">
        <f t="shared" si="176"/>
        <v>-1.5</v>
      </c>
      <c r="BU308" s="1" t="s">
        <v>113</v>
      </c>
      <c r="BV308" s="1">
        <f t="shared" si="177"/>
        <v>2.8</v>
      </c>
      <c r="BW308" s="1" t="str">
        <f t="shared" si="169"/>
        <v>NAN</v>
      </c>
      <c r="BX308" s="1">
        <f t="shared" si="170"/>
        <v>0.18099999999999999</v>
      </c>
      <c r="BY308" s="1">
        <f t="shared" si="171"/>
        <v>0.54600000000000004</v>
      </c>
      <c r="CA308" s="1">
        <f t="shared" si="164"/>
        <v>-4.9000000000000004</v>
      </c>
      <c r="CB308" s="1">
        <f t="shared" si="165"/>
        <v>-4.2000000000000011</v>
      </c>
    </row>
    <row r="309" spans="1:80" x14ac:dyDescent="0.2">
      <c r="A309" s="9">
        <f t="shared" si="172"/>
        <v>43769</v>
      </c>
      <c r="B309" s="2">
        <v>304</v>
      </c>
      <c r="C309" s="2">
        <v>21</v>
      </c>
      <c r="D309" s="2">
        <v>13.06</v>
      </c>
      <c r="E309" s="2">
        <v>8.06</v>
      </c>
      <c r="F309" s="2">
        <v>-12.02</v>
      </c>
      <c r="G309" s="2">
        <v>-4.4219999999999997</v>
      </c>
      <c r="H309" s="2">
        <v>72.099999999999994</v>
      </c>
      <c r="I309" s="2">
        <v>-5.46</v>
      </c>
      <c r="J309" s="2">
        <v>-7.44</v>
      </c>
      <c r="K309" s="2">
        <v>-1.5580000000000001</v>
      </c>
      <c r="L309" s="2">
        <v>2.6920000000000002</v>
      </c>
      <c r="M309" s="2">
        <v>2.6930000000000001</v>
      </c>
      <c r="N309" s="2">
        <v>100.1</v>
      </c>
      <c r="O309" s="2">
        <v>6.2670000000000003</v>
      </c>
      <c r="P309" s="2">
        <v>6.391</v>
      </c>
      <c r="Q309" s="2">
        <v>-0.40799999999999997</v>
      </c>
      <c r="R309" s="2">
        <v>3.194</v>
      </c>
      <c r="S309" s="2">
        <v>-11.56</v>
      </c>
      <c r="T309" s="2">
        <v>45.07</v>
      </c>
      <c r="U309" s="2">
        <v>-15.77</v>
      </c>
      <c r="V309" s="2">
        <v>-19.29</v>
      </c>
      <c r="W309" s="2">
        <v>-3.3650000000000002</v>
      </c>
      <c r="X309" s="2">
        <v>2.2799999999999998</v>
      </c>
      <c r="Y309" s="2">
        <v>2.3540000000000001</v>
      </c>
      <c r="Z309" s="2">
        <v>0</v>
      </c>
      <c r="AA309" s="2">
        <v>5.915</v>
      </c>
      <c r="AB309" s="2">
        <v>4.0309999999999997</v>
      </c>
      <c r="AC309" s="2">
        <v>1.0029999999999999</v>
      </c>
      <c r="AD309" s="2">
        <v>4.42</v>
      </c>
      <c r="AE309" s="2">
        <v>-9</v>
      </c>
      <c r="AF309" s="2">
        <v>-6.3E-2</v>
      </c>
      <c r="AG309" s="2">
        <v>-18.420000000000002</v>
      </c>
      <c r="AH309" s="2">
        <v>-6.3E-2</v>
      </c>
      <c r="AI309" s="2">
        <v>-18.420000000000002</v>
      </c>
      <c r="AJ309" s="2" t="s">
        <v>113</v>
      </c>
      <c r="AK309" s="2" t="s">
        <v>113</v>
      </c>
      <c r="AL309" s="2">
        <v>-4.5469999999999997</v>
      </c>
      <c r="AM309" s="2">
        <v>3.54</v>
      </c>
      <c r="AN309" s="2">
        <v>-12.8</v>
      </c>
      <c r="AO309" s="2"/>
      <c r="AP309" s="1">
        <f t="shared" si="178"/>
        <v>9.6000000000000085E-2</v>
      </c>
      <c r="AQ309" s="24">
        <f t="shared" si="179"/>
        <v>-1.6</v>
      </c>
      <c r="AR309" s="5">
        <v>9.26</v>
      </c>
      <c r="AS309" s="5">
        <v>5.91</v>
      </c>
      <c r="AT309" s="5">
        <v>4.0199999999999996</v>
      </c>
      <c r="AU309" s="7">
        <f t="shared" si="166"/>
        <v>0.68</v>
      </c>
      <c r="AV309" s="16"/>
      <c r="AW309" s="30">
        <v>0</v>
      </c>
      <c r="AX309" s="29">
        <v>0</v>
      </c>
      <c r="AY309" s="1">
        <f t="shared" si="144"/>
        <v>96.6</v>
      </c>
      <c r="AZ309" s="1">
        <f t="shared" si="145"/>
        <v>69.400000000000006</v>
      </c>
      <c r="BA309" s="1">
        <f t="shared" si="146"/>
        <v>43.2</v>
      </c>
      <c r="BB309" s="8">
        <f t="shared" si="147"/>
        <v>0.32</v>
      </c>
      <c r="BC309" s="8">
        <f t="shared" si="148"/>
        <v>0.42099999999999999</v>
      </c>
      <c r="BE309" s="5">
        <f t="shared" si="155"/>
        <v>5.91</v>
      </c>
      <c r="BF309" s="5">
        <f t="shared" si="156"/>
        <v>4.0199999999999996</v>
      </c>
      <c r="BG309" s="1">
        <f t="shared" si="173"/>
        <v>-4.4000000000000004</v>
      </c>
      <c r="BH309" s="1">
        <f t="shared" si="174"/>
        <v>2.7</v>
      </c>
      <c r="BI309" s="1">
        <f t="shared" si="175"/>
        <v>-11.6</v>
      </c>
      <c r="BJ309" s="1">
        <f t="shared" si="157"/>
        <v>69.400000000000006</v>
      </c>
      <c r="BK309" s="1">
        <f t="shared" si="158"/>
        <v>43.2</v>
      </c>
      <c r="BL309" s="1">
        <f t="shared" si="167"/>
        <v>1</v>
      </c>
      <c r="BM309" s="1">
        <f t="shared" si="168"/>
        <v>4.4000000000000004</v>
      </c>
      <c r="BN309" s="21">
        <f t="shared" si="159"/>
        <v>0</v>
      </c>
      <c r="BO309" s="7">
        <f t="shared" si="160"/>
        <v>9.6000000000000085E-2</v>
      </c>
      <c r="BP309" s="21">
        <f t="shared" si="154"/>
        <v>-1.6</v>
      </c>
      <c r="BQ309" s="1">
        <f t="shared" si="161"/>
        <v>-9</v>
      </c>
      <c r="BR309" s="1">
        <f t="shared" si="162"/>
        <v>-0.1</v>
      </c>
      <c r="BS309" s="1">
        <f t="shared" si="163"/>
        <v>-18.399999999999999</v>
      </c>
      <c r="BT309" s="1">
        <f t="shared" si="176"/>
        <v>-1.6</v>
      </c>
      <c r="BU309" s="1" t="s">
        <v>113</v>
      </c>
      <c r="BV309" s="1">
        <f t="shared" si="177"/>
        <v>2.7</v>
      </c>
      <c r="BW309" s="1" t="str">
        <f t="shared" si="169"/>
        <v>NAN</v>
      </c>
      <c r="BX309" s="1">
        <f t="shared" si="170"/>
        <v>0.32</v>
      </c>
      <c r="BY309" s="1">
        <f t="shared" si="171"/>
        <v>0.42099999999999999</v>
      </c>
      <c r="CA309" s="1">
        <f t="shared" si="164"/>
        <v>-2.8000000000000003</v>
      </c>
      <c r="CB309" s="1">
        <f t="shared" si="165"/>
        <v>-6.7999999999999989</v>
      </c>
    </row>
    <row r="310" spans="1:80" x14ac:dyDescent="0.2">
      <c r="A310" s="9">
        <f t="shared" si="172"/>
        <v>43770</v>
      </c>
      <c r="B310" s="2">
        <v>305</v>
      </c>
      <c r="C310" s="2">
        <v>21</v>
      </c>
      <c r="D310" s="2">
        <v>13.11</v>
      </c>
      <c r="E310" s="2">
        <v>15.36</v>
      </c>
      <c r="F310" s="2">
        <v>-15.5</v>
      </c>
      <c r="G310" s="2">
        <v>-3.3450000000000002</v>
      </c>
      <c r="H310" s="2">
        <v>74.2</v>
      </c>
      <c r="I310" s="2">
        <v>-4.7110000000000003</v>
      </c>
      <c r="J310" s="2">
        <v>-6.6349999999999998</v>
      </c>
      <c r="K310" s="2">
        <v>-1.9630000000000001</v>
      </c>
      <c r="L310" s="2">
        <v>2.6110000000000002</v>
      </c>
      <c r="M310" s="2">
        <v>7.15</v>
      </c>
      <c r="N310" s="2">
        <v>99.1</v>
      </c>
      <c r="O310" s="2">
        <v>11.01</v>
      </c>
      <c r="P310" s="2">
        <v>8.74</v>
      </c>
      <c r="Q310" s="2">
        <v>-0.28799999999999998</v>
      </c>
      <c r="R310" s="2">
        <v>3.036</v>
      </c>
      <c r="S310" s="2">
        <v>-13.18</v>
      </c>
      <c r="T310" s="2">
        <v>30.39</v>
      </c>
      <c r="U310" s="2">
        <v>-17.59</v>
      </c>
      <c r="V310" s="2">
        <v>-20.07</v>
      </c>
      <c r="W310" s="2">
        <v>-4.5419999999999998</v>
      </c>
      <c r="X310" s="2">
        <v>2.3340000000000001</v>
      </c>
      <c r="Y310" s="2">
        <v>2.3820000000000001</v>
      </c>
      <c r="Z310" s="2">
        <v>0</v>
      </c>
      <c r="AA310" s="2">
        <v>7.89</v>
      </c>
      <c r="AB310" s="2">
        <v>5.6749999999999998</v>
      </c>
      <c r="AC310" s="2">
        <v>0.436</v>
      </c>
      <c r="AD310" s="2">
        <v>3.2469999999999999</v>
      </c>
      <c r="AE310" s="2">
        <v>-8.6</v>
      </c>
      <c r="AF310" s="2">
        <v>-0.19800000000000001</v>
      </c>
      <c r="AG310" s="2">
        <v>-19.309999999999999</v>
      </c>
      <c r="AH310" s="2">
        <v>-0.19800000000000001</v>
      </c>
      <c r="AI310" s="2">
        <v>-19.309999999999999</v>
      </c>
      <c r="AJ310" s="2" t="s">
        <v>113</v>
      </c>
      <c r="AK310" s="2" t="s">
        <v>113</v>
      </c>
      <c r="AL310" s="2">
        <v>-3.903</v>
      </c>
      <c r="AM310" s="2">
        <v>8.69</v>
      </c>
      <c r="AN310" s="2">
        <v>-14.92</v>
      </c>
      <c r="AO310" s="2"/>
      <c r="AP310" s="1">
        <f t="shared" si="178"/>
        <v>6.800000000000006E-2</v>
      </c>
      <c r="AQ310" s="24">
        <f t="shared" si="179"/>
        <v>-2</v>
      </c>
      <c r="AR310" s="5">
        <v>9.09</v>
      </c>
      <c r="AS310" s="5">
        <v>8.0299999999999994</v>
      </c>
      <c r="AT310" s="5">
        <v>5.65</v>
      </c>
      <c r="AU310" s="7">
        <f t="shared" si="166"/>
        <v>0.70399999999999996</v>
      </c>
      <c r="AV310" s="16"/>
      <c r="AW310" s="30">
        <v>0</v>
      </c>
      <c r="AX310" s="29">
        <v>0</v>
      </c>
      <c r="AY310" s="1">
        <f t="shared" si="144"/>
        <v>95.6</v>
      </c>
      <c r="AZ310" s="1">
        <f t="shared" si="145"/>
        <v>71.5</v>
      </c>
      <c r="BA310" s="1">
        <f t="shared" si="146"/>
        <v>29</v>
      </c>
      <c r="BB310" s="8">
        <f t="shared" si="147"/>
        <v>0.29299999999999998</v>
      </c>
      <c r="BC310" s="8">
        <f t="shared" si="148"/>
        <v>0.71699999999999997</v>
      </c>
      <c r="BE310" s="5">
        <f t="shared" si="155"/>
        <v>8.0299999999999994</v>
      </c>
      <c r="BF310" s="5">
        <f t="shared" si="156"/>
        <v>5.65</v>
      </c>
      <c r="BG310" s="1">
        <f t="shared" si="173"/>
        <v>-3.3</v>
      </c>
      <c r="BH310" s="1">
        <f t="shared" si="174"/>
        <v>7.2</v>
      </c>
      <c r="BI310" s="1">
        <f t="shared" si="175"/>
        <v>-13.2</v>
      </c>
      <c r="BJ310" s="1">
        <f t="shared" si="157"/>
        <v>71.5</v>
      </c>
      <c r="BK310" s="1">
        <f t="shared" si="158"/>
        <v>29</v>
      </c>
      <c r="BL310" s="1">
        <f t="shared" si="167"/>
        <v>0.4</v>
      </c>
      <c r="BM310" s="1">
        <f t="shared" si="168"/>
        <v>3.2</v>
      </c>
      <c r="BN310" s="21">
        <f t="shared" si="159"/>
        <v>0</v>
      </c>
      <c r="BO310" s="7">
        <f t="shared" si="160"/>
        <v>6.800000000000006E-2</v>
      </c>
      <c r="BP310" s="21">
        <f t="shared" si="154"/>
        <v>-2</v>
      </c>
      <c r="BQ310" s="1">
        <f t="shared" si="161"/>
        <v>-8.6</v>
      </c>
      <c r="BR310" s="1">
        <f t="shared" si="162"/>
        <v>-0.2</v>
      </c>
      <c r="BS310" s="1">
        <f t="shared" si="163"/>
        <v>-19.3</v>
      </c>
      <c r="BT310" s="1">
        <f t="shared" si="176"/>
        <v>-2</v>
      </c>
      <c r="BU310" s="1" t="s">
        <v>113</v>
      </c>
      <c r="BV310" s="1">
        <f t="shared" si="177"/>
        <v>2.6</v>
      </c>
      <c r="BW310" s="1" t="str">
        <f t="shared" si="169"/>
        <v>NAN</v>
      </c>
      <c r="BX310" s="1">
        <f t="shared" si="170"/>
        <v>0.29299999999999998</v>
      </c>
      <c r="BY310" s="1">
        <f t="shared" si="171"/>
        <v>0.71699999999999997</v>
      </c>
      <c r="CA310" s="1">
        <f t="shared" si="164"/>
        <v>-7.4</v>
      </c>
      <c r="CB310" s="1">
        <f t="shared" si="165"/>
        <v>-6.1000000000000014</v>
      </c>
    </row>
    <row r="311" spans="1:80" x14ac:dyDescent="0.2">
      <c r="A311" s="9">
        <f t="shared" si="172"/>
        <v>43771</v>
      </c>
      <c r="B311" s="2">
        <v>306</v>
      </c>
      <c r="C311" s="2">
        <v>21</v>
      </c>
      <c r="D311" s="2">
        <v>13.12</v>
      </c>
      <c r="E311" s="2">
        <v>13.99</v>
      </c>
      <c r="F311" s="2">
        <v>-2.7120000000000002</v>
      </c>
      <c r="G311" s="2">
        <v>1.35</v>
      </c>
      <c r="H311" s="2">
        <v>85.9</v>
      </c>
      <c r="I311" s="2">
        <v>0.81399999999999995</v>
      </c>
      <c r="J311" s="2">
        <v>0.182</v>
      </c>
      <c r="K311" s="2">
        <v>-0.371</v>
      </c>
      <c r="L311" s="2">
        <v>2.4929999999999999</v>
      </c>
      <c r="M311" s="2">
        <v>9.51</v>
      </c>
      <c r="N311" s="2">
        <v>102</v>
      </c>
      <c r="O311" s="2">
        <v>12.19</v>
      </c>
      <c r="P311" s="2">
        <v>10.69</v>
      </c>
      <c r="Q311" s="2">
        <v>0.496</v>
      </c>
      <c r="R311" s="2">
        <v>2.9119999999999999</v>
      </c>
      <c r="S311" s="2">
        <v>-2.883</v>
      </c>
      <c r="T311" s="2">
        <v>54.18</v>
      </c>
      <c r="U311" s="2">
        <v>-4.492</v>
      </c>
      <c r="V311" s="2">
        <v>-6.4960000000000004</v>
      </c>
      <c r="W311" s="2">
        <v>-0.64100000000000001</v>
      </c>
      <c r="X311" s="2">
        <v>2.2149999999999999</v>
      </c>
      <c r="Y311" s="2">
        <v>2.3849999999999998</v>
      </c>
      <c r="Z311" s="2">
        <v>0.254</v>
      </c>
      <c r="AA311" s="2">
        <v>5.6989999999999998</v>
      </c>
      <c r="AB311" s="2">
        <v>3.399</v>
      </c>
      <c r="AC311" s="2">
        <v>0.42099999999999999</v>
      </c>
      <c r="AD311" s="2">
        <v>3.0070000000000001</v>
      </c>
      <c r="AE311" s="2">
        <v>-1.1479999999999999</v>
      </c>
      <c r="AF311" s="2">
        <v>1.9</v>
      </c>
      <c r="AG311" s="2">
        <v>-5.56</v>
      </c>
      <c r="AH311" s="2">
        <v>1.9</v>
      </c>
      <c r="AI311" s="2">
        <v>-5.56</v>
      </c>
      <c r="AJ311" s="2" t="s">
        <v>113</v>
      </c>
      <c r="AK311" s="2" t="s">
        <v>113</v>
      </c>
      <c r="AL311" s="2">
        <v>1.3580000000000001</v>
      </c>
      <c r="AM311" s="2">
        <v>10.75</v>
      </c>
      <c r="AN311" s="2">
        <v>-3.2309999999999999</v>
      </c>
      <c r="AO311" s="2"/>
      <c r="AP311" s="1">
        <f t="shared" si="178"/>
        <v>6.5000000000000391E-2</v>
      </c>
      <c r="AQ311" s="24">
        <f t="shared" si="179"/>
        <v>-0.4</v>
      </c>
      <c r="AR311" s="5">
        <v>8.92</v>
      </c>
      <c r="AS311" s="5">
        <v>5.7</v>
      </c>
      <c r="AT311" s="5">
        <v>3.39</v>
      </c>
      <c r="AU311" s="7">
        <f t="shared" si="166"/>
        <v>0.59499999999999997</v>
      </c>
      <c r="AV311" s="16"/>
      <c r="AW311" s="30">
        <v>0.254</v>
      </c>
      <c r="AX311" s="29">
        <v>0</v>
      </c>
      <c r="AY311" s="1">
        <f t="shared" si="144"/>
        <v>98.4</v>
      </c>
      <c r="AZ311" s="1">
        <f t="shared" si="145"/>
        <v>82.8</v>
      </c>
      <c r="BA311" s="1">
        <f t="shared" si="146"/>
        <v>52.1</v>
      </c>
      <c r="BB311" s="8">
        <f t="shared" si="147"/>
        <v>0.61899999999999999</v>
      </c>
      <c r="BC311" s="8">
        <f t="shared" si="148"/>
        <v>0.56899999999999995</v>
      </c>
      <c r="BE311" s="5">
        <f t="shared" si="155"/>
        <v>5.7</v>
      </c>
      <c r="BF311" s="5">
        <f t="shared" si="156"/>
        <v>3.39</v>
      </c>
      <c r="BG311" s="1">
        <f t="shared" si="173"/>
        <v>1.4</v>
      </c>
      <c r="BH311" s="1">
        <f t="shared" si="174"/>
        <v>9.5</v>
      </c>
      <c r="BI311" s="1">
        <f t="shared" si="175"/>
        <v>-2.9</v>
      </c>
      <c r="BJ311" s="1">
        <f t="shared" si="157"/>
        <v>82.8</v>
      </c>
      <c r="BK311" s="1">
        <f t="shared" si="158"/>
        <v>52.1</v>
      </c>
      <c r="BL311" s="1">
        <f t="shared" si="167"/>
        <v>0.4</v>
      </c>
      <c r="BM311" s="1">
        <f t="shared" si="168"/>
        <v>3</v>
      </c>
      <c r="BN311" s="21">
        <f t="shared" si="159"/>
        <v>0.254</v>
      </c>
      <c r="BO311" s="7">
        <f t="shared" si="160"/>
        <v>6.5000000000000391E-2</v>
      </c>
      <c r="BP311" s="21">
        <f t="shared" si="154"/>
        <v>-0.4</v>
      </c>
      <c r="BQ311" s="1">
        <f t="shared" si="161"/>
        <v>-1.1000000000000001</v>
      </c>
      <c r="BR311" s="1">
        <f t="shared" si="162"/>
        <v>1.9</v>
      </c>
      <c r="BS311" s="1">
        <f t="shared" si="163"/>
        <v>-5.6</v>
      </c>
      <c r="BT311" s="1">
        <f t="shared" si="176"/>
        <v>-0.4</v>
      </c>
      <c r="BU311" s="1" t="s">
        <v>113</v>
      </c>
      <c r="BV311" s="1">
        <f t="shared" si="177"/>
        <v>2.5</v>
      </c>
      <c r="BW311" s="1" t="str">
        <f t="shared" si="169"/>
        <v>NAN</v>
      </c>
      <c r="BX311" s="1">
        <f t="shared" si="170"/>
        <v>0.61899999999999999</v>
      </c>
      <c r="BY311" s="1">
        <f t="shared" si="171"/>
        <v>0.56899999999999995</v>
      </c>
      <c r="CA311" s="1">
        <f t="shared" si="164"/>
        <v>-7.6</v>
      </c>
      <c r="CB311" s="1">
        <f t="shared" si="165"/>
        <v>-2.6999999999999997</v>
      </c>
    </row>
    <row r="312" spans="1:80" x14ac:dyDescent="0.2">
      <c r="A312" s="9">
        <f t="shared" si="172"/>
        <v>43772</v>
      </c>
      <c r="B312" s="2">
        <v>307</v>
      </c>
      <c r="C312" s="2">
        <v>21</v>
      </c>
      <c r="D312" s="2">
        <v>13.15</v>
      </c>
      <c r="E312" s="2">
        <v>8.18</v>
      </c>
      <c r="F312" s="2">
        <v>-1.988</v>
      </c>
      <c r="G312" s="2">
        <v>2.6389999999999998</v>
      </c>
      <c r="H312" s="2">
        <v>84.7</v>
      </c>
      <c r="I312" s="2">
        <v>2.085</v>
      </c>
      <c r="J312" s="2">
        <v>1.1930000000000001</v>
      </c>
      <c r="K312" s="2">
        <v>-0.26</v>
      </c>
      <c r="L312" s="2">
        <v>2.3919999999999999</v>
      </c>
      <c r="M312" s="2">
        <v>5.0739999999999998</v>
      </c>
      <c r="N312" s="2">
        <v>100</v>
      </c>
      <c r="O312" s="2">
        <v>8.14</v>
      </c>
      <c r="P312" s="2">
        <v>8.39</v>
      </c>
      <c r="Q312" s="2">
        <v>0.39</v>
      </c>
      <c r="R312" s="2">
        <v>2.6970000000000001</v>
      </c>
      <c r="S312" s="2">
        <v>-0.96699999999999997</v>
      </c>
      <c r="T312" s="2">
        <v>60.58</v>
      </c>
      <c r="U312" s="2">
        <v>-2.242</v>
      </c>
      <c r="V312" s="2">
        <v>-2.9460000000000002</v>
      </c>
      <c r="W312" s="2">
        <v>-0.46300000000000002</v>
      </c>
      <c r="X312" s="2">
        <v>2.2629999999999999</v>
      </c>
      <c r="Y312" s="2">
        <v>2.3690000000000002</v>
      </c>
      <c r="Z312" s="2">
        <v>0.254</v>
      </c>
      <c r="AA312" s="2">
        <v>5.1710000000000003</v>
      </c>
      <c r="AB312" s="2">
        <v>2.6030000000000002</v>
      </c>
      <c r="AC312" s="2">
        <v>1.5960000000000001</v>
      </c>
      <c r="AD312" s="2">
        <v>5.54</v>
      </c>
      <c r="AE312" s="2">
        <v>-0.30299999999999999</v>
      </c>
      <c r="AF312" s="2">
        <v>1.8340000000000001</v>
      </c>
      <c r="AG312" s="2">
        <v>-2.8940000000000001</v>
      </c>
      <c r="AH312" s="2">
        <v>1.8340000000000001</v>
      </c>
      <c r="AI312" s="2">
        <v>-2.8940000000000001</v>
      </c>
      <c r="AJ312" s="2" t="s">
        <v>113</v>
      </c>
      <c r="AK312" s="2" t="s">
        <v>113</v>
      </c>
      <c r="AL312" s="2">
        <v>2.5179999999999998</v>
      </c>
      <c r="AM312" s="2">
        <v>5.7270000000000003</v>
      </c>
      <c r="AN312" s="2">
        <v>-1.075</v>
      </c>
      <c r="AO312" s="2"/>
      <c r="AP312" s="1">
        <f t="shared" si="178"/>
        <v>8.0999999999999961E-2</v>
      </c>
      <c r="AQ312" s="24">
        <f t="shared" si="179"/>
        <v>-0.3</v>
      </c>
      <c r="AR312" s="5">
        <v>8.76</v>
      </c>
      <c r="AS312" s="5">
        <v>5.17</v>
      </c>
      <c r="AT312" s="5">
        <v>2.59</v>
      </c>
      <c r="AU312" s="7">
        <f t="shared" si="166"/>
        <v>0.501</v>
      </c>
      <c r="AV312" s="16"/>
      <c r="AW312" s="30">
        <v>0</v>
      </c>
      <c r="AX312" s="29">
        <v>0</v>
      </c>
      <c r="AY312" s="1">
        <f t="shared" si="144"/>
        <v>96.5</v>
      </c>
      <c r="AZ312" s="1">
        <f t="shared" si="145"/>
        <v>81.7</v>
      </c>
      <c r="BA312" s="1">
        <f t="shared" si="146"/>
        <v>58.3</v>
      </c>
      <c r="BB312" s="8">
        <f t="shared" si="147"/>
        <v>0.51100000000000001</v>
      </c>
      <c r="BC312" s="8">
        <f t="shared" si="148"/>
        <v>0.36599999999999999</v>
      </c>
      <c r="BE312" s="5">
        <f t="shared" si="155"/>
        <v>5.17</v>
      </c>
      <c r="BF312" s="5">
        <f t="shared" si="156"/>
        <v>2.59</v>
      </c>
      <c r="BG312" s="1">
        <f t="shared" si="173"/>
        <v>2.6</v>
      </c>
      <c r="BH312" s="1">
        <f t="shared" si="174"/>
        <v>5.0999999999999996</v>
      </c>
      <c r="BI312" s="1">
        <f t="shared" si="175"/>
        <v>-1</v>
      </c>
      <c r="BJ312" s="1">
        <f t="shared" si="157"/>
        <v>81.7</v>
      </c>
      <c r="BK312" s="1">
        <f t="shared" si="158"/>
        <v>58.3</v>
      </c>
      <c r="BL312" s="1">
        <f t="shared" si="167"/>
        <v>1.6</v>
      </c>
      <c r="BM312" s="1">
        <f t="shared" si="168"/>
        <v>5.5</v>
      </c>
      <c r="BN312" s="21">
        <f t="shared" si="159"/>
        <v>0</v>
      </c>
      <c r="BO312" s="7">
        <f t="shared" si="160"/>
        <v>8.0999999999999961E-2</v>
      </c>
      <c r="BP312" s="21">
        <f t="shared" si="154"/>
        <v>-0.3</v>
      </c>
      <c r="BQ312" s="1">
        <f t="shared" si="161"/>
        <v>-0.3</v>
      </c>
      <c r="BR312" s="1">
        <f t="shared" si="162"/>
        <v>1.8</v>
      </c>
      <c r="BS312" s="1">
        <f t="shared" si="163"/>
        <v>-2.9</v>
      </c>
      <c r="BT312" s="1">
        <f t="shared" si="176"/>
        <v>-0.3</v>
      </c>
      <c r="BU312" s="1" t="s">
        <v>113</v>
      </c>
      <c r="BV312" s="1">
        <f t="shared" si="177"/>
        <v>2.4</v>
      </c>
      <c r="BW312" s="1" t="str">
        <f t="shared" si="169"/>
        <v>NAN</v>
      </c>
      <c r="BX312" s="1">
        <f t="shared" si="170"/>
        <v>0.51100000000000001</v>
      </c>
      <c r="BY312" s="1">
        <f t="shared" si="171"/>
        <v>0.36599999999999999</v>
      </c>
      <c r="CA312" s="1">
        <f t="shared" si="164"/>
        <v>-3.3</v>
      </c>
      <c r="CB312" s="1">
        <f t="shared" si="165"/>
        <v>-1.9</v>
      </c>
    </row>
    <row r="313" spans="1:80" x14ac:dyDescent="0.2">
      <c r="A313" s="9">
        <f t="shared" si="172"/>
        <v>43773</v>
      </c>
      <c r="B313" s="2">
        <v>308</v>
      </c>
      <c r="C313" s="2">
        <v>21</v>
      </c>
      <c r="D313" s="2">
        <v>13.11</v>
      </c>
      <c r="E313" s="2">
        <v>17.61</v>
      </c>
      <c r="F313" s="2">
        <v>-4.9459999999999997</v>
      </c>
      <c r="G313" s="2">
        <v>3.234</v>
      </c>
      <c r="H313" s="2">
        <v>86.9</v>
      </c>
      <c r="I313" s="2">
        <v>2.4689999999999999</v>
      </c>
      <c r="J313" s="2">
        <v>1.413</v>
      </c>
      <c r="K313" s="2">
        <v>-0.23200000000000001</v>
      </c>
      <c r="L313" s="2">
        <v>2.3359999999999999</v>
      </c>
      <c r="M313" s="2">
        <v>10.54</v>
      </c>
      <c r="N313" s="2">
        <v>101.7</v>
      </c>
      <c r="O313" s="2">
        <v>14.55</v>
      </c>
      <c r="P313" s="2">
        <v>14.11</v>
      </c>
      <c r="Q313" s="2">
        <v>0.73399999999999999</v>
      </c>
      <c r="R313" s="2">
        <v>2.7029999999999998</v>
      </c>
      <c r="S313" s="2">
        <v>-4.1390000000000002</v>
      </c>
      <c r="T313" s="2">
        <v>55.89</v>
      </c>
      <c r="U313" s="2">
        <v>-6.226</v>
      </c>
      <c r="V313" s="2">
        <v>-7.61</v>
      </c>
      <c r="W313" s="2">
        <v>-0.64400000000000002</v>
      </c>
      <c r="X313" s="2">
        <v>1.962</v>
      </c>
      <c r="Y313" s="2">
        <v>2.367</v>
      </c>
      <c r="Z313" s="2">
        <v>0</v>
      </c>
      <c r="AA313" s="2">
        <v>6.6189999999999998</v>
      </c>
      <c r="AB313" s="2">
        <v>2.246</v>
      </c>
      <c r="AC313" s="2">
        <v>1.4279999999999999</v>
      </c>
      <c r="AD313" s="2">
        <v>5.6740000000000004</v>
      </c>
      <c r="AE313" s="2">
        <v>-0.16</v>
      </c>
      <c r="AF313" s="2">
        <v>4.476</v>
      </c>
      <c r="AG313" s="2">
        <v>-5.3310000000000004</v>
      </c>
      <c r="AH313" s="2">
        <v>4.476</v>
      </c>
      <c r="AI313" s="2">
        <v>-5.3310000000000004</v>
      </c>
      <c r="AJ313" s="2" t="s">
        <v>113</v>
      </c>
      <c r="AK313" s="2" t="s">
        <v>113</v>
      </c>
      <c r="AL313" s="2">
        <v>3.1949999999999998</v>
      </c>
      <c r="AM313" s="2">
        <v>12.8</v>
      </c>
      <c r="AN313" s="2">
        <v>-4.8460000000000001</v>
      </c>
      <c r="AO313" s="2"/>
      <c r="AP313" s="1">
        <f t="shared" si="178"/>
        <v>8.3000000000000185E-2</v>
      </c>
      <c r="AQ313" s="24">
        <f t="shared" si="179"/>
        <v>-0.2</v>
      </c>
      <c r="AR313" s="5">
        <v>8.59</v>
      </c>
      <c r="AS313" s="5">
        <v>6.62</v>
      </c>
      <c r="AT313" s="5">
        <v>2.2400000000000002</v>
      </c>
      <c r="AU313" s="7">
        <f t="shared" si="166"/>
        <v>0.33800000000000002</v>
      </c>
      <c r="AV313" s="16"/>
      <c r="AW313" s="30">
        <v>0</v>
      </c>
      <c r="AX313" s="29">
        <v>0</v>
      </c>
      <c r="AY313" s="1">
        <f t="shared" si="144"/>
        <v>98.1</v>
      </c>
      <c r="AZ313" s="1">
        <f t="shared" si="145"/>
        <v>83.8</v>
      </c>
      <c r="BA313" s="1">
        <f t="shared" si="146"/>
        <v>53.7</v>
      </c>
      <c r="BB313" s="8">
        <f t="shared" si="147"/>
        <v>0.68300000000000005</v>
      </c>
      <c r="BC313" s="8">
        <f t="shared" si="148"/>
        <v>0.58899999999999997</v>
      </c>
      <c r="BE313" s="5">
        <f t="shared" si="155"/>
        <v>6.62</v>
      </c>
      <c r="BF313" s="5">
        <f t="shared" si="156"/>
        <v>2.2400000000000002</v>
      </c>
      <c r="BG313" s="1">
        <f t="shared" si="173"/>
        <v>3.2</v>
      </c>
      <c r="BH313" s="1">
        <f t="shared" si="174"/>
        <v>10.5</v>
      </c>
      <c r="BI313" s="1">
        <f t="shared" si="175"/>
        <v>-4.0999999999999996</v>
      </c>
      <c r="BJ313" s="1">
        <f t="shared" si="157"/>
        <v>83.8</v>
      </c>
      <c r="BK313" s="1">
        <f t="shared" si="158"/>
        <v>53.7</v>
      </c>
      <c r="BL313" s="1">
        <f t="shared" si="167"/>
        <v>1.4</v>
      </c>
      <c r="BM313" s="1">
        <f t="shared" si="168"/>
        <v>5.7</v>
      </c>
      <c r="BN313" s="21">
        <f t="shared" si="159"/>
        <v>0</v>
      </c>
      <c r="BO313" s="7">
        <f t="shared" si="160"/>
        <v>8.3000000000000185E-2</v>
      </c>
      <c r="BP313" s="21">
        <f t="shared" si="154"/>
        <v>-0.2</v>
      </c>
      <c r="BQ313" s="1">
        <f t="shared" si="161"/>
        <v>-0.2</v>
      </c>
      <c r="BR313" s="1">
        <f t="shared" si="162"/>
        <v>4.5</v>
      </c>
      <c r="BS313" s="1">
        <f t="shared" si="163"/>
        <v>-5.3</v>
      </c>
      <c r="BT313" s="1">
        <f t="shared" si="176"/>
        <v>-0.2</v>
      </c>
      <c r="BU313" s="1" t="s">
        <v>113</v>
      </c>
      <c r="BV313" s="1">
        <f t="shared" si="177"/>
        <v>2.2999999999999998</v>
      </c>
      <c r="BW313" s="1" t="str">
        <f t="shared" si="169"/>
        <v>NAN</v>
      </c>
      <c r="BX313" s="1">
        <f t="shared" si="170"/>
        <v>0.68300000000000005</v>
      </c>
      <c r="BY313" s="1">
        <f t="shared" si="171"/>
        <v>0.58899999999999997</v>
      </c>
      <c r="CA313" s="1">
        <f t="shared" si="164"/>
        <v>-6</v>
      </c>
      <c r="CB313" s="1">
        <f t="shared" si="165"/>
        <v>-1.2000000000000002</v>
      </c>
    </row>
    <row r="314" spans="1:80" x14ac:dyDescent="0.2">
      <c r="A314" s="9">
        <f t="shared" si="172"/>
        <v>43774</v>
      </c>
      <c r="B314" s="2">
        <v>309</v>
      </c>
      <c r="C314" s="2">
        <v>21</v>
      </c>
      <c r="D314" s="2">
        <v>13.14</v>
      </c>
      <c r="E314" s="2">
        <v>14.3</v>
      </c>
      <c r="F314" s="2">
        <v>-6.9630000000000001</v>
      </c>
      <c r="G314" s="2">
        <v>0.46200000000000002</v>
      </c>
      <c r="H314" s="2">
        <v>85.2</v>
      </c>
      <c r="I314" s="2">
        <v>-0.371</v>
      </c>
      <c r="J314" s="2">
        <v>-1.57</v>
      </c>
      <c r="K314" s="2">
        <v>-0.17</v>
      </c>
      <c r="L314" s="2">
        <v>2.2480000000000002</v>
      </c>
      <c r="M314" s="2">
        <v>7.32</v>
      </c>
      <c r="N314" s="2">
        <v>101.9</v>
      </c>
      <c r="O314" s="2">
        <v>11.75</v>
      </c>
      <c r="P314" s="2">
        <v>11.45</v>
      </c>
      <c r="Q314" s="2">
        <v>0.77400000000000002</v>
      </c>
      <c r="R314" s="2">
        <v>2.6179999999999999</v>
      </c>
      <c r="S314" s="2">
        <v>-5.1210000000000004</v>
      </c>
      <c r="T314" s="2">
        <v>53.98</v>
      </c>
      <c r="U314" s="2">
        <v>-7.95</v>
      </c>
      <c r="V314" s="2">
        <v>-9.09</v>
      </c>
      <c r="W314" s="2">
        <v>-0.58099999999999996</v>
      </c>
      <c r="X314" s="2">
        <v>1.8979999999999999</v>
      </c>
      <c r="Y314" s="2">
        <v>2.38</v>
      </c>
      <c r="Z314" s="2">
        <v>0.254</v>
      </c>
      <c r="AA314" s="2">
        <v>7.78</v>
      </c>
      <c r="AB314" s="2">
        <v>2.1629999999999998</v>
      </c>
      <c r="AC314" s="2">
        <v>1.167</v>
      </c>
      <c r="AD314" s="2">
        <v>4.7939999999999996</v>
      </c>
      <c r="AE314" s="2">
        <v>-2.2149999999999999</v>
      </c>
      <c r="AF314" s="2">
        <v>3.95</v>
      </c>
      <c r="AG314" s="2">
        <v>-7.31</v>
      </c>
      <c r="AH314" s="2">
        <v>3.95</v>
      </c>
      <c r="AI314" s="2">
        <v>-7.31</v>
      </c>
      <c r="AJ314" s="2" t="s">
        <v>113</v>
      </c>
      <c r="AK314" s="2" t="s">
        <v>113</v>
      </c>
      <c r="AL314" s="2">
        <v>0.20599999999999999</v>
      </c>
      <c r="AM314" s="2">
        <v>8.66</v>
      </c>
      <c r="AN314" s="2">
        <v>-6.1020000000000003</v>
      </c>
      <c r="AO314" s="2"/>
      <c r="AP314" s="1">
        <f t="shared" si="178"/>
        <v>7.0000000000000284E-2</v>
      </c>
      <c r="AQ314" s="24">
        <f t="shared" si="179"/>
        <v>-0.2</v>
      </c>
      <c r="AR314" s="5">
        <v>8.43</v>
      </c>
      <c r="AS314" s="5">
        <v>7.78</v>
      </c>
      <c r="AT314" s="5">
        <v>2.16</v>
      </c>
      <c r="AU314" s="7">
        <f t="shared" si="166"/>
        <v>0.27800000000000002</v>
      </c>
      <c r="AV314" s="16"/>
      <c r="AW314" s="30">
        <v>0</v>
      </c>
      <c r="AX314" s="29">
        <v>0</v>
      </c>
      <c r="AY314" s="1">
        <f t="shared" si="144"/>
        <v>98.3</v>
      </c>
      <c r="AZ314" s="1">
        <f t="shared" si="145"/>
        <v>82.1</v>
      </c>
      <c r="BA314" s="1">
        <f t="shared" si="146"/>
        <v>51.9</v>
      </c>
      <c r="BB314" s="8">
        <f t="shared" si="147"/>
        <v>0.53100000000000003</v>
      </c>
      <c r="BC314" s="8">
        <f t="shared" si="148"/>
        <v>0.49199999999999999</v>
      </c>
      <c r="BE314" s="5">
        <f t="shared" si="155"/>
        <v>7.78</v>
      </c>
      <c r="BF314" s="5">
        <f t="shared" si="156"/>
        <v>2.16</v>
      </c>
      <c r="BG314" s="1">
        <f t="shared" si="173"/>
        <v>0.5</v>
      </c>
      <c r="BH314" s="1">
        <f t="shared" si="174"/>
        <v>7.3</v>
      </c>
      <c r="BI314" s="1">
        <f t="shared" si="175"/>
        <v>-5.0999999999999996</v>
      </c>
      <c r="BJ314" s="1">
        <f t="shared" si="157"/>
        <v>82.1</v>
      </c>
      <c r="BK314" s="1">
        <f t="shared" si="158"/>
        <v>51.9</v>
      </c>
      <c r="BL314" s="1">
        <f t="shared" si="167"/>
        <v>1.2</v>
      </c>
      <c r="BM314" s="1">
        <f t="shared" si="168"/>
        <v>4.8</v>
      </c>
      <c r="BN314" s="21">
        <f t="shared" si="159"/>
        <v>0</v>
      </c>
      <c r="BO314" s="7">
        <f t="shared" si="160"/>
        <v>7.0000000000000284E-2</v>
      </c>
      <c r="BP314" s="21">
        <f t="shared" si="154"/>
        <v>-0.2</v>
      </c>
      <c r="BQ314" s="1">
        <f t="shared" si="161"/>
        <v>-2.2000000000000002</v>
      </c>
      <c r="BR314" s="1">
        <f t="shared" si="162"/>
        <v>4</v>
      </c>
      <c r="BS314" s="1">
        <f t="shared" si="163"/>
        <v>-7.3</v>
      </c>
      <c r="BT314" s="1">
        <f t="shared" si="176"/>
        <v>-0.2</v>
      </c>
      <c r="BU314" s="1" t="s">
        <v>113</v>
      </c>
      <c r="BV314" s="1">
        <f t="shared" si="177"/>
        <v>2.2000000000000002</v>
      </c>
      <c r="BW314" s="1" t="str">
        <f t="shared" si="169"/>
        <v>NAN</v>
      </c>
      <c r="BX314" s="1">
        <f t="shared" si="170"/>
        <v>0.53100000000000003</v>
      </c>
      <c r="BY314" s="1">
        <f t="shared" si="171"/>
        <v>0.49199999999999999</v>
      </c>
      <c r="CA314" s="1">
        <f t="shared" si="164"/>
        <v>-3.3</v>
      </c>
      <c r="CB314" s="1">
        <f t="shared" si="165"/>
        <v>-2.2000000000000002</v>
      </c>
    </row>
    <row r="315" spans="1:80" x14ac:dyDescent="0.2">
      <c r="A315" s="9">
        <f t="shared" si="172"/>
        <v>43775</v>
      </c>
      <c r="B315" s="2">
        <v>310</v>
      </c>
      <c r="C315" s="2">
        <v>21</v>
      </c>
      <c r="D315" s="2">
        <v>13.09</v>
      </c>
      <c r="E315" s="2">
        <v>14.56</v>
      </c>
      <c r="F315" s="2">
        <v>-7.8</v>
      </c>
      <c r="G315" s="2">
        <v>-1.4770000000000001</v>
      </c>
      <c r="H315" s="2">
        <v>86.8</v>
      </c>
      <c r="I315" s="2">
        <v>-1.8380000000000001</v>
      </c>
      <c r="J315" s="2">
        <v>-2.694</v>
      </c>
      <c r="K315" s="2">
        <v>-0.216</v>
      </c>
      <c r="L315" s="2">
        <v>2.1819999999999999</v>
      </c>
      <c r="M315" s="2">
        <v>5.2009999999999996</v>
      </c>
      <c r="N315" s="2">
        <v>99.9</v>
      </c>
      <c r="O315" s="2">
        <v>9.77</v>
      </c>
      <c r="P315" s="2">
        <v>9.11</v>
      </c>
      <c r="Q315" s="2">
        <v>0.85099999999999998</v>
      </c>
      <c r="R315" s="2">
        <v>2.605</v>
      </c>
      <c r="S315" s="2">
        <v>-7.05</v>
      </c>
      <c r="T315" s="2">
        <v>55.53</v>
      </c>
      <c r="U315" s="2">
        <v>-8.86</v>
      </c>
      <c r="V315" s="2">
        <v>-10.32</v>
      </c>
      <c r="W315" s="2">
        <v>-0.69299999999999995</v>
      </c>
      <c r="X315" s="2">
        <v>1.8149999999999999</v>
      </c>
      <c r="Y315" s="2">
        <v>2.391</v>
      </c>
      <c r="Z315" s="2">
        <v>0</v>
      </c>
      <c r="AA315" s="2">
        <v>8.23</v>
      </c>
      <c r="AB315" s="2">
        <v>2.109</v>
      </c>
      <c r="AC315" s="2">
        <v>0.99399999999999999</v>
      </c>
      <c r="AD315" s="2">
        <v>4.5</v>
      </c>
      <c r="AE315" s="2">
        <v>-2.9820000000000002</v>
      </c>
      <c r="AF315" s="2">
        <v>2.5339999999999998</v>
      </c>
      <c r="AG315" s="2">
        <v>-8.17</v>
      </c>
      <c r="AH315" s="2">
        <v>2.5339999999999998</v>
      </c>
      <c r="AI315" s="2">
        <v>-8.17</v>
      </c>
      <c r="AJ315" s="2" t="s">
        <v>113</v>
      </c>
      <c r="AK315" s="2" t="s">
        <v>113</v>
      </c>
      <c r="AL315" s="2">
        <v>-1.31</v>
      </c>
      <c r="AM315" s="2">
        <v>7.48</v>
      </c>
      <c r="AN315" s="2">
        <v>-7.79</v>
      </c>
      <c r="AO315" s="2"/>
      <c r="AP315" s="1">
        <f t="shared" si="178"/>
        <v>5.9000000000000163E-2</v>
      </c>
      <c r="AQ315" s="24">
        <f t="shared" si="179"/>
        <v>-0.2</v>
      </c>
      <c r="AR315" s="5">
        <v>8.2799999999999994</v>
      </c>
      <c r="AS315" s="5">
        <v>8.23</v>
      </c>
      <c r="AT315" s="5">
        <v>2.1</v>
      </c>
      <c r="AU315" s="7">
        <f t="shared" si="166"/>
        <v>0.255</v>
      </c>
      <c r="AV315" s="16"/>
      <c r="AW315" s="30">
        <v>0</v>
      </c>
      <c r="AX315" s="29">
        <v>0</v>
      </c>
      <c r="AY315" s="1">
        <f t="shared" si="144"/>
        <v>96.4</v>
      </c>
      <c r="AZ315" s="1">
        <f t="shared" si="145"/>
        <v>83.7</v>
      </c>
      <c r="BA315" s="1">
        <f t="shared" si="146"/>
        <v>53.4</v>
      </c>
      <c r="BB315" s="8">
        <f t="shared" si="147"/>
        <v>0.47199999999999998</v>
      </c>
      <c r="BC315" s="8">
        <f t="shared" si="148"/>
        <v>0.41199999999999998</v>
      </c>
      <c r="BE315" s="5">
        <f t="shared" si="155"/>
        <v>8.23</v>
      </c>
      <c r="BF315" s="5">
        <f t="shared" si="156"/>
        <v>2.1</v>
      </c>
      <c r="BG315" s="1">
        <f t="shared" si="173"/>
        <v>-1.5</v>
      </c>
      <c r="BH315" s="1">
        <f t="shared" si="174"/>
        <v>5.2</v>
      </c>
      <c r="BI315" s="1">
        <f t="shared" si="175"/>
        <v>-7.1</v>
      </c>
      <c r="BJ315" s="1">
        <f t="shared" si="157"/>
        <v>83.7</v>
      </c>
      <c r="BK315" s="1">
        <f t="shared" si="158"/>
        <v>53.4</v>
      </c>
      <c r="BL315" s="1">
        <f t="shared" si="167"/>
        <v>1</v>
      </c>
      <c r="BM315" s="1">
        <f t="shared" si="168"/>
        <v>4.5</v>
      </c>
      <c r="BN315" s="21">
        <f t="shared" si="159"/>
        <v>0</v>
      </c>
      <c r="BO315" s="7">
        <f t="shared" si="160"/>
        <v>5.9000000000000163E-2</v>
      </c>
      <c r="BP315" s="21">
        <f t="shared" si="154"/>
        <v>-0.2</v>
      </c>
      <c r="BQ315" s="1">
        <f t="shared" si="161"/>
        <v>-3</v>
      </c>
      <c r="BR315" s="1">
        <f t="shared" si="162"/>
        <v>2.5</v>
      </c>
      <c r="BS315" s="1">
        <f t="shared" si="163"/>
        <v>-8.1999999999999993</v>
      </c>
      <c r="BT315" s="1">
        <f t="shared" si="176"/>
        <v>-0.2</v>
      </c>
      <c r="BU315" s="1" t="s">
        <v>113</v>
      </c>
      <c r="BV315" s="1">
        <f t="shared" si="177"/>
        <v>2.2000000000000002</v>
      </c>
      <c r="BW315" s="1" t="str">
        <f t="shared" si="169"/>
        <v>NAN</v>
      </c>
      <c r="BX315" s="1">
        <f t="shared" si="170"/>
        <v>0.47199999999999998</v>
      </c>
      <c r="BY315" s="1">
        <f t="shared" si="171"/>
        <v>0.41199999999999998</v>
      </c>
      <c r="CA315" s="1">
        <f t="shared" si="164"/>
        <v>-2.7</v>
      </c>
      <c r="CB315" s="1">
        <f t="shared" si="165"/>
        <v>-1.0999999999999996</v>
      </c>
    </row>
    <row r="316" spans="1:80" x14ac:dyDescent="0.2">
      <c r="A316" s="9">
        <f t="shared" si="172"/>
        <v>43776</v>
      </c>
      <c r="B316" s="2">
        <v>311</v>
      </c>
      <c r="C316" s="2">
        <v>21</v>
      </c>
      <c r="D316" s="2">
        <v>13.13</v>
      </c>
      <c r="E316" s="2">
        <v>10.72</v>
      </c>
      <c r="F316" s="2">
        <v>-9.3800000000000008</v>
      </c>
      <c r="G316" s="2">
        <v>-1.7</v>
      </c>
      <c r="H316" s="2">
        <v>85.8</v>
      </c>
      <c r="I316" s="2">
        <v>-2.452</v>
      </c>
      <c r="J316" s="2">
        <v>-3.13</v>
      </c>
      <c r="K316" s="2">
        <v>-0.22900000000000001</v>
      </c>
      <c r="L316" s="2">
        <v>2.14</v>
      </c>
      <c r="M316" s="2">
        <v>4.8120000000000003</v>
      </c>
      <c r="N316" s="2">
        <v>100.4</v>
      </c>
      <c r="O316" s="2">
        <v>11.17</v>
      </c>
      <c r="P316" s="2">
        <v>11.59</v>
      </c>
      <c r="Q316" s="2">
        <v>0.59399999999999997</v>
      </c>
      <c r="R316" s="2">
        <v>2.452</v>
      </c>
      <c r="S316" s="2">
        <v>-7.73</v>
      </c>
      <c r="T316" s="2">
        <v>59.48</v>
      </c>
      <c r="U316" s="2">
        <v>-10.130000000000001</v>
      </c>
      <c r="V316" s="2">
        <v>-10.92</v>
      </c>
      <c r="W316" s="2">
        <v>-0.54</v>
      </c>
      <c r="X316" s="2">
        <v>1.9179999999999999</v>
      </c>
      <c r="Y316" s="2">
        <v>2.35</v>
      </c>
      <c r="Z316" s="2">
        <v>0.254</v>
      </c>
      <c r="AA316" s="2">
        <v>5.7969999999999997</v>
      </c>
      <c r="AB316" s="2">
        <v>1.5309999999999999</v>
      </c>
      <c r="AC316" s="2">
        <v>0.80300000000000005</v>
      </c>
      <c r="AD316" s="2">
        <v>3.9140000000000001</v>
      </c>
      <c r="AE316" s="2">
        <v>-3.3109999999999999</v>
      </c>
      <c r="AF316" s="2">
        <v>4.3070000000000004</v>
      </c>
      <c r="AG316" s="2">
        <v>-9.5</v>
      </c>
      <c r="AH316" s="2">
        <v>4.3070000000000004</v>
      </c>
      <c r="AI316" s="2">
        <v>-9.5</v>
      </c>
      <c r="AJ316" s="2" t="s">
        <v>113</v>
      </c>
      <c r="AK316" s="2" t="s">
        <v>113</v>
      </c>
      <c r="AL316" s="2">
        <v>-1.9179999999999999</v>
      </c>
      <c r="AM316" s="2">
        <v>6.5839999999999996</v>
      </c>
      <c r="AN316" s="2">
        <v>-8.73</v>
      </c>
      <c r="AO316" s="2"/>
      <c r="AP316" s="1">
        <f t="shared" si="178"/>
        <v>0.10000000000000009</v>
      </c>
      <c r="AQ316" s="24">
        <f t="shared" si="179"/>
        <v>-0.2</v>
      </c>
      <c r="AR316" s="5">
        <v>8.1199999999999992</v>
      </c>
      <c r="AS316" s="5">
        <v>5.8</v>
      </c>
      <c r="AT316" s="5">
        <v>1.53</v>
      </c>
      <c r="AU316" s="7">
        <f t="shared" si="166"/>
        <v>0.26400000000000001</v>
      </c>
      <c r="AV316" s="16"/>
      <c r="AW316" s="30">
        <v>0</v>
      </c>
      <c r="AX316" s="29">
        <v>0</v>
      </c>
      <c r="AY316" s="1">
        <f t="shared" si="144"/>
        <v>96.9</v>
      </c>
      <c r="AZ316" s="1">
        <f t="shared" si="145"/>
        <v>82.7</v>
      </c>
      <c r="BA316" s="1">
        <f t="shared" si="146"/>
        <v>57.2</v>
      </c>
      <c r="BB316" s="8">
        <f t="shared" si="147"/>
        <v>0.49199999999999999</v>
      </c>
      <c r="BC316" s="8">
        <f t="shared" si="148"/>
        <v>0.36799999999999999</v>
      </c>
      <c r="BE316" s="5">
        <f t="shared" si="155"/>
        <v>5.8</v>
      </c>
      <c r="BF316" s="5">
        <f t="shared" si="156"/>
        <v>1.53</v>
      </c>
      <c r="BG316" s="1">
        <f t="shared" si="173"/>
        <v>-1.7</v>
      </c>
      <c r="BH316" s="1">
        <f t="shared" si="174"/>
        <v>4.8</v>
      </c>
      <c r="BI316" s="1">
        <f t="shared" si="175"/>
        <v>-7.7</v>
      </c>
      <c r="BJ316" s="1">
        <f t="shared" si="157"/>
        <v>82.7</v>
      </c>
      <c r="BK316" s="1">
        <f t="shared" si="158"/>
        <v>57.2</v>
      </c>
      <c r="BL316" s="1">
        <f t="shared" si="167"/>
        <v>0.8</v>
      </c>
      <c r="BM316" s="1">
        <f t="shared" si="168"/>
        <v>3.9</v>
      </c>
      <c r="BN316" s="21">
        <f t="shared" si="159"/>
        <v>0</v>
      </c>
      <c r="BO316" s="7">
        <f t="shared" si="160"/>
        <v>0.10000000000000009</v>
      </c>
      <c r="BP316" s="21">
        <f t="shared" si="154"/>
        <v>-0.2</v>
      </c>
      <c r="BQ316" s="1">
        <f t="shared" si="161"/>
        <v>-3.3</v>
      </c>
      <c r="BR316" s="1">
        <f t="shared" si="162"/>
        <v>4.3</v>
      </c>
      <c r="BS316" s="1">
        <f t="shared" si="163"/>
        <v>-9.5</v>
      </c>
      <c r="BT316" s="1">
        <f t="shared" si="176"/>
        <v>-0.2</v>
      </c>
      <c r="BU316" s="1" t="s">
        <v>113</v>
      </c>
      <c r="BV316" s="1">
        <f t="shared" si="177"/>
        <v>2.1</v>
      </c>
      <c r="BW316" s="1" t="str">
        <f t="shared" si="169"/>
        <v>NAN</v>
      </c>
      <c r="BX316" s="1">
        <f t="shared" si="170"/>
        <v>0.49199999999999999</v>
      </c>
      <c r="BY316" s="1">
        <f t="shared" si="171"/>
        <v>0.36799999999999999</v>
      </c>
      <c r="CA316" s="1">
        <f t="shared" si="164"/>
        <v>-0.5</v>
      </c>
      <c r="CB316" s="1">
        <f t="shared" si="165"/>
        <v>-1.7999999999999998</v>
      </c>
    </row>
    <row r="317" spans="1:80" x14ac:dyDescent="0.2">
      <c r="A317" s="9">
        <f t="shared" si="172"/>
        <v>43777</v>
      </c>
      <c r="B317" s="2">
        <v>312</v>
      </c>
      <c r="C317" s="2">
        <v>21</v>
      </c>
      <c r="D317" s="2">
        <v>13.13</v>
      </c>
      <c r="E317" s="2">
        <v>1.9550000000000001</v>
      </c>
      <c r="F317" s="2">
        <v>-2.36</v>
      </c>
      <c r="G317" s="2">
        <v>-0.121</v>
      </c>
      <c r="H317" s="2">
        <v>89.7</v>
      </c>
      <c r="I317" s="2">
        <v>-0.64800000000000002</v>
      </c>
      <c r="J317" s="2">
        <v>-1.1100000000000001</v>
      </c>
      <c r="K317" s="2">
        <v>-0.30599999999999999</v>
      </c>
      <c r="L317" s="2">
        <v>2.0710000000000002</v>
      </c>
      <c r="M317" s="2">
        <v>1.587</v>
      </c>
      <c r="N317" s="2">
        <v>99.6</v>
      </c>
      <c r="O317" s="2">
        <v>2.4020000000000001</v>
      </c>
      <c r="P317" s="2">
        <v>2.1190000000000002</v>
      </c>
      <c r="Q317" s="2">
        <v>-0.17</v>
      </c>
      <c r="R317" s="2">
        <v>2.141</v>
      </c>
      <c r="S317" s="2">
        <v>-1.9670000000000001</v>
      </c>
      <c r="T317" s="2">
        <v>77.8</v>
      </c>
      <c r="U317" s="2">
        <v>-3.2589999999999999</v>
      </c>
      <c r="V317" s="2">
        <v>-3.9630000000000001</v>
      </c>
      <c r="W317" s="2">
        <v>-0.439</v>
      </c>
      <c r="X317" s="2">
        <v>2.0099999999999998</v>
      </c>
      <c r="Y317" s="2">
        <v>2.3580000000000001</v>
      </c>
      <c r="Z317" s="2">
        <v>0</v>
      </c>
      <c r="AA317" s="2">
        <v>1.665</v>
      </c>
      <c r="AB317" s="2">
        <v>0.36</v>
      </c>
      <c r="AC317" s="2">
        <v>0.64300000000000002</v>
      </c>
      <c r="AD317" s="2">
        <v>3.5139999999999998</v>
      </c>
      <c r="AE317" s="2">
        <v>-0.93600000000000005</v>
      </c>
      <c r="AF317" s="2">
        <v>0.41799999999999998</v>
      </c>
      <c r="AG317" s="2">
        <v>-2.8879999999999999</v>
      </c>
      <c r="AH317" s="2">
        <v>0.41799999999999998</v>
      </c>
      <c r="AI317" s="2">
        <v>-2.8879999999999999</v>
      </c>
      <c r="AJ317" s="2" t="s">
        <v>113</v>
      </c>
      <c r="AK317" s="2" t="s">
        <v>113</v>
      </c>
      <c r="AL317" s="2">
        <v>-0.28399999999999997</v>
      </c>
      <c r="AM317" s="2">
        <v>1.6950000000000001</v>
      </c>
      <c r="AN317" s="2">
        <v>-2.2410000000000001</v>
      </c>
      <c r="AO317" s="2"/>
      <c r="AP317" s="1">
        <f t="shared" si="178"/>
        <v>9.2000000000000082E-2</v>
      </c>
      <c r="AQ317" s="24">
        <f t="shared" si="179"/>
        <v>-0.3</v>
      </c>
      <c r="AR317" s="5">
        <v>7.98</v>
      </c>
      <c r="AS317" s="5">
        <v>1.67</v>
      </c>
      <c r="AT317" s="5">
        <v>0.36</v>
      </c>
      <c r="AU317" s="7">
        <f t="shared" si="166"/>
        <v>0.216</v>
      </c>
      <c r="AV317" s="16"/>
      <c r="AW317" s="30">
        <v>0</v>
      </c>
      <c r="AX317" s="29">
        <v>0</v>
      </c>
      <c r="AY317" s="1">
        <f t="shared" si="144"/>
        <v>96.1</v>
      </c>
      <c r="AZ317" s="1">
        <f t="shared" si="145"/>
        <v>86.5</v>
      </c>
      <c r="BA317" s="1">
        <f t="shared" si="146"/>
        <v>75</v>
      </c>
      <c r="BB317" s="8">
        <f t="shared" si="147"/>
        <v>0.51400000000000001</v>
      </c>
      <c r="BC317" s="8">
        <f t="shared" si="148"/>
        <v>0.17100000000000001</v>
      </c>
      <c r="BE317" s="5">
        <f t="shared" si="155"/>
        <v>1.67</v>
      </c>
      <c r="BF317" s="5">
        <f t="shared" si="156"/>
        <v>0.36</v>
      </c>
      <c r="BG317" s="1">
        <f t="shared" si="173"/>
        <v>-0.1</v>
      </c>
      <c r="BH317" s="1">
        <f t="shared" si="174"/>
        <v>1.6</v>
      </c>
      <c r="BI317" s="1">
        <f t="shared" si="175"/>
        <v>-2</v>
      </c>
      <c r="BJ317" s="1">
        <f t="shared" si="157"/>
        <v>86.5</v>
      </c>
      <c r="BK317" s="1">
        <f t="shared" si="158"/>
        <v>75</v>
      </c>
      <c r="BL317" s="1">
        <f t="shared" si="167"/>
        <v>0.6</v>
      </c>
      <c r="BM317" s="1">
        <f t="shared" si="168"/>
        <v>3.5</v>
      </c>
      <c r="BN317" s="21">
        <f t="shared" si="159"/>
        <v>0</v>
      </c>
      <c r="BO317" s="7">
        <f t="shared" si="160"/>
        <v>9.2000000000000082E-2</v>
      </c>
      <c r="BP317" s="21">
        <f t="shared" si="154"/>
        <v>-0.3</v>
      </c>
      <c r="BQ317" s="1">
        <f t="shared" si="161"/>
        <v>-0.9</v>
      </c>
      <c r="BR317" s="1">
        <f t="shared" si="162"/>
        <v>0.4</v>
      </c>
      <c r="BS317" s="1">
        <f t="shared" si="163"/>
        <v>-2.9</v>
      </c>
      <c r="BT317" s="1">
        <f t="shared" si="176"/>
        <v>-0.3</v>
      </c>
      <c r="BU317" s="1" t="s">
        <v>113</v>
      </c>
      <c r="BV317" s="1">
        <f t="shared" si="177"/>
        <v>2.1</v>
      </c>
      <c r="BW317" s="1" t="str">
        <f t="shared" si="169"/>
        <v>NAN</v>
      </c>
      <c r="BX317" s="1">
        <f t="shared" si="170"/>
        <v>0.51400000000000001</v>
      </c>
      <c r="BY317" s="1">
        <f t="shared" si="171"/>
        <v>0.17100000000000001</v>
      </c>
      <c r="CA317" s="1">
        <f t="shared" si="164"/>
        <v>-1.2000000000000002</v>
      </c>
      <c r="CB317" s="1">
        <f t="shared" si="165"/>
        <v>-0.89999999999999991</v>
      </c>
    </row>
    <row r="318" spans="1:80" x14ac:dyDescent="0.2">
      <c r="A318" s="9">
        <f t="shared" si="172"/>
        <v>43778</v>
      </c>
      <c r="B318" s="2">
        <v>313</v>
      </c>
      <c r="C318" s="2">
        <v>21</v>
      </c>
      <c r="D318" s="2">
        <v>13.14</v>
      </c>
      <c r="E318" s="2">
        <v>6.9669999999999996</v>
      </c>
      <c r="F318" s="2">
        <v>-0.94099999999999995</v>
      </c>
      <c r="G318" s="2">
        <v>2.82</v>
      </c>
      <c r="H318" s="2">
        <v>86.3</v>
      </c>
      <c r="I318" s="2">
        <v>2.0329999999999999</v>
      </c>
      <c r="J318" s="2">
        <v>1.474</v>
      </c>
      <c r="K318" s="2">
        <v>-0.224</v>
      </c>
      <c r="L318" s="2">
        <v>2.09</v>
      </c>
      <c r="M318" s="2">
        <v>5.5229999999999997</v>
      </c>
      <c r="N318" s="2">
        <v>101.7</v>
      </c>
      <c r="O318" s="2">
        <v>6.6429999999999998</v>
      </c>
      <c r="P318" s="2">
        <v>7.43</v>
      </c>
      <c r="Q318" s="2">
        <v>9.4E-2</v>
      </c>
      <c r="R318" s="2">
        <v>2.2730000000000001</v>
      </c>
      <c r="S318" s="2">
        <v>-0.871</v>
      </c>
      <c r="T318" s="2">
        <v>70</v>
      </c>
      <c r="U318" s="2">
        <v>-2.7309999999999999</v>
      </c>
      <c r="V318" s="2">
        <v>-4.1159999999999997</v>
      </c>
      <c r="W318" s="2">
        <v>-0.42099999999999999</v>
      </c>
      <c r="X318" s="2">
        <v>1.9870000000000001</v>
      </c>
      <c r="Y318" s="2">
        <v>2.3660000000000001</v>
      </c>
      <c r="Z318" s="2">
        <v>0.50800000000000001</v>
      </c>
      <c r="AA318" s="2">
        <v>2.847</v>
      </c>
      <c r="AB318" s="2">
        <v>0.58199999999999996</v>
      </c>
      <c r="AC318" s="2">
        <v>1.417</v>
      </c>
      <c r="AD318" s="2">
        <v>5.274</v>
      </c>
      <c r="AE318" s="2">
        <v>0.58699999999999997</v>
      </c>
      <c r="AF318" s="2">
        <v>3.3</v>
      </c>
      <c r="AG318" s="2">
        <v>-2.218</v>
      </c>
      <c r="AH318" s="2">
        <v>3.3</v>
      </c>
      <c r="AI318" s="2">
        <v>-2.218</v>
      </c>
      <c r="AJ318" s="2" t="s">
        <v>113</v>
      </c>
      <c r="AK318" s="2" t="s">
        <v>113</v>
      </c>
      <c r="AL318" s="2">
        <v>2.5950000000000002</v>
      </c>
      <c r="AM318" s="2">
        <v>5.6689999999999996</v>
      </c>
      <c r="AN318" s="2">
        <v>-1.234</v>
      </c>
      <c r="AO318" s="2"/>
      <c r="AP318" s="1">
        <f t="shared" si="178"/>
        <v>8.4000000000000075E-2</v>
      </c>
      <c r="AQ318" s="24">
        <f t="shared" si="179"/>
        <v>-0.2</v>
      </c>
      <c r="AR318" s="5">
        <v>7.83</v>
      </c>
      <c r="AS318" s="5">
        <v>2.85</v>
      </c>
      <c r="AT318" s="5">
        <v>0.57999999999999996</v>
      </c>
      <c r="AU318" s="7">
        <f t="shared" si="166"/>
        <v>0.20399999999999999</v>
      </c>
      <c r="AV318" s="16"/>
      <c r="AW318" s="30">
        <v>1</v>
      </c>
      <c r="AX318" s="29">
        <v>0</v>
      </c>
      <c r="AY318" s="1">
        <f t="shared" ref="AY318:AY370" si="180">ROUND(AZ$1*N318+AZ$2,1)</f>
        <v>98.1</v>
      </c>
      <c r="AZ318" s="1">
        <f t="shared" ref="AZ318:AZ370" si="181">ROUND(H318*AZ$1+AZ$2,1)</f>
        <v>83.2</v>
      </c>
      <c r="BA318" s="1">
        <f t="shared" ref="BA318:BA370" si="182">ROUND(T318*AZ$1+AZ$2,1)</f>
        <v>67.400000000000006</v>
      </c>
      <c r="BB318" s="8">
        <f t="shared" ref="BB318:BB370" si="183">ROUND((0.6105*(EXP((17.273*M318)/(M318+237.3))))*BA318/100,3)</f>
        <v>0.60899999999999999</v>
      </c>
      <c r="BC318" s="8">
        <f t="shared" ref="BC318:BC370" si="184">ROUND(BB318/BA318*(100-BA318),3)</f>
        <v>0.29499999999999998</v>
      </c>
      <c r="BE318" s="5">
        <f t="shared" si="155"/>
        <v>2.85</v>
      </c>
      <c r="BF318" s="5">
        <f t="shared" si="156"/>
        <v>0.57999999999999996</v>
      </c>
      <c r="BG318" s="1">
        <f t="shared" si="173"/>
        <v>2.8</v>
      </c>
      <c r="BH318" s="1">
        <f t="shared" si="174"/>
        <v>5.5</v>
      </c>
      <c r="BI318" s="1">
        <f t="shared" si="175"/>
        <v>-0.9</v>
      </c>
      <c r="BJ318" s="1">
        <f t="shared" si="157"/>
        <v>83.2</v>
      </c>
      <c r="BK318" s="1">
        <f t="shared" si="158"/>
        <v>67.400000000000006</v>
      </c>
      <c r="BL318" s="1">
        <f t="shared" si="167"/>
        <v>1.4</v>
      </c>
      <c r="BM318" s="1">
        <f t="shared" si="168"/>
        <v>5.3</v>
      </c>
      <c r="BN318" s="21">
        <f t="shared" si="159"/>
        <v>1</v>
      </c>
      <c r="BO318" s="7">
        <f t="shared" si="160"/>
        <v>8.4000000000000075E-2</v>
      </c>
      <c r="BP318" s="21">
        <f t="shared" si="154"/>
        <v>-0.2</v>
      </c>
      <c r="BQ318" s="1">
        <f t="shared" si="161"/>
        <v>0.6</v>
      </c>
      <c r="BR318" s="1">
        <f t="shared" si="162"/>
        <v>3.3</v>
      </c>
      <c r="BS318" s="1">
        <f t="shared" si="163"/>
        <v>-2.2000000000000002</v>
      </c>
      <c r="BT318" s="1">
        <f t="shared" si="176"/>
        <v>-0.2</v>
      </c>
      <c r="BU318" s="1" t="s">
        <v>113</v>
      </c>
      <c r="BV318" s="1">
        <f t="shared" si="177"/>
        <v>2.1</v>
      </c>
      <c r="BW318" s="1" t="str">
        <f t="shared" si="169"/>
        <v>NAN</v>
      </c>
      <c r="BX318" s="1">
        <f t="shared" si="170"/>
        <v>0.60899999999999999</v>
      </c>
      <c r="BY318" s="1">
        <f t="shared" si="171"/>
        <v>0.29499999999999998</v>
      </c>
      <c r="CA318" s="1">
        <f t="shared" si="164"/>
        <v>-2.2000000000000002</v>
      </c>
      <c r="CB318" s="1">
        <f t="shared" si="165"/>
        <v>-1.3000000000000003</v>
      </c>
    </row>
    <row r="319" spans="1:80" x14ac:dyDescent="0.2">
      <c r="A319" s="9">
        <f t="shared" si="172"/>
        <v>43779</v>
      </c>
      <c r="B319" s="2">
        <v>314</v>
      </c>
      <c r="C319" s="2">
        <v>21</v>
      </c>
      <c r="D319" s="2">
        <v>13.1</v>
      </c>
      <c r="E319" s="2">
        <v>8.06</v>
      </c>
      <c r="F319" s="2">
        <v>-9.6199999999999992</v>
      </c>
      <c r="G319" s="2">
        <v>-0.998</v>
      </c>
      <c r="H319" s="2">
        <v>88.6</v>
      </c>
      <c r="I319" s="2">
        <v>-1.454</v>
      </c>
      <c r="J319" s="2">
        <v>-2.2890000000000001</v>
      </c>
      <c r="K319" s="2">
        <v>-0.20899999999999999</v>
      </c>
      <c r="L319" s="2">
        <v>2.0459999999999998</v>
      </c>
      <c r="M319" s="2">
        <v>2.4460000000000002</v>
      </c>
      <c r="N319" s="2">
        <v>101.8</v>
      </c>
      <c r="O319" s="2">
        <v>6.1139999999999999</v>
      </c>
      <c r="P319" s="2">
        <v>8.36</v>
      </c>
      <c r="Q319" s="2">
        <v>0.64400000000000002</v>
      </c>
      <c r="R319" s="2">
        <v>2.3839999999999999</v>
      </c>
      <c r="S319" s="2">
        <v>-9.44</v>
      </c>
      <c r="T319" s="2">
        <v>67.47</v>
      </c>
      <c r="U319" s="2">
        <v>-11.05</v>
      </c>
      <c r="V319" s="2">
        <v>-12.17</v>
      </c>
      <c r="W319" s="2">
        <v>-0.49299999999999999</v>
      </c>
      <c r="X319" s="2">
        <v>1.9139999999999999</v>
      </c>
      <c r="Y319" s="2">
        <v>2.34</v>
      </c>
      <c r="Z319" s="2">
        <v>0</v>
      </c>
      <c r="AA319" s="2">
        <v>6.1390000000000002</v>
      </c>
      <c r="AB319" s="2">
        <v>1.343</v>
      </c>
      <c r="AC319" s="2">
        <v>1.675</v>
      </c>
      <c r="AD319" s="2">
        <v>6.1</v>
      </c>
      <c r="AE319" s="2">
        <v>-1.867</v>
      </c>
      <c r="AF319" s="2">
        <v>3.548</v>
      </c>
      <c r="AG319" s="2">
        <v>-9.4700000000000006</v>
      </c>
      <c r="AH319" s="2">
        <v>3.548</v>
      </c>
      <c r="AI319" s="2">
        <v>-9.4700000000000006</v>
      </c>
      <c r="AJ319" s="2" t="s">
        <v>113</v>
      </c>
      <c r="AK319" s="2" t="s">
        <v>113</v>
      </c>
      <c r="AL319" s="2">
        <v>-1.0920000000000001</v>
      </c>
      <c r="AM319" s="2">
        <v>2.6850000000000001</v>
      </c>
      <c r="AN319" s="2">
        <v>-9.99</v>
      </c>
      <c r="AO319" s="2"/>
      <c r="AP319" s="1">
        <f t="shared" si="178"/>
        <v>0.11000000000000032</v>
      </c>
      <c r="AQ319" s="24">
        <f t="shared" si="179"/>
        <v>-0.2</v>
      </c>
      <c r="AR319" s="5">
        <v>7.69</v>
      </c>
      <c r="AS319" s="5">
        <v>6.14</v>
      </c>
      <c r="AT319" s="5">
        <v>1.34</v>
      </c>
      <c r="AU319" s="7">
        <f t="shared" si="166"/>
        <v>0.218</v>
      </c>
      <c r="AV319" s="16"/>
      <c r="AW319" s="30">
        <v>0</v>
      </c>
      <c r="AX319" s="29">
        <v>0</v>
      </c>
      <c r="AY319" s="1">
        <f t="shared" si="180"/>
        <v>98.2</v>
      </c>
      <c r="AZ319" s="1">
        <f t="shared" si="181"/>
        <v>85.4</v>
      </c>
      <c r="BA319" s="1">
        <f t="shared" si="182"/>
        <v>64.900000000000006</v>
      </c>
      <c r="BB319" s="8">
        <f t="shared" si="183"/>
        <v>0.47299999999999998</v>
      </c>
      <c r="BC319" s="8">
        <f t="shared" si="184"/>
        <v>0.25600000000000001</v>
      </c>
      <c r="BE319" s="5">
        <f t="shared" si="155"/>
        <v>6.14</v>
      </c>
      <c r="BF319" s="5">
        <f t="shared" si="156"/>
        <v>1.34</v>
      </c>
      <c r="BG319" s="1">
        <f t="shared" si="173"/>
        <v>-1</v>
      </c>
      <c r="BH319" s="1">
        <f t="shared" si="174"/>
        <v>2.4</v>
      </c>
      <c r="BI319" s="1">
        <f t="shared" si="175"/>
        <v>-9.4</v>
      </c>
      <c r="BJ319" s="1">
        <f t="shared" si="157"/>
        <v>85.4</v>
      </c>
      <c r="BK319" s="1">
        <f t="shared" si="158"/>
        <v>64.900000000000006</v>
      </c>
      <c r="BL319" s="1">
        <f t="shared" si="167"/>
        <v>1.7</v>
      </c>
      <c r="BM319" s="1">
        <f t="shared" si="168"/>
        <v>6.1</v>
      </c>
      <c r="BN319" s="21">
        <f t="shared" si="159"/>
        <v>0</v>
      </c>
      <c r="BO319" s="7">
        <f t="shared" si="160"/>
        <v>0.11000000000000032</v>
      </c>
      <c r="BP319" s="21">
        <f t="shared" si="154"/>
        <v>-0.2</v>
      </c>
      <c r="BQ319" s="1">
        <f t="shared" si="161"/>
        <v>-1.9</v>
      </c>
      <c r="BR319" s="1">
        <f t="shared" si="162"/>
        <v>3.5</v>
      </c>
      <c r="BS319" s="1">
        <f t="shared" si="163"/>
        <v>-9.5</v>
      </c>
      <c r="BT319" s="1">
        <f t="shared" si="176"/>
        <v>-0.2</v>
      </c>
      <c r="BU319" s="1" t="s">
        <v>113</v>
      </c>
      <c r="BV319" s="1">
        <f t="shared" si="177"/>
        <v>2</v>
      </c>
      <c r="BW319" s="1" t="str">
        <f t="shared" si="169"/>
        <v>NAN</v>
      </c>
      <c r="BX319" s="1">
        <f t="shared" si="170"/>
        <v>0.47299999999999998</v>
      </c>
      <c r="BY319" s="1">
        <f t="shared" si="171"/>
        <v>0.25600000000000001</v>
      </c>
      <c r="CA319" s="1">
        <f t="shared" si="164"/>
        <v>1.1000000000000001</v>
      </c>
      <c r="CB319" s="1">
        <f t="shared" si="165"/>
        <v>-9.9999999999999645E-2</v>
      </c>
    </row>
    <row r="320" spans="1:80" x14ac:dyDescent="0.2">
      <c r="A320" s="9">
        <f t="shared" si="172"/>
        <v>43780</v>
      </c>
      <c r="B320" s="2">
        <v>315</v>
      </c>
      <c r="C320" s="2">
        <v>21</v>
      </c>
      <c r="D320" s="2">
        <v>13.12</v>
      </c>
      <c r="E320" s="2">
        <v>4.7640000000000002</v>
      </c>
      <c r="F320" s="2">
        <v>-11.63</v>
      </c>
      <c r="G320" s="2">
        <v>-3.726</v>
      </c>
      <c r="H320" s="2">
        <v>85.3</v>
      </c>
      <c r="I320" s="2">
        <v>-4</v>
      </c>
      <c r="J320" s="2">
        <v>-4.1180000000000003</v>
      </c>
      <c r="K320" s="2">
        <v>-0.30199999999999999</v>
      </c>
      <c r="L320" s="2">
        <v>1.988</v>
      </c>
      <c r="M320" s="2">
        <v>0.376</v>
      </c>
      <c r="N320" s="2">
        <v>99.6</v>
      </c>
      <c r="O320" s="2">
        <v>4.6609999999999996</v>
      </c>
      <c r="P320" s="2">
        <v>5.0179999999999998</v>
      </c>
      <c r="Q320" s="2">
        <v>0.20399999999999999</v>
      </c>
      <c r="R320" s="2">
        <v>2.194</v>
      </c>
      <c r="S320" s="2">
        <v>-10.24</v>
      </c>
      <c r="T320" s="2">
        <v>73.599999999999994</v>
      </c>
      <c r="U320" s="2">
        <v>-12.41</v>
      </c>
      <c r="V320" s="2">
        <v>-13.05</v>
      </c>
      <c r="W320" s="2">
        <v>-0.48299999999999998</v>
      </c>
      <c r="X320" s="2">
        <v>1.819</v>
      </c>
      <c r="Y320" s="2">
        <v>2.3860000000000001</v>
      </c>
      <c r="Z320" s="2">
        <v>0</v>
      </c>
      <c r="AA320" s="2">
        <v>4.992</v>
      </c>
      <c r="AB320" s="2">
        <v>1.181</v>
      </c>
      <c r="AC320" s="2">
        <v>1.6559999999999999</v>
      </c>
      <c r="AD320" s="2">
        <v>4.2869999999999999</v>
      </c>
      <c r="AE320" s="2">
        <v>-3.6680000000000001</v>
      </c>
      <c r="AF320" s="2">
        <v>2.0059999999999998</v>
      </c>
      <c r="AG320" s="2">
        <v>-10.76</v>
      </c>
      <c r="AH320" s="2">
        <v>2.0059999999999998</v>
      </c>
      <c r="AI320" s="2">
        <v>-10.76</v>
      </c>
      <c r="AJ320" s="2" t="s">
        <v>113</v>
      </c>
      <c r="AK320" s="2" t="s">
        <v>113</v>
      </c>
      <c r="AL320" s="2">
        <v>-3.7690000000000001</v>
      </c>
      <c r="AM320" s="2">
        <v>2.3879999999999999</v>
      </c>
      <c r="AN320" s="2">
        <v>-10.9</v>
      </c>
      <c r="AO320" s="2"/>
      <c r="AP320" s="1">
        <f t="shared" si="178"/>
        <v>6.4000000000000057E-2</v>
      </c>
      <c r="AQ320" s="24">
        <f t="shared" si="179"/>
        <v>-0.3</v>
      </c>
      <c r="AR320" s="5">
        <v>7.55</v>
      </c>
      <c r="AS320" s="5">
        <v>4.99</v>
      </c>
      <c r="AT320" s="5">
        <v>1.18</v>
      </c>
      <c r="AU320" s="7">
        <f t="shared" si="166"/>
        <v>0.23599999999999999</v>
      </c>
      <c r="AV320" s="16"/>
      <c r="AW320" s="30">
        <v>0</v>
      </c>
      <c r="AX320" s="29">
        <v>0</v>
      </c>
      <c r="AY320" s="1">
        <f t="shared" si="180"/>
        <v>96.1</v>
      </c>
      <c r="AZ320" s="1">
        <f t="shared" si="181"/>
        <v>82.2</v>
      </c>
      <c r="BA320" s="1">
        <f t="shared" si="182"/>
        <v>70.900000000000006</v>
      </c>
      <c r="BB320" s="8">
        <f t="shared" si="183"/>
        <v>0.44500000000000001</v>
      </c>
      <c r="BC320" s="8">
        <f t="shared" si="184"/>
        <v>0.183</v>
      </c>
      <c r="BE320" s="5">
        <f t="shared" si="155"/>
        <v>4.99</v>
      </c>
      <c r="BF320" s="5">
        <f t="shared" si="156"/>
        <v>1.18</v>
      </c>
      <c r="BG320" s="1">
        <f t="shared" si="173"/>
        <v>-3.7</v>
      </c>
      <c r="BH320" s="1">
        <f t="shared" si="174"/>
        <v>0.4</v>
      </c>
      <c r="BI320" s="1">
        <f t="shared" si="175"/>
        <v>-10.199999999999999</v>
      </c>
      <c r="BJ320" s="1">
        <f t="shared" si="157"/>
        <v>82.2</v>
      </c>
      <c r="BK320" s="1">
        <f t="shared" si="158"/>
        <v>70.900000000000006</v>
      </c>
      <c r="BL320" s="1">
        <f t="shared" si="167"/>
        <v>1.7</v>
      </c>
      <c r="BM320" s="1">
        <f t="shared" si="168"/>
        <v>4.3</v>
      </c>
      <c r="BN320" s="21">
        <f t="shared" si="159"/>
        <v>0</v>
      </c>
      <c r="BO320" s="7">
        <f t="shared" si="160"/>
        <v>6.4000000000000057E-2</v>
      </c>
      <c r="BP320" s="21">
        <f t="shared" si="154"/>
        <v>-0.3</v>
      </c>
      <c r="BQ320" s="1">
        <f t="shared" si="161"/>
        <v>-3.7</v>
      </c>
      <c r="BR320" s="1">
        <f t="shared" si="162"/>
        <v>2</v>
      </c>
      <c r="BS320" s="1">
        <f t="shared" si="163"/>
        <v>-10.8</v>
      </c>
      <c r="BT320" s="1">
        <f t="shared" si="176"/>
        <v>-0.3</v>
      </c>
      <c r="BU320" s="1" t="s">
        <v>113</v>
      </c>
      <c r="BV320" s="1">
        <f t="shared" si="177"/>
        <v>2</v>
      </c>
      <c r="BW320" s="1" t="str">
        <f t="shared" si="169"/>
        <v>NAN</v>
      </c>
      <c r="BX320" s="1">
        <f t="shared" si="170"/>
        <v>0.44500000000000001</v>
      </c>
      <c r="BY320" s="1">
        <f t="shared" si="171"/>
        <v>0.183</v>
      </c>
      <c r="CA320" s="1">
        <f t="shared" si="164"/>
        <v>1.6</v>
      </c>
      <c r="CB320" s="1">
        <f t="shared" si="165"/>
        <v>-0.60000000000000142</v>
      </c>
    </row>
    <row r="321" spans="1:80" x14ac:dyDescent="0.2">
      <c r="A321" s="9">
        <f t="shared" si="172"/>
        <v>43781</v>
      </c>
      <c r="B321" s="2">
        <v>316</v>
      </c>
      <c r="C321" s="2">
        <v>21</v>
      </c>
      <c r="D321" s="2">
        <v>13.14</v>
      </c>
      <c r="E321" s="2">
        <v>2.0179999999999998</v>
      </c>
      <c r="F321" s="2">
        <v>-2.7530000000000001</v>
      </c>
      <c r="G321" s="2">
        <v>-0.87</v>
      </c>
      <c r="H321" s="2">
        <v>97.6</v>
      </c>
      <c r="I321" s="2">
        <v>-1.05</v>
      </c>
      <c r="J321" s="2">
        <v>-1.196</v>
      </c>
      <c r="K321" s="2">
        <v>-0.30099999999999999</v>
      </c>
      <c r="L321" s="2">
        <v>1.9550000000000001</v>
      </c>
      <c r="M321" s="2">
        <v>1.9790000000000001</v>
      </c>
      <c r="N321" s="2">
        <v>101.3</v>
      </c>
      <c r="O321" s="2">
        <v>3.645</v>
      </c>
      <c r="P321" s="2">
        <v>-2.4E-2</v>
      </c>
      <c r="Q321" s="2">
        <v>-0.115</v>
      </c>
      <c r="R321" s="2">
        <v>2.093</v>
      </c>
      <c r="S321" s="2">
        <v>-3.2250000000000001</v>
      </c>
      <c r="T321" s="2">
        <v>80.099999999999994</v>
      </c>
      <c r="U321" s="2">
        <v>-3.3839999999999999</v>
      </c>
      <c r="V321" s="2">
        <v>-3.3340000000000001</v>
      </c>
      <c r="W321" s="2">
        <v>-0.376</v>
      </c>
      <c r="X321" s="2">
        <v>1.9019999999999999</v>
      </c>
      <c r="Y321" s="2">
        <v>2.343</v>
      </c>
      <c r="Z321" s="2">
        <v>1.27</v>
      </c>
      <c r="AA321" s="2">
        <v>0.77700000000000002</v>
      </c>
      <c r="AB321" s="2">
        <v>1.573</v>
      </c>
      <c r="AC321" s="2">
        <v>1.157</v>
      </c>
      <c r="AD321" s="2">
        <v>4.2869999999999999</v>
      </c>
      <c r="AE321" s="2">
        <v>-1.323</v>
      </c>
      <c r="AF321" s="2">
        <v>0.28199999999999997</v>
      </c>
      <c r="AG321" s="2">
        <v>-2.915</v>
      </c>
      <c r="AH321" s="2">
        <v>0.28199999999999997</v>
      </c>
      <c r="AI321" s="2">
        <v>-2.915</v>
      </c>
      <c r="AJ321" s="2" t="s">
        <v>113</v>
      </c>
      <c r="AK321" s="2" t="s">
        <v>113</v>
      </c>
      <c r="AL321" s="2">
        <v>-0.81599999999999995</v>
      </c>
      <c r="AM321" s="2">
        <v>2.4049999999999998</v>
      </c>
      <c r="AN321" s="2">
        <v>-3.08</v>
      </c>
      <c r="AO321" s="2"/>
      <c r="AP321" s="1">
        <f t="shared" si="178"/>
        <v>0.10700000000000021</v>
      </c>
      <c r="AQ321" s="24">
        <f t="shared" si="179"/>
        <v>-0.3</v>
      </c>
      <c r="AR321" s="5">
        <v>7.41</v>
      </c>
      <c r="AS321" s="5">
        <v>1.74</v>
      </c>
      <c r="AT321" s="5">
        <v>1.57</v>
      </c>
      <c r="AU321" s="7">
        <f t="shared" si="166"/>
        <v>0.90200000000000002</v>
      </c>
      <c r="AV321" s="16"/>
      <c r="AW321" s="30">
        <v>3.08</v>
      </c>
      <c r="AX321" s="29">
        <v>27</v>
      </c>
      <c r="AY321" s="1">
        <f t="shared" si="180"/>
        <v>97.8</v>
      </c>
      <c r="AZ321" s="1">
        <f t="shared" si="181"/>
        <v>94.2</v>
      </c>
      <c r="BA321" s="1">
        <f t="shared" si="182"/>
        <v>77.2</v>
      </c>
      <c r="BB321" s="8">
        <f t="shared" si="183"/>
        <v>0.54400000000000004</v>
      </c>
      <c r="BC321" s="8">
        <f t="shared" si="184"/>
        <v>0.161</v>
      </c>
      <c r="BE321" s="5">
        <f t="shared" si="155"/>
        <v>1.74</v>
      </c>
      <c r="BF321" s="5">
        <f t="shared" si="156"/>
        <v>1.57</v>
      </c>
      <c r="BG321" s="1">
        <f t="shared" si="173"/>
        <v>-0.9</v>
      </c>
      <c r="BH321" s="1">
        <f t="shared" si="174"/>
        <v>2</v>
      </c>
      <c r="BI321" s="1">
        <f t="shared" si="175"/>
        <v>-3.2</v>
      </c>
      <c r="BJ321" s="1">
        <f t="shared" si="157"/>
        <v>94.2</v>
      </c>
      <c r="BK321" s="1">
        <f t="shared" si="158"/>
        <v>77.2</v>
      </c>
      <c r="BL321" s="1">
        <f t="shared" si="167"/>
        <v>1.2</v>
      </c>
      <c r="BM321" s="1">
        <f t="shared" si="168"/>
        <v>4.3</v>
      </c>
      <c r="BN321" s="21">
        <f t="shared" si="159"/>
        <v>3.08</v>
      </c>
      <c r="BO321" s="7">
        <f t="shared" si="160"/>
        <v>0.10700000000000021</v>
      </c>
      <c r="BP321" s="21">
        <f t="shared" si="154"/>
        <v>-0.3</v>
      </c>
      <c r="BQ321" s="1">
        <f t="shared" si="161"/>
        <v>-1.3</v>
      </c>
      <c r="BR321" s="1">
        <f t="shared" si="162"/>
        <v>0.3</v>
      </c>
      <c r="BS321" s="1">
        <f t="shared" si="163"/>
        <v>-2.9</v>
      </c>
      <c r="BT321" s="1">
        <f t="shared" si="176"/>
        <v>-0.3</v>
      </c>
      <c r="BU321" s="1" t="s">
        <v>113</v>
      </c>
      <c r="BV321" s="1">
        <f t="shared" si="177"/>
        <v>2</v>
      </c>
      <c r="BW321" s="1" t="str">
        <f t="shared" si="169"/>
        <v>NAN</v>
      </c>
      <c r="BX321" s="1">
        <f t="shared" si="170"/>
        <v>0.54400000000000004</v>
      </c>
      <c r="BY321" s="1">
        <f t="shared" si="171"/>
        <v>0.161</v>
      </c>
      <c r="CA321" s="1">
        <f t="shared" si="164"/>
        <v>-1.7</v>
      </c>
      <c r="CB321" s="1">
        <f t="shared" si="165"/>
        <v>0.30000000000000027</v>
      </c>
    </row>
    <row r="322" spans="1:80" x14ac:dyDescent="0.2">
      <c r="A322" s="9">
        <f t="shared" si="172"/>
        <v>43782</v>
      </c>
      <c r="B322" s="2">
        <v>317</v>
      </c>
      <c r="C322" s="2">
        <v>21</v>
      </c>
      <c r="D322" s="2">
        <v>13.11</v>
      </c>
      <c r="E322" s="2">
        <v>15.14</v>
      </c>
      <c r="F322" s="2">
        <v>-5.7640000000000002</v>
      </c>
      <c r="G322" s="2">
        <v>-0.47799999999999998</v>
      </c>
      <c r="H322" s="2">
        <v>95.1</v>
      </c>
      <c r="I322" s="2">
        <v>-1.536</v>
      </c>
      <c r="J322" s="2">
        <v>-4.484</v>
      </c>
      <c r="K322" s="2">
        <v>-0.249</v>
      </c>
      <c r="L322" s="2">
        <v>1.9450000000000001</v>
      </c>
      <c r="M322" s="2">
        <v>5.8559999999999999</v>
      </c>
      <c r="N322" s="2">
        <v>102.4</v>
      </c>
      <c r="O322" s="2">
        <v>11.43</v>
      </c>
      <c r="P322" s="2">
        <v>2.0760000000000001</v>
      </c>
      <c r="Q322" s="2">
        <v>0.80800000000000005</v>
      </c>
      <c r="R322" s="2">
        <v>2.3740000000000001</v>
      </c>
      <c r="S322" s="2">
        <v>-5.1319999999999997</v>
      </c>
      <c r="T322" s="2">
        <v>64.87</v>
      </c>
      <c r="U322" s="2">
        <v>-8.51</v>
      </c>
      <c r="V322" s="2">
        <v>-11.93</v>
      </c>
      <c r="W322" s="2">
        <v>-0.63900000000000001</v>
      </c>
      <c r="X322" s="2">
        <v>1.5509999999999999</v>
      </c>
      <c r="Y322" s="2">
        <v>2.3370000000000002</v>
      </c>
      <c r="Z322" s="2">
        <v>5.08</v>
      </c>
      <c r="AA322" s="2">
        <v>5.1689999999999996</v>
      </c>
      <c r="AB322" s="2">
        <v>3.617</v>
      </c>
      <c r="AC322" s="2">
        <v>0.57999999999999996</v>
      </c>
      <c r="AD322" s="2">
        <v>2.927</v>
      </c>
      <c r="AE322" s="2">
        <v>-5.0039999999999996</v>
      </c>
      <c r="AF322" s="2">
        <v>0.52700000000000002</v>
      </c>
      <c r="AG322" s="2">
        <v>-11.12</v>
      </c>
      <c r="AH322" s="2">
        <v>0.52700000000000002</v>
      </c>
      <c r="AI322" s="2">
        <v>-11.12</v>
      </c>
      <c r="AJ322" s="2" t="s">
        <v>113</v>
      </c>
      <c r="AK322" s="2" t="s">
        <v>113</v>
      </c>
      <c r="AL322" s="2">
        <v>-0.39300000000000002</v>
      </c>
      <c r="AM322" s="2">
        <v>8.9499999999999993</v>
      </c>
      <c r="AN322" s="2">
        <v>-5.7809999999999997</v>
      </c>
      <c r="AO322" s="2"/>
      <c r="AP322" s="1">
        <f t="shared" si="178"/>
        <v>0.11299999999999999</v>
      </c>
      <c r="AQ322" s="24">
        <f t="shared" si="179"/>
        <v>-0.2</v>
      </c>
      <c r="AR322" s="5">
        <v>7.28</v>
      </c>
      <c r="AS322" s="5">
        <v>5.17</v>
      </c>
      <c r="AT322" s="5">
        <v>3.61</v>
      </c>
      <c r="AU322" s="7">
        <f t="shared" si="166"/>
        <v>0.69799999999999995</v>
      </c>
      <c r="AV322" s="16"/>
      <c r="AW322" s="30">
        <v>0</v>
      </c>
      <c r="AX322" s="29">
        <v>33</v>
      </c>
      <c r="AY322" s="1">
        <f t="shared" si="180"/>
        <v>98.8</v>
      </c>
      <c r="AZ322" s="1">
        <f t="shared" si="181"/>
        <v>91.7</v>
      </c>
      <c r="BA322" s="1">
        <f t="shared" si="182"/>
        <v>62.4</v>
      </c>
      <c r="BB322" s="8">
        <f t="shared" si="183"/>
        <v>0.57699999999999996</v>
      </c>
      <c r="BC322" s="8">
        <f t="shared" si="184"/>
        <v>0.34799999999999998</v>
      </c>
      <c r="BE322" s="5">
        <f t="shared" si="155"/>
        <v>5.17</v>
      </c>
      <c r="BF322" s="5">
        <f t="shared" si="156"/>
        <v>3.61</v>
      </c>
      <c r="BG322" s="1">
        <f t="shared" ref="BG322:BG353" si="185">ROUND(G322,1)</f>
        <v>-0.5</v>
      </c>
      <c r="BH322" s="1">
        <f t="shared" ref="BH322:BH353" si="186">ROUND(M322,1)</f>
        <v>5.9</v>
      </c>
      <c r="BI322" s="1">
        <f t="shared" ref="BI322:BI353" si="187">ROUND(S322,1)</f>
        <v>-5.0999999999999996</v>
      </c>
      <c r="BJ322" s="1">
        <f t="shared" si="157"/>
        <v>91.7</v>
      </c>
      <c r="BK322" s="1">
        <f t="shared" si="158"/>
        <v>62.4</v>
      </c>
      <c r="BL322" s="1">
        <f t="shared" si="167"/>
        <v>0.6</v>
      </c>
      <c r="BM322" s="1">
        <f t="shared" si="168"/>
        <v>2.9</v>
      </c>
      <c r="BN322" s="21">
        <f t="shared" si="159"/>
        <v>0</v>
      </c>
      <c r="BO322" s="7">
        <f t="shared" si="160"/>
        <v>0.11299999999999999</v>
      </c>
      <c r="BP322" s="21">
        <f t="shared" si="154"/>
        <v>-0.2</v>
      </c>
      <c r="BQ322" s="1">
        <f t="shared" si="161"/>
        <v>-5</v>
      </c>
      <c r="BR322" s="1">
        <f t="shared" si="162"/>
        <v>0.5</v>
      </c>
      <c r="BS322" s="1">
        <f t="shared" si="163"/>
        <v>-11.1</v>
      </c>
      <c r="BT322" s="1">
        <f t="shared" ref="BT322:BT353" si="188">ROUND(K322,1)</f>
        <v>-0.2</v>
      </c>
      <c r="BU322" s="1" t="s">
        <v>113</v>
      </c>
      <c r="BV322" s="1">
        <f t="shared" ref="BV322:BV353" si="189">ROUND(L322,1)</f>
        <v>1.9</v>
      </c>
      <c r="BW322" s="1" t="str">
        <f t="shared" si="169"/>
        <v>NAN</v>
      </c>
      <c r="BX322" s="1">
        <f t="shared" si="170"/>
        <v>0.57699999999999996</v>
      </c>
      <c r="BY322" s="1">
        <f t="shared" si="171"/>
        <v>0.34799999999999998</v>
      </c>
      <c r="CA322" s="1">
        <f t="shared" si="164"/>
        <v>-5.4</v>
      </c>
      <c r="CB322" s="1">
        <f t="shared" si="165"/>
        <v>-6</v>
      </c>
    </row>
    <row r="323" spans="1:80" x14ac:dyDescent="0.2">
      <c r="A323" s="9">
        <f t="shared" si="172"/>
        <v>43783</v>
      </c>
      <c r="B323" s="2">
        <v>318</v>
      </c>
      <c r="C323" s="2">
        <v>21</v>
      </c>
      <c r="D323" s="2">
        <v>13.14</v>
      </c>
      <c r="E323" s="2">
        <v>4.3689999999999998</v>
      </c>
      <c r="F323" s="2">
        <v>-4.8029999999999999</v>
      </c>
      <c r="G323" s="2">
        <v>-1.0369999999999999</v>
      </c>
      <c r="H323" s="2">
        <v>98</v>
      </c>
      <c r="I323" s="2">
        <v>-1.649</v>
      </c>
      <c r="J323" s="2">
        <v>-2.7629999999999999</v>
      </c>
      <c r="K323" s="2">
        <v>-0.30299999999999999</v>
      </c>
      <c r="L323" s="2">
        <v>1.895</v>
      </c>
      <c r="M323" s="2">
        <v>0.36499999999999999</v>
      </c>
      <c r="N323" s="2">
        <v>102.4</v>
      </c>
      <c r="O323" s="2">
        <v>2.8980000000000001</v>
      </c>
      <c r="P323" s="2">
        <v>2.0739999999999998</v>
      </c>
      <c r="Q323" s="2">
        <v>0.32300000000000001</v>
      </c>
      <c r="R323" s="2">
        <v>2.153</v>
      </c>
      <c r="S323" s="2">
        <v>-3.7360000000000002</v>
      </c>
      <c r="T323" s="2">
        <v>87.6</v>
      </c>
      <c r="U323" s="2">
        <v>-7.13</v>
      </c>
      <c r="V323" s="2">
        <v>-10.43</v>
      </c>
      <c r="W323" s="2">
        <v>-0.48799999999999999</v>
      </c>
      <c r="X323" s="2">
        <v>1.7889999999999999</v>
      </c>
      <c r="Y323" s="2">
        <v>2.3460000000000001</v>
      </c>
      <c r="Z323" s="2">
        <v>0.254</v>
      </c>
      <c r="AA323" s="2">
        <v>4.0090000000000003</v>
      </c>
      <c r="AB323" s="2">
        <v>2.6539999999999999</v>
      </c>
      <c r="AC323" s="2">
        <v>1.944</v>
      </c>
      <c r="AD323" s="2">
        <v>5.1139999999999999</v>
      </c>
      <c r="AE323" s="2">
        <v>-2.9769999999999999</v>
      </c>
      <c r="AF323" s="2">
        <v>-0.106</v>
      </c>
      <c r="AG323" s="2">
        <v>-9.42</v>
      </c>
      <c r="AH323" s="2">
        <v>-0.106</v>
      </c>
      <c r="AI323" s="2">
        <v>-9.42</v>
      </c>
      <c r="AJ323" s="2" t="s">
        <v>113</v>
      </c>
      <c r="AK323" s="2" t="s">
        <v>113</v>
      </c>
      <c r="AL323" s="2">
        <v>-1.1639999999999999</v>
      </c>
      <c r="AM323" s="2">
        <v>1.5169999999999999</v>
      </c>
      <c r="AN323" s="2">
        <v>-4.1399999999999997</v>
      </c>
      <c r="AO323" s="2"/>
      <c r="AP323" s="1">
        <f t="shared" si="178"/>
        <v>0.10400000000000009</v>
      </c>
      <c r="AQ323" s="24">
        <f t="shared" si="179"/>
        <v>-0.3</v>
      </c>
      <c r="AR323" s="5">
        <v>7.16</v>
      </c>
      <c r="AS323" s="5">
        <v>4.01</v>
      </c>
      <c r="AT323" s="5">
        <v>2.65</v>
      </c>
      <c r="AU323" s="7">
        <f t="shared" si="166"/>
        <v>0.66100000000000003</v>
      </c>
      <c r="AV323" s="16"/>
      <c r="AW323" s="30">
        <v>0</v>
      </c>
      <c r="AX323" s="29">
        <v>24</v>
      </c>
      <c r="AY323" s="1">
        <f t="shared" si="180"/>
        <v>98.8</v>
      </c>
      <c r="AZ323" s="1">
        <f t="shared" si="181"/>
        <v>94.6</v>
      </c>
      <c r="BA323" s="1">
        <f t="shared" si="182"/>
        <v>84.5</v>
      </c>
      <c r="BB323" s="8">
        <f t="shared" si="183"/>
        <v>0.53</v>
      </c>
      <c r="BC323" s="8">
        <f t="shared" si="184"/>
        <v>9.7000000000000003E-2</v>
      </c>
      <c r="BE323" s="5">
        <f t="shared" si="155"/>
        <v>4.01</v>
      </c>
      <c r="BF323" s="5">
        <f t="shared" si="156"/>
        <v>2.65</v>
      </c>
      <c r="BG323" s="1">
        <f t="shared" si="185"/>
        <v>-1</v>
      </c>
      <c r="BH323" s="1">
        <f t="shared" si="186"/>
        <v>0.4</v>
      </c>
      <c r="BI323" s="1">
        <f t="shared" si="187"/>
        <v>-3.7</v>
      </c>
      <c r="BJ323" s="1">
        <f t="shared" si="157"/>
        <v>94.6</v>
      </c>
      <c r="BK323" s="1">
        <f t="shared" si="158"/>
        <v>84.5</v>
      </c>
      <c r="BL323" s="1">
        <f t="shared" si="167"/>
        <v>1.9</v>
      </c>
      <c r="BM323" s="1">
        <f t="shared" si="168"/>
        <v>5.0999999999999996</v>
      </c>
      <c r="BN323" s="21">
        <f t="shared" si="159"/>
        <v>0</v>
      </c>
      <c r="BO323" s="7">
        <f t="shared" si="160"/>
        <v>0.10400000000000009</v>
      </c>
      <c r="BP323" s="21">
        <f t="shared" ref="BP323:BP370" si="190">IF(AQ323="","NAN",AQ323)</f>
        <v>-0.3</v>
      </c>
      <c r="BQ323" s="1">
        <f t="shared" si="161"/>
        <v>-3</v>
      </c>
      <c r="BR323" s="1">
        <f t="shared" si="162"/>
        <v>-0.1</v>
      </c>
      <c r="BS323" s="1">
        <f t="shared" si="163"/>
        <v>-9.4</v>
      </c>
      <c r="BT323" s="1">
        <f t="shared" si="188"/>
        <v>-0.3</v>
      </c>
      <c r="BU323" s="1" t="s">
        <v>113</v>
      </c>
      <c r="BV323" s="1">
        <f t="shared" si="189"/>
        <v>1.9</v>
      </c>
      <c r="BW323" s="1" t="str">
        <f t="shared" si="169"/>
        <v>NAN</v>
      </c>
      <c r="BX323" s="1">
        <f t="shared" si="170"/>
        <v>0.53</v>
      </c>
      <c r="BY323" s="1">
        <f t="shared" si="171"/>
        <v>9.7000000000000003E-2</v>
      </c>
      <c r="CA323" s="1">
        <f t="shared" si="164"/>
        <v>-0.5</v>
      </c>
      <c r="CB323" s="1">
        <f t="shared" si="165"/>
        <v>-5.7</v>
      </c>
    </row>
    <row r="324" spans="1:80" x14ac:dyDescent="0.2">
      <c r="A324" s="9">
        <f t="shared" si="172"/>
        <v>43784</v>
      </c>
      <c r="B324" s="2">
        <v>319</v>
      </c>
      <c r="C324" s="2">
        <v>21</v>
      </c>
      <c r="D324" s="2">
        <v>13.12</v>
      </c>
      <c r="E324" s="2">
        <v>4.66</v>
      </c>
      <c r="F324" s="2">
        <v>-1.4350000000000001</v>
      </c>
      <c r="G324" s="2">
        <v>-7.3999999999999996E-2</v>
      </c>
      <c r="H324" s="2">
        <v>100.5</v>
      </c>
      <c r="I324" s="2">
        <v>-0.252</v>
      </c>
      <c r="J324" s="2">
        <v>-0.64500000000000002</v>
      </c>
      <c r="K324" s="2">
        <v>-0.27300000000000002</v>
      </c>
      <c r="L324" s="2">
        <v>1.885</v>
      </c>
      <c r="M324" s="2">
        <v>2.2490000000000001</v>
      </c>
      <c r="N324" s="2">
        <v>103</v>
      </c>
      <c r="O324" s="2">
        <v>3.6880000000000002</v>
      </c>
      <c r="P324" s="2">
        <v>3.0710000000000002</v>
      </c>
      <c r="Q324" s="2">
        <v>0.128</v>
      </c>
      <c r="R324" s="2">
        <v>2.1579999999999999</v>
      </c>
      <c r="S324" s="2">
        <v>-1.2889999999999999</v>
      </c>
      <c r="T324" s="2">
        <v>93.6</v>
      </c>
      <c r="U324" s="2">
        <v>-2.7040000000000002</v>
      </c>
      <c r="V324" s="2">
        <v>-4.6680000000000001</v>
      </c>
      <c r="W324" s="2">
        <v>-0.40100000000000002</v>
      </c>
      <c r="X324" s="2">
        <v>1.794</v>
      </c>
      <c r="Y324" s="2">
        <v>2.3650000000000002</v>
      </c>
      <c r="Z324" s="2">
        <v>1.524</v>
      </c>
      <c r="AA324" s="2">
        <v>2.403</v>
      </c>
      <c r="AB324" s="2">
        <v>1.7050000000000001</v>
      </c>
      <c r="AC324" s="2">
        <v>1.5289999999999999</v>
      </c>
      <c r="AD324" s="2">
        <v>5.6470000000000002</v>
      </c>
      <c r="AE324" s="2">
        <v>-0.93300000000000005</v>
      </c>
      <c r="AF324" s="2">
        <v>0.49299999999999999</v>
      </c>
      <c r="AG324" s="2">
        <v>-5.0289999999999999</v>
      </c>
      <c r="AH324" s="2">
        <v>0.49299999999999999</v>
      </c>
      <c r="AI324" s="2">
        <v>-5.0289999999999999</v>
      </c>
      <c r="AJ324" s="2" t="s">
        <v>113</v>
      </c>
      <c r="AK324" s="2" t="s">
        <v>113</v>
      </c>
      <c r="AL324" s="2">
        <v>0.17699999999999999</v>
      </c>
      <c r="AM324" s="2">
        <v>3.33</v>
      </c>
      <c r="AN324" s="2">
        <v>-1.496</v>
      </c>
      <c r="AO324" s="2"/>
      <c r="AP324" s="1">
        <f t="shared" si="178"/>
        <v>8.4999999999999964E-2</v>
      </c>
      <c r="AQ324" s="24">
        <f t="shared" si="179"/>
        <v>-0.3</v>
      </c>
      <c r="AR324" s="5">
        <v>7.03</v>
      </c>
      <c r="AS324" s="5">
        <v>2.4</v>
      </c>
      <c r="AT324" s="5">
        <v>1.7</v>
      </c>
      <c r="AU324" s="7">
        <f t="shared" si="166"/>
        <v>0.70799999999999996</v>
      </c>
      <c r="AV324" s="16"/>
      <c r="AW324" s="30">
        <v>0</v>
      </c>
      <c r="AX324" s="29">
        <v>10</v>
      </c>
      <c r="AY324" s="1">
        <f t="shared" si="180"/>
        <v>99.4</v>
      </c>
      <c r="AZ324" s="1">
        <f t="shared" si="181"/>
        <v>97</v>
      </c>
      <c r="BA324" s="1">
        <f t="shared" si="182"/>
        <v>90.3</v>
      </c>
      <c r="BB324" s="8">
        <f t="shared" si="183"/>
        <v>0.64800000000000002</v>
      </c>
      <c r="BC324" s="8">
        <f t="shared" si="184"/>
        <v>7.0000000000000007E-2</v>
      </c>
      <c r="BE324" s="5">
        <f t="shared" si="155"/>
        <v>2.4</v>
      </c>
      <c r="BF324" s="5">
        <f t="shared" si="156"/>
        <v>1.7</v>
      </c>
      <c r="BG324" s="1">
        <f t="shared" si="185"/>
        <v>-0.1</v>
      </c>
      <c r="BH324" s="1">
        <f t="shared" si="186"/>
        <v>2.2000000000000002</v>
      </c>
      <c r="BI324" s="1">
        <f t="shared" si="187"/>
        <v>-1.3</v>
      </c>
      <c r="BJ324" s="1">
        <f t="shared" si="157"/>
        <v>97</v>
      </c>
      <c r="BK324" s="1">
        <f t="shared" si="158"/>
        <v>90.3</v>
      </c>
      <c r="BL324" s="1">
        <f t="shared" si="167"/>
        <v>1.5</v>
      </c>
      <c r="BM324" s="1">
        <f t="shared" si="168"/>
        <v>5.6</v>
      </c>
      <c r="BN324" s="21">
        <f t="shared" si="159"/>
        <v>0</v>
      </c>
      <c r="BO324" s="7">
        <f t="shared" si="160"/>
        <v>8.4999999999999964E-2</v>
      </c>
      <c r="BP324" s="21">
        <f t="shared" si="190"/>
        <v>-0.3</v>
      </c>
      <c r="BQ324" s="1">
        <f t="shared" si="161"/>
        <v>-0.9</v>
      </c>
      <c r="BR324" s="1">
        <f t="shared" si="162"/>
        <v>0.5</v>
      </c>
      <c r="BS324" s="1">
        <f t="shared" si="163"/>
        <v>-5</v>
      </c>
      <c r="BT324" s="1">
        <f t="shared" si="188"/>
        <v>-0.3</v>
      </c>
      <c r="BU324" s="1" t="s">
        <v>113</v>
      </c>
      <c r="BV324" s="1">
        <f t="shared" si="189"/>
        <v>1.9</v>
      </c>
      <c r="BW324" s="1" t="str">
        <f t="shared" si="169"/>
        <v>NAN</v>
      </c>
      <c r="BX324" s="1">
        <f t="shared" si="170"/>
        <v>0.64800000000000002</v>
      </c>
      <c r="BY324" s="1">
        <f t="shared" si="171"/>
        <v>7.0000000000000007E-2</v>
      </c>
      <c r="CA324" s="1">
        <f t="shared" si="164"/>
        <v>-1.7000000000000002</v>
      </c>
      <c r="CB324" s="1">
        <f t="shared" si="165"/>
        <v>-3.7</v>
      </c>
    </row>
    <row r="325" spans="1:80" x14ac:dyDescent="0.2">
      <c r="A325" s="9">
        <f t="shared" si="172"/>
        <v>43785</v>
      </c>
      <c r="B325" s="2">
        <v>320</v>
      </c>
      <c r="C325" s="2">
        <v>21</v>
      </c>
      <c r="D325" s="2">
        <v>13.06</v>
      </c>
      <c r="E325" s="2">
        <v>0.436</v>
      </c>
      <c r="F325" s="2">
        <v>-5.0090000000000003</v>
      </c>
      <c r="G325" s="2">
        <v>-1.877</v>
      </c>
      <c r="H325" s="2">
        <v>99.3</v>
      </c>
      <c r="I325" s="2">
        <v>-2.4470000000000001</v>
      </c>
      <c r="J325" s="2">
        <v>-2.4180000000000001</v>
      </c>
      <c r="K325" s="2">
        <v>-0.32500000000000001</v>
      </c>
      <c r="L325" s="2">
        <v>1.8220000000000001</v>
      </c>
      <c r="M325" s="2">
        <v>0.80200000000000005</v>
      </c>
      <c r="N325" s="2">
        <v>102.2</v>
      </c>
      <c r="O325" s="2">
        <v>1.137</v>
      </c>
      <c r="P325" s="2">
        <v>0.96299999999999997</v>
      </c>
      <c r="Q325" s="2">
        <v>-0.14799999999999999</v>
      </c>
      <c r="R325" s="2">
        <v>1.9339999999999999</v>
      </c>
      <c r="S325" s="2">
        <v>-4.4480000000000004</v>
      </c>
      <c r="T325" s="2">
        <v>87.6</v>
      </c>
      <c r="U325" s="2">
        <v>-6.82</v>
      </c>
      <c r="V325" s="2">
        <v>-9.56</v>
      </c>
      <c r="W325" s="2">
        <v>-0.45600000000000002</v>
      </c>
      <c r="X325" s="2">
        <v>1.766</v>
      </c>
      <c r="Y325" s="2">
        <v>2.2839999999999998</v>
      </c>
      <c r="Z325" s="2">
        <v>0</v>
      </c>
      <c r="AA325" s="2">
        <v>1.032</v>
      </c>
      <c r="AB325" s="2">
        <v>0.871</v>
      </c>
      <c r="AC325" s="2">
        <v>0.86799999999999999</v>
      </c>
      <c r="AD325" s="2">
        <v>4.42</v>
      </c>
      <c r="AE325" s="2">
        <v>-3.2189999999999999</v>
      </c>
      <c r="AF325" s="2">
        <v>-0.69499999999999995</v>
      </c>
      <c r="AG325" s="2">
        <v>-8.56</v>
      </c>
      <c r="AH325" s="2">
        <v>-0.69499999999999995</v>
      </c>
      <c r="AI325" s="2">
        <v>-8.56</v>
      </c>
      <c r="AJ325" s="2" t="s">
        <v>113</v>
      </c>
      <c r="AK325" s="2" t="s">
        <v>113</v>
      </c>
      <c r="AL325" s="2">
        <v>-1.978</v>
      </c>
      <c r="AM325" s="2">
        <v>0.98</v>
      </c>
      <c r="AN325" s="2">
        <v>-4.9320000000000004</v>
      </c>
      <c r="AO325" s="2"/>
      <c r="AP325" s="1">
        <f t="shared" si="178"/>
        <v>0.16600000000000037</v>
      </c>
      <c r="AQ325" s="24">
        <f t="shared" si="179"/>
        <v>-0.3</v>
      </c>
      <c r="AR325" s="5">
        <v>6.91</v>
      </c>
      <c r="AS325" s="5">
        <v>1.17</v>
      </c>
      <c r="AT325" s="5">
        <v>0.87</v>
      </c>
      <c r="AU325" s="7">
        <f t="shared" si="166"/>
        <v>0.74399999999999999</v>
      </c>
      <c r="AV325" s="16"/>
      <c r="AW325" s="30">
        <v>8.25</v>
      </c>
      <c r="AX325" s="29">
        <v>86</v>
      </c>
      <c r="AY325" s="1">
        <f t="shared" si="180"/>
        <v>98.6</v>
      </c>
      <c r="AZ325" s="1">
        <f t="shared" si="181"/>
        <v>95.8</v>
      </c>
      <c r="BA325" s="1">
        <f t="shared" si="182"/>
        <v>84.5</v>
      </c>
      <c r="BB325" s="8">
        <f t="shared" si="183"/>
        <v>0.54700000000000004</v>
      </c>
      <c r="BC325" s="8">
        <f t="shared" si="184"/>
        <v>0.1</v>
      </c>
      <c r="BE325" s="5">
        <f t="shared" si="155"/>
        <v>1.17</v>
      </c>
      <c r="BF325" s="5">
        <f t="shared" si="156"/>
        <v>0.87</v>
      </c>
      <c r="BG325" s="1">
        <f t="shared" si="185"/>
        <v>-1.9</v>
      </c>
      <c r="BH325" s="1">
        <f t="shared" si="186"/>
        <v>0.8</v>
      </c>
      <c r="BI325" s="1">
        <f t="shared" si="187"/>
        <v>-4.4000000000000004</v>
      </c>
      <c r="BJ325" s="1">
        <f t="shared" si="157"/>
        <v>95.8</v>
      </c>
      <c r="BK325" s="1">
        <f t="shared" si="158"/>
        <v>84.5</v>
      </c>
      <c r="BL325" s="1">
        <f t="shared" si="167"/>
        <v>0.9</v>
      </c>
      <c r="BM325" s="1">
        <f t="shared" si="168"/>
        <v>4.4000000000000004</v>
      </c>
      <c r="BN325" s="21">
        <f t="shared" si="159"/>
        <v>8.25</v>
      </c>
      <c r="BO325" s="7">
        <f t="shared" si="160"/>
        <v>0.16600000000000037</v>
      </c>
      <c r="BP325" s="21">
        <f t="shared" si="190"/>
        <v>-0.3</v>
      </c>
      <c r="BQ325" s="1">
        <f t="shared" si="161"/>
        <v>-3.2</v>
      </c>
      <c r="BR325" s="1">
        <f t="shared" si="162"/>
        <v>-0.7</v>
      </c>
      <c r="BS325" s="1">
        <f t="shared" si="163"/>
        <v>-8.6</v>
      </c>
      <c r="BT325" s="1">
        <f t="shared" si="188"/>
        <v>-0.3</v>
      </c>
      <c r="BU325" s="1" t="s">
        <v>113</v>
      </c>
      <c r="BV325" s="1">
        <f t="shared" si="189"/>
        <v>1.8</v>
      </c>
      <c r="BW325" s="1" t="str">
        <f t="shared" si="169"/>
        <v>NAN</v>
      </c>
      <c r="BX325" s="1">
        <f t="shared" si="170"/>
        <v>0.54700000000000004</v>
      </c>
      <c r="BY325" s="1">
        <f t="shared" si="171"/>
        <v>0.1</v>
      </c>
      <c r="CA325" s="1">
        <f t="shared" si="164"/>
        <v>-1.5</v>
      </c>
      <c r="CB325" s="1">
        <f t="shared" si="165"/>
        <v>-4.1999999999999993</v>
      </c>
    </row>
    <row r="326" spans="1:80" x14ac:dyDescent="0.2">
      <c r="A326" s="9">
        <f t="shared" si="172"/>
        <v>43786</v>
      </c>
      <c r="B326" s="2">
        <v>321</v>
      </c>
      <c r="C326" s="2">
        <v>21</v>
      </c>
      <c r="D326" s="2">
        <v>13.16</v>
      </c>
      <c r="E326" s="2">
        <v>6.508</v>
      </c>
      <c r="F326" s="2">
        <v>-2.0710000000000002</v>
      </c>
      <c r="G326" s="2">
        <v>1.6890000000000001</v>
      </c>
      <c r="H326" s="2">
        <v>95.5</v>
      </c>
      <c r="I326" s="2">
        <v>1.123</v>
      </c>
      <c r="J326" s="2">
        <v>-0.44600000000000001</v>
      </c>
      <c r="K326" s="2">
        <v>-0.24399999999999999</v>
      </c>
      <c r="L326" s="2">
        <v>1.8440000000000001</v>
      </c>
      <c r="M326" s="2">
        <v>5.6079999999999997</v>
      </c>
      <c r="N326" s="2">
        <v>103.1</v>
      </c>
      <c r="O326" s="2">
        <v>7.78</v>
      </c>
      <c r="P326" s="2">
        <v>0.59599999999999997</v>
      </c>
      <c r="Q326" s="2">
        <v>0.57299999999999995</v>
      </c>
      <c r="R326" s="2">
        <v>2.2050000000000001</v>
      </c>
      <c r="S326" s="2">
        <v>-1.8340000000000001</v>
      </c>
      <c r="T326" s="2">
        <v>71.5</v>
      </c>
      <c r="U326" s="2">
        <v>-2.0030000000000001</v>
      </c>
      <c r="V326" s="2">
        <v>-1.96</v>
      </c>
      <c r="W326" s="2">
        <v>-0.38100000000000001</v>
      </c>
      <c r="X326" s="2">
        <v>1.7470000000000001</v>
      </c>
      <c r="Y326" s="2">
        <v>2.3410000000000002</v>
      </c>
      <c r="Z326" s="2">
        <v>9.4</v>
      </c>
      <c r="AA326" s="2">
        <v>2.4489999999999998</v>
      </c>
      <c r="AB326" s="2">
        <v>2.1269999999999998</v>
      </c>
      <c r="AC326" s="2">
        <v>1.3360000000000001</v>
      </c>
      <c r="AD326" s="2">
        <v>5.38</v>
      </c>
      <c r="AE326" s="2">
        <v>-0.69299999999999995</v>
      </c>
      <c r="AF326" s="2">
        <v>0.79200000000000004</v>
      </c>
      <c r="AG326" s="2">
        <v>-3.9529999999999998</v>
      </c>
      <c r="AH326" s="2">
        <v>0.79200000000000004</v>
      </c>
      <c r="AI326" s="2">
        <v>-3.9529999999999998</v>
      </c>
      <c r="AJ326" s="2" t="s">
        <v>113</v>
      </c>
      <c r="AK326" s="2" t="s">
        <v>113</v>
      </c>
      <c r="AL326" s="2">
        <v>1.597</v>
      </c>
      <c r="AM326" s="2">
        <v>6.2850000000000001</v>
      </c>
      <c r="AN326" s="2">
        <v>-1.919</v>
      </c>
      <c r="AO326" s="2"/>
      <c r="AP326" s="1">
        <f t="shared" si="178"/>
        <v>0.10899999999999999</v>
      </c>
      <c r="AQ326" s="24">
        <f t="shared" si="179"/>
        <v>-0.2</v>
      </c>
      <c r="AR326" s="5">
        <v>6.8</v>
      </c>
      <c r="AS326" s="5">
        <v>2.69</v>
      </c>
      <c r="AT326" s="5">
        <v>2.12</v>
      </c>
      <c r="AU326" s="7">
        <f t="shared" si="166"/>
        <v>0.78800000000000003</v>
      </c>
      <c r="AV326" s="16"/>
      <c r="AW326" s="30">
        <v>0</v>
      </c>
      <c r="AX326" s="29">
        <v>29</v>
      </c>
      <c r="AY326" s="1">
        <f t="shared" si="180"/>
        <v>99.5</v>
      </c>
      <c r="AZ326" s="1">
        <f t="shared" si="181"/>
        <v>92.1</v>
      </c>
      <c r="BA326" s="1">
        <f t="shared" si="182"/>
        <v>68.900000000000006</v>
      </c>
      <c r="BB326" s="8">
        <f t="shared" si="183"/>
        <v>0.627</v>
      </c>
      <c r="BC326" s="8">
        <f t="shared" si="184"/>
        <v>0.28299999999999997</v>
      </c>
      <c r="BE326" s="5">
        <f t="shared" ref="BE326:BE370" si="191">AS326</f>
        <v>2.69</v>
      </c>
      <c r="BF326" s="5">
        <f t="shared" ref="BF326:BF370" si="192">AT326</f>
        <v>2.12</v>
      </c>
      <c r="BG326" s="1">
        <f t="shared" si="185"/>
        <v>1.7</v>
      </c>
      <c r="BH326" s="1">
        <f t="shared" si="186"/>
        <v>5.6</v>
      </c>
      <c r="BI326" s="1">
        <f t="shared" si="187"/>
        <v>-1.8</v>
      </c>
      <c r="BJ326" s="1">
        <f t="shared" ref="BJ326:BJ370" si="193">AZ326</f>
        <v>92.1</v>
      </c>
      <c r="BK326" s="1">
        <f t="shared" ref="BK326:BK370" si="194">BA326</f>
        <v>68.900000000000006</v>
      </c>
      <c r="BL326" s="1">
        <f t="shared" si="167"/>
        <v>1.3</v>
      </c>
      <c r="BM326" s="1">
        <f t="shared" si="168"/>
        <v>5.4</v>
      </c>
      <c r="BN326" s="21">
        <f t="shared" ref="BN326:BN370" si="195">AW326</f>
        <v>0</v>
      </c>
      <c r="BO326" s="7">
        <f t="shared" ref="BO326:BO370" si="196">AP326</f>
        <v>0.10899999999999999</v>
      </c>
      <c r="BP326" s="21">
        <f t="shared" si="190"/>
        <v>-0.2</v>
      </c>
      <c r="BQ326" s="1">
        <f t="shared" ref="BQ326:BQ370" si="197">IF(AE326="NAN", "NAN", ROUND(AE326,1))</f>
        <v>-0.7</v>
      </c>
      <c r="BR326" s="1">
        <f t="shared" ref="BR326:BR370" si="198">IF(AF326="NAN", "NAN", ROUND(AF326,1))</f>
        <v>0.8</v>
      </c>
      <c r="BS326" s="1">
        <f t="shared" ref="BS326:BS370" si="199">IF(AG326="NAN", "NAN", ROUND(AG326,1))</f>
        <v>-4</v>
      </c>
      <c r="BT326" s="1">
        <f t="shared" si="188"/>
        <v>-0.2</v>
      </c>
      <c r="BU326" s="1" t="s">
        <v>113</v>
      </c>
      <c r="BV326" s="1">
        <f t="shared" si="189"/>
        <v>1.8</v>
      </c>
      <c r="BW326" s="1" t="str">
        <f t="shared" si="169"/>
        <v>NAN</v>
      </c>
      <c r="BX326" s="1">
        <f t="shared" si="170"/>
        <v>0.627</v>
      </c>
      <c r="BY326" s="1">
        <f t="shared" si="171"/>
        <v>0.28299999999999997</v>
      </c>
      <c r="CA326" s="1">
        <f t="shared" ref="CA326:CA370" si="200">IF(BR326="NAN","NAN",BR326-BH326)</f>
        <v>-4.8</v>
      </c>
      <c r="CB326" s="1">
        <f t="shared" ref="CB326:CB370" si="201">IF(BS326="NAN","NAN",BS326-BI326)</f>
        <v>-2.2000000000000002</v>
      </c>
    </row>
    <row r="327" spans="1:80" x14ac:dyDescent="0.2">
      <c r="A327" s="9">
        <f t="shared" si="172"/>
        <v>43787</v>
      </c>
      <c r="B327" s="2">
        <v>322</v>
      </c>
      <c r="C327" s="2">
        <v>21</v>
      </c>
      <c r="D327" s="2">
        <v>13.14</v>
      </c>
      <c r="E327" s="2">
        <v>3.766</v>
      </c>
      <c r="F327" s="2">
        <v>-3.786</v>
      </c>
      <c r="G327" s="2">
        <v>-0.23499999999999999</v>
      </c>
      <c r="H327" s="2">
        <v>89.1</v>
      </c>
      <c r="I327" s="2">
        <v>-0.94399999999999995</v>
      </c>
      <c r="J327" s="2">
        <v>-1.8720000000000001</v>
      </c>
      <c r="K327" s="2">
        <v>-0.27500000000000002</v>
      </c>
      <c r="L327" s="2">
        <v>1.8009999999999999</v>
      </c>
      <c r="M327" s="2">
        <v>3.6179999999999999</v>
      </c>
      <c r="N327" s="2">
        <v>101.6</v>
      </c>
      <c r="O327" s="2">
        <v>4.4000000000000004</v>
      </c>
      <c r="P327" s="2">
        <v>8.0000000000000002E-3</v>
      </c>
      <c r="Q327" s="2">
        <v>9.0999999999999998E-2</v>
      </c>
      <c r="R327" s="2">
        <v>2.0289999999999999</v>
      </c>
      <c r="S327" s="2">
        <v>-3.15</v>
      </c>
      <c r="T327" s="2">
        <v>57.36</v>
      </c>
      <c r="U327" s="2">
        <v>-5.6340000000000003</v>
      </c>
      <c r="V327" s="2">
        <v>-5.4290000000000003</v>
      </c>
      <c r="W327" s="2">
        <v>-0.46700000000000003</v>
      </c>
      <c r="X327" s="2">
        <v>1.704</v>
      </c>
      <c r="Y327" s="2">
        <v>2.3159999999999998</v>
      </c>
      <c r="Z327" s="2">
        <v>0</v>
      </c>
      <c r="AA327" s="2">
        <v>2.2850000000000001</v>
      </c>
      <c r="AB327" s="2">
        <v>1.591</v>
      </c>
      <c r="AC327" s="2">
        <v>1.0309999999999999</v>
      </c>
      <c r="AD327" s="2">
        <v>5.5940000000000003</v>
      </c>
      <c r="AE327" s="2">
        <v>-2.6960000000000002</v>
      </c>
      <c r="AF327" s="2">
        <v>-0.47799999999999998</v>
      </c>
      <c r="AG327" s="2">
        <v>-7.68</v>
      </c>
      <c r="AH327" s="2">
        <v>-0.47799999999999998</v>
      </c>
      <c r="AI327" s="2">
        <v>-7.68</v>
      </c>
      <c r="AJ327" s="2" t="s">
        <v>113</v>
      </c>
      <c r="AK327" s="2" t="s">
        <v>113</v>
      </c>
      <c r="AL327" s="2">
        <v>-0.34599999999999997</v>
      </c>
      <c r="AM327" s="2">
        <v>3.9049999999999998</v>
      </c>
      <c r="AN327" s="2">
        <v>-3.766</v>
      </c>
      <c r="AO327" s="2"/>
      <c r="AP327" s="1">
        <f t="shared" si="178"/>
        <v>0.13400000000000034</v>
      </c>
      <c r="AQ327" s="24">
        <f t="shared" si="179"/>
        <v>-0.3</v>
      </c>
      <c r="AR327" s="5">
        <v>6.68</v>
      </c>
      <c r="AS327" s="5">
        <v>2.2799999999999998</v>
      </c>
      <c r="AT327" s="5">
        <v>1.59</v>
      </c>
      <c r="AU327" s="7">
        <f t="shared" ref="AU327:AU370" si="202">IF(OR(AS327="NAN",AT327="NAN"),"NAN",ROUND(AT327/AS327,3))</f>
        <v>0.69699999999999995</v>
      </c>
      <c r="AV327" s="16"/>
      <c r="AW327" s="30">
        <v>3.08</v>
      </c>
      <c r="AX327" s="29">
        <v>54</v>
      </c>
      <c r="AY327" s="1">
        <f t="shared" si="180"/>
        <v>98.1</v>
      </c>
      <c r="AZ327" s="1">
        <f t="shared" si="181"/>
        <v>85.9</v>
      </c>
      <c r="BA327" s="1">
        <f t="shared" si="182"/>
        <v>55.1</v>
      </c>
      <c r="BB327" s="8">
        <f t="shared" si="183"/>
        <v>0.436</v>
      </c>
      <c r="BC327" s="8">
        <f t="shared" si="184"/>
        <v>0.35499999999999998</v>
      </c>
      <c r="BE327" s="5">
        <f t="shared" si="191"/>
        <v>2.2799999999999998</v>
      </c>
      <c r="BF327" s="5">
        <f t="shared" si="192"/>
        <v>1.59</v>
      </c>
      <c r="BG327" s="1">
        <f t="shared" si="185"/>
        <v>-0.2</v>
      </c>
      <c r="BH327" s="1">
        <f t="shared" si="186"/>
        <v>3.6</v>
      </c>
      <c r="BI327" s="1">
        <f t="shared" si="187"/>
        <v>-3.2</v>
      </c>
      <c r="BJ327" s="1">
        <f t="shared" si="193"/>
        <v>85.9</v>
      </c>
      <c r="BK327" s="1">
        <f t="shared" si="194"/>
        <v>55.1</v>
      </c>
      <c r="BL327" s="1">
        <f t="shared" ref="BL327:BL370" si="203">ROUND(AC327,1)</f>
        <v>1</v>
      </c>
      <c r="BM327" s="1">
        <f t="shared" ref="BM327:BM370" si="204">ROUND(AD327,1)</f>
        <v>5.6</v>
      </c>
      <c r="BN327" s="21">
        <f t="shared" si="195"/>
        <v>3.08</v>
      </c>
      <c r="BO327" s="7">
        <f t="shared" si="196"/>
        <v>0.13400000000000034</v>
      </c>
      <c r="BP327" s="21">
        <f t="shared" si="190"/>
        <v>-0.3</v>
      </c>
      <c r="BQ327" s="1">
        <f t="shared" si="197"/>
        <v>-2.7</v>
      </c>
      <c r="BR327" s="1">
        <f t="shared" si="198"/>
        <v>-0.5</v>
      </c>
      <c r="BS327" s="1">
        <f t="shared" si="199"/>
        <v>-7.7</v>
      </c>
      <c r="BT327" s="1">
        <f t="shared" si="188"/>
        <v>-0.3</v>
      </c>
      <c r="BU327" s="1" t="s">
        <v>113</v>
      </c>
      <c r="BV327" s="1">
        <f t="shared" si="189"/>
        <v>1.8</v>
      </c>
      <c r="BW327" s="1" t="str">
        <f t="shared" ref="BW327:BW370" si="205">AK327</f>
        <v>NAN</v>
      </c>
      <c r="BX327" s="1">
        <f t="shared" ref="BX327:BX370" si="206">BB327</f>
        <v>0.436</v>
      </c>
      <c r="BY327" s="1">
        <f t="shared" ref="BY327:BY370" si="207">BC327</f>
        <v>0.35499999999999998</v>
      </c>
      <c r="CA327" s="1">
        <f t="shared" si="200"/>
        <v>-4.0999999999999996</v>
      </c>
      <c r="CB327" s="1">
        <f t="shared" si="201"/>
        <v>-4.5</v>
      </c>
    </row>
    <row r="328" spans="1:80" x14ac:dyDescent="0.2">
      <c r="A328" s="9">
        <f t="shared" ref="A328:A370" si="208">A327+1</f>
        <v>43788</v>
      </c>
      <c r="B328" s="2">
        <v>323</v>
      </c>
      <c r="C328" s="2">
        <v>21</v>
      </c>
      <c r="D328" s="2">
        <v>13.08</v>
      </c>
      <c r="E328" s="2">
        <v>-0.38700000000000001</v>
      </c>
      <c r="F328" s="2">
        <v>-4.8860000000000001</v>
      </c>
      <c r="G328" s="2">
        <v>-2.68</v>
      </c>
      <c r="H328" s="2">
        <v>99.1</v>
      </c>
      <c r="I328" s="2">
        <v>-2.9660000000000002</v>
      </c>
      <c r="J328" s="2">
        <v>-0.81200000000000006</v>
      </c>
      <c r="K328" s="2">
        <v>-0.29299999999999998</v>
      </c>
      <c r="L328" s="2">
        <v>1.746</v>
      </c>
      <c r="M328" s="2">
        <v>-0.26100000000000001</v>
      </c>
      <c r="N328" s="2">
        <v>102</v>
      </c>
      <c r="O328" s="2">
        <v>-0.59899999999999998</v>
      </c>
      <c r="P328" s="2">
        <v>-0.48699999999999999</v>
      </c>
      <c r="Q328" s="2">
        <v>-0.222</v>
      </c>
      <c r="R328" s="2">
        <v>1.7949999999999999</v>
      </c>
      <c r="S328" s="2">
        <v>-4.8929999999999998</v>
      </c>
      <c r="T328" s="2">
        <v>94.2</v>
      </c>
      <c r="U328" s="2">
        <v>-6.649</v>
      </c>
      <c r="V328" s="2">
        <v>-1.587</v>
      </c>
      <c r="W328" s="2">
        <v>-0.36199999999999999</v>
      </c>
      <c r="X328" s="2">
        <v>1.681</v>
      </c>
      <c r="Y328" s="2">
        <v>2.2810000000000001</v>
      </c>
      <c r="Z328" s="2">
        <v>0</v>
      </c>
      <c r="AA328" s="2">
        <v>0.21199999999999999</v>
      </c>
      <c r="AB328" s="2">
        <v>0.754</v>
      </c>
      <c r="AC328" s="2">
        <v>1.6870000000000001</v>
      </c>
      <c r="AD328" s="2">
        <v>5.3</v>
      </c>
      <c r="AE328" s="2">
        <v>-3.2930000000000001</v>
      </c>
      <c r="AF328" s="2">
        <v>-0.56100000000000005</v>
      </c>
      <c r="AG328" s="2">
        <v>-10.16</v>
      </c>
      <c r="AH328" s="2">
        <v>-0.56100000000000005</v>
      </c>
      <c r="AI328" s="2">
        <v>-10.16</v>
      </c>
      <c r="AJ328" s="2" t="s">
        <v>113</v>
      </c>
      <c r="AK328" s="2" t="s">
        <v>113</v>
      </c>
      <c r="AL328" s="2">
        <v>-2.6360000000000001</v>
      </c>
      <c r="AM328" s="2">
        <v>-0.41</v>
      </c>
      <c r="AN328" s="2">
        <v>-5.1950000000000003</v>
      </c>
      <c r="AO328" s="2"/>
      <c r="AP328" s="1">
        <f t="shared" si="178"/>
        <v>0.16900000000000004</v>
      </c>
      <c r="AQ328" s="24">
        <f t="shared" si="179"/>
        <v>-0.3</v>
      </c>
      <c r="AR328" s="5">
        <v>6.57</v>
      </c>
      <c r="AS328" s="5">
        <v>0.81</v>
      </c>
      <c r="AT328" s="5">
        <v>0.75</v>
      </c>
      <c r="AU328" s="7">
        <f t="shared" si="202"/>
        <v>0.92600000000000005</v>
      </c>
      <c r="AV328" s="16"/>
      <c r="AW328" s="30">
        <v>6.71</v>
      </c>
      <c r="AX328" s="29">
        <v>89</v>
      </c>
      <c r="AY328" s="1">
        <f t="shared" si="180"/>
        <v>98.4</v>
      </c>
      <c r="AZ328" s="1">
        <f t="shared" si="181"/>
        <v>95.6</v>
      </c>
      <c r="BA328" s="1">
        <f t="shared" si="182"/>
        <v>90.9</v>
      </c>
      <c r="BB328" s="8">
        <f t="shared" si="183"/>
        <v>0.54400000000000004</v>
      </c>
      <c r="BC328" s="8">
        <f t="shared" si="184"/>
        <v>5.3999999999999999E-2</v>
      </c>
      <c r="BE328" s="5">
        <f t="shared" si="191"/>
        <v>0.81</v>
      </c>
      <c r="BF328" s="5">
        <f t="shared" si="192"/>
        <v>0.75</v>
      </c>
      <c r="BG328" s="1">
        <f t="shared" si="185"/>
        <v>-2.7</v>
      </c>
      <c r="BH328" s="1">
        <f t="shared" si="186"/>
        <v>-0.3</v>
      </c>
      <c r="BI328" s="1">
        <f t="shared" si="187"/>
        <v>-4.9000000000000004</v>
      </c>
      <c r="BJ328" s="1">
        <f t="shared" si="193"/>
        <v>95.6</v>
      </c>
      <c r="BK328" s="1">
        <f t="shared" si="194"/>
        <v>90.9</v>
      </c>
      <c r="BL328" s="1">
        <f t="shared" si="203"/>
        <v>1.7</v>
      </c>
      <c r="BM328" s="1">
        <f t="shared" si="204"/>
        <v>5.3</v>
      </c>
      <c r="BN328" s="21">
        <f t="shared" si="195"/>
        <v>6.71</v>
      </c>
      <c r="BO328" s="7">
        <f t="shared" si="196"/>
        <v>0.16900000000000004</v>
      </c>
      <c r="BP328" s="21">
        <f t="shared" si="190"/>
        <v>-0.3</v>
      </c>
      <c r="BQ328" s="1">
        <f t="shared" si="197"/>
        <v>-3.3</v>
      </c>
      <c r="BR328" s="1">
        <f t="shared" si="198"/>
        <v>-0.6</v>
      </c>
      <c r="BS328" s="1">
        <f t="shared" si="199"/>
        <v>-10.199999999999999</v>
      </c>
      <c r="BT328" s="1">
        <f t="shared" si="188"/>
        <v>-0.3</v>
      </c>
      <c r="BU328" s="1" t="s">
        <v>113</v>
      </c>
      <c r="BV328" s="1">
        <f t="shared" si="189"/>
        <v>1.7</v>
      </c>
      <c r="BW328" s="1" t="str">
        <f t="shared" si="205"/>
        <v>NAN</v>
      </c>
      <c r="BX328" s="1">
        <f t="shared" si="206"/>
        <v>0.54400000000000004</v>
      </c>
      <c r="BY328" s="1">
        <f t="shared" si="207"/>
        <v>5.3999999999999999E-2</v>
      </c>
      <c r="CA328" s="1">
        <f t="shared" si="200"/>
        <v>-0.3</v>
      </c>
      <c r="CB328" s="1">
        <f t="shared" si="201"/>
        <v>-5.2999999999999989</v>
      </c>
    </row>
    <row r="329" spans="1:80" x14ac:dyDescent="0.2">
      <c r="A329" s="9">
        <f t="shared" si="208"/>
        <v>43789</v>
      </c>
      <c r="B329" s="2">
        <v>324</v>
      </c>
      <c r="C329" s="2">
        <v>21</v>
      </c>
      <c r="D329" s="2">
        <v>13.05</v>
      </c>
      <c r="E329" s="2">
        <v>6.4429999999999996</v>
      </c>
      <c r="F329" s="2">
        <v>-13.61</v>
      </c>
      <c r="G329" s="2">
        <v>-7.02</v>
      </c>
      <c r="H329" s="2">
        <v>90.3</v>
      </c>
      <c r="I329" s="2">
        <v>-8.9499999999999993</v>
      </c>
      <c r="J329" s="2">
        <v>-2.4319999999999999</v>
      </c>
      <c r="K329" s="2">
        <v>-0.252</v>
      </c>
      <c r="L329" s="2">
        <v>1.712</v>
      </c>
      <c r="M329" s="2">
        <v>0.621</v>
      </c>
      <c r="N329" s="2">
        <v>101.7</v>
      </c>
      <c r="O329" s="2">
        <v>1.6950000000000001</v>
      </c>
      <c r="P329" s="2">
        <v>-0.47599999999999998</v>
      </c>
      <c r="Q329" s="2">
        <v>0.88400000000000001</v>
      </c>
      <c r="R329" s="2">
        <v>2.1</v>
      </c>
      <c r="S329" s="2">
        <v>-13.03</v>
      </c>
      <c r="T329" s="2">
        <v>57.84</v>
      </c>
      <c r="U329" s="2">
        <v>-17.57</v>
      </c>
      <c r="V329" s="2">
        <v>-4.3769999999999998</v>
      </c>
      <c r="W329" s="2">
        <v>-0.61499999999999999</v>
      </c>
      <c r="X329" s="2">
        <v>1.409</v>
      </c>
      <c r="Y329" s="2">
        <v>2.294</v>
      </c>
      <c r="Z329" s="2">
        <v>0</v>
      </c>
      <c r="AA329" s="2">
        <v>2.4700000000000002</v>
      </c>
      <c r="AB329" s="2">
        <v>4.625</v>
      </c>
      <c r="AC329" s="2">
        <v>1.3440000000000001</v>
      </c>
      <c r="AD329" s="2">
        <v>5.4340000000000002</v>
      </c>
      <c r="AE329" s="2">
        <v>-14.11</v>
      </c>
      <c r="AF329" s="2">
        <v>-6.3</v>
      </c>
      <c r="AG329" s="2">
        <v>-22.15</v>
      </c>
      <c r="AH329" s="2">
        <v>-6.3</v>
      </c>
      <c r="AI329" s="2">
        <v>-22.15</v>
      </c>
      <c r="AJ329" s="2" t="s">
        <v>113</v>
      </c>
      <c r="AK329" s="2" t="s">
        <v>113</v>
      </c>
      <c r="AL329" s="2">
        <v>-7.39</v>
      </c>
      <c r="AM329" s="2">
        <v>0.745</v>
      </c>
      <c r="AN329" s="2">
        <v>-14.08</v>
      </c>
      <c r="AO329" s="2"/>
      <c r="AP329" s="1">
        <f t="shared" si="178"/>
        <v>0.15600000000000014</v>
      </c>
      <c r="AQ329" s="24">
        <f t="shared" si="179"/>
        <v>-0.3</v>
      </c>
      <c r="AR329" s="5">
        <v>6.47</v>
      </c>
      <c r="AS329" s="5">
        <v>5.1100000000000003</v>
      </c>
      <c r="AT329" s="5">
        <v>4.62</v>
      </c>
      <c r="AU329" s="7">
        <f t="shared" si="202"/>
        <v>0.90400000000000003</v>
      </c>
      <c r="AV329" s="16"/>
      <c r="AW329" s="30">
        <v>0</v>
      </c>
      <c r="AX329" s="29">
        <v>76</v>
      </c>
      <c r="AY329" s="1">
        <f t="shared" si="180"/>
        <v>98.1</v>
      </c>
      <c r="AZ329" s="1">
        <f t="shared" si="181"/>
        <v>87.1</v>
      </c>
      <c r="BA329" s="1">
        <f t="shared" si="182"/>
        <v>55.6</v>
      </c>
      <c r="BB329" s="8">
        <f t="shared" si="183"/>
        <v>0.35499999999999998</v>
      </c>
      <c r="BC329" s="8">
        <f t="shared" si="184"/>
        <v>0.28299999999999997</v>
      </c>
      <c r="BE329" s="5">
        <f t="shared" si="191"/>
        <v>5.1100000000000003</v>
      </c>
      <c r="BF329" s="5">
        <f t="shared" si="192"/>
        <v>4.62</v>
      </c>
      <c r="BG329" s="1">
        <f t="shared" si="185"/>
        <v>-7</v>
      </c>
      <c r="BH329" s="1">
        <f t="shared" si="186"/>
        <v>0.6</v>
      </c>
      <c r="BI329" s="1">
        <f t="shared" si="187"/>
        <v>-13</v>
      </c>
      <c r="BJ329" s="1">
        <f t="shared" si="193"/>
        <v>87.1</v>
      </c>
      <c r="BK329" s="1">
        <f t="shared" si="194"/>
        <v>55.6</v>
      </c>
      <c r="BL329" s="1">
        <f t="shared" si="203"/>
        <v>1.3</v>
      </c>
      <c r="BM329" s="1">
        <f t="shared" si="204"/>
        <v>5.4</v>
      </c>
      <c r="BN329" s="21">
        <f t="shared" si="195"/>
        <v>0</v>
      </c>
      <c r="BO329" s="7">
        <f t="shared" si="196"/>
        <v>0.15600000000000014</v>
      </c>
      <c r="BP329" s="21">
        <f t="shared" si="190"/>
        <v>-0.3</v>
      </c>
      <c r="BQ329" s="1">
        <f t="shared" si="197"/>
        <v>-14.1</v>
      </c>
      <c r="BR329" s="1">
        <f t="shared" si="198"/>
        <v>-6.3</v>
      </c>
      <c r="BS329" s="1">
        <f t="shared" si="199"/>
        <v>-22.2</v>
      </c>
      <c r="BT329" s="1">
        <f t="shared" si="188"/>
        <v>-0.3</v>
      </c>
      <c r="BU329" s="1" t="s">
        <v>113</v>
      </c>
      <c r="BV329" s="1">
        <f t="shared" si="189"/>
        <v>1.7</v>
      </c>
      <c r="BW329" s="1" t="str">
        <f t="shared" si="205"/>
        <v>NAN</v>
      </c>
      <c r="BX329" s="1">
        <f t="shared" si="206"/>
        <v>0.35499999999999998</v>
      </c>
      <c r="BY329" s="1">
        <f t="shared" si="207"/>
        <v>0.28299999999999997</v>
      </c>
      <c r="CA329" s="1">
        <f t="shared" si="200"/>
        <v>-6.8999999999999995</v>
      </c>
      <c r="CB329" s="1">
        <f t="shared" si="201"/>
        <v>-9.1999999999999993</v>
      </c>
    </row>
    <row r="330" spans="1:80" x14ac:dyDescent="0.2">
      <c r="A330" s="9">
        <f t="shared" si="208"/>
        <v>43790</v>
      </c>
      <c r="B330" s="2">
        <v>325</v>
      </c>
      <c r="C330" s="2">
        <v>21</v>
      </c>
      <c r="D330" s="2">
        <v>13.07</v>
      </c>
      <c r="E330" s="2">
        <v>16.649999999999999</v>
      </c>
      <c r="F330" s="2">
        <v>-14.61</v>
      </c>
      <c r="G330" s="2">
        <v>-5.1529999999999996</v>
      </c>
      <c r="H330" s="2">
        <v>89.1</v>
      </c>
      <c r="I330" s="2">
        <v>-8.33</v>
      </c>
      <c r="J330" s="2">
        <v>-3.242</v>
      </c>
      <c r="K330" s="2">
        <v>-0.25600000000000001</v>
      </c>
      <c r="L330" s="2">
        <v>1.73</v>
      </c>
      <c r="M330" s="2">
        <v>8.56</v>
      </c>
      <c r="N330" s="2">
        <v>101.3</v>
      </c>
      <c r="O330" s="2">
        <v>13.02</v>
      </c>
      <c r="P330" s="2">
        <v>-0.14899999999999999</v>
      </c>
      <c r="Q330" s="2">
        <v>1.0509999999999999</v>
      </c>
      <c r="R330" s="2">
        <v>2.1539999999999999</v>
      </c>
      <c r="S330" s="2">
        <v>-12.68</v>
      </c>
      <c r="T330" s="2">
        <v>51.14</v>
      </c>
      <c r="U330" s="2">
        <v>-17.77</v>
      </c>
      <c r="V330" s="2">
        <v>-4.782</v>
      </c>
      <c r="W330" s="2">
        <v>-0.81</v>
      </c>
      <c r="X330" s="2">
        <v>1.214</v>
      </c>
      <c r="Y330" s="2">
        <v>2.3069999999999999</v>
      </c>
      <c r="Z330" s="2">
        <v>6.6040000000000001</v>
      </c>
      <c r="AA330" s="2">
        <v>5.2539999999999996</v>
      </c>
      <c r="AB330" s="2">
        <v>4.3540000000000001</v>
      </c>
      <c r="AC330" s="2">
        <v>0.4</v>
      </c>
      <c r="AD330" s="2">
        <v>3.0339999999999998</v>
      </c>
      <c r="AE330" s="2">
        <v>-14.5</v>
      </c>
      <c r="AF330" s="2">
        <v>-2.141</v>
      </c>
      <c r="AG330" s="2">
        <v>-20.48</v>
      </c>
      <c r="AH330" s="2">
        <v>-2.141</v>
      </c>
      <c r="AI330" s="2">
        <v>-20.48</v>
      </c>
      <c r="AJ330" s="2" t="s">
        <v>113</v>
      </c>
      <c r="AK330" s="2" t="s">
        <v>113</v>
      </c>
      <c r="AL330" s="2">
        <v>-5.8150000000000004</v>
      </c>
      <c r="AM330" s="2">
        <v>10.43</v>
      </c>
      <c r="AN330" s="2">
        <v>-13.97</v>
      </c>
      <c r="AO330" s="2"/>
      <c r="AP330" s="1">
        <f t="shared" si="178"/>
        <v>0.14300000000000024</v>
      </c>
      <c r="AQ330" s="24">
        <f t="shared" si="179"/>
        <v>-0.3</v>
      </c>
      <c r="AR330" s="5">
        <v>6.37</v>
      </c>
      <c r="AS330" s="5">
        <v>5.38</v>
      </c>
      <c r="AT330" s="5">
        <v>4.3499999999999996</v>
      </c>
      <c r="AU330" s="7">
        <f t="shared" si="202"/>
        <v>0.80900000000000005</v>
      </c>
      <c r="AV330" s="16"/>
      <c r="AW330" s="30">
        <v>0</v>
      </c>
      <c r="AX330" s="29">
        <v>63</v>
      </c>
      <c r="AY330" s="1">
        <f t="shared" si="180"/>
        <v>97.8</v>
      </c>
      <c r="AZ330" s="1">
        <f t="shared" si="181"/>
        <v>85.9</v>
      </c>
      <c r="BA330" s="1">
        <f t="shared" si="182"/>
        <v>49.1</v>
      </c>
      <c r="BB330" s="8">
        <f t="shared" si="183"/>
        <v>0.54700000000000004</v>
      </c>
      <c r="BC330" s="8">
        <f t="shared" si="184"/>
        <v>0.56699999999999995</v>
      </c>
      <c r="BE330" s="5">
        <f t="shared" si="191"/>
        <v>5.38</v>
      </c>
      <c r="BF330" s="5">
        <f t="shared" si="192"/>
        <v>4.3499999999999996</v>
      </c>
      <c r="BG330" s="1">
        <f t="shared" si="185"/>
        <v>-5.2</v>
      </c>
      <c r="BH330" s="1">
        <f t="shared" si="186"/>
        <v>8.6</v>
      </c>
      <c r="BI330" s="1">
        <f t="shared" si="187"/>
        <v>-12.7</v>
      </c>
      <c r="BJ330" s="1">
        <f t="shared" si="193"/>
        <v>85.9</v>
      </c>
      <c r="BK330" s="1">
        <f t="shared" si="194"/>
        <v>49.1</v>
      </c>
      <c r="BL330" s="1">
        <f t="shared" si="203"/>
        <v>0.4</v>
      </c>
      <c r="BM330" s="1">
        <f t="shared" si="204"/>
        <v>3</v>
      </c>
      <c r="BN330" s="21">
        <f t="shared" si="195"/>
        <v>0</v>
      </c>
      <c r="BO330" s="7">
        <f t="shared" si="196"/>
        <v>0.14300000000000024</v>
      </c>
      <c r="BP330" s="21">
        <f t="shared" si="190"/>
        <v>-0.3</v>
      </c>
      <c r="BQ330" s="1">
        <f t="shared" si="197"/>
        <v>-14.5</v>
      </c>
      <c r="BR330" s="1">
        <f t="shared" si="198"/>
        <v>-2.1</v>
      </c>
      <c r="BS330" s="1">
        <f t="shared" si="199"/>
        <v>-20.5</v>
      </c>
      <c r="BT330" s="1">
        <f t="shared" si="188"/>
        <v>-0.3</v>
      </c>
      <c r="BU330" s="1" t="s">
        <v>113</v>
      </c>
      <c r="BV330" s="1">
        <f t="shared" si="189"/>
        <v>1.7</v>
      </c>
      <c r="BW330" s="1" t="str">
        <f t="shared" si="205"/>
        <v>NAN</v>
      </c>
      <c r="BX330" s="1">
        <f t="shared" si="206"/>
        <v>0.54700000000000004</v>
      </c>
      <c r="BY330" s="1">
        <f t="shared" si="207"/>
        <v>0.56699999999999995</v>
      </c>
      <c r="CA330" s="1">
        <f t="shared" si="200"/>
        <v>-10.7</v>
      </c>
      <c r="CB330" s="1">
        <f t="shared" si="201"/>
        <v>-7.8000000000000007</v>
      </c>
    </row>
    <row r="331" spans="1:80" x14ac:dyDescent="0.2">
      <c r="A331" s="9">
        <f t="shared" si="208"/>
        <v>43791</v>
      </c>
      <c r="B331" s="2">
        <v>326</v>
      </c>
      <c r="C331" s="2">
        <v>21</v>
      </c>
      <c r="D331" s="2">
        <v>13.12</v>
      </c>
      <c r="E331" s="2">
        <v>15.09</v>
      </c>
      <c r="F331" s="2">
        <v>-13.73</v>
      </c>
      <c r="G331" s="2">
        <v>-4.0880000000000001</v>
      </c>
      <c r="H331" s="2">
        <v>84</v>
      </c>
      <c r="I331" s="2">
        <v>-6.8259999999999996</v>
      </c>
      <c r="J331" s="2">
        <v>-3.4969999999999999</v>
      </c>
      <c r="K331" s="2">
        <v>-0.35899999999999999</v>
      </c>
      <c r="L331" s="2">
        <v>1.722</v>
      </c>
      <c r="M331" s="2">
        <v>8.4600000000000009</v>
      </c>
      <c r="N331" s="2">
        <v>100.8</v>
      </c>
      <c r="O331" s="2">
        <v>11.93</v>
      </c>
      <c r="P331" s="2">
        <v>-0.39700000000000002</v>
      </c>
      <c r="Q331" s="2">
        <v>0.89900000000000002</v>
      </c>
      <c r="R331" s="2">
        <v>2.1</v>
      </c>
      <c r="S331" s="2">
        <v>-11.58</v>
      </c>
      <c r="T331" s="2">
        <v>26.4</v>
      </c>
      <c r="U331" s="2">
        <v>-17.48</v>
      </c>
      <c r="V331" s="2">
        <v>-5.3390000000000004</v>
      </c>
      <c r="W331" s="2">
        <v>-0.79400000000000004</v>
      </c>
      <c r="X331" s="2">
        <v>1.347</v>
      </c>
      <c r="Y331" s="2">
        <v>2.3010000000000002</v>
      </c>
      <c r="Z331" s="2">
        <v>0.254</v>
      </c>
      <c r="AA331" s="2">
        <v>5.274</v>
      </c>
      <c r="AB331" s="2">
        <v>4.2430000000000003</v>
      </c>
      <c r="AC331" s="2">
        <v>0.42099999999999999</v>
      </c>
      <c r="AD331" s="2">
        <v>2.42</v>
      </c>
      <c r="AE331" s="2">
        <v>-12.4</v>
      </c>
      <c r="AF331" s="2">
        <v>-2.7</v>
      </c>
      <c r="AG331" s="2">
        <v>-21.66</v>
      </c>
      <c r="AH331" s="2">
        <v>-2.7</v>
      </c>
      <c r="AI331" s="2">
        <v>-21.66</v>
      </c>
      <c r="AJ331" s="2" t="s">
        <v>113</v>
      </c>
      <c r="AK331" s="2" t="s">
        <v>113</v>
      </c>
      <c r="AL331" s="2">
        <v>-4.8360000000000003</v>
      </c>
      <c r="AM331" s="2">
        <v>9.2200000000000006</v>
      </c>
      <c r="AN331" s="2">
        <v>-13.13</v>
      </c>
      <c r="AO331" s="2"/>
      <c r="AP331" s="1">
        <f t="shared" si="178"/>
        <v>0.14900000000000002</v>
      </c>
      <c r="AQ331" s="24">
        <f t="shared" si="179"/>
        <v>-0.4</v>
      </c>
      <c r="AR331" s="5">
        <v>6.26</v>
      </c>
      <c r="AS331" s="5">
        <v>5.28</v>
      </c>
      <c r="AT331" s="5">
        <v>4.2300000000000004</v>
      </c>
      <c r="AU331" s="7">
        <f t="shared" si="202"/>
        <v>0.80100000000000005</v>
      </c>
      <c r="AV331" s="16"/>
      <c r="AW331" s="30">
        <v>0</v>
      </c>
      <c r="AX331" s="29">
        <v>69</v>
      </c>
      <c r="AY331" s="1">
        <f t="shared" si="180"/>
        <v>97.3</v>
      </c>
      <c r="AZ331" s="1">
        <f t="shared" si="181"/>
        <v>81</v>
      </c>
      <c r="BA331" s="1">
        <f t="shared" si="182"/>
        <v>25.1</v>
      </c>
      <c r="BB331" s="8">
        <f t="shared" si="183"/>
        <v>0.27800000000000002</v>
      </c>
      <c r="BC331" s="8">
        <f t="shared" si="184"/>
        <v>0.83</v>
      </c>
      <c r="BE331" s="5">
        <f t="shared" si="191"/>
        <v>5.28</v>
      </c>
      <c r="BF331" s="5">
        <f t="shared" si="192"/>
        <v>4.2300000000000004</v>
      </c>
      <c r="BG331" s="1">
        <f t="shared" si="185"/>
        <v>-4.0999999999999996</v>
      </c>
      <c r="BH331" s="1">
        <f t="shared" si="186"/>
        <v>8.5</v>
      </c>
      <c r="BI331" s="1">
        <f t="shared" si="187"/>
        <v>-11.6</v>
      </c>
      <c r="BJ331" s="1">
        <f t="shared" si="193"/>
        <v>81</v>
      </c>
      <c r="BK331" s="1">
        <f t="shared" si="194"/>
        <v>25.1</v>
      </c>
      <c r="BL331" s="1">
        <f t="shared" si="203"/>
        <v>0.4</v>
      </c>
      <c r="BM331" s="1">
        <f t="shared" si="204"/>
        <v>2.4</v>
      </c>
      <c r="BN331" s="21">
        <f t="shared" si="195"/>
        <v>0</v>
      </c>
      <c r="BO331" s="7">
        <f t="shared" si="196"/>
        <v>0.14900000000000002</v>
      </c>
      <c r="BP331" s="21">
        <f t="shared" si="190"/>
        <v>-0.4</v>
      </c>
      <c r="BQ331" s="1">
        <f t="shared" si="197"/>
        <v>-12.4</v>
      </c>
      <c r="BR331" s="1">
        <f t="shared" si="198"/>
        <v>-2.7</v>
      </c>
      <c r="BS331" s="1">
        <f t="shared" si="199"/>
        <v>-21.7</v>
      </c>
      <c r="BT331" s="1">
        <f t="shared" si="188"/>
        <v>-0.4</v>
      </c>
      <c r="BU331" s="1" t="s">
        <v>113</v>
      </c>
      <c r="BV331" s="1">
        <f t="shared" si="189"/>
        <v>1.7</v>
      </c>
      <c r="BW331" s="1" t="str">
        <f t="shared" si="205"/>
        <v>NAN</v>
      </c>
      <c r="BX331" s="1">
        <f t="shared" si="206"/>
        <v>0.27800000000000002</v>
      </c>
      <c r="BY331" s="1">
        <f t="shared" si="207"/>
        <v>0.83</v>
      </c>
      <c r="CA331" s="1">
        <f t="shared" si="200"/>
        <v>-11.2</v>
      </c>
      <c r="CB331" s="1">
        <f t="shared" si="201"/>
        <v>-10.1</v>
      </c>
    </row>
    <row r="332" spans="1:80" x14ac:dyDescent="0.2">
      <c r="A332" s="9">
        <f t="shared" si="208"/>
        <v>43792</v>
      </c>
      <c r="B332" s="2">
        <v>327</v>
      </c>
      <c r="C332" s="2">
        <v>21</v>
      </c>
      <c r="D332" s="2">
        <v>13.11</v>
      </c>
      <c r="E332" s="2">
        <v>2.2240000000000002</v>
      </c>
      <c r="F332" s="2">
        <v>-5.7640000000000002</v>
      </c>
      <c r="G332" s="2">
        <v>-1.276</v>
      </c>
      <c r="H332" s="2">
        <v>89.9</v>
      </c>
      <c r="I332" s="2">
        <v>-1.9730000000000001</v>
      </c>
      <c r="J332" s="2">
        <v>-1.1739999999999999</v>
      </c>
      <c r="K332" s="2">
        <v>-0.41699999999999998</v>
      </c>
      <c r="L332" s="2">
        <v>1.677</v>
      </c>
      <c r="M332" s="2">
        <v>2.2629999999999999</v>
      </c>
      <c r="N332" s="2">
        <v>101.6</v>
      </c>
      <c r="O332" s="2">
        <v>2.5979999999999999</v>
      </c>
      <c r="P332" s="2">
        <v>-0.21</v>
      </c>
      <c r="Q332" s="2">
        <v>-0.28000000000000003</v>
      </c>
      <c r="R332" s="2">
        <v>1.78</v>
      </c>
      <c r="S332" s="2">
        <v>-5.4720000000000004</v>
      </c>
      <c r="T332" s="2">
        <v>78.099999999999994</v>
      </c>
      <c r="U332" s="2">
        <v>-8.39</v>
      </c>
      <c r="V332" s="2">
        <v>-3.4119999999999999</v>
      </c>
      <c r="W332" s="2">
        <v>-0.54300000000000004</v>
      </c>
      <c r="X332" s="2">
        <v>1.6</v>
      </c>
      <c r="Y332" s="2">
        <v>2.3130000000000002</v>
      </c>
      <c r="Z332" s="2">
        <v>0</v>
      </c>
      <c r="AA332" s="2">
        <v>1.4079999999999999</v>
      </c>
      <c r="AB332" s="2">
        <v>1.1020000000000001</v>
      </c>
      <c r="AC332" s="2">
        <v>1.0289999999999999</v>
      </c>
      <c r="AD332" s="2">
        <v>3.407</v>
      </c>
      <c r="AE332" s="2">
        <v>-3.4580000000000002</v>
      </c>
      <c r="AF332" s="2">
        <v>-0.224</v>
      </c>
      <c r="AG332" s="2">
        <v>-12.55</v>
      </c>
      <c r="AH332" s="2">
        <v>-0.224</v>
      </c>
      <c r="AI332" s="2">
        <v>-12.55</v>
      </c>
      <c r="AJ332" s="2" t="s">
        <v>113</v>
      </c>
      <c r="AK332" s="2" t="s">
        <v>113</v>
      </c>
      <c r="AL332" s="2">
        <v>-1.361</v>
      </c>
      <c r="AM332" s="2">
        <v>2.4209999999999998</v>
      </c>
      <c r="AN332" s="2">
        <v>-5.9569999999999999</v>
      </c>
      <c r="AO332" s="2"/>
      <c r="AP332" s="1">
        <f t="shared" si="178"/>
        <v>0.13700000000000001</v>
      </c>
      <c r="AQ332" s="24">
        <f t="shared" si="179"/>
        <v>-0.4</v>
      </c>
      <c r="AR332" s="5">
        <v>6.17</v>
      </c>
      <c r="AS332" s="5">
        <v>1.41</v>
      </c>
      <c r="AT332" s="5">
        <v>1.1000000000000001</v>
      </c>
      <c r="AU332" s="7">
        <f t="shared" si="202"/>
        <v>0.78</v>
      </c>
      <c r="AV332" s="16"/>
      <c r="AW332" s="30">
        <v>0</v>
      </c>
      <c r="AX332" s="29">
        <v>57</v>
      </c>
      <c r="AY332" s="1">
        <f t="shared" si="180"/>
        <v>98.1</v>
      </c>
      <c r="AZ332" s="1">
        <f t="shared" si="181"/>
        <v>86.7</v>
      </c>
      <c r="BA332" s="1">
        <f t="shared" si="182"/>
        <v>75.3</v>
      </c>
      <c r="BB332" s="8">
        <f t="shared" si="183"/>
        <v>0.54100000000000004</v>
      </c>
      <c r="BC332" s="8">
        <f t="shared" si="184"/>
        <v>0.17699999999999999</v>
      </c>
      <c r="BE332" s="5">
        <f t="shared" si="191"/>
        <v>1.41</v>
      </c>
      <c r="BF332" s="5">
        <f t="shared" si="192"/>
        <v>1.1000000000000001</v>
      </c>
      <c r="BG332" s="1">
        <f t="shared" si="185"/>
        <v>-1.3</v>
      </c>
      <c r="BH332" s="1">
        <f t="shared" si="186"/>
        <v>2.2999999999999998</v>
      </c>
      <c r="BI332" s="1">
        <f t="shared" si="187"/>
        <v>-5.5</v>
      </c>
      <c r="BJ332" s="1">
        <f t="shared" si="193"/>
        <v>86.7</v>
      </c>
      <c r="BK332" s="1">
        <f t="shared" si="194"/>
        <v>75.3</v>
      </c>
      <c r="BL332" s="1">
        <f t="shared" si="203"/>
        <v>1</v>
      </c>
      <c r="BM332" s="1">
        <f t="shared" si="204"/>
        <v>3.4</v>
      </c>
      <c r="BN332" s="21">
        <f t="shared" si="195"/>
        <v>0</v>
      </c>
      <c r="BO332" s="7">
        <f t="shared" si="196"/>
        <v>0.13700000000000001</v>
      </c>
      <c r="BP332" s="21">
        <f t="shared" si="190"/>
        <v>-0.4</v>
      </c>
      <c r="BQ332" s="1">
        <f t="shared" si="197"/>
        <v>-3.5</v>
      </c>
      <c r="BR332" s="1">
        <f t="shared" si="198"/>
        <v>-0.2</v>
      </c>
      <c r="BS332" s="1">
        <f t="shared" si="199"/>
        <v>-12.6</v>
      </c>
      <c r="BT332" s="1">
        <f t="shared" si="188"/>
        <v>-0.4</v>
      </c>
      <c r="BU332" s="1" t="s">
        <v>113</v>
      </c>
      <c r="BV332" s="1">
        <f t="shared" si="189"/>
        <v>1.7</v>
      </c>
      <c r="BW332" s="1" t="str">
        <f t="shared" si="205"/>
        <v>NAN</v>
      </c>
      <c r="BX332" s="1">
        <f t="shared" si="206"/>
        <v>0.54100000000000004</v>
      </c>
      <c r="BY332" s="1">
        <f t="shared" si="207"/>
        <v>0.17699999999999999</v>
      </c>
      <c r="CA332" s="1">
        <f t="shared" si="200"/>
        <v>-2.5</v>
      </c>
      <c r="CB332" s="1">
        <f t="shared" si="201"/>
        <v>-7.1</v>
      </c>
    </row>
    <row r="333" spans="1:80" x14ac:dyDescent="0.2">
      <c r="A333" s="9">
        <f t="shared" si="208"/>
        <v>43793</v>
      </c>
      <c r="B333" s="2">
        <v>328</v>
      </c>
      <c r="C333" s="2">
        <v>21</v>
      </c>
      <c r="D333" s="2">
        <v>13.13</v>
      </c>
      <c r="E333" s="2">
        <v>7.2</v>
      </c>
      <c r="F333" s="2">
        <v>-5.407</v>
      </c>
      <c r="G333" s="2">
        <v>-1.9330000000000001</v>
      </c>
      <c r="H333" s="2">
        <v>85.2</v>
      </c>
      <c r="I333" s="2">
        <v>-2.3919999999999999</v>
      </c>
      <c r="J333" s="2">
        <v>-1.71</v>
      </c>
      <c r="K333" s="2">
        <v>-0.32600000000000001</v>
      </c>
      <c r="L333" s="2">
        <v>1.6819999999999999</v>
      </c>
      <c r="M333" s="2">
        <v>1.1830000000000001</v>
      </c>
      <c r="N333" s="2">
        <v>100.4</v>
      </c>
      <c r="O333" s="2">
        <v>4.0759999999999996</v>
      </c>
      <c r="P333" s="2">
        <v>0.246</v>
      </c>
      <c r="Q333" s="2">
        <v>0.40100000000000002</v>
      </c>
      <c r="R333" s="2">
        <v>1.98</v>
      </c>
      <c r="S333" s="2">
        <v>-4.67</v>
      </c>
      <c r="T333" s="2">
        <v>63.39</v>
      </c>
      <c r="U333" s="2">
        <v>-6.3129999999999997</v>
      </c>
      <c r="V333" s="2">
        <v>-3.26</v>
      </c>
      <c r="W333" s="2">
        <v>-0.60499999999999998</v>
      </c>
      <c r="X333" s="2">
        <v>1.458</v>
      </c>
      <c r="Y333" s="2">
        <v>2.323</v>
      </c>
      <c r="Z333" s="2">
        <v>0.254</v>
      </c>
      <c r="AA333" s="2">
        <v>5.4080000000000004</v>
      </c>
      <c r="AB333" s="2">
        <v>4.2539999999999996</v>
      </c>
      <c r="AC333" s="2">
        <v>2.3450000000000002</v>
      </c>
      <c r="AD333" s="2">
        <v>7.33</v>
      </c>
      <c r="AE333" s="2">
        <v>-5.4459999999999997</v>
      </c>
      <c r="AF333" s="2">
        <v>-0.98</v>
      </c>
      <c r="AG333" s="2">
        <v>-10.63</v>
      </c>
      <c r="AH333" s="2">
        <v>-0.98</v>
      </c>
      <c r="AI333" s="2">
        <v>-10.63</v>
      </c>
      <c r="AJ333" s="2" t="s">
        <v>113</v>
      </c>
      <c r="AK333" s="2" t="s">
        <v>113</v>
      </c>
      <c r="AL333" s="2">
        <v>-2.0739999999999998</v>
      </c>
      <c r="AM333" s="2">
        <v>1.87</v>
      </c>
      <c r="AN333" s="2">
        <v>-4.7380000000000004</v>
      </c>
      <c r="AO333" s="2"/>
      <c r="AP333" s="1">
        <f t="shared" si="178"/>
        <v>0.12700000000000022</v>
      </c>
      <c r="AQ333" s="24">
        <f t="shared" si="179"/>
        <v>-0.3</v>
      </c>
      <c r="AR333" s="5">
        <v>6.07</v>
      </c>
      <c r="AS333" s="5">
        <v>5.41</v>
      </c>
      <c r="AT333" s="5">
        <v>4.25</v>
      </c>
      <c r="AU333" s="7">
        <f t="shared" si="202"/>
        <v>0.78600000000000003</v>
      </c>
      <c r="AV333" s="16"/>
      <c r="AW333" s="30">
        <v>0</v>
      </c>
      <c r="AX333" s="29">
        <v>66</v>
      </c>
      <c r="AY333" s="1">
        <f t="shared" si="180"/>
        <v>96.9</v>
      </c>
      <c r="AZ333" s="1">
        <f t="shared" si="181"/>
        <v>82.1</v>
      </c>
      <c r="BA333" s="1">
        <f t="shared" si="182"/>
        <v>61</v>
      </c>
      <c r="BB333" s="8">
        <f t="shared" si="183"/>
        <v>0.40600000000000003</v>
      </c>
      <c r="BC333" s="8">
        <f t="shared" si="184"/>
        <v>0.26</v>
      </c>
      <c r="BE333" s="5">
        <f t="shared" si="191"/>
        <v>5.41</v>
      </c>
      <c r="BF333" s="5">
        <f t="shared" si="192"/>
        <v>4.25</v>
      </c>
      <c r="BG333" s="1">
        <f t="shared" si="185"/>
        <v>-1.9</v>
      </c>
      <c r="BH333" s="1">
        <f t="shared" si="186"/>
        <v>1.2</v>
      </c>
      <c r="BI333" s="1">
        <f t="shared" si="187"/>
        <v>-4.7</v>
      </c>
      <c r="BJ333" s="1">
        <f t="shared" si="193"/>
        <v>82.1</v>
      </c>
      <c r="BK333" s="1">
        <f t="shared" si="194"/>
        <v>61</v>
      </c>
      <c r="BL333" s="1">
        <f t="shared" si="203"/>
        <v>2.2999999999999998</v>
      </c>
      <c r="BM333" s="1">
        <f t="shared" si="204"/>
        <v>7.3</v>
      </c>
      <c r="BN333" s="21">
        <f t="shared" si="195"/>
        <v>0</v>
      </c>
      <c r="BO333" s="7">
        <f t="shared" si="196"/>
        <v>0.12700000000000022</v>
      </c>
      <c r="BP333" s="21">
        <f t="shared" si="190"/>
        <v>-0.3</v>
      </c>
      <c r="BQ333" s="1">
        <f t="shared" si="197"/>
        <v>-5.4</v>
      </c>
      <c r="BR333" s="1">
        <f t="shared" si="198"/>
        <v>-1</v>
      </c>
      <c r="BS333" s="1">
        <f t="shared" si="199"/>
        <v>-10.6</v>
      </c>
      <c r="BT333" s="1">
        <f t="shared" si="188"/>
        <v>-0.3</v>
      </c>
      <c r="BU333" s="1" t="s">
        <v>113</v>
      </c>
      <c r="BV333" s="1">
        <f t="shared" si="189"/>
        <v>1.7</v>
      </c>
      <c r="BW333" s="1" t="str">
        <f t="shared" si="205"/>
        <v>NAN</v>
      </c>
      <c r="BX333" s="1">
        <f t="shared" si="206"/>
        <v>0.40600000000000003</v>
      </c>
      <c r="BY333" s="1">
        <f t="shared" si="207"/>
        <v>0.26</v>
      </c>
      <c r="CA333" s="1">
        <f t="shared" si="200"/>
        <v>-2.2000000000000002</v>
      </c>
      <c r="CB333" s="1">
        <f t="shared" si="201"/>
        <v>-5.8999999999999995</v>
      </c>
    </row>
    <row r="334" spans="1:80" x14ac:dyDescent="0.2">
      <c r="A334" s="9">
        <f t="shared" si="208"/>
        <v>43794</v>
      </c>
      <c r="B334" s="2">
        <v>329</v>
      </c>
      <c r="C334" s="2">
        <v>21</v>
      </c>
      <c r="D334" s="2">
        <v>13.04</v>
      </c>
      <c r="E334" s="2">
        <v>1.3220000000000001</v>
      </c>
      <c r="F334" s="2">
        <v>-16.100000000000001</v>
      </c>
      <c r="G334" s="2">
        <v>-7</v>
      </c>
      <c r="H334" s="2">
        <v>89.1</v>
      </c>
      <c r="I334" s="2">
        <v>-8.49</v>
      </c>
      <c r="J334" s="2">
        <v>-2.161</v>
      </c>
      <c r="K334" s="2">
        <v>-0.41</v>
      </c>
      <c r="L334" s="2">
        <v>1.635</v>
      </c>
      <c r="M334" s="2">
        <v>-3.274</v>
      </c>
      <c r="N334" s="2">
        <v>99.4</v>
      </c>
      <c r="O334" s="2">
        <v>-0.55500000000000005</v>
      </c>
      <c r="P334" s="2">
        <v>-1.038</v>
      </c>
      <c r="Q334" s="2">
        <v>0.41699999999999998</v>
      </c>
      <c r="R334" s="2">
        <v>1.903</v>
      </c>
      <c r="S334" s="2">
        <v>-16.84</v>
      </c>
      <c r="T334" s="2">
        <v>69.69</v>
      </c>
      <c r="U334" s="2">
        <v>-23.46</v>
      </c>
      <c r="V334" s="2">
        <v>-3.9950000000000001</v>
      </c>
      <c r="W334" s="2">
        <v>-0.63300000000000001</v>
      </c>
      <c r="X334" s="2">
        <v>1.5289999999999999</v>
      </c>
      <c r="Y334" s="2">
        <v>2.2829999999999999</v>
      </c>
      <c r="Z334" s="2">
        <v>0</v>
      </c>
      <c r="AA334" s="2">
        <v>1.748</v>
      </c>
      <c r="AB334" s="2">
        <v>2.8610000000000002</v>
      </c>
      <c r="AC334" s="2">
        <v>1.081</v>
      </c>
      <c r="AD334" s="2">
        <v>4.58</v>
      </c>
      <c r="AE334" s="2">
        <v>-12.11</v>
      </c>
      <c r="AF334" s="2">
        <v>-5.29</v>
      </c>
      <c r="AG334" s="2">
        <v>-28.04</v>
      </c>
      <c r="AH334" s="2">
        <v>-5.29</v>
      </c>
      <c r="AI334" s="2">
        <v>-28.04</v>
      </c>
      <c r="AJ334" s="2" t="s">
        <v>113</v>
      </c>
      <c r="AK334" s="2" t="s">
        <v>113</v>
      </c>
      <c r="AL334" s="2">
        <v>-7.25</v>
      </c>
      <c r="AM334" s="2">
        <v>-2.7189999999999999</v>
      </c>
      <c r="AN334" s="2">
        <v>-18.350000000000001</v>
      </c>
      <c r="AO334" s="2"/>
      <c r="AP334" s="1">
        <f t="shared" si="178"/>
        <v>0.16700000000000026</v>
      </c>
      <c r="AQ334" s="24">
        <f t="shared" si="179"/>
        <v>-0.4</v>
      </c>
      <c r="AR334" s="5">
        <v>5.99</v>
      </c>
      <c r="AS334" s="5">
        <v>3.08</v>
      </c>
      <c r="AT334" s="5">
        <v>2.83</v>
      </c>
      <c r="AU334" s="7">
        <f t="shared" si="202"/>
        <v>0.91900000000000004</v>
      </c>
      <c r="AV334" s="16"/>
      <c r="AW334" s="30">
        <v>1.76</v>
      </c>
      <c r="AX334" s="29">
        <v>87</v>
      </c>
      <c r="AY334" s="1">
        <f t="shared" si="180"/>
        <v>95.9</v>
      </c>
      <c r="AZ334" s="1">
        <f t="shared" si="181"/>
        <v>85.9</v>
      </c>
      <c r="BA334" s="1">
        <f t="shared" si="182"/>
        <v>67.099999999999994</v>
      </c>
      <c r="BB334" s="8">
        <f t="shared" si="183"/>
        <v>0.32200000000000001</v>
      </c>
      <c r="BC334" s="8">
        <f t="shared" si="184"/>
        <v>0.158</v>
      </c>
      <c r="BE334" s="5">
        <f t="shared" si="191"/>
        <v>3.08</v>
      </c>
      <c r="BF334" s="5">
        <f t="shared" si="192"/>
        <v>2.83</v>
      </c>
      <c r="BG334" s="1">
        <f t="shared" si="185"/>
        <v>-7</v>
      </c>
      <c r="BH334" s="1">
        <f t="shared" si="186"/>
        <v>-3.3</v>
      </c>
      <c r="BI334" s="1">
        <f t="shared" si="187"/>
        <v>-16.8</v>
      </c>
      <c r="BJ334" s="1">
        <f t="shared" si="193"/>
        <v>85.9</v>
      </c>
      <c r="BK334" s="1">
        <f t="shared" si="194"/>
        <v>67.099999999999994</v>
      </c>
      <c r="BL334" s="1">
        <f t="shared" si="203"/>
        <v>1.1000000000000001</v>
      </c>
      <c r="BM334" s="1">
        <f t="shared" si="204"/>
        <v>4.5999999999999996</v>
      </c>
      <c r="BN334" s="21">
        <f t="shared" si="195"/>
        <v>1.76</v>
      </c>
      <c r="BO334" s="7">
        <f t="shared" si="196"/>
        <v>0.16700000000000026</v>
      </c>
      <c r="BP334" s="21">
        <f t="shared" si="190"/>
        <v>-0.4</v>
      </c>
      <c r="BQ334" s="1">
        <f t="shared" si="197"/>
        <v>-12.1</v>
      </c>
      <c r="BR334" s="1">
        <f t="shared" si="198"/>
        <v>-5.3</v>
      </c>
      <c r="BS334" s="1">
        <f t="shared" si="199"/>
        <v>-28</v>
      </c>
      <c r="BT334" s="1">
        <f t="shared" si="188"/>
        <v>-0.4</v>
      </c>
      <c r="BU334" s="1" t="s">
        <v>113</v>
      </c>
      <c r="BV334" s="1">
        <f t="shared" si="189"/>
        <v>1.6</v>
      </c>
      <c r="BW334" s="1" t="str">
        <f t="shared" si="205"/>
        <v>NAN</v>
      </c>
      <c r="BX334" s="1">
        <f t="shared" si="206"/>
        <v>0.32200000000000001</v>
      </c>
      <c r="BY334" s="1">
        <f t="shared" si="207"/>
        <v>0.158</v>
      </c>
      <c r="CA334" s="1">
        <f t="shared" si="200"/>
        <v>-2</v>
      </c>
      <c r="CB334" s="1">
        <f t="shared" si="201"/>
        <v>-11.2</v>
      </c>
    </row>
    <row r="335" spans="1:80" x14ac:dyDescent="0.2">
      <c r="A335" s="9">
        <f t="shared" si="208"/>
        <v>43795</v>
      </c>
      <c r="B335" s="2">
        <v>330</v>
      </c>
      <c r="C335" s="2">
        <v>21</v>
      </c>
      <c r="D335" s="2">
        <v>13.02</v>
      </c>
      <c r="E335" s="2">
        <v>4.181</v>
      </c>
      <c r="F335" s="2">
        <v>-21.86</v>
      </c>
      <c r="G335" s="2">
        <v>-13.02</v>
      </c>
      <c r="H335" s="2">
        <v>85.9</v>
      </c>
      <c r="I335" s="2">
        <v>-15.96</v>
      </c>
      <c r="J335" s="2">
        <v>-4.2939999999999996</v>
      </c>
      <c r="K335" s="2">
        <v>-0.59699999999999998</v>
      </c>
      <c r="L335" s="2">
        <v>1.5660000000000001</v>
      </c>
      <c r="M335" s="2">
        <v>-5.19</v>
      </c>
      <c r="N335" s="2">
        <v>98.2</v>
      </c>
      <c r="O335" s="2">
        <v>-0.85499999999999998</v>
      </c>
      <c r="P335" s="2">
        <v>-2.85</v>
      </c>
      <c r="Q335" s="2">
        <v>0.78100000000000003</v>
      </c>
      <c r="R335" s="2">
        <v>2.0209999999999999</v>
      </c>
      <c r="S335" s="2">
        <v>-19.940000000000001</v>
      </c>
      <c r="T335" s="2">
        <v>55.67</v>
      </c>
      <c r="U335" s="2">
        <v>-26.67</v>
      </c>
      <c r="V335" s="2">
        <v>-5.8129999999999997</v>
      </c>
      <c r="W335" s="2">
        <v>-1.042</v>
      </c>
      <c r="X335" s="2">
        <v>1.161</v>
      </c>
      <c r="Y335" s="2">
        <v>2.286</v>
      </c>
      <c r="Z335" s="2">
        <v>0.254</v>
      </c>
      <c r="AA335" s="2">
        <v>3.629</v>
      </c>
      <c r="AB335" s="2">
        <v>4.0720000000000001</v>
      </c>
      <c r="AC335" s="2">
        <v>0.59899999999999998</v>
      </c>
      <c r="AD335" s="2">
        <v>3.62</v>
      </c>
      <c r="AE335" s="2">
        <v>-21.63</v>
      </c>
      <c r="AF335" s="2">
        <v>-10.74</v>
      </c>
      <c r="AG335" s="2">
        <v>-30.7</v>
      </c>
      <c r="AH335" s="2">
        <v>-10.74</v>
      </c>
      <c r="AI335" s="2">
        <v>-30.7</v>
      </c>
      <c r="AJ335" s="2" t="s">
        <v>113</v>
      </c>
      <c r="AK335" s="2" t="s">
        <v>113</v>
      </c>
      <c r="AL335" s="2">
        <v>-13.82</v>
      </c>
      <c r="AM335" s="2">
        <v>-2.371</v>
      </c>
      <c r="AN335" s="2">
        <v>-21.88</v>
      </c>
      <c r="AO335" s="2"/>
      <c r="AP335" s="1">
        <f t="shared" si="178"/>
        <v>0.16400000000000015</v>
      </c>
      <c r="AQ335" s="24">
        <f t="shared" si="179"/>
        <v>-0.6</v>
      </c>
      <c r="AR335" s="5">
        <v>5.9</v>
      </c>
      <c r="AS335" s="5">
        <v>4.47</v>
      </c>
      <c r="AT335" s="5">
        <v>4.07</v>
      </c>
      <c r="AU335" s="7">
        <f t="shared" si="202"/>
        <v>0.91100000000000003</v>
      </c>
      <c r="AV335" s="16"/>
      <c r="AW335" s="30">
        <v>1.43</v>
      </c>
      <c r="AX335" s="29">
        <v>93</v>
      </c>
      <c r="AY335" s="1">
        <f t="shared" si="180"/>
        <v>94.8</v>
      </c>
      <c r="AZ335" s="1">
        <f t="shared" si="181"/>
        <v>82.8</v>
      </c>
      <c r="BA335" s="1">
        <f t="shared" si="182"/>
        <v>53.5</v>
      </c>
      <c r="BB335" s="8">
        <f t="shared" si="183"/>
        <v>0.222</v>
      </c>
      <c r="BC335" s="8">
        <f t="shared" si="184"/>
        <v>0.193</v>
      </c>
      <c r="BE335" s="5">
        <f t="shared" si="191"/>
        <v>4.47</v>
      </c>
      <c r="BF335" s="5">
        <f t="shared" si="192"/>
        <v>4.07</v>
      </c>
      <c r="BG335" s="1">
        <f t="shared" si="185"/>
        <v>-13</v>
      </c>
      <c r="BH335" s="1">
        <f t="shared" si="186"/>
        <v>-5.2</v>
      </c>
      <c r="BI335" s="1">
        <f t="shared" si="187"/>
        <v>-19.899999999999999</v>
      </c>
      <c r="BJ335" s="1">
        <f t="shared" si="193"/>
        <v>82.8</v>
      </c>
      <c r="BK335" s="1">
        <f t="shared" si="194"/>
        <v>53.5</v>
      </c>
      <c r="BL335" s="1">
        <f t="shared" si="203"/>
        <v>0.6</v>
      </c>
      <c r="BM335" s="1">
        <f t="shared" si="204"/>
        <v>3.6</v>
      </c>
      <c r="BN335" s="21">
        <f t="shared" si="195"/>
        <v>1.43</v>
      </c>
      <c r="BO335" s="7">
        <f t="shared" si="196"/>
        <v>0.16400000000000015</v>
      </c>
      <c r="BP335" s="21">
        <f t="shared" si="190"/>
        <v>-0.6</v>
      </c>
      <c r="BQ335" s="1">
        <f t="shared" si="197"/>
        <v>-21.6</v>
      </c>
      <c r="BR335" s="1">
        <f t="shared" si="198"/>
        <v>-10.7</v>
      </c>
      <c r="BS335" s="1">
        <f t="shared" si="199"/>
        <v>-30.7</v>
      </c>
      <c r="BT335" s="1">
        <f t="shared" si="188"/>
        <v>-0.6</v>
      </c>
      <c r="BU335" s="1" t="s">
        <v>113</v>
      </c>
      <c r="BV335" s="1">
        <f t="shared" si="189"/>
        <v>1.6</v>
      </c>
      <c r="BW335" s="1" t="str">
        <f t="shared" si="205"/>
        <v>NAN</v>
      </c>
      <c r="BX335" s="1">
        <f t="shared" si="206"/>
        <v>0.222</v>
      </c>
      <c r="BY335" s="1">
        <f t="shared" si="207"/>
        <v>0.193</v>
      </c>
      <c r="CA335" s="1">
        <f t="shared" si="200"/>
        <v>-5.4999999999999991</v>
      </c>
      <c r="CB335" s="1">
        <f t="shared" si="201"/>
        <v>-10.8</v>
      </c>
    </row>
    <row r="336" spans="1:80" x14ac:dyDescent="0.2">
      <c r="A336" s="9">
        <f t="shared" si="208"/>
        <v>43796</v>
      </c>
      <c r="B336" s="2">
        <v>331</v>
      </c>
      <c r="C336" s="2">
        <v>21</v>
      </c>
      <c r="D336" s="2">
        <v>13.04</v>
      </c>
      <c r="E336" s="2">
        <v>-3.8039999999999998</v>
      </c>
      <c r="F336" s="2">
        <v>-16.309999999999999</v>
      </c>
      <c r="G336" s="2">
        <v>-10.72</v>
      </c>
      <c r="H336" s="2">
        <v>73.900000000000006</v>
      </c>
      <c r="I336" s="2">
        <v>-11.99</v>
      </c>
      <c r="J336" s="2">
        <v>-4.0110000000000001</v>
      </c>
      <c r="K336" s="2">
        <v>-0.65100000000000002</v>
      </c>
      <c r="L336" s="2">
        <v>1.5940000000000001</v>
      </c>
      <c r="M336" s="2">
        <v>-7.54</v>
      </c>
      <c r="N336" s="2">
        <v>93</v>
      </c>
      <c r="O336" s="2">
        <v>-4.2969999999999997</v>
      </c>
      <c r="P336" s="2">
        <v>-1.9830000000000001</v>
      </c>
      <c r="Q336" s="2">
        <v>-0.151</v>
      </c>
      <c r="R336" s="2">
        <v>1.7789999999999999</v>
      </c>
      <c r="S336" s="2">
        <v>-16.23</v>
      </c>
      <c r="T336" s="2">
        <v>55.24</v>
      </c>
      <c r="U336" s="2">
        <v>-20.51</v>
      </c>
      <c r="V336" s="2">
        <v>-4.9989999999999997</v>
      </c>
      <c r="W336" s="2">
        <v>-0.79300000000000004</v>
      </c>
      <c r="X336" s="2">
        <v>1.478</v>
      </c>
      <c r="Y336" s="2">
        <v>2.2759999999999998</v>
      </c>
      <c r="Z336" s="2">
        <v>0</v>
      </c>
      <c r="AA336" s="2">
        <v>3.6110000000000002</v>
      </c>
      <c r="AB336" s="2">
        <v>2.9740000000000002</v>
      </c>
      <c r="AC336" s="2">
        <v>2.3639999999999999</v>
      </c>
      <c r="AD336" s="2">
        <v>6.9269999999999996</v>
      </c>
      <c r="AE336" s="2">
        <v>-15.84</v>
      </c>
      <c r="AF336" s="2">
        <v>-9.18</v>
      </c>
      <c r="AG336" s="2">
        <v>-25.53</v>
      </c>
      <c r="AH336" s="2">
        <v>-9.18</v>
      </c>
      <c r="AI336" s="2">
        <v>-25.53</v>
      </c>
      <c r="AJ336" s="2" t="s">
        <v>113</v>
      </c>
      <c r="AK336" s="2" t="s">
        <v>113</v>
      </c>
      <c r="AL336" s="2">
        <v>-11.09</v>
      </c>
      <c r="AM336" s="2">
        <v>-6.0720000000000001</v>
      </c>
      <c r="AN336" s="2">
        <v>-16.88</v>
      </c>
      <c r="AO336" s="2"/>
      <c r="AP336" s="1">
        <f t="shared" si="178"/>
        <v>0.17400000000000038</v>
      </c>
      <c r="AQ336" s="24">
        <f t="shared" si="179"/>
        <v>-0.7</v>
      </c>
      <c r="AR336" s="5">
        <v>5.82</v>
      </c>
      <c r="AS336" s="5">
        <v>3.61</v>
      </c>
      <c r="AT336" s="5">
        <v>2.97</v>
      </c>
      <c r="AU336" s="7">
        <f t="shared" si="202"/>
        <v>0.82299999999999995</v>
      </c>
      <c r="AV336" s="16"/>
      <c r="AW336" s="30">
        <v>0</v>
      </c>
      <c r="AX336" s="29">
        <v>94</v>
      </c>
      <c r="AY336" s="1">
        <f t="shared" si="180"/>
        <v>89.7</v>
      </c>
      <c r="AZ336" s="1">
        <f t="shared" si="181"/>
        <v>71.2</v>
      </c>
      <c r="BA336" s="1">
        <f t="shared" si="182"/>
        <v>53.1</v>
      </c>
      <c r="BB336" s="8">
        <f t="shared" si="183"/>
        <v>0.184</v>
      </c>
      <c r="BC336" s="8">
        <f t="shared" si="184"/>
        <v>0.16300000000000001</v>
      </c>
      <c r="BE336" s="5">
        <f t="shared" si="191"/>
        <v>3.61</v>
      </c>
      <c r="BF336" s="5">
        <f t="shared" si="192"/>
        <v>2.97</v>
      </c>
      <c r="BG336" s="1">
        <f t="shared" si="185"/>
        <v>-10.7</v>
      </c>
      <c r="BH336" s="1">
        <f t="shared" si="186"/>
        <v>-7.5</v>
      </c>
      <c r="BI336" s="1">
        <f t="shared" si="187"/>
        <v>-16.2</v>
      </c>
      <c r="BJ336" s="1">
        <f t="shared" si="193"/>
        <v>71.2</v>
      </c>
      <c r="BK336" s="1">
        <f t="shared" si="194"/>
        <v>53.1</v>
      </c>
      <c r="BL336" s="1">
        <f t="shared" si="203"/>
        <v>2.4</v>
      </c>
      <c r="BM336" s="1">
        <f t="shared" si="204"/>
        <v>6.9</v>
      </c>
      <c r="BN336" s="21">
        <f t="shared" si="195"/>
        <v>0</v>
      </c>
      <c r="BO336" s="7">
        <f t="shared" si="196"/>
        <v>0.17400000000000038</v>
      </c>
      <c r="BP336" s="21">
        <f t="shared" si="190"/>
        <v>-0.7</v>
      </c>
      <c r="BQ336" s="1">
        <f t="shared" si="197"/>
        <v>-15.8</v>
      </c>
      <c r="BR336" s="1">
        <f t="shared" si="198"/>
        <v>-9.1999999999999993</v>
      </c>
      <c r="BS336" s="1">
        <f t="shared" si="199"/>
        <v>-25.5</v>
      </c>
      <c r="BT336" s="1">
        <f t="shared" si="188"/>
        <v>-0.7</v>
      </c>
      <c r="BU336" s="1" t="s">
        <v>113</v>
      </c>
      <c r="BV336" s="1">
        <f t="shared" si="189"/>
        <v>1.6</v>
      </c>
      <c r="BW336" s="1" t="str">
        <f t="shared" si="205"/>
        <v>NAN</v>
      </c>
      <c r="BX336" s="1">
        <f t="shared" si="206"/>
        <v>0.184</v>
      </c>
      <c r="BY336" s="1">
        <f t="shared" si="207"/>
        <v>0.16300000000000001</v>
      </c>
      <c r="CA336" s="1">
        <f t="shared" si="200"/>
        <v>-1.6999999999999993</v>
      </c>
      <c r="CB336" s="1">
        <f t="shared" si="201"/>
        <v>-9.3000000000000007</v>
      </c>
    </row>
    <row r="337" spans="1:80" x14ac:dyDescent="0.2">
      <c r="A337" s="9">
        <f t="shared" si="208"/>
        <v>43797</v>
      </c>
      <c r="B337" s="2">
        <v>332</v>
      </c>
      <c r="C337" s="2">
        <v>21</v>
      </c>
      <c r="D337" s="2">
        <v>12.96</v>
      </c>
      <c r="E337" s="2">
        <v>0.23100000000000001</v>
      </c>
      <c r="F337" s="2">
        <v>-22.97</v>
      </c>
      <c r="G337" s="2">
        <v>-15.94</v>
      </c>
      <c r="H337" s="2">
        <v>83.8</v>
      </c>
      <c r="I337" s="2">
        <v>-18.690000000000001</v>
      </c>
      <c r="J337" s="2">
        <v>-5.4109999999999996</v>
      </c>
      <c r="K337" s="2">
        <v>-0.89900000000000002</v>
      </c>
      <c r="L337" s="2">
        <v>1.5</v>
      </c>
      <c r="M337" s="2">
        <v>-7.07</v>
      </c>
      <c r="N337" s="2">
        <v>96.9</v>
      </c>
      <c r="O337" s="2">
        <v>-2.351</v>
      </c>
      <c r="P337" s="2">
        <v>-3.222</v>
      </c>
      <c r="Q337" s="2">
        <v>0.249</v>
      </c>
      <c r="R337" s="2">
        <v>1.9079999999999999</v>
      </c>
      <c r="S337" s="2">
        <v>-21.16</v>
      </c>
      <c r="T337" s="2">
        <v>52.78</v>
      </c>
      <c r="U337" s="2">
        <v>-26.67</v>
      </c>
      <c r="V337" s="2">
        <v>-7.33</v>
      </c>
      <c r="W337" s="2">
        <v>-1.3440000000000001</v>
      </c>
      <c r="X337" s="2">
        <v>1.151</v>
      </c>
      <c r="Y337" s="2">
        <v>2.2770000000000001</v>
      </c>
      <c r="Z337" s="2">
        <v>0</v>
      </c>
      <c r="AA337" s="2">
        <v>4.8470000000000004</v>
      </c>
      <c r="AB337" s="2">
        <v>3.8559999999999999</v>
      </c>
      <c r="AC337" s="2">
        <v>0.66600000000000004</v>
      </c>
      <c r="AD337" s="2">
        <v>3.9140000000000001</v>
      </c>
      <c r="AE337" s="2">
        <v>-24.3</v>
      </c>
      <c r="AF337" s="2">
        <v>-13.51</v>
      </c>
      <c r="AG337" s="2">
        <v>-30.07</v>
      </c>
      <c r="AH337" s="2">
        <v>-13.51</v>
      </c>
      <c r="AI337" s="2">
        <v>-30.07</v>
      </c>
      <c r="AJ337" s="2" t="s">
        <v>113</v>
      </c>
      <c r="AK337" s="2" t="s">
        <v>113</v>
      </c>
      <c r="AL337" s="2">
        <v>-16.73</v>
      </c>
      <c r="AM337" s="2">
        <v>-5.7</v>
      </c>
      <c r="AN337" s="2">
        <v>-22.99</v>
      </c>
      <c r="AO337" s="2"/>
      <c r="AP337" s="1">
        <f t="shared" si="178"/>
        <v>0.17300000000000004</v>
      </c>
      <c r="AQ337" s="24">
        <f t="shared" si="179"/>
        <v>-0.9</v>
      </c>
      <c r="AR337" s="5">
        <v>5.74</v>
      </c>
      <c r="AS337" s="5">
        <v>4.8499999999999996</v>
      </c>
      <c r="AT337" s="5">
        <v>3.85</v>
      </c>
      <c r="AU337" s="7">
        <f t="shared" si="202"/>
        <v>0.79400000000000004</v>
      </c>
      <c r="AV337" s="16"/>
      <c r="AW337" s="30">
        <v>0</v>
      </c>
      <c r="AX337" s="29">
        <v>93</v>
      </c>
      <c r="AY337" s="1">
        <f t="shared" si="180"/>
        <v>93.5</v>
      </c>
      <c r="AZ337" s="1">
        <f t="shared" si="181"/>
        <v>80.8</v>
      </c>
      <c r="BA337" s="1">
        <f t="shared" si="182"/>
        <v>50.7</v>
      </c>
      <c r="BB337" s="8">
        <f t="shared" si="183"/>
        <v>0.182</v>
      </c>
      <c r="BC337" s="8">
        <f t="shared" si="184"/>
        <v>0.17699999999999999</v>
      </c>
      <c r="BE337" s="5">
        <f t="shared" si="191"/>
        <v>4.8499999999999996</v>
      </c>
      <c r="BF337" s="5">
        <f t="shared" si="192"/>
        <v>3.85</v>
      </c>
      <c r="BG337" s="1">
        <f t="shared" si="185"/>
        <v>-15.9</v>
      </c>
      <c r="BH337" s="1">
        <f t="shared" si="186"/>
        <v>-7.1</v>
      </c>
      <c r="BI337" s="1">
        <f t="shared" si="187"/>
        <v>-21.2</v>
      </c>
      <c r="BJ337" s="1">
        <f t="shared" si="193"/>
        <v>80.8</v>
      </c>
      <c r="BK337" s="1">
        <f t="shared" si="194"/>
        <v>50.7</v>
      </c>
      <c r="BL337" s="1">
        <f t="shared" si="203"/>
        <v>0.7</v>
      </c>
      <c r="BM337" s="1">
        <f t="shared" si="204"/>
        <v>3.9</v>
      </c>
      <c r="BN337" s="21">
        <f t="shared" si="195"/>
        <v>0</v>
      </c>
      <c r="BO337" s="7">
        <f t="shared" si="196"/>
        <v>0.17300000000000004</v>
      </c>
      <c r="BP337" s="21">
        <f t="shared" si="190"/>
        <v>-0.9</v>
      </c>
      <c r="BQ337" s="1">
        <f t="shared" si="197"/>
        <v>-24.3</v>
      </c>
      <c r="BR337" s="1">
        <f t="shared" si="198"/>
        <v>-13.5</v>
      </c>
      <c r="BS337" s="1">
        <f t="shared" si="199"/>
        <v>-30.1</v>
      </c>
      <c r="BT337" s="1">
        <f t="shared" si="188"/>
        <v>-0.9</v>
      </c>
      <c r="BU337" s="1" t="s">
        <v>113</v>
      </c>
      <c r="BV337" s="1">
        <f t="shared" si="189"/>
        <v>1.5</v>
      </c>
      <c r="BW337" s="1" t="str">
        <f t="shared" si="205"/>
        <v>NAN</v>
      </c>
      <c r="BX337" s="1">
        <f t="shared" si="206"/>
        <v>0.182</v>
      </c>
      <c r="BY337" s="1">
        <f t="shared" si="207"/>
        <v>0.17699999999999999</v>
      </c>
      <c r="CA337" s="1">
        <f t="shared" si="200"/>
        <v>-6.4</v>
      </c>
      <c r="CB337" s="1">
        <f t="shared" si="201"/>
        <v>-8.9000000000000021</v>
      </c>
    </row>
    <row r="338" spans="1:80" x14ac:dyDescent="0.2">
      <c r="A338" s="9">
        <f t="shared" si="208"/>
        <v>43798</v>
      </c>
      <c r="B338" s="2">
        <v>333</v>
      </c>
      <c r="C338" s="2">
        <v>21</v>
      </c>
      <c r="D338" s="2">
        <v>13</v>
      </c>
      <c r="E338" s="2">
        <v>-1.2689999999999999</v>
      </c>
      <c r="F338" s="2">
        <v>-24.51</v>
      </c>
      <c r="G338" s="2">
        <v>-15.79</v>
      </c>
      <c r="H338" s="2">
        <v>83.8</v>
      </c>
      <c r="I338" s="2">
        <v>-18.72</v>
      </c>
      <c r="J338" s="2">
        <v>-6.2939999999999996</v>
      </c>
      <c r="K338" s="2">
        <v>-1.2549999999999999</v>
      </c>
      <c r="L338" s="2">
        <v>1.425</v>
      </c>
      <c r="M338" s="2">
        <v>-4.33</v>
      </c>
      <c r="N338" s="2">
        <v>96.8</v>
      </c>
      <c r="O338" s="2">
        <v>-4.2590000000000003</v>
      </c>
      <c r="P338" s="2">
        <v>-3.7730000000000001</v>
      </c>
      <c r="Q338" s="2">
        <v>2.1000000000000001E-2</v>
      </c>
      <c r="R338" s="2">
        <v>1.925</v>
      </c>
      <c r="S338" s="2">
        <v>-21.64</v>
      </c>
      <c r="T338" s="2">
        <v>55.77</v>
      </c>
      <c r="U338" s="2">
        <v>-26.77</v>
      </c>
      <c r="V338" s="2">
        <v>-7.9</v>
      </c>
      <c r="W338" s="2">
        <v>-1.617</v>
      </c>
      <c r="X338" s="2">
        <v>1.1519999999999999</v>
      </c>
      <c r="Y338" s="2">
        <v>2.2759999999999998</v>
      </c>
      <c r="Z338" s="2">
        <v>0</v>
      </c>
      <c r="AA338" s="2">
        <v>4.7190000000000003</v>
      </c>
      <c r="AB338" s="2">
        <v>3.8069999999999999</v>
      </c>
      <c r="AC338" s="2">
        <v>0.70399999999999996</v>
      </c>
      <c r="AD338" s="2">
        <v>4.82</v>
      </c>
      <c r="AE338" s="2">
        <v>-24.53</v>
      </c>
      <c r="AF338" s="2">
        <v>-12.53</v>
      </c>
      <c r="AG338" s="2">
        <v>-30.61</v>
      </c>
      <c r="AH338" s="2">
        <v>-12.53</v>
      </c>
      <c r="AI338" s="2">
        <v>-30.61</v>
      </c>
      <c r="AJ338" s="2" t="s">
        <v>113</v>
      </c>
      <c r="AK338" s="2" t="s">
        <v>113</v>
      </c>
      <c r="AL338" s="2">
        <v>-17.010000000000002</v>
      </c>
      <c r="AM338" s="2">
        <v>-6.367</v>
      </c>
      <c r="AN338" s="2">
        <v>-23.28</v>
      </c>
      <c r="AO338" s="2"/>
      <c r="AP338" s="1">
        <f t="shared" si="178"/>
        <v>0.17400000000000038</v>
      </c>
      <c r="AQ338" s="24">
        <f t="shared" si="179"/>
        <v>-1.3</v>
      </c>
      <c r="AR338" s="5">
        <v>5.67</v>
      </c>
      <c r="AS338" s="5">
        <v>4.72</v>
      </c>
      <c r="AT338" s="5">
        <v>3.8</v>
      </c>
      <c r="AU338" s="7">
        <f t="shared" si="202"/>
        <v>0.80500000000000005</v>
      </c>
      <c r="AV338" s="16"/>
      <c r="AW338" s="30">
        <v>0</v>
      </c>
      <c r="AX338" s="29">
        <v>94</v>
      </c>
      <c r="AY338" s="1">
        <f t="shared" si="180"/>
        <v>93.4</v>
      </c>
      <c r="AZ338" s="1">
        <f t="shared" si="181"/>
        <v>80.8</v>
      </c>
      <c r="BA338" s="1">
        <f t="shared" si="182"/>
        <v>53.6</v>
      </c>
      <c r="BB338" s="8">
        <f t="shared" si="183"/>
        <v>0.23699999999999999</v>
      </c>
      <c r="BC338" s="8">
        <f t="shared" si="184"/>
        <v>0.20499999999999999</v>
      </c>
      <c r="BE338" s="5">
        <f t="shared" si="191"/>
        <v>4.72</v>
      </c>
      <c r="BF338" s="5">
        <f t="shared" si="192"/>
        <v>3.8</v>
      </c>
      <c r="BG338" s="1">
        <f t="shared" si="185"/>
        <v>-15.8</v>
      </c>
      <c r="BH338" s="1">
        <f t="shared" si="186"/>
        <v>-4.3</v>
      </c>
      <c r="BI338" s="1">
        <f t="shared" si="187"/>
        <v>-21.6</v>
      </c>
      <c r="BJ338" s="1">
        <f t="shared" si="193"/>
        <v>80.8</v>
      </c>
      <c r="BK338" s="1">
        <f t="shared" si="194"/>
        <v>53.6</v>
      </c>
      <c r="BL338" s="1">
        <f t="shared" si="203"/>
        <v>0.7</v>
      </c>
      <c r="BM338" s="1">
        <f t="shared" si="204"/>
        <v>4.8</v>
      </c>
      <c r="BN338" s="21">
        <f t="shared" si="195"/>
        <v>0</v>
      </c>
      <c r="BO338" s="7">
        <f t="shared" si="196"/>
        <v>0.17400000000000038</v>
      </c>
      <c r="BP338" s="21">
        <f t="shared" si="190"/>
        <v>-1.3</v>
      </c>
      <c r="BQ338" s="1">
        <f t="shared" si="197"/>
        <v>-24.5</v>
      </c>
      <c r="BR338" s="1">
        <f t="shared" si="198"/>
        <v>-12.5</v>
      </c>
      <c r="BS338" s="1">
        <f t="shared" si="199"/>
        <v>-30.6</v>
      </c>
      <c r="BT338" s="1">
        <f t="shared" si="188"/>
        <v>-1.3</v>
      </c>
      <c r="BU338" s="1" t="s">
        <v>113</v>
      </c>
      <c r="BV338" s="1">
        <f t="shared" si="189"/>
        <v>1.4</v>
      </c>
      <c r="BW338" s="1" t="str">
        <f t="shared" si="205"/>
        <v>NAN</v>
      </c>
      <c r="BX338" s="1">
        <f t="shared" si="206"/>
        <v>0.23699999999999999</v>
      </c>
      <c r="BY338" s="1">
        <f t="shared" si="207"/>
        <v>0.20499999999999999</v>
      </c>
      <c r="CA338" s="1">
        <f t="shared" si="200"/>
        <v>-8.1999999999999993</v>
      </c>
      <c r="CB338" s="1">
        <f t="shared" si="201"/>
        <v>-9</v>
      </c>
    </row>
    <row r="339" spans="1:80" x14ac:dyDescent="0.2">
      <c r="A339" s="9">
        <f t="shared" si="208"/>
        <v>43799</v>
      </c>
      <c r="B339" s="2">
        <v>334</v>
      </c>
      <c r="C339" s="2">
        <v>21</v>
      </c>
      <c r="D339" s="2">
        <v>13.03</v>
      </c>
      <c r="E339" s="2">
        <v>6.2329999999999997</v>
      </c>
      <c r="F339" s="2">
        <v>-20.03</v>
      </c>
      <c r="G339" s="2">
        <v>-10.43</v>
      </c>
      <c r="H339" s="2">
        <v>79.5</v>
      </c>
      <c r="I339" s="2">
        <v>-11.97</v>
      </c>
      <c r="J339" s="2">
        <v>-4.4279999999999999</v>
      </c>
      <c r="K339" s="2">
        <v>-1.131</v>
      </c>
      <c r="L339" s="2">
        <v>1.484</v>
      </c>
      <c r="M339" s="2">
        <v>-2.0979999999999999</v>
      </c>
      <c r="N339" s="2">
        <v>98.1</v>
      </c>
      <c r="O339" s="2">
        <v>2.1480000000000001</v>
      </c>
      <c r="P339" s="2">
        <v>-1.6830000000000001</v>
      </c>
      <c r="Q339" s="2">
        <v>-0.32100000000000001</v>
      </c>
      <c r="R339" s="2">
        <v>1.754</v>
      </c>
      <c r="S339" s="2">
        <v>-18.18</v>
      </c>
      <c r="T339" s="2">
        <v>47.45</v>
      </c>
      <c r="U339" s="2">
        <v>-23.01</v>
      </c>
      <c r="V339" s="2">
        <v>-6.798</v>
      </c>
      <c r="W339" s="2">
        <v>-1.5649999999999999</v>
      </c>
      <c r="X339" s="2">
        <v>0.94099999999999995</v>
      </c>
      <c r="Y339" s="2">
        <v>2.27</v>
      </c>
      <c r="Z339" s="2">
        <v>0</v>
      </c>
      <c r="AA339" s="2">
        <v>4.819</v>
      </c>
      <c r="AB339" s="2">
        <v>3.8279999999999998</v>
      </c>
      <c r="AC339" s="2">
        <v>0.74099999999999999</v>
      </c>
      <c r="AD339" s="2">
        <v>3.5939999999999999</v>
      </c>
      <c r="AE339" s="2">
        <v>-16.3</v>
      </c>
      <c r="AF339" s="2">
        <v>-9.06</v>
      </c>
      <c r="AG339" s="2">
        <v>-26.3</v>
      </c>
      <c r="AH339" s="2">
        <v>-9.06</v>
      </c>
      <c r="AI339" s="2">
        <v>-26.3</v>
      </c>
      <c r="AJ339" s="2" t="s">
        <v>113</v>
      </c>
      <c r="AK339" s="2" t="s">
        <v>113</v>
      </c>
      <c r="AL339" s="2">
        <v>-10.86</v>
      </c>
      <c r="AM339" s="2">
        <v>-0.72199999999999998</v>
      </c>
      <c r="AN339" s="2">
        <v>-19.64</v>
      </c>
      <c r="AO339" s="2"/>
      <c r="AP339" s="1">
        <f t="shared" si="178"/>
        <v>0.18000000000000016</v>
      </c>
      <c r="AQ339" s="24">
        <f t="shared" si="179"/>
        <v>-1.1000000000000001</v>
      </c>
      <c r="AR339" s="5">
        <v>5.6</v>
      </c>
      <c r="AS339" s="5">
        <v>4.82</v>
      </c>
      <c r="AT339" s="5">
        <v>3.83</v>
      </c>
      <c r="AU339" s="7">
        <f t="shared" si="202"/>
        <v>0.79500000000000004</v>
      </c>
      <c r="AV339" s="16"/>
      <c r="AW339" s="30">
        <v>0</v>
      </c>
      <c r="AX339" s="29">
        <v>95</v>
      </c>
      <c r="AY339" s="1">
        <f t="shared" si="180"/>
        <v>94.7</v>
      </c>
      <c r="AZ339" s="1">
        <f t="shared" si="181"/>
        <v>76.599999999999994</v>
      </c>
      <c r="BA339" s="1">
        <f t="shared" si="182"/>
        <v>45.5</v>
      </c>
      <c r="BB339" s="8">
        <f t="shared" si="183"/>
        <v>0.23799999999999999</v>
      </c>
      <c r="BC339" s="8">
        <f t="shared" si="184"/>
        <v>0.28499999999999998</v>
      </c>
      <c r="BE339" s="5">
        <f t="shared" si="191"/>
        <v>4.82</v>
      </c>
      <c r="BF339" s="5">
        <f t="shared" si="192"/>
        <v>3.83</v>
      </c>
      <c r="BG339" s="1">
        <f t="shared" si="185"/>
        <v>-10.4</v>
      </c>
      <c r="BH339" s="1">
        <f t="shared" si="186"/>
        <v>-2.1</v>
      </c>
      <c r="BI339" s="1">
        <f t="shared" si="187"/>
        <v>-18.2</v>
      </c>
      <c r="BJ339" s="1">
        <f t="shared" si="193"/>
        <v>76.599999999999994</v>
      </c>
      <c r="BK339" s="1">
        <f t="shared" si="194"/>
        <v>45.5</v>
      </c>
      <c r="BL339" s="1">
        <f t="shared" si="203"/>
        <v>0.7</v>
      </c>
      <c r="BM339" s="1">
        <f t="shared" si="204"/>
        <v>3.6</v>
      </c>
      <c r="BN339" s="21">
        <f t="shared" si="195"/>
        <v>0</v>
      </c>
      <c r="BO339" s="7">
        <f t="shared" si="196"/>
        <v>0.18000000000000016</v>
      </c>
      <c r="BP339" s="21">
        <f t="shared" si="190"/>
        <v>-1.1000000000000001</v>
      </c>
      <c r="BQ339" s="1">
        <f t="shared" si="197"/>
        <v>-16.3</v>
      </c>
      <c r="BR339" s="1">
        <f t="shared" si="198"/>
        <v>-9.1</v>
      </c>
      <c r="BS339" s="1">
        <f t="shared" si="199"/>
        <v>-26.3</v>
      </c>
      <c r="BT339" s="1">
        <f t="shared" si="188"/>
        <v>-1.1000000000000001</v>
      </c>
      <c r="BU339" s="1" t="s">
        <v>113</v>
      </c>
      <c r="BV339" s="1">
        <f t="shared" si="189"/>
        <v>1.5</v>
      </c>
      <c r="BW339" s="1" t="str">
        <f t="shared" si="205"/>
        <v>NAN</v>
      </c>
      <c r="BX339" s="1">
        <f t="shared" si="206"/>
        <v>0.23799999999999999</v>
      </c>
      <c r="BY339" s="1">
        <f t="shared" si="207"/>
        <v>0.28499999999999998</v>
      </c>
      <c r="CA339" s="1">
        <f t="shared" si="200"/>
        <v>-7</v>
      </c>
      <c r="CB339" s="1">
        <f t="shared" si="201"/>
        <v>-8.1000000000000014</v>
      </c>
    </row>
    <row r="340" spans="1:80" x14ac:dyDescent="0.2">
      <c r="A340" s="9">
        <f t="shared" si="208"/>
        <v>43800</v>
      </c>
      <c r="B340" s="2">
        <v>335</v>
      </c>
      <c r="C340" s="2">
        <v>21</v>
      </c>
      <c r="D340" s="2">
        <v>13.07</v>
      </c>
      <c r="E340" s="2">
        <v>-6.7329999999999997</v>
      </c>
      <c r="F340" s="2">
        <v>-14.66</v>
      </c>
      <c r="G340" s="2">
        <v>-9.24</v>
      </c>
      <c r="H340" s="2">
        <v>91.7</v>
      </c>
      <c r="I340" s="2">
        <v>-9.94</v>
      </c>
      <c r="J340" s="2">
        <v>-3.9460000000000002</v>
      </c>
      <c r="K340" s="2">
        <v>-1.135</v>
      </c>
      <c r="L340" s="2">
        <v>1.4390000000000001</v>
      </c>
      <c r="M340" s="2">
        <v>-8.08</v>
      </c>
      <c r="N340" s="2">
        <v>98.3</v>
      </c>
      <c r="O340" s="2">
        <v>-6.915</v>
      </c>
      <c r="P340" s="2">
        <v>-2.456</v>
      </c>
      <c r="Q340" s="2">
        <v>-0.86</v>
      </c>
      <c r="R340" s="2">
        <v>1.5549999999999999</v>
      </c>
      <c r="S340" s="2">
        <v>-13.53</v>
      </c>
      <c r="T340" s="2">
        <v>80.5</v>
      </c>
      <c r="U340" s="2">
        <v>-18.53</v>
      </c>
      <c r="V340" s="2">
        <v>-6.2430000000000003</v>
      </c>
      <c r="W340" s="2">
        <v>-1.4</v>
      </c>
      <c r="X340" s="2">
        <v>1.373</v>
      </c>
      <c r="Y340" s="2">
        <v>2.2669999999999999</v>
      </c>
      <c r="Z340" s="2">
        <v>0</v>
      </c>
      <c r="AA340" s="2">
        <v>1.772</v>
      </c>
      <c r="AB340" s="2">
        <v>1.4279999999999999</v>
      </c>
      <c r="AC340" s="2">
        <v>2.1219999999999999</v>
      </c>
      <c r="AD340" s="2">
        <v>5.327</v>
      </c>
      <c r="AE340" s="2">
        <v>-11.29</v>
      </c>
      <c r="AF340" s="2">
        <v>-7.32</v>
      </c>
      <c r="AG340" s="2">
        <v>-23.74</v>
      </c>
      <c r="AH340" s="2">
        <v>-7.32</v>
      </c>
      <c r="AI340" s="2">
        <v>-23.74</v>
      </c>
      <c r="AJ340" s="2" t="s">
        <v>113</v>
      </c>
      <c r="AK340" s="2" t="s">
        <v>113</v>
      </c>
      <c r="AL340" s="2">
        <v>-9.44</v>
      </c>
      <c r="AM340" s="2">
        <v>-7.3</v>
      </c>
      <c r="AN340" s="2">
        <v>-14.22</v>
      </c>
      <c r="AO340" s="2"/>
      <c r="AP340" s="1">
        <f t="shared" si="178"/>
        <v>0.18300000000000027</v>
      </c>
      <c r="AQ340" s="24">
        <f t="shared" si="179"/>
        <v>-1.1000000000000001</v>
      </c>
      <c r="AR340" s="5">
        <v>5.53</v>
      </c>
      <c r="AS340" s="5">
        <v>1.77</v>
      </c>
      <c r="AT340" s="5">
        <v>1.42</v>
      </c>
      <c r="AU340" s="7">
        <f t="shared" si="202"/>
        <v>0.80200000000000005</v>
      </c>
      <c r="AV340" s="16"/>
      <c r="AW340" s="30">
        <v>0.88</v>
      </c>
      <c r="AX340" s="29">
        <v>103</v>
      </c>
      <c r="AY340" s="1">
        <f t="shared" si="180"/>
        <v>94.9</v>
      </c>
      <c r="AZ340" s="1">
        <f t="shared" si="181"/>
        <v>88.4</v>
      </c>
      <c r="BA340" s="1">
        <f t="shared" si="182"/>
        <v>77.599999999999994</v>
      </c>
      <c r="BB340" s="8">
        <f t="shared" si="183"/>
        <v>0.25800000000000001</v>
      </c>
      <c r="BC340" s="8">
        <f t="shared" si="184"/>
        <v>7.3999999999999996E-2</v>
      </c>
      <c r="BE340" s="5">
        <f t="shared" si="191"/>
        <v>1.77</v>
      </c>
      <c r="BF340" s="5">
        <f t="shared" si="192"/>
        <v>1.42</v>
      </c>
      <c r="BG340" s="1">
        <f t="shared" si="185"/>
        <v>-9.1999999999999993</v>
      </c>
      <c r="BH340" s="1">
        <f t="shared" si="186"/>
        <v>-8.1</v>
      </c>
      <c r="BI340" s="1">
        <f t="shared" si="187"/>
        <v>-13.5</v>
      </c>
      <c r="BJ340" s="1">
        <f t="shared" si="193"/>
        <v>88.4</v>
      </c>
      <c r="BK340" s="1">
        <f t="shared" si="194"/>
        <v>77.599999999999994</v>
      </c>
      <c r="BL340" s="1">
        <f t="shared" si="203"/>
        <v>2.1</v>
      </c>
      <c r="BM340" s="1">
        <f t="shared" si="204"/>
        <v>5.3</v>
      </c>
      <c r="BN340" s="21">
        <f t="shared" si="195"/>
        <v>0.88</v>
      </c>
      <c r="BO340" s="7">
        <f t="shared" si="196"/>
        <v>0.18300000000000027</v>
      </c>
      <c r="BP340" s="21">
        <f t="shared" si="190"/>
        <v>-1.1000000000000001</v>
      </c>
      <c r="BQ340" s="1">
        <f t="shared" si="197"/>
        <v>-11.3</v>
      </c>
      <c r="BR340" s="1">
        <f t="shared" si="198"/>
        <v>-7.3</v>
      </c>
      <c r="BS340" s="1">
        <f t="shared" si="199"/>
        <v>-23.7</v>
      </c>
      <c r="BT340" s="1">
        <f t="shared" si="188"/>
        <v>-1.1000000000000001</v>
      </c>
      <c r="BU340" s="1" t="s">
        <v>113</v>
      </c>
      <c r="BV340" s="1">
        <f t="shared" si="189"/>
        <v>1.4</v>
      </c>
      <c r="BW340" s="1" t="str">
        <f t="shared" si="205"/>
        <v>NAN</v>
      </c>
      <c r="BX340" s="1">
        <f t="shared" si="206"/>
        <v>0.25800000000000001</v>
      </c>
      <c r="BY340" s="1">
        <f t="shared" si="207"/>
        <v>7.3999999999999996E-2</v>
      </c>
      <c r="CA340" s="1">
        <f t="shared" si="200"/>
        <v>0.79999999999999982</v>
      </c>
      <c r="CB340" s="1">
        <f t="shared" si="201"/>
        <v>-10.199999999999999</v>
      </c>
    </row>
    <row r="341" spans="1:80" x14ac:dyDescent="0.2">
      <c r="A341" s="9">
        <f t="shared" si="208"/>
        <v>43801</v>
      </c>
      <c r="B341" s="2">
        <v>336</v>
      </c>
      <c r="C341" s="2">
        <v>21</v>
      </c>
      <c r="D341" s="2">
        <v>13.11</v>
      </c>
      <c r="E341" s="2">
        <v>0.19</v>
      </c>
      <c r="F341" s="2">
        <v>-8.23</v>
      </c>
      <c r="G341" s="2">
        <v>-3.6920000000000002</v>
      </c>
      <c r="H341" s="2">
        <v>96.7</v>
      </c>
      <c r="I341" s="2">
        <v>-3.8050000000000002</v>
      </c>
      <c r="J341" s="2">
        <v>-1.44</v>
      </c>
      <c r="K341" s="2">
        <v>-0.7</v>
      </c>
      <c r="L341" s="2">
        <v>1.397</v>
      </c>
      <c r="M341" s="2">
        <v>-0.78600000000000003</v>
      </c>
      <c r="N341" s="2">
        <v>101.3</v>
      </c>
      <c r="O341" s="2">
        <v>0.28999999999999998</v>
      </c>
      <c r="P341" s="2">
        <v>-0.73499999999999999</v>
      </c>
      <c r="Q341" s="2">
        <v>-0.50600000000000001</v>
      </c>
      <c r="R341" s="2">
        <v>1.57</v>
      </c>
      <c r="S341" s="2">
        <v>-8.27</v>
      </c>
      <c r="T341" s="2">
        <v>87.7</v>
      </c>
      <c r="U341" s="2">
        <v>-8.34</v>
      </c>
      <c r="V341" s="2">
        <v>-2.4969999999999999</v>
      </c>
      <c r="W341" s="2">
        <v>-0.90100000000000002</v>
      </c>
      <c r="X341" s="2">
        <v>1.3149999999999999</v>
      </c>
      <c r="Y341" s="2">
        <v>2.2589999999999999</v>
      </c>
      <c r="Z341" s="2">
        <v>0</v>
      </c>
      <c r="AA341" s="2">
        <v>1.06</v>
      </c>
      <c r="AB341" s="2">
        <v>1.488</v>
      </c>
      <c r="AC341" s="2">
        <v>0.62</v>
      </c>
      <c r="AD341" s="2">
        <v>3.0339999999999998</v>
      </c>
      <c r="AE341" s="2">
        <v>-3.915</v>
      </c>
      <c r="AF341" s="2">
        <v>-1.546</v>
      </c>
      <c r="AG341" s="2">
        <v>-7.69</v>
      </c>
      <c r="AH341" s="2">
        <v>-1.546</v>
      </c>
      <c r="AI341" s="2">
        <v>-7.69</v>
      </c>
      <c r="AJ341" s="2" t="s">
        <v>113</v>
      </c>
      <c r="AK341" s="2" t="s">
        <v>113</v>
      </c>
      <c r="AL341" s="2">
        <v>-3.657</v>
      </c>
      <c r="AM341" s="2">
        <v>-0.42599999999999999</v>
      </c>
      <c r="AN341" s="2">
        <v>-8.25</v>
      </c>
      <c r="AO341" s="2"/>
      <c r="AP341" s="1">
        <f t="shared" si="178"/>
        <v>0.19100000000000028</v>
      </c>
      <c r="AQ341" s="24">
        <f t="shared" si="179"/>
        <v>-0.7</v>
      </c>
      <c r="AR341" s="5">
        <v>5.47</v>
      </c>
      <c r="AS341" s="5">
        <v>1.6</v>
      </c>
      <c r="AT341" s="5">
        <v>1.49</v>
      </c>
      <c r="AU341" s="7">
        <f t="shared" si="202"/>
        <v>0.93100000000000005</v>
      </c>
      <c r="AV341" s="16"/>
      <c r="AW341" s="30">
        <v>0</v>
      </c>
      <c r="AX341" s="29">
        <v>111</v>
      </c>
      <c r="AY341" s="1">
        <f t="shared" si="180"/>
        <v>97.8</v>
      </c>
      <c r="AZ341" s="1">
        <f t="shared" si="181"/>
        <v>93.3</v>
      </c>
      <c r="BA341" s="1">
        <f t="shared" si="182"/>
        <v>84.6</v>
      </c>
      <c r="BB341" s="8">
        <f t="shared" si="183"/>
        <v>0.48799999999999999</v>
      </c>
      <c r="BC341" s="8">
        <f t="shared" si="184"/>
        <v>8.8999999999999996E-2</v>
      </c>
      <c r="BE341" s="5">
        <f t="shared" si="191"/>
        <v>1.6</v>
      </c>
      <c r="BF341" s="5">
        <f t="shared" si="192"/>
        <v>1.49</v>
      </c>
      <c r="BG341" s="1">
        <f t="shared" si="185"/>
        <v>-3.7</v>
      </c>
      <c r="BH341" s="1">
        <f t="shared" si="186"/>
        <v>-0.8</v>
      </c>
      <c r="BI341" s="1">
        <f t="shared" si="187"/>
        <v>-8.3000000000000007</v>
      </c>
      <c r="BJ341" s="1">
        <f t="shared" si="193"/>
        <v>93.3</v>
      </c>
      <c r="BK341" s="1">
        <f t="shared" si="194"/>
        <v>84.6</v>
      </c>
      <c r="BL341" s="1">
        <f t="shared" si="203"/>
        <v>0.6</v>
      </c>
      <c r="BM341" s="1">
        <f t="shared" si="204"/>
        <v>3</v>
      </c>
      <c r="BN341" s="21">
        <f t="shared" si="195"/>
        <v>0</v>
      </c>
      <c r="BO341" s="7">
        <f t="shared" si="196"/>
        <v>0.19100000000000028</v>
      </c>
      <c r="BP341" s="21">
        <f t="shared" si="190"/>
        <v>-0.7</v>
      </c>
      <c r="BQ341" s="1">
        <f t="shared" si="197"/>
        <v>-3.9</v>
      </c>
      <c r="BR341" s="1">
        <f t="shared" si="198"/>
        <v>-1.5</v>
      </c>
      <c r="BS341" s="1">
        <f t="shared" si="199"/>
        <v>-7.7</v>
      </c>
      <c r="BT341" s="1">
        <f t="shared" si="188"/>
        <v>-0.7</v>
      </c>
      <c r="BU341" s="1" t="s">
        <v>113</v>
      </c>
      <c r="BV341" s="1">
        <f t="shared" si="189"/>
        <v>1.4</v>
      </c>
      <c r="BW341" s="1" t="str">
        <f t="shared" si="205"/>
        <v>NAN</v>
      </c>
      <c r="BX341" s="1">
        <f t="shared" si="206"/>
        <v>0.48799999999999999</v>
      </c>
      <c r="BY341" s="1">
        <f t="shared" si="207"/>
        <v>8.8999999999999996E-2</v>
      </c>
      <c r="CA341" s="1">
        <f t="shared" si="200"/>
        <v>-0.7</v>
      </c>
      <c r="CB341" s="1">
        <f t="shared" si="201"/>
        <v>0.60000000000000053</v>
      </c>
    </row>
    <row r="342" spans="1:80" x14ac:dyDescent="0.2">
      <c r="A342" s="9">
        <f t="shared" si="208"/>
        <v>43802</v>
      </c>
      <c r="B342" s="2">
        <v>337</v>
      </c>
      <c r="C342" s="2">
        <v>21</v>
      </c>
      <c r="D342" s="2">
        <v>13.14</v>
      </c>
      <c r="E342" s="2">
        <v>7.97</v>
      </c>
      <c r="F342" s="2">
        <v>-2.3809999999999998</v>
      </c>
      <c r="G342" s="2">
        <v>0.373</v>
      </c>
      <c r="H342" s="2">
        <v>89.3</v>
      </c>
      <c r="I342" s="2">
        <v>-0.126</v>
      </c>
      <c r="J342" s="2">
        <v>-0.66500000000000004</v>
      </c>
      <c r="K342" s="2">
        <v>-0.46100000000000002</v>
      </c>
      <c r="L342" s="2">
        <v>1.4039999999999999</v>
      </c>
      <c r="M342" s="2">
        <v>5.2649999999999997</v>
      </c>
      <c r="N342" s="2">
        <v>100.8</v>
      </c>
      <c r="O342" s="2">
        <v>8.98</v>
      </c>
      <c r="P342" s="2">
        <v>0.64900000000000002</v>
      </c>
      <c r="Q342" s="2">
        <v>0.44600000000000001</v>
      </c>
      <c r="R342" s="2">
        <v>1.786</v>
      </c>
      <c r="S342" s="2">
        <v>-3.169</v>
      </c>
      <c r="T342" s="2">
        <v>68.28</v>
      </c>
      <c r="U342" s="2">
        <v>-3.6920000000000002</v>
      </c>
      <c r="V342" s="2">
        <v>-1.1060000000000001</v>
      </c>
      <c r="W342" s="2">
        <v>-0.65300000000000002</v>
      </c>
      <c r="X342" s="2">
        <v>1.3080000000000001</v>
      </c>
      <c r="Y342" s="2">
        <v>2.266</v>
      </c>
      <c r="Z342" s="2">
        <v>4.5720000000000001</v>
      </c>
      <c r="AA342" s="2">
        <v>3.2349999999999999</v>
      </c>
      <c r="AB342" s="2">
        <v>2.665</v>
      </c>
      <c r="AC342" s="2">
        <v>1.1890000000000001</v>
      </c>
      <c r="AD342" s="2">
        <v>4.7140000000000004</v>
      </c>
      <c r="AE342" s="2">
        <v>-2.032</v>
      </c>
      <c r="AF342" s="2">
        <v>0.45700000000000002</v>
      </c>
      <c r="AG342" s="2">
        <v>-5.6689999999999996</v>
      </c>
      <c r="AH342" s="2">
        <v>0.45700000000000002</v>
      </c>
      <c r="AI342" s="2">
        <v>-5.6689999999999996</v>
      </c>
      <c r="AJ342" s="2" t="s">
        <v>113</v>
      </c>
      <c r="AK342" s="2" t="s">
        <v>113</v>
      </c>
      <c r="AL342" s="2">
        <v>0.30399999999999999</v>
      </c>
      <c r="AM342" s="2">
        <v>5.7329999999999997</v>
      </c>
      <c r="AN342" s="2">
        <v>-3.1040000000000001</v>
      </c>
      <c r="AO342" s="2"/>
      <c r="AP342" s="1">
        <f t="shared" si="178"/>
        <v>0.18400000000000016</v>
      </c>
      <c r="AQ342" s="24">
        <f t="shared" si="179"/>
        <v>-0.5</v>
      </c>
      <c r="AR342" s="5">
        <v>5.41</v>
      </c>
      <c r="AS342" s="5">
        <v>3.24</v>
      </c>
      <c r="AT342" s="5">
        <v>2.65</v>
      </c>
      <c r="AU342" s="7">
        <f t="shared" si="202"/>
        <v>0.81799999999999995</v>
      </c>
      <c r="AV342" s="16"/>
      <c r="AW342" s="30">
        <v>0</v>
      </c>
      <c r="AX342" s="29">
        <v>104</v>
      </c>
      <c r="AY342" s="1">
        <f t="shared" si="180"/>
        <v>97.3</v>
      </c>
      <c r="AZ342" s="1">
        <f t="shared" si="181"/>
        <v>86.1</v>
      </c>
      <c r="BA342" s="1">
        <f t="shared" si="182"/>
        <v>65.7</v>
      </c>
      <c r="BB342" s="8">
        <f t="shared" si="183"/>
        <v>0.58399999999999996</v>
      </c>
      <c r="BC342" s="8">
        <f t="shared" si="184"/>
        <v>0.30499999999999999</v>
      </c>
      <c r="BE342" s="5">
        <f t="shared" si="191"/>
        <v>3.24</v>
      </c>
      <c r="BF342" s="5">
        <f t="shared" si="192"/>
        <v>2.65</v>
      </c>
      <c r="BG342" s="1">
        <f t="shared" si="185"/>
        <v>0.4</v>
      </c>
      <c r="BH342" s="1">
        <f t="shared" si="186"/>
        <v>5.3</v>
      </c>
      <c r="BI342" s="1">
        <f t="shared" si="187"/>
        <v>-3.2</v>
      </c>
      <c r="BJ342" s="1">
        <f t="shared" si="193"/>
        <v>86.1</v>
      </c>
      <c r="BK342" s="1">
        <f t="shared" si="194"/>
        <v>65.7</v>
      </c>
      <c r="BL342" s="1">
        <f t="shared" si="203"/>
        <v>1.2</v>
      </c>
      <c r="BM342" s="1">
        <f t="shared" si="204"/>
        <v>4.7</v>
      </c>
      <c r="BN342" s="21">
        <f t="shared" si="195"/>
        <v>0</v>
      </c>
      <c r="BO342" s="7">
        <f t="shared" si="196"/>
        <v>0.18400000000000016</v>
      </c>
      <c r="BP342" s="21">
        <f t="shared" si="190"/>
        <v>-0.5</v>
      </c>
      <c r="BQ342" s="1">
        <f t="shared" si="197"/>
        <v>-2</v>
      </c>
      <c r="BR342" s="1">
        <f t="shared" si="198"/>
        <v>0.5</v>
      </c>
      <c r="BS342" s="1">
        <f t="shared" si="199"/>
        <v>-5.7</v>
      </c>
      <c r="BT342" s="1">
        <f t="shared" si="188"/>
        <v>-0.5</v>
      </c>
      <c r="BU342" s="1" t="s">
        <v>113</v>
      </c>
      <c r="BV342" s="1">
        <f t="shared" si="189"/>
        <v>1.4</v>
      </c>
      <c r="BW342" s="1" t="str">
        <f t="shared" si="205"/>
        <v>NAN</v>
      </c>
      <c r="BX342" s="1">
        <f t="shared" si="206"/>
        <v>0.58399999999999996</v>
      </c>
      <c r="BY342" s="1">
        <f t="shared" si="207"/>
        <v>0.30499999999999999</v>
      </c>
      <c r="CA342" s="1">
        <f t="shared" si="200"/>
        <v>-4.8</v>
      </c>
      <c r="CB342" s="1">
        <f t="shared" si="201"/>
        <v>-2.5</v>
      </c>
    </row>
    <row r="343" spans="1:80" x14ac:dyDescent="0.2">
      <c r="A343" s="9">
        <f t="shared" si="208"/>
        <v>43803</v>
      </c>
      <c r="B343" s="2">
        <v>338</v>
      </c>
      <c r="C343" s="2">
        <v>21</v>
      </c>
      <c r="D343" s="2">
        <v>13.09</v>
      </c>
      <c r="E343" s="2">
        <v>3.0249999999999999</v>
      </c>
      <c r="F343" s="2">
        <v>-11.08</v>
      </c>
      <c r="G343" s="2">
        <v>-2.9140000000000001</v>
      </c>
      <c r="H343" s="2">
        <v>97.3</v>
      </c>
      <c r="I343" s="2">
        <v>-3.798</v>
      </c>
      <c r="J343" s="2">
        <v>-1.1379999999999999</v>
      </c>
      <c r="K343" s="2">
        <v>-0.49099999999999999</v>
      </c>
      <c r="L343" s="2">
        <v>1.3480000000000001</v>
      </c>
      <c r="M343" s="2">
        <v>2.6930000000000001</v>
      </c>
      <c r="N343" s="2">
        <v>101.9</v>
      </c>
      <c r="O343" s="2">
        <v>3.9830000000000001</v>
      </c>
      <c r="P343" s="2">
        <v>-0.10299999999999999</v>
      </c>
      <c r="Q343" s="2">
        <v>-0.153</v>
      </c>
      <c r="R343" s="2">
        <v>1.52</v>
      </c>
      <c r="S343" s="2">
        <v>-12.55</v>
      </c>
      <c r="T343" s="2">
        <v>84.4</v>
      </c>
      <c r="U343" s="2">
        <v>-18.54</v>
      </c>
      <c r="V343" s="2">
        <v>-2.8450000000000002</v>
      </c>
      <c r="W343" s="2">
        <v>-0.69599999999999995</v>
      </c>
      <c r="X343" s="2">
        <v>1.242</v>
      </c>
      <c r="Y343" s="2">
        <v>2.2759999999999998</v>
      </c>
      <c r="Z343" s="2">
        <v>0.254</v>
      </c>
      <c r="AA343" s="2">
        <v>1.716</v>
      </c>
      <c r="AB343" s="2">
        <v>1.4470000000000001</v>
      </c>
      <c r="AC343" s="2">
        <v>0.91100000000000003</v>
      </c>
      <c r="AD343" s="2">
        <v>4.5540000000000003</v>
      </c>
      <c r="AE343" s="2">
        <v>-5.2539999999999996</v>
      </c>
      <c r="AF343" s="2">
        <v>0.32100000000000001</v>
      </c>
      <c r="AG343" s="2">
        <v>-22.53</v>
      </c>
      <c r="AH343" s="2">
        <v>0.32100000000000001</v>
      </c>
      <c r="AI343" s="2">
        <v>-22.53</v>
      </c>
      <c r="AJ343" s="2" t="s">
        <v>113</v>
      </c>
      <c r="AK343" s="2" t="s">
        <v>113</v>
      </c>
      <c r="AL343" s="2">
        <v>-3.0470000000000002</v>
      </c>
      <c r="AM343" s="2">
        <v>2.7839999999999998</v>
      </c>
      <c r="AN343" s="2">
        <v>-13.63</v>
      </c>
      <c r="AO343" s="2"/>
      <c r="AP343" s="1">
        <f t="shared" si="178"/>
        <v>0.17400000000000038</v>
      </c>
      <c r="AQ343" s="24">
        <f t="shared" si="179"/>
        <v>-0.5</v>
      </c>
      <c r="AR343" s="5">
        <v>5.35</v>
      </c>
      <c r="AS343" s="5">
        <v>1.75</v>
      </c>
      <c r="AT343" s="5">
        <v>1.45</v>
      </c>
      <c r="AU343" s="7">
        <f t="shared" si="202"/>
        <v>0.82899999999999996</v>
      </c>
      <c r="AV343" s="16"/>
      <c r="AW343" s="30">
        <v>0</v>
      </c>
      <c r="AX343" s="29">
        <v>100</v>
      </c>
      <c r="AY343" s="1">
        <f t="shared" si="180"/>
        <v>98.3</v>
      </c>
      <c r="AZ343" s="1">
        <f t="shared" si="181"/>
        <v>93.9</v>
      </c>
      <c r="BA343" s="1">
        <f t="shared" si="182"/>
        <v>81.400000000000006</v>
      </c>
      <c r="BB343" s="8">
        <f t="shared" si="183"/>
        <v>0.60299999999999998</v>
      </c>
      <c r="BC343" s="8">
        <f t="shared" si="184"/>
        <v>0.13800000000000001</v>
      </c>
      <c r="BE343" s="5">
        <f t="shared" si="191"/>
        <v>1.75</v>
      </c>
      <c r="BF343" s="5">
        <f t="shared" si="192"/>
        <v>1.45</v>
      </c>
      <c r="BG343" s="1">
        <f t="shared" si="185"/>
        <v>-2.9</v>
      </c>
      <c r="BH343" s="1">
        <f t="shared" si="186"/>
        <v>2.7</v>
      </c>
      <c r="BI343" s="1">
        <f t="shared" si="187"/>
        <v>-12.6</v>
      </c>
      <c r="BJ343" s="1">
        <f t="shared" si="193"/>
        <v>93.9</v>
      </c>
      <c r="BK343" s="1">
        <f t="shared" si="194"/>
        <v>81.400000000000006</v>
      </c>
      <c r="BL343" s="1">
        <f t="shared" si="203"/>
        <v>0.9</v>
      </c>
      <c r="BM343" s="1">
        <f t="shared" si="204"/>
        <v>4.5999999999999996</v>
      </c>
      <c r="BN343" s="21">
        <f t="shared" si="195"/>
        <v>0</v>
      </c>
      <c r="BO343" s="7">
        <f t="shared" si="196"/>
        <v>0.17400000000000038</v>
      </c>
      <c r="BP343" s="21">
        <f t="shared" si="190"/>
        <v>-0.5</v>
      </c>
      <c r="BQ343" s="1">
        <f t="shared" si="197"/>
        <v>-5.3</v>
      </c>
      <c r="BR343" s="1">
        <f t="shared" si="198"/>
        <v>0.3</v>
      </c>
      <c r="BS343" s="1">
        <f t="shared" si="199"/>
        <v>-22.5</v>
      </c>
      <c r="BT343" s="1">
        <f t="shared" si="188"/>
        <v>-0.5</v>
      </c>
      <c r="BU343" s="1" t="s">
        <v>113</v>
      </c>
      <c r="BV343" s="1">
        <f t="shared" si="189"/>
        <v>1.3</v>
      </c>
      <c r="BW343" s="1" t="str">
        <f t="shared" si="205"/>
        <v>NAN</v>
      </c>
      <c r="BX343" s="1">
        <f t="shared" si="206"/>
        <v>0.60299999999999998</v>
      </c>
      <c r="BY343" s="1">
        <f t="shared" si="207"/>
        <v>0.13800000000000001</v>
      </c>
      <c r="CA343" s="1">
        <f t="shared" si="200"/>
        <v>-2.4000000000000004</v>
      </c>
      <c r="CB343" s="1">
        <f t="shared" si="201"/>
        <v>-9.9</v>
      </c>
    </row>
    <row r="344" spans="1:80" x14ac:dyDescent="0.2">
      <c r="A344" s="9">
        <f t="shared" si="208"/>
        <v>43804</v>
      </c>
      <c r="B344" s="2">
        <v>339</v>
      </c>
      <c r="C344" s="2">
        <v>21</v>
      </c>
      <c r="D344" s="2">
        <v>13.11</v>
      </c>
      <c r="E344" s="2">
        <v>3.6469999999999998</v>
      </c>
      <c r="F344" s="2">
        <v>-16.89</v>
      </c>
      <c r="G344" s="2">
        <v>-6.3849999999999998</v>
      </c>
      <c r="H344" s="2">
        <v>93.4</v>
      </c>
      <c r="I344" s="2">
        <v>-7.77</v>
      </c>
      <c r="J344" s="2">
        <v>-2.9790000000000001</v>
      </c>
      <c r="K344" s="2">
        <v>-0.66500000000000004</v>
      </c>
      <c r="L344" s="2">
        <v>1.34</v>
      </c>
      <c r="M344" s="2">
        <v>1.2010000000000001</v>
      </c>
      <c r="N344" s="2">
        <v>101.8</v>
      </c>
      <c r="O344" s="2">
        <v>4.3540000000000001</v>
      </c>
      <c r="P344" s="2">
        <v>-1.4550000000000001</v>
      </c>
      <c r="Q344" s="2">
        <v>0.215</v>
      </c>
      <c r="R344" s="2">
        <v>1.7609999999999999</v>
      </c>
      <c r="S344" s="2">
        <v>-14.93</v>
      </c>
      <c r="T344" s="2">
        <v>72.099999999999994</v>
      </c>
      <c r="U344" s="2">
        <v>-20.85</v>
      </c>
      <c r="V344" s="2">
        <v>-5.2939999999999996</v>
      </c>
      <c r="W344" s="2">
        <v>-0.88300000000000001</v>
      </c>
      <c r="X344" s="2">
        <v>1.2150000000000001</v>
      </c>
      <c r="Y344" s="2">
        <v>2.2639999999999998</v>
      </c>
      <c r="Z344" s="2">
        <v>0.254</v>
      </c>
      <c r="AA344" s="2">
        <v>2.9689999999999999</v>
      </c>
      <c r="AB344" s="2">
        <v>2.3410000000000002</v>
      </c>
      <c r="AC344" s="2">
        <v>0.79500000000000004</v>
      </c>
      <c r="AD344" s="2">
        <v>4.2069999999999999</v>
      </c>
      <c r="AE344" s="2">
        <v>-10.29</v>
      </c>
      <c r="AF344" s="2">
        <v>-3.0419999999999998</v>
      </c>
      <c r="AG344" s="2">
        <v>-24.27</v>
      </c>
      <c r="AH344" s="2">
        <v>-3.0419999999999998</v>
      </c>
      <c r="AI344" s="2">
        <v>-24.27</v>
      </c>
      <c r="AJ344" s="2" t="s">
        <v>113</v>
      </c>
      <c r="AK344" s="2" t="s">
        <v>113</v>
      </c>
      <c r="AL344" s="2">
        <v>-6.8390000000000004</v>
      </c>
      <c r="AM344" s="2">
        <v>1.56</v>
      </c>
      <c r="AN344" s="2">
        <v>-16.899999999999999</v>
      </c>
      <c r="AO344" s="2"/>
      <c r="AP344" s="1">
        <f t="shared" si="178"/>
        <v>0.18600000000000039</v>
      </c>
      <c r="AQ344" s="24">
        <f t="shared" si="179"/>
        <v>-0.7</v>
      </c>
      <c r="AR344" s="5">
        <v>5.3</v>
      </c>
      <c r="AS344" s="5">
        <v>2.97</v>
      </c>
      <c r="AT344" s="5">
        <v>2.34</v>
      </c>
      <c r="AU344" s="7">
        <f t="shared" si="202"/>
        <v>0.78800000000000003</v>
      </c>
      <c r="AV344" s="16"/>
      <c r="AW344" s="30">
        <v>0</v>
      </c>
      <c r="AX344" s="29">
        <v>106</v>
      </c>
      <c r="AY344" s="1">
        <f t="shared" si="180"/>
        <v>98.2</v>
      </c>
      <c r="AZ344" s="1">
        <f t="shared" si="181"/>
        <v>90.1</v>
      </c>
      <c r="BA344" s="1">
        <f t="shared" si="182"/>
        <v>69.400000000000006</v>
      </c>
      <c r="BB344" s="8">
        <f t="shared" si="183"/>
        <v>0.46200000000000002</v>
      </c>
      <c r="BC344" s="8">
        <f t="shared" si="184"/>
        <v>0.20399999999999999</v>
      </c>
      <c r="BE344" s="5">
        <f t="shared" si="191"/>
        <v>2.97</v>
      </c>
      <c r="BF344" s="5">
        <f t="shared" si="192"/>
        <v>2.34</v>
      </c>
      <c r="BG344" s="1">
        <f t="shared" si="185"/>
        <v>-6.4</v>
      </c>
      <c r="BH344" s="1">
        <f t="shared" si="186"/>
        <v>1.2</v>
      </c>
      <c r="BI344" s="1">
        <f t="shared" si="187"/>
        <v>-14.9</v>
      </c>
      <c r="BJ344" s="1">
        <f t="shared" si="193"/>
        <v>90.1</v>
      </c>
      <c r="BK344" s="1">
        <f t="shared" si="194"/>
        <v>69.400000000000006</v>
      </c>
      <c r="BL344" s="1">
        <f t="shared" si="203"/>
        <v>0.8</v>
      </c>
      <c r="BM344" s="1">
        <f t="shared" si="204"/>
        <v>4.2</v>
      </c>
      <c r="BN344" s="21">
        <f t="shared" si="195"/>
        <v>0</v>
      </c>
      <c r="BO344" s="7">
        <f t="shared" si="196"/>
        <v>0.18600000000000039</v>
      </c>
      <c r="BP344" s="21">
        <f t="shared" si="190"/>
        <v>-0.7</v>
      </c>
      <c r="BQ344" s="1">
        <f t="shared" si="197"/>
        <v>-10.3</v>
      </c>
      <c r="BR344" s="1">
        <f t="shared" si="198"/>
        <v>-3</v>
      </c>
      <c r="BS344" s="1">
        <f t="shared" si="199"/>
        <v>-24.3</v>
      </c>
      <c r="BT344" s="1">
        <f t="shared" si="188"/>
        <v>-0.7</v>
      </c>
      <c r="BU344" s="1" t="s">
        <v>113</v>
      </c>
      <c r="BV344" s="1">
        <f t="shared" si="189"/>
        <v>1.3</v>
      </c>
      <c r="BW344" s="1" t="str">
        <f t="shared" si="205"/>
        <v>NAN</v>
      </c>
      <c r="BX344" s="1">
        <f t="shared" si="206"/>
        <v>0.46200000000000002</v>
      </c>
      <c r="BY344" s="1">
        <f t="shared" si="207"/>
        <v>0.20399999999999999</v>
      </c>
      <c r="CA344" s="1">
        <f t="shared" si="200"/>
        <v>-4.2</v>
      </c>
      <c r="CB344" s="1">
        <f t="shared" si="201"/>
        <v>-9.4</v>
      </c>
    </row>
    <row r="345" spans="1:80" x14ac:dyDescent="0.2">
      <c r="A345" s="9">
        <f t="shared" si="208"/>
        <v>43805</v>
      </c>
      <c r="B345" s="2">
        <v>340</v>
      </c>
      <c r="C345" s="2">
        <v>21</v>
      </c>
      <c r="D345" s="2">
        <v>13.12</v>
      </c>
      <c r="E345" s="2">
        <v>0.51500000000000001</v>
      </c>
      <c r="F345" s="2">
        <v>-3.4950000000000001</v>
      </c>
      <c r="G345" s="2">
        <v>-2.2480000000000002</v>
      </c>
      <c r="H345" s="2">
        <v>101.6</v>
      </c>
      <c r="I345" s="2">
        <v>-2.403</v>
      </c>
      <c r="J345" s="2">
        <v>-1.004</v>
      </c>
      <c r="K345" s="2">
        <v>-0.56399999999999995</v>
      </c>
      <c r="L345" s="2">
        <v>1.288</v>
      </c>
      <c r="M345" s="2">
        <v>-1.1000000000000001</v>
      </c>
      <c r="N345" s="2">
        <v>102.4</v>
      </c>
      <c r="O345" s="2">
        <v>-7.9000000000000001E-2</v>
      </c>
      <c r="P345" s="2">
        <v>-0.40200000000000002</v>
      </c>
      <c r="Q345" s="2">
        <v>-0.41699999999999998</v>
      </c>
      <c r="R345" s="2">
        <v>1.4039999999999999</v>
      </c>
      <c r="S345" s="2">
        <v>-3.407</v>
      </c>
      <c r="T345" s="2">
        <v>100.9</v>
      </c>
      <c r="U345" s="2">
        <v>-4.7619999999999996</v>
      </c>
      <c r="V345" s="2">
        <v>-1.5029999999999999</v>
      </c>
      <c r="W345" s="2">
        <v>-0.71899999999999997</v>
      </c>
      <c r="X345" s="2">
        <v>1.2330000000000001</v>
      </c>
      <c r="Y345" s="2">
        <v>2.266</v>
      </c>
      <c r="Z345" s="2">
        <v>0</v>
      </c>
      <c r="AA345" s="2">
        <v>1.696</v>
      </c>
      <c r="AB345" s="2">
        <v>1.3819999999999999</v>
      </c>
      <c r="AC345" s="2">
        <v>1.6559999999999999</v>
      </c>
      <c r="AD345" s="2">
        <v>4.1539999999999999</v>
      </c>
      <c r="AE345" s="2">
        <v>-2.5169999999999999</v>
      </c>
      <c r="AF345" s="2">
        <v>-0.90500000000000003</v>
      </c>
      <c r="AG345" s="2">
        <v>-6.1859999999999999</v>
      </c>
      <c r="AH345" s="2">
        <v>-0.90500000000000003</v>
      </c>
      <c r="AI345" s="2">
        <v>-6.1859999999999999</v>
      </c>
      <c r="AJ345" s="2" t="s">
        <v>113</v>
      </c>
      <c r="AK345" s="2" t="s">
        <v>113</v>
      </c>
      <c r="AL345" s="2">
        <v>-2.169</v>
      </c>
      <c r="AM345" s="2">
        <v>-0.26</v>
      </c>
      <c r="AN345" s="2">
        <v>-3.5710000000000002</v>
      </c>
      <c r="AO345" s="2"/>
      <c r="AP345" s="1">
        <f t="shared" si="178"/>
        <v>0.18400000000000016</v>
      </c>
      <c r="AQ345" s="24">
        <f t="shared" si="179"/>
        <v>-0.6</v>
      </c>
      <c r="AR345" s="5">
        <v>5.24</v>
      </c>
      <c r="AS345" s="5">
        <v>1.7</v>
      </c>
      <c r="AT345" s="5">
        <v>1.38</v>
      </c>
      <c r="AU345" s="7">
        <f t="shared" si="202"/>
        <v>0.81200000000000006</v>
      </c>
      <c r="AV345" s="16"/>
      <c r="AW345" s="30">
        <v>0</v>
      </c>
      <c r="AX345" s="29">
        <v>104</v>
      </c>
      <c r="AY345" s="1">
        <f t="shared" si="180"/>
        <v>98.8</v>
      </c>
      <c r="AZ345" s="1">
        <f t="shared" si="181"/>
        <v>98.1</v>
      </c>
      <c r="BA345" s="1">
        <f t="shared" si="182"/>
        <v>97.4</v>
      </c>
      <c r="BB345" s="8">
        <f t="shared" si="183"/>
        <v>0.54900000000000004</v>
      </c>
      <c r="BC345" s="8">
        <f t="shared" si="184"/>
        <v>1.4999999999999999E-2</v>
      </c>
      <c r="BE345" s="5">
        <f t="shared" si="191"/>
        <v>1.7</v>
      </c>
      <c r="BF345" s="5">
        <f t="shared" si="192"/>
        <v>1.38</v>
      </c>
      <c r="BG345" s="1">
        <f t="shared" si="185"/>
        <v>-2.2000000000000002</v>
      </c>
      <c r="BH345" s="1">
        <f t="shared" si="186"/>
        <v>-1.1000000000000001</v>
      </c>
      <c r="BI345" s="1">
        <f t="shared" si="187"/>
        <v>-3.4</v>
      </c>
      <c r="BJ345" s="1">
        <f t="shared" si="193"/>
        <v>98.1</v>
      </c>
      <c r="BK345" s="1">
        <f t="shared" si="194"/>
        <v>97.4</v>
      </c>
      <c r="BL345" s="1">
        <f t="shared" si="203"/>
        <v>1.7</v>
      </c>
      <c r="BM345" s="1">
        <f t="shared" si="204"/>
        <v>4.2</v>
      </c>
      <c r="BN345" s="21">
        <f t="shared" si="195"/>
        <v>0</v>
      </c>
      <c r="BO345" s="7">
        <f t="shared" si="196"/>
        <v>0.18400000000000016</v>
      </c>
      <c r="BP345" s="21">
        <f t="shared" si="190"/>
        <v>-0.6</v>
      </c>
      <c r="BQ345" s="1">
        <f t="shared" si="197"/>
        <v>-2.5</v>
      </c>
      <c r="BR345" s="1">
        <f t="shared" si="198"/>
        <v>-0.9</v>
      </c>
      <c r="BS345" s="1">
        <f t="shared" si="199"/>
        <v>-6.2</v>
      </c>
      <c r="BT345" s="1">
        <f t="shared" si="188"/>
        <v>-0.6</v>
      </c>
      <c r="BU345" s="1" t="s">
        <v>113</v>
      </c>
      <c r="BV345" s="1">
        <f t="shared" si="189"/>
        <v>1.3</v>
      </c>
      <c r="BW345" s="1" t="str">
        <f t="shared" si="205"/>
        <v>NAN</v>
      </c>
      <c r="BX345" s="1">
        <f t="shared" si="206"/>
        <v>0.54900000000000004</v>
      </c>
      <c r="BY345" s="1">
        <f t="shared" si="207"/>
        <v>1.4999999999999999E-2</v>
      </c>
      <c r="CA345" s="1">
        <f t="shared" si="200"/>
        <v>0.20000000000000007</v>
      </c>
      <c r="CB345" s="1">
        <f t="shared" si="201"/>
        <v>-2.8000000000000003</v>
      </c>
    </row>
    <row r="346" spans="1:80" x14ac:dyDescent="0.2">
      <c r="A346" s="9">
        <f t="shared" si="208"/>
        <v>43806</v>
      </c>
      <c r="B346" s="2">
        <v>341</v>
      </c>
      <c r="C346" s="2">
        <v>21</v>
      </c>
      <c r="D346" s="2">
        <v>13.12</v>
      </c>
      <c r="E346" s="2">
        <v>1.0509999999999999</v>
      </c>
      <c r="F346" s="2">
        <v>-2.1139999999999999</v>
      </c>
      <c r="G346" s="2">
        <v>-1.4139999999999999</v>
      </c>
      <c r="H346" s="2">
        <v>102.1</v>
      </c>
      <c r="I346" s="2">
        <v>-1.649</v>
      </c>
      <c r="J346" s="2">
        <v>-0.65700000000000003</v>
      </c>
      <c r="K346" s="2">
        <v>-0.44400000000000001</v>
      </c>
      <c r="L346" s="2">
        <v>1.2749999999999999</v>
      </c>
      <c r="M346" s="2">
        <v>3.2000000000000001E-2</v>
      </c>
      <c r="N346" s="2">
        <v>102.6</v>
      </c>
      <c r="O346" s="2">
        <v>-0.152</v>
      </c>
      <c r="P346" s="2">
        <v>-0.34100000000000003</v>
      </c>
      <c r="Q346" s="2">
        <v>-0.29099999999999998</v>
      </c>
      <c r="R346" s="2">
        <v>1.393</v>
      </c>
      <c r="S346" s="2">
        <v>-2.52</v>
      </c>
      <c r="T346" s="2">
        <v>100.8</v>
      </c>
      <c r="U346" s="2">
        <v>-3.077</v>
      </c>
      <c r="V346" s="2">
        <v>-0.94799999999999995</v>
      </c>
      <c r="W346" s="2">
        <v>-0.51900000000000002</v>
      </c>
      <c r="X346" s="2">
        <v>1.222</v>
      </c>
      <c r="Y346" s="2">
        <v>2.1150000000000002</v>
      </c>
      <c r="Z346" s="2">
        <v>0.50800000000000001</v>
      </c>
      <c r="AA346" s="2">
        <v>1.0509999999999999</v>
      </c>
      <c r="AB346" s="2">
        <v>1.0629999999999999</v>
      </c>
      <c r="AC346" s="2">
        <v>0</v>
      </c>
      <c r="AD346" s="2">
        <v>0</v>
      </c>
      <c r="AE346" s="2">
        <v>-1.6870000000000001</v>
      </c>
      <c r="AF346" s="2">
        <v>-0.76600000000000001</v>
      </c>
      <c r="AG346" s="2">
        <v>-3.7269999999999999</v>
      </c>
      <c r="AH346" s="2">
        <v>-0.76600000000000001</v>
      </c>
      <c r="AI346" s="2">
        <v>-3.7269999999999999</v>
      </c>
      <c r="AJ346" s="2" t="s">
        <v>113</v>
      </c>
      <c r="AK346" s="2" t="s">
        <v>113</v>
      </c>
      <c r="AL346" s="2">
        <v>-1.2430000000000001</v>
      </c>
      <c r="AM346" s="2">
        <v>0.439</v>
      </c>
      <c r="AN346" s="2">
        <v>-2.3540000000000001</v>
      </c>
      <c r="AO346" s="2"/>
      <c r="AP346" s="1">
        <f t="shared" si="178"/>
        <v>0.33499999999999996</v>
      </c>
      <c r="AQ346" s="23">
        <f t="shared" ref="AQ346:AQ365" si="209">ROUND(AVERAGE(J346:K346),1)</f>
        <v>-0.6</v>
      </c>
      <c r="AR346" s="5">
        <v>5.2</v>
      </c>
      <c r="AS346" s="5">
        <v>1.19</v>
      </c>
      <c r="AT346" s="5">
        <v>1.06</v>
      </c>
      <c r="AU346" s="7">
        <f t="shared" si="202"/>
        <v>0.89100000000000001</v>
      </c>
      <c r="AV346" s="16"/>
      <c r="AW346" s="30">
        <v>16.170000000000002</v>
      </c>
      <c r="AX346" s="29">
        <v>255</v>
      </c>
      <c r="AY346" s="1">
        <f t="shared" si="180"/>
        <v>99</v>
      </c>
      <c r="AZ346" s="1">
        <f t="shared" si="181"/>
        <v>98.5</v>
      </c>
      <c r="BA346" s="1">
        <f t="shared" si="182"/>
        <v>97.3</v>
      </c>
      <c r="BB346" s="8">
        <f t="shared" si="183"/>
        <v>0.59499999999999997</v>
      </c>
      <c r="BC346" s="8">
        <f t="shared" si="184"/>
        <v>1.7000000000000001E-2</v>
      </c>
      <c r="BE346" s="5">
        <f t="shared" si="191"/>
        <v>1.19</v>
      </c>
      <c r="BF346" s="5">
        <f t="shared" si="192"/>
        <v>1.06</v>
      </c>
      <c r="BG346" s="1">
        <f t="shared" si="185"/>
        <v>-1.4</v>
      </c>
      <c r="BH346" s="1">
        <f t="shared" si="186"/>
        <v>0</v>
      </c>
      <c r="BI346" s="1">
        <f t="shared" si="187"/>
        <v>-2.5</v>
      </c>
      <c r="BJ346" s="1">
        <f t="shared" si="193"/>
        <v>98.5</v>
      </c>
      <c r="BK346" s="1">
        <f t="shared" si="194"/>
        <v>97.3</v>
      </c>
      <c r="BL346" s="1">
        <f t="shared" si="203"/>
        <v>0</v>
      </c>
      <c r="BM346" s="1">
        <f t="shared" si="204"/>
        <v>0</v>
      </c>
      <c r="BN346" s="21">
        <f t="shared" si="195"/>
        <v>16.170000000000002</v>
      </c>
      <c r="BO346" s="7">
        <f t="shared" si="196"/>
        <v>0.33499999999999996</v>
      </c>
      <c r="BP346" s="21">
        <f t="shared" si="190"/>
        <v>-0.6</v>
      </c>
      <c r="BQ346" s="1">
        <f t="shared" si="197"/>
        <v>-1.7</v>
      </c>
      <c r="BR346" s="1">
        <f t="shared" si="198"/>
        <v>-0.8</v>
      </c>
      <c r="BS346" s="1">
        <f t="shared" si="199"/>
        <v>-3.7</v>
      </c>
      <c r="BT346" s="1">
        <f t="shared" si="188"/>
        <v>-0.4</v>
      </c>
      <c r="BU346" s="1" t="s">
        <v>113</v>
      </c>
      <c r="BV346" s="1">
        <f t="shared" si="189"/>
        <v>1.3</v>
      </c>
      <c r="BW346" s="1" t="str">
        <f t="shared" si="205"/>
        <v>NAN</v>
      </c>
      <c r="BX346" s="1">
        <f t="shared" si="206"/>
        <v>0.59499999999999997</v>
      </c>
      <c r="BY346" s="1">
        <f t="shared" si="207"/>
        <v>1.7000000000000001E-2</v>
      </c>
      <c r="CA346" s="1">
        <f t="shared" si="200"/>
        <v>-0.8</v>
      </c>
      <c r="CB346" s="1">
        <f t="shared" si="201"/>
        <v>-1.2000000000000002</v>
      </c>
    </row>
    <row r="347" spans="1:80" x14ac:dyDescent="0.2">
      <c r="A347" s="9">
        <f t="shared" si="208"/>
        <v>43807</v>
      </c>
      <c r="B347" s="2">
        <v>342</v>
      </c>
      <c r="C347" s="2">
        <v>21</v>
      </c>
      <c r="D347" s="2">
        <v>13.07</v>
      </c>
      <c r="E347" s="2">
        <v>6.2549999999999999</v>
      </c>
      <c r="F347" s="2">
        <v>-11.77</v>
      </c>
      <c r="G347" s="2">
        <v>-7.76</v>
      </c>
      <c r="H347" s="2">
        <v>89.5</v>
      </c>
      <c r="I347" s="2">
        <v>-10.4</v>
      </c>
      <c r="J347" s="2">
        <v>-1.151</v>
      </c>
      <c r="K347" s="2">
        <v>-0.41299999999999998</v>
      </c>
      <c r="L347" s="2">
        <v>1.216</v>
      </c>
      <c r="M347" s="2">
        <v>-2.5390000000000001</v>
      </c>
      <c r="N347" s="2">
        <v>101.3</v>
      </c>
      <c r="O347" s="2">
        <v>-1.135</v>
      </c>
      <c r="P347" s="2">
        <v>-8.8999999999999996E-2</v>
      </c>
      <c r="Q347" s="2">
        <v>0.54800000000000004</v>
      </c>
      <c r="R347" s="2">
        <v>1.5549999999999999</v>
      </c>
      <c r="S347" s="2">
        <v>-12.83</v>
      </c>
      <c r="T347" s="2">
        <v>71.8</v>
      </c>
      <c r="U347" s="2">
        <v>-22.88</v>
      </c>
      <c r="V347" s="2">
        <v>-1.857</v>
      </c>
      <c r="W347" s="2">
        <v>-0.753</v>
      </c>
      <c r="X347" s="2">
        <v>0.82399999999999995</v>
      </c>
      <c r="Y347" s="2">
        <v>2.149</v>
      </c>
      <c r="Z347" s="2">
        <v>0</v>
      </c>
      <c r="AA347" s="2">
        <v>1.1659999999999999</v>
      </c>
      <c r="AB347" s="2">
        <v>3.633</v>
      </c>
      <c r="AC347" s="2">
        <v>0.90500000000000003</v>
      </c>
      <c r="AD347" s="2">
        <v>4.2869999999999999</v>
      </c>
      <c r="AE347" s="2">
        <v>-14.11</v>
      </c>
      <c r="AF347" s="2">
        <v>-3.0369999999999999</v>
      </c>
      <c r="AG347" s="2">
        <v>-24.91</v>
      </c>
      <c r="AH347" s="2">
        <v>-3.0369999999999999</v>
      </c>
      <c r="AI347" s="2">
        <v>-24.91</v>
      </c>
      <c r="AJ347" s="2" t="s">
        <v>113</v>
      </c>
      <c r="AK347" s="2" t="s">
        <v>113</v>
      </c>
      <c r="AL347" s="2">
        <v>-7.79</v>
      </c>
      <c r="AM347" s="2">
        <v>-2.3639999999999999</v>
      </c>
      <c r="AN347" s="2">
        <v>-13.3</v>
      </c>
      <c r="AO347" s="2"/>
      <c r="AP347" s="1">
        <f t="shared" si="178"/>
        <v>0.30100000000000016</v>
      </c>
      <c r="AQ347" s="23">
        <f t="shared" si="209"/>
        <v>-0.8</v>
      </c>
      <c r="AR347" s="5">
        <v>5.15</v>
      </c>
      <c r="AS347" s="5">
        <v>3.88</v>
      </c>
      <c r="AT347" s="5">
        <v>3.61</v>
      </c>
      <c r="AU347" s="7">
        <f t="shared" si="202"/>
        <v>0.93</v>
      </c>
      <c r="AV347" s="16"/>
      <c r="AW347" s="30">
        <v>0</v>
      </c>
      <c r="AX347" s="29">
        <v>221</v>
      </c>
      <c r="AY347" s="1">
        <f t="shared" si="180"/>
        <v>97.8</v>
      </c>
      <c r="AZ347" s="1">
        <f t="shared" si="181"/>
        <v>86.3</v>
      </c>
      <c r="BA347" s="1">
        <f t="shared" si="182"/>
        <v>69.099999999999994</v>
      </c>
      <c r="BB347" s="8">
        <f t="shared" si="183"/>
        <v>0.35</v>
      </c>
      <c r="BC347" s="8">
        <f t="shared" si="184"/>
        <v>0.157</v>
      </c>
      <c r="BE347" s="5">
        <f t="shared" si="191"/>
        <v>3.88</v>
      </c>
      <c r="BF347" s="5">
        <f t="shared" si="192"/>
        <v>3.61</v>
      </c>
      <c r="BG347" s="1">
        <f t="shared" si="185"/>
        <v>-7.8</v>
      </c>
      <c r="BH347" s="1">
        <f t="shared" si="186"/>
        <v>-2.5</v>
      </c>
      <c r="BI347" s="1">
        <f t="shared" si="187"/>
        <v>-12.8</v>
      </c>
      <c r="BJ347" s="1">
        <f t="shared" si="193"/>
        <v>86.3</v>
      </c>
      <c r="BK347" s="1">
        <f t="shared" si="194"/>
        <v>69.099999999999994</v>
      </c>
      <c r="BL347" s="1">
        <f t="shared" si="203"/>
        <v>0.9</v>
      </c>
      <c r="BM347" s="1">
        <f t="shared" si="204"/>
        <v>4.3</v>
      </c>
      <c r="BN347" s="21">
        <f t="shared" si="195"/>
        <v>0</v>
      </c>
      <c r="BO347" s="7">
        <f t="shared" si="196"/>
        <v>0.30100000000000016</v>
      </c>
      <c r="BP347" s="21">
        <f t="shared" si="190"/>
        <v>-0.8</v>
      </c>
      <c r="BQ347" s="1">
        <f t="shared" si="197"/>
        <v>-14.1</v>
      </c>
      <c r="BR347" s="1">
        <f t="shared" si="198"/>
        <v>-3</v>
      </c>
      <c r="BS347" s="1">
        <f t="shared" si="199"/>
        <v>-24.9</v>
      </c>
      <c r="BT347" s="1">
        <f t="shared" si="188"/>
        <v>-0.4</v>
      </c>
      <c r="BU347" s="1" t="s">
        <v>113</v>
      </c>
      <c r="BV347" s="1">
        <f t="shared" si="189"/>
        <v>1.2</v>
      </c>
      <c r="BW347" s="1" t="str">
        <f t="shared" si="205"/>
        <v>NAN</v>
      </c>
      <c r="BX347" s="1">
        <f t="shared" si="206"/>
        <v>0.35</v>
      </c>
      <c r="BY347" s="1">
        <f t="shared" si="207"/>
        <v>0.157</v>
      </c>
      <c r="CA347" s="1">
        <f t="shared" si="200"/>
        <v>-0.5</v>
      </c>
      <c r="CB347" s="1">
        <f t="shared" si="201"/>
        <v>-12.099999999999998</v>
      </c>
    </row>
    <row r="348" spans="1:80" x14ac:dyDescent="0.2">
      <c r="A348" s="9">
        <f t="shared" si="208"/>
        <v>43808</v>
      </c>
      <c r="B348" s="2">
        <v>343</v>
      </c>
      <c r="C348" s="2">
        <v>21</v>
      </c>
      <c r="D348" s="2">
        <v>13.05</v>
      </c>
      <c r="E348" s="2">
        <v>7.01</v>
      </c>
      <c r="F348" s="2">
        <v>-15.81</v>
      </c>
      <c r="G348" s="2">
        <v>-8.2100000000000009</v>
      </c>
      <c r="H348" s="2">
        <v>90.1</v>
      </c>
      <c r="I348" s="2">
        <v>-13.66</v>
      </c>
      <c r="J348" s="2">
        <v>-2.0230000000000001</v>
      </c>
      <c r="K348" s="2">
        <v>-0.504</v>
      </c>
      <c r="L348" s="2">
        <v>1.236</v>
      </c>
      <c r="M348" s="2">
        <v>3.694</v>
      </c>
      <c r="N348" s="2">
        <v>100.6</v>
      </c>
      <c r="O348" s="2">
        <v>6.5019999999999998</v>
      </c>
      <c r="P348" s="2">
        <v>-1.2430000000000001</v>
      </c>
      <c r="Q348" s="2">
        <v>0.42899999999999999</v>
      </c>
      <c r="R348" s="2">
        <v>1.56</v>
      </c>
      <c r="S348" s="2">
        <v>-13.98</v>
      </c>
      <c r="T348" s="2">
        <v>54.1</v>
      </c>
      <c r="U348" s="2">
        <v>-21.61</v>
      </c>
      <c r="V348" s="2">
        <v>-2.3220000000000001</v>
      </c>
      <c r="W348" s="2">
        <v>-0.84499999999999997</v>
      </c>
      <c r="X348" s="2">
        <v>1.0029999999999999</v>
      </c>
      <c r="Y348" s="2">
        <v>2.1579999999999999</v>
      </c>
      <c r="Z348" s="2">
        <v>0</v>
      </c>
      <c r="AA348" s="2">
        <v>2.5249999999999999</v>
      </c>
      <c r="AB348" s="2">
        <v>3.468</v>
      </c>
      <c r="AC348" s="2">
        <v>0.40400000000000003</v>
      </c>
      <c r="AD348" s="2">
        <v>3.274</v>
      </c>
      <c r="AE348" s="2">
        <v>-17.39</v>
      </c>
      <c r="AF348" s="2">
        <v>-4.5049999999999999</v>
      </c>
      <c r="AG348" s="2">
        <v>-23.09</v>
      </c>
      <c r="AH348" s="2">
        <v>-4.5049999999999999</v>
      </c>
      <c r="AI348" s="2">
        <v>-23.09</v>
      </c>
      <c r="AJ348" s="2" t="s">
        <v>113</v>
      </c>
      <c r="AK348" s="2" t="s">
        <v>113</v>
      </c>
      <c r="AL348" s="2">
        <v>-9.19</v>
      </c>
      <c r="AM348" s="2">
        <v>4.2119999999999997</v>
      </c>
      <c r="AN348" s="2">
        <v>-15.1</v>
      </c>
      <c r="AO348" s="2"/>
      <c r="AP348" s="1">
        <f t="shared" si="178"/>
        <v>0.29200000000000026</v>
      </c>
      <c r="AQ348" s="23">
        <f t="shared" si="209"/>
        <v>-1.3</v>
      </c>
      <c r="AR348" s="5">
        <v>5.1100000000000003</v>
      </c>
      <c r="AS348" s="5">
        <v>3.85</v>
      </c>
      <c r="AT348" s="5">
        <v>3.44</v>
      </c>
      <c r="AU348" s="7">
        <f t="shared" si="202"/>
        <v>0.89400000000000002</v>
      </c>
      <c r="AV348" s="16"/>
      <c r="AW348" s="30">
        <v>0</v>
      </c>
      <c r="AX348" s="29">
        <v>212</v>
      </c>
      <c r="AY348" s="1">
        <f t="shared" si="180"/>
        <v>97.1</v>
      </c>
      <c r="AZ348" s="1">
        <f t="shared" si="181"/>
        <v>86.9</v>
      </c>
      <c r="BA348" s="1">
        <f t="shared" si="182"/>
        <v>52</v>
      </c>
      <c r="BB348" s="8">
        <f t="shared" si="183"/>
        <v>0.41399999999999998</v>
      </c>
      <c r="BC348" s="8">
        <f t="shared" si="184"/>
        <v>0.38200000000000001</v>
      </c>
      <c r="BE348" s="5">
        <f t="shared" si="191"/>
        <v>3.85</v>
      </c>
      <c r="BF348" s="5">
        <f t="shared" si="192"/>
        <v>3.44</v>
      </c>
      <c r="BG348" s="1">
        <f t="shared" si="185"/>
        <v>-8.1999999999999993</v>
      </c>
      <c r="BH348" s="1">
        <f t="shared" si="186"/>
        <v>3.7</v>
      </c>
      <c r="BI348" s="1">
        <f t="shared" si="187"/>
        <v>-14</v>
      </c>
      <c r="BJ348" s="1">
        <f t="shared" si="193"/>
        <v>86.9</v>
      </c>
      <c r="BK348" s="1">
        <f t="shared" si="194"/>
        <v>52</v>
      </c>
      <c r="BL348" s="1">
        <f t="shared" si="203"/>
        <v>0.4</v>
      </c>
      <c r="BM348" s="1">
        <f t="shared" si="204"/>
        <v>3.3</v>
      </c>
      <c r="BN348" s="21">
        <f t="shared" si="195"/>
        <v>0</v>
      </c>
      <c r="BO348" s="7">
        <f t="shared" si="196"/>
        <v>0.29200000000000026</v>
      </c>
      <c r="BP348" s="21">
        <f t="shared" si="190"/>
        <v>-1.3</v>
      </c>
      <c r="BQ348" s="1">
        <f t="shared" si="197"/>
        <v>-17.399999999999999</v>
      </c>
      <c r="BR348" s="1">
        <f t="shared" si="198"/>
        <v>-4.5</v>
      </c>
      <c r="BS348" s="1">
        <f t="shared" si="199"/>
        <v>-23.1</v>
      </c>
      <c r="BT348" s="1">
        <f t="shared" si="188"/>
        <v>-0.5</v>
      </c>
      <c r="BU348" s="1" t="s">
        <v>113</v>
      </c>
      <c r="BV348" s="1">
        <f t="shared" si="189"/>
        <v>1.2</v>
      </c>
      <c r="BW348" s="1" t="str">
        <f t="shared" si="205"/>
        <v>NAN</v>
      </c>
      <c r="BX348" s="1">
        <f t="shared" si="206"/>
        <v>0.41399999999999998</v>
      </c>
      <c r="BY348" s="1">
        <f t="shared" si="207"/>
        <v>0.38200000000000001</v>
      </c>
      <c r="CA348" s="1">
        <f t="shared" si="200"/>
        <v>-8.1999999999999993</v>
      </c>
      <c r="CB348" s="1">
        <f t="shared" si="201"/>
        <v>-9.1000000000000014</v>
      </c>
    </row>
    <row r="349" spans="1:80" x14ac:dyDescent="0.2">
      <c r="A349" s="9">
        <f t="shared" si="208"/>
        <v>43809</v>
      </c>
      <c r="B349" s="2">
        <v>344</v>
      </c>
      <c r="C349" s="2">
        <v>21</v>
      </c>
      <c r="D349" s="2">
        <v>13.11</v>
      </c>
      <c r="E349" s="2">
        <v>3.7290000000000001</v>
      </c>
      <c r="F349" s="2">
        <v>-13.25</v>
      </c>
      <c r="G349" s="2">
        <v>-6.3639999999999999</v>
      </c>
      <c r="H349" s="2">
        <v>96.3</v>
      </c>
      <c r="I349" s="2">
        <v>-8.3000000000000007</v>
      </c>
      <c r="J349" s="2">
        <v>-2.0339999999999998</v>
      </c>
      <c r="K349" s="2">
        <v>-0.59899999999999998</v>
      </c>
      <c r="L349" s="2">
        <v>1.2230000000000001</v>
      </c>
      <c r="M349" s="2">
        <v>-3.1869999999999998</v>
      </c>
      <c r="N349" s="2">
        <v>101.1</v>
      </c>
      <c r="O349" s="2">
        <v>2.0619999999999998</v>
      </c>
      <c r="P349" s="2">
        <v>-1.476</v>
      </c>
      <c r="Q349" s="2">
        <v>0.128</v>
      </c>
      <c r="R349" s="2">
        <v>1.4359999999999999</v>
      </c>
      <c r="S349" s="2">
        <v>-11.14</v>
      </c>
      <c r="T349" s="2">
        <v>82.7</v>
      </c>
      <c r="U349" s="2">
        <v>-18.8</v>
      </c>
      <c r="V349" s="2">
        <v>-2.4769999999999999</v>
      </c>
      <c r="W349" s="2">
        <v>-0.88</v>
      </c>
      <c r="X349" s="2">
        <v>0.98499999999999999</v>
      </c>
      <c r="Y349" s="2">
        <v>2.1309999999999998</v>
      </c>
      <c r="Z349" s="2">
        <v>0</v>
      </c>
      <c r="AA349" s="2">
        <v>3.4649999999999999</v>
      </c>
      <c r="AB349" s="2">
        <v>3.0179999999999998</v>
      </c>
      <c r="AC349" s="2">
        <v>1.159</v>
      </c>
      <c r="AD349" s="2">
        <v>4.9000000000000004</v>
      </c>
      <c r="AE349" s="2">
        <v>-9.9700000000000006</v>
      </c>
      <c r="AF349" s="2">
        <v>-4.7640000000000002</v>
      </c>
      <c r="AG349" s="2">
        <v>-19.809999999999999</v>
      </c>
      <c r="AH349" s="2">
        <v>-4.7640000000000002</v>
      </c>
      <c r="AI349" s="2">
        <v>-19.809999999999999</v>
      </c>
      <c r="AJ349" s="2" t="s">
        <v>113</v>
      </c>
      <c r="AK349" s="2" t="s">
        <v>113</v>
      </c>
      <c r="AL349" s="2">
        <v>-6.7060000000000004</v>
      </c>
      <c r="AM349" s="2">
        <v>-1.252</v>
      </c>
      <c r="AN349" s="2">
        <v>-12.59</v>
      </c>
      <c r="AO349" s="2"/>
      <c r="AP349" s="1">
        <f t="shared" si="178"/>
        <v>0.31900000000000039</v>
      </c>
      <c r="AQ349" s="23">
        <f t="shared" si="209"/>
        <v>-1.3</v>
      </c>
      <c r="AR349" s="5">
        <v>5.08</v>
      </c>
      <c r="AS349" s="5">
        <v>3.48</v>
      </c>
      <c r="AT349" s="5">
        <v>3.02</v>
      </c>
      <c r="AU349" s="7">
        <f t="shared" si="202"/>
        <v>0.86799999999999999</v>
      </c>
      <c r="AV349" s="16"/>
      <c r="AW349" s="30">
        <v>2.86</v>
      </c>
      <c r="AX349" s="29">
        <v>239</v>
      </c>
      <c r="AY349" s="1">
        <f t="shared" si="180"/>
        <v>97.6</v>
      </c>
      <c r="AZ349" s="1">
        <f t="shared" si="181"/>
        <v>92.9</v>
      </c>
      <c r="BA349" s="1">
        <f t="shared" si="182"/>
        <v>79.7</v>
      </c>
      <c r="BB349" s="8">
        <f t="shared" si="183"/>
        <v>0.38500000000000001</v>
      </c>
      <c r="BC349" s="8">
        <f t="shared" si="184"/>
        <v>9.8000000000000004E-2</v>
      </c>
      <c r="BE349" s="5">
        <f t="shared" si="191"/>
        <v>3.48</v>
      </c>
      <c r="BF349" s="5">
        <f t="shared" si="192"/>
        <v>3.02</v>
      </c>
      <c r="BG349" s="1">
        <f t="shared" si="185"/>
        <v>-6.4</v>
      </c>
      <c r="BH349" s="1">
        <f t="shared" si="186"/>
        <v>-3.2</v>
      </c>
      <c r="BI349" s="1">
        <f t="shared" si="187"/>
        <v>-11.1</v>
      </c>
      <c r="BJ349" s="1">
        <f t="shared" si="193"/>
        <v>92.9</v>
      </c>
      <c r="BK349" s="1">
        <f t="shared" si="194"/>
        <v>79.7</v>
      </c>
      <c r="BL349" s="1">
        <f t="shared" si="203"/>
        <v>1.2</v>
      </c>
      <c r="BM349" s="1">
        <f t="shared" si="204"/>
        <v>4.9000000000000004</v>
      </c>
      <c r="BN349" s="21">
        <f t="shared" si="195"/>
        <v>2.86</v>
      </c>
      <c r="BO349" s="7">
        <f t="shared" si="196"/>
        <v>0.31900000000000039</v>
      </c>
      <c r="BP349" s="21">
        <f t="shared" si="190"/>
        <v>-1.3</v>
      </c>
      <c r="BQ349" s="1">
        <f t="shared" si="197"/>
        <v>-10</v>
      </c>
      <c r="BR349" s="1">
        <f t="shared" si="198"/>
        <v>-4.8</v>
      </c>
      <c r="BS349" s="1">
        <f t="shared" si="199"/>
        <v>-19.8</v>
      </c>
      <c r="BT349" s="1">
        <f t="shared" si="188"/>
        <v>-0.6</v>
      </c>
      <c r="BU349" s="1" t="s">
        <v>113</v>
      </c>
      <c r="BV349" s="1">
        <f t="shared" si="189"/>
        <v>1.2</v>
      </c>
      <c r="BW349" s="1" t="str">
        <f t="shared" si="205"/>
        <v>NAN</v>
      </c>
      <c r="BX349" s="1">
        <f t="shared" si="206"/>
        <v>0.38500000000000001</v>
      </c>
      <c r="BY349" s="1">
        <f t="shared" si="207"/>
        <v>9.8000000000000004E-2</v>
      </c>
      <c r="CA349" s="1">
        <f t="shared" si="200"/>
        <v>-1.5999999999999996</v>
      </c>
      <c r="CB349" s="1">
        <f t="shared" si="201"/>
        <v>-8.7000000000000011</v>
      </c>
    </row>
    <row r="350" spans="1:80" x14ac:dyDescent="0.2">
      <c r="A350" s="9">
        <f t="shared" si="208"/>
        <v>43810</v>
      </c>
      <c r="B350" s="2">
        <v>345</v>
      </c>
      <c r="C350" s="2">
        <v>21</v>
      </c>
      <c r="D350" s="2">
        <v>13.11</v>
      </c>
      <c r="E350" s="2">
        <v>0.33200000000000002</v>
      </c>
      <c r="F350" s="2">
        <v>-9.4</v>
      </c>
      <c r="G350" s="2">
        <v>-5.1970000000000001</v>
      </c>
      <c r="H350" s="2">
        <v>98</v>
      </c>
      <c r="I350" s="2">
        <v>-6.9130000000000003</v>
      </c>
      <c r="J350" s="2">
        <v>-1.395</v>
      </c>
      <c r="K350" s="2">
        <v>-0.57099999999999995</v>
      </c>
      <c r="L350" s="2">
        <v>1.194</v>
      </c>
      <c r="M350" s="2">
        <v>-1.7070000000000001</v>
      </c>
      <c r="N350" s="2">
        <v>101.7</v>
      </c>
      <c r="O350" s="2">
        <v>-0.251</v>
      </c>
      <c r="P350" s="2">
        <v>-0.94099999999999995</v>
      </c>
      <c r="Q350" s="2">
        <v>-0.13900000000000001</v>
      </c>
      <c r="R350" s="2">
        <v>1.417</v>
      </c>
      <c r="S350" s="2">
        <v>-9.1199999999999992</v>
      </c>
      <c r="T350" s="2">
        <v>92.5</v>
      </c>
      <c r="U350" s="2">
        <v>-17.809999999999999</v>
      </c>
      <c r="V350" s="2">
        <v>-1.5820000000000001</v>
      </c>
      <c r="W350" s="2">
        <v>-0.72299999999999998</v>
      </c>
      <c r="X350" s="2">
        <v>1.0660000000000001</v>
      </c>
      <c r="Y350" s="2">
        <v>2.1160000000000001</v>
      </c>
      <c r="Z350" s="2">
        <v>0</v>
      </c>
      <c r="AA350" s="2">
        <v>1.24</v>
      </c>
      <c r="AB350" s="2">
        <v>2.3109999999999999</v>
      </c>
      <c r="AC350" s="2">
        <v>1.2290000000000001</v>
      </c>
      <c r="AD350" s="2">
        <v>5.327</v>
      </c>
      <c r="AE350" s="2">
        <v>-8.35</v>
      </c>
      <c r="AF350" s="2">
        <v>-4.1779999999999999</v>
      </c>
      <c r="AG350" s="2">
        <v>-19.47</v>
      </c>
      <c r="AH350" s="2">
        <v>-4.1779999999999999</v>
      </c>
      <c r="AI350" s="2">
        <v>-19.47</v>
      </c>
      <c r="AJ350" s="2" t="s">
        <v>113</v>
      </c>
      <c r="AK350" s="2" t="s">
        <v>113</v>
      </c>
      <c r="AL350" s="2">
        <v>-5.3019999999999996</v>
      </c>
      <c r="AM350" s="2">
        <v>-0.64200000000000002</v>
      </c>
      <c r="AN350" s="2">
        <v>-9.8800000000000008</v>
      </c>
      <c r="AO350" s="2"/>
      <c r="AP350" s="1">
        <f t="shared" si="178"/>
        <v>0.33400000000000007</v>
      </c>
      <c r="AQ350" s="23">
        <f t="shared" si="209"/>
        <v>-1</v>
      </c>
      <c r="AR350" s="5">
        <v>5.04</v>
      </c>
      <c r="AS350" s="5">
        <v>2.48</v>
      </c>
      <c r="AT350" s="5">
        <v>2.31</v>
      </c>
      <c r="AU350" s="7">
        <f t="shared" si="202"/>
        <v>0.93100000000000005</v>
      </c>
      <c r="AV350" s="16"/>
      <c r="AW350" s="30">
        <v>3.74</v>
      </c>
      <c r="AX350" s="29">
        <v>254</v>
      </c>
      <c r="AY350" s="1">
        <f t="shared" si="180"/>
        <v>98.1</v>
      </c>
      <c r="AZ350" s="1">
        <f t="shared" si="181"/>
        <v>94.6</v>
      </c>
      <c r="BA350" s="1">
        <f t="shared" si="182"/>
        <v>89.2</v>
      </c>
      <c r="BB350" s="8">
        <f t="shared" si="183"/>
        <v>0.48099999999999998</v>
      </c>
      <c r="BC350" s="8">
        <f t="shared" si="184"/>
        <v>5.8000000000000003E-2</v>
      </c>
      <c r="BE350" s="5">
        <f t="shared" si="191"/>
        <v>2.48</v>
      </c>
      <c r="BF350" s="5">
        <f t="shared" si="192"/>
        <v>2.31</v>
      </c>
      <c r="BG350" s="1">
        <f t="shared" si="185"/>
        <v>-5.2</v>
      </c>
      <c r="BH350" s="1">
        <f t="shared" si="186"/>
        <v>-1.7</v>
      </c>
      <c r="BI350" s="1">
        <f t="shared" si="187"/>
        <v>-9.1</v>
      </c>
      <c r="BJ350" s="1">
        <f t="shared" si="193"/>
        <v>94.6</v>
      </c>
      <c r="BK350" s="1">
        <f t="shared" si="194"/>
        <v>89.2</v>
      </c>
      <c r="BL350" s="1">
        <f t="shared" si="203"/>
        <v>1.2</v>
      </c>
      <c r="BM350" s="1">
        <f t="shared" si="204"/>
        <v>5.3</v>
      </c>
      <c r="BN350" s="21">
        <f t="shared" si="195"/>
        <v>3.74</v>
      </c>
      <c r="BO350" s="7">
        <f t="shared" si="196"/>
        <v>0.33400000000000007</v>
      </c>
      <c r="BP350" s="21">
        <f t="shared" si="190"/>
        <v>-1</v>
      </c>
      <c r="BQ350" s="1">
        <f t="shared" si="197"/>
        <v>-8.4</v>
      </c>
      <c r="BR350" s="1">
        <f t="shared" si="198"/>
        <v>-4.2</v>
      </c>
      <c r="BS350" s="1">
        <f t="shared" si="199"/>
        <v>-19.5</v>
      </c>
      <c r="BT350" s="1">
        <f t="shared" si="188"/>
        <v>-0.6</v>
      </c>
      <c r="BU350" s="1" t="s">
        <v>113</v>
      </c>
      <c r="BV350" s="1">
        <f t="shared" si="189"/>
        <v>1.2</v>
      </c>
      <c r="BW350" s="1" t="str">
        <f t="shared" si="205"/>
        <v>NAN</v>
      </c>
      <c r="BX350" s="1">
        <f t="shared" si="206"/>
        <v>0.48099999999999998</v>
      </c>
      <c r="BY350" s="1">
        <f t="shared" si="207"/>
        <v>5.8000000000000003E-2</v>
      </c>
      <c r="CA350" s="1">
        <f t="shared" si="200"/>
        <v>-2.5</v>
      </c>
      <c r="CB350" s="1">
        <f t="shared" si="201"/>
        <v>-10.4</v>
      </c>
    </row>
    <row r="351" spans="1:80" x14ac:dyDescent="0.2">
      <c r="A351" s="9">
        <f t="shared" si="208"/>
        <v>43811</v>
      </c>
      <c r="B351" s="2">
        <v>346</v>
      </c>
      <c r="C351" s="2">
        <v>21</v>
      </c>
      <c r="D351" s="2">
        <v>13.11</v>
      </c>
      <c r="E351" s="2">
        <v>0.72299999999999998</v>
      </c>
      <c r="F351" s="2">
        <v>-10.72</v>
      </c>
      <c r="G351" s="2">
        <v>-5.3070000000000004</v>
      </c>
      <c r="H351" s="2">
        <v>99.3</v>
      </c>
      <c r="I351" s="2">
        <v>-5.88</v>
      </c>
      <c r="J351" s="2">
        <v>-1.1719999999999999</v>
      </c>
      <c r="K351" s="2">
        <v>-0.498</v>
      </c>
      <c r="L351" s="2">
        <v>1.1830000000000001</v>
      </c>
      <c r="M351" s="2">
        <v>-1.6890000000000001</v>
      </c>
      <c r="N351" s="2">
        <v>100.9</v>
      </c>
      <c r="O351" s="2">
        <v>-2.7130000000000001</v>
      </c>
      <c r="P351" s="2">
        <v>-0.17899999999999999</v>
      </c>
      <c r="Q351" s="2">
        <v>0.43</v>
      </c>
      <c r="R351" s="2">
        <v>1.4790000000000001</v>
      </c>
      <c r="S351" s="2">
        <v>-11.16</v>
      </c>
      <c r="T351" s="2">
        <v>96.1</v>
      </c>
      <c r="U351" s="2">
        <v>-10.92</v>
      </c>
      <c r="V351" s="2">
        <v>-1.4</v>
      </c>
      <c r="W351" s="2">
        <v>-0.70899999999999996</v>
      </c>
      <c r="X351" s="2">
        <v>1.0680000000000001</v>
      </c>
      <c r="Y351" s="2">
        <v>2.0230000000000001</v>
      </c>
      <c r="Z351" s="2">
        <v>0</v>
      </c>
      <c r="AA351" s="2">
        <v>0.96899999999999997</v>
      </c>
      <c r="AB351" s="2">
        <v>2.42</v>
      </c>
      <c r="AC351" s="2">
        <v>1.119</v>
      </c>
      <c r="AD351" s="2">
        <v>4.18</v>
      </c>
      <c r="AE351" s="2">
        <v>-8.18</v>
      </c>
      <c r="AF351" s="2">
        <v>-4.048</v>
      </c>
      <c r="AG351" s="2">
        <v>-22.21</v>
      </c>
      <c r="AH351" s="2">
        <v>-4.048</v>
      </c>
      <c r="AI351" s="2">
        <v>-22.21</v>
      </c>
      <c r="AJ351" s="2" t="s">
        <v>113</v>
      </c>
      <c r="AK351" s="2" t="s">
        <v>113</v>
      </c>
      <c r="AL351" s="2">
        <v>-5.3040000000000003</v>
      </c>
      <c r="AM351" s="2">
        <v>-0.67600000000000005</v>
      </c>
      <c r="AN351" s="2">
        <v>-12.04</v>
      </c>
      <c r="AO351" s="2"/>
      <c r="AP351" s="1">
        <f t="shared" si="178"/>
        <v>0.42700000000000005</v>
      </c>
      <c r="AQ351" s="23">
        <f t="shared" si="209"/>
        <v>-0.8</v>
      </c>
      <c r="AR351" s="5">
        <v>5.01</v>
      </c>
      <c r="AS351" s="5">
        <v>2.6</v>
      </c>
      <c r="AT351" s="5">
        <v>2.41</v>
      </c>
      <c r="AU351" s="7">
        <f t="shared" si="202"/>
        <v>0.92700000000000005</v>
      </c>
      <c r="AV351" s="16"/>
      <c r="AW351" s="30">
        <v>12.1</v>
      </c>
      <c r="AX351" s="29">
        <v>347</v>
      </c>
      <c r="AY351" s="1">
        <f t="shared" si="180"/>
        <v>97.4</v>
      </c>
      <c r="AZ351" s="1">
        <f t="shared" si="181"/>
        <v>95.8</v>
      </c>
      <c r="BA351" s="1">
        <f t="shared" si="182"/>
        <v>92.7</v>
      </c>
      <c r="BB351" s="8">
        <f t="shared" si="183"/>
        <v>0.5</v>
      </c>
      <c r="BC351" s="8">
        <f t="shared" si="184"/>
        <v>3.9E-2</v>
      </c>
      <c r="BE351" s="5">
        <f t="shared" si="191"/>
        <v>2.6</v>
      </c>
      <c r="BF351" s="5">
        <f t="shared" si="192"/>
        <v>2.41</v>
      </c>
      <c r="BG351" s="1">
        <f t="shared" si="185"/>
        <v>-5.3</v>
      </c>
      <c r="BH351" s="1">
        <f t="shared" si="186"/>
        <v>-1.7</v>
      </c>
      <c r="BI351" s="1">
        <f t="shared" si="187"/>
        <v>-11.2</v>
      </c>
      <c r="BJ351" s="1">
        <f t="shared" si="193"/>
        <v>95.8</v>
      </c>
      <c r="BK351" s="1">
        <f t="shared" si="194"/>
        <v>92.7</v>
      </c>
      <c r="BL351" s="1">
        <f t="shared" si="203"/>
        <v>1.1000000000000001</v>
      </c>
      <c r="BM351" s="1">
        <f t="shared" si="204"/>
        <v>4.2</v>
      </c>
      <c r="BN351" s="21">
        <f t="shared" si="195"/>
        <v>12.1</v>
      </c>
      <c r="BO351" s="7">
        <f t="shared" si="196"/>
        <v>0.42700000000000005</v>
      </c>
      <c r="BP351" s="21">
        <f t="shared" si="190"/>
        <v>-0.8</v>
      </c>
      <c r="BQ351" s="1">
        <f t="shared" si="197"/>
        <v>-8.1999999999999993</v>
      </c>
      <c r="BR351" s="1">
        <f t="shared" si="198"/>
        <v>-4</v>
      </c>
      <c r="BS351" s="1">
        <f t="shared" si="199"/>
        <v>-22.2</v>
      </c>
      <c r="BT351" s="1">
        <f t="shared" si="188"/>
        <v>-0.5</v>
      </c>
      <c r="BU351" s="1" t="s">
        <v>113</v>
      </c>
      <c r="BV351" s="1">
        <f t="shared" si="189"/>
        <v>1.2</v>
      </c>
      <c r="BW351" s="1" t="str">
        <f t="shared" si="205"/>
        <v>NAN</v>
      </c>
      <c r="BX351" s="1">
        <f t="shared" si="206"/>
        <v>0.5</v>
      </c>
      <c r="BY351" s="1">
        <f t="shared" si="207"/>
        <v>3.9E-2</v>
      </c>
      <c r="CA351" s="1">
        <f t="shared" si="200"/>
        <v>-2.2999999999999998</v>
      </c>
      <c r="CB351" s="1">
        <f t="shared" si="201"/>
        <v>-11</v>
      </c>
    </row>
    <row r="352" spans="1:80" x14ac:dyDescent="0.2">
      <c r="A352" s="9">
        <f t="shared" si="208"/>
        <v>43812</v>
      </c>
      <c r="B352" s="2">
        <v>347</v>
      </c>
      <c r="C352" s="2">
        <v>21</v>
      </c>
      <c r="D352" s="2">
        <v>13.1</v>
      </c>
      <c r="E352" s="2">
        <v>0.59799999999999998</v>
      </c>
      <c r="F352" s="2">
        <v>-8.4700000000000006</v>
      </c>
      <c r="G352" s="2">
        <v>-4.3419999999999996</v>
      </c>
      <c r="H352" s="2">
        <v>96.2</v>
      </c>
      <c r="I352" s="2">
        <v>-4.5999999999999996</v>
      </c>
      <c r="J352" s="2">
        <v>-0.95699999999999996</v>
      </c>
      <c r="K352" s="2">
        <v>-0.47899999999999998</v>
      </c>
      <c r="L352" s="2">
        <v>1.179</v>
      </c>
      <c r="M352" s="2">
        <v>-0.40500000000000003</v>
      </c>
      <c r="N352" s="2">
        <v>100.5</v>
      </c>
      <c r="O352" s="2">
        <v>-1.8680000000000001</v>
      </c>
      <c r="P352" s="2">
        <v>-0.41499999999999998</v>
      </c>
      <c r="Q352" s="2">
        <v>-5.0000000000000001E-3</v>
      </c>
      <c r="R352" s="2">
        <v>1.4339999999999999</v>
      </c>
      <c r="S352" s="2">
        <v>-8.8699999999999992</v>
      </c>
      <c r="T352" s="2">
        <v>82.9</v>
      </c>
      <c r="U352" s="2">
        <v>-7.41</v>
      </c>
      <c r="V352" s="2">
        <v>-1.1379999999999999</v>
      </c>
      <c r="W352" s="2">
        <v>-0.61499999999999999</v>
      </c>
      <c r="X352" s="2">
        <v>1.0900000000000001</v>
      </c>
      <c r="Y352" s="2">
        <v>2.0379999999999998</v>
      </c>
      <c r="Z352" s="2">
        <v>0</v>
      </c>
      <c r="AA352" s="2">
        <v>0.72399999999999998</v>
      </c>
      <c r="AB352" s="2">
        <v>2.218</v>
      </c>
      <c r="AC352" s="2">
        <v>0.94599999999999995</v>
      </c>
      <c r="AD352" s="2">
        <v>4.4470000000000001</v>
      </c>
      <c r="AE352" s="2">
        <v>-7.55</v>
      </c>
      <c r="AF352" s="2">
        <v>-3.129</v>
      </c>
      <c r="AG352" s="2">
        <v>-17.149999999999999</v>
      </c>
      <c r="AH352" s="2">
        <v>-3.129</v>
      </c>
      <c r="AI352" s="2">
        <v>-17.149999999999999</v>
      </c>
      <c r="AJ352" s="2" t="s">
        <v>113</v>
      </c>
      <c r="AK352" s="2" t="s">
        <v>113</v>
      </c>
      <c r="AL352" s="2">
        <v>-4.4870000000000001</v>
      </c>
      <c r="AM352" s="2">
        <v>-0.36</v>
      </c>
      <c r="AN352" s="2">
        <v>-9.32</v>
      </c>
      <c r="AO352" s="2"/>
      <c r="AP352" s="1">
        <f t="shared" si="178"/>
        <v>0.41200000000000037</v>
      </c>
      <c r="AQ352" s="23">
        <f t="shared" si="209"/>
        <v>-0.7</v>
      </c>
      <c r="AR352" s="5">
        <v>4.99</v>
      </c>
      <c r="AS352" s="5">
        <v>2.38</v>
      </c>
      <c r="AT352" s="5">
        <v>2.2200000000000002</v>
      </c>
      <c r="AU352" s="7">
        <f t="shared" si="202"/>
        <v>0.93300000000000005</v>
      </c>
      <c r="AV352" s="16"/>
      <c r="AW352" s="30">
        <v>0</v>
      </c>
      <c r="AX352" s="29">
        <v>332</v>
      </c>
      <c r="AY352" s="1">
        <f t="shared" si="180"/>
        <v>97</v>
      </c>
      <c r="AZ352" s="1">
        <f t="shared" si="181"/>
        <v>92.8</v>
      </c>
      <c r="BA352" s="1">
        <f t="shared" si="182"/>
        <v>79.900000000000006</v>
      </c>
      <c r="BB352" s="8">
        <f t="shared" si="183"/>
        <v>0.47399999999999998</v>
      </c>
      <c r="BC352" s="8">
        <f t="shared" si="184"/>
        <v>0.11899999999999999</v>
      </c>
      <c r="BE352" s="5">
        <f t="shared" si="191"/>
        <v>2.38</v>
      </c>
      <c r="BF352" s="5">
        <f t="shared" si="192"/>
        <v>2.2200000000000002</v>
      </c>
      <c r="BG352" s="1">
        <f t="shared" si="185"/>
        <v>-4.3</v>
      </c>
      <c r="BH352" s="1">
        <f t="shared" si="186"/>
        <v>-0.4</v>
      </c>
      <c r="BI352" s="1">
        <f t="shared" si="187"/>
        <v>-8.9</v>
      </c>
      <c r="BJ352" s="1">
        <f t="shared" si="193"/>
        <v>92.8</v>
      </c>
      <c r="BK352" s="1">
        <f t="shared" si="194"/>
        <v>79.900000000000006</v>
      </c>
      <c r="BL352" s="1">
        <f t="shared" si="203"/>
        <v>0.9</v>
      </c>
      <c r="BM352" s="1">
        <f t="shared" si="204"/>
        <v>4.4000000000000004</v>
      </c>
      <c r="BN352" s="21">
        <f t="shared" si="195"/>
        <v>0</v>
      </c>
      <c r="BO352" s="7">
        <f t="shared" si="196"/>
        <v>0.41200000000000037</v>
      </c>
      <c r="BP352" s="21">
        <f t="shared" si="190"/>
        <v>-0.7</v>
      </c>
      <c r="BQ352" s="1">
        <f t="shared" si="197"/>
        <v>-7.6</v>
      </c>
      <c r="BR352" s="1">
        <f t="shared" si="198"/>
        <v>-3.1</v>
      </c>
      <c r="BS352" s="1">
        <f t="shared" si="199"/>
        <v>-17.2</v>
      </c>
      <c r="BT352" s="1">
        <f t="shared" si="188"/>
        <v>-0.5</v>
      </c>
      <c r="BU352" s="1" t="s">
        <v>113</v>
      </c>
      <c r="BV352" s="1">
        <f t="shared" si="189"/>
        <v>1.2</v>
      </c>
      <c r="BW352" s="1" t="str">
        <f t="shared" si="205"/>
        <v>NAN</v>
      </c>
      <c r="BX352" s="1">
        <f t="shared" si="206"/>
        <v>0.47399999999999998</v>
      </c>
      <c r="BY352" s="1">
        <f t="shared" si="207"/>
        <v>0.11899999999999999</v>
      </c>
      <c r="CA352" s="1">
        <f t="shared" si="200"/>
        <v>-2.7</v>
      </c>
      <c r="CB352" s="1">
        <f t="shared" si="201"/>
        <v>-8.2999999999999989</v>
      </c>
    </row>
    <row r="353" spans="1:80" x14ac:dyDescent="0.2">
      <c r="A353" s="9">
        <f t="shared" si="208"/>
        <v>43813</v>
      </c>
      <c r="B353" s="2">
        <v>348</v>
      </c>
      <c r="C353" s="2">
        <v>21</v>
      </c>
      <c r="D353" s="2">
        <v>13.1</v>
      </c>
      <c r="E353" s="2">
        <v>-2.754</v>
      </c>
      <c r="F353" s="2">
        <v>-10.4</v>
      </c>
      <c r="G353" s="2">
        <v>-7.01</v>
      </c>
      <c r="H353" s="2">
        <v>96.4</v>
      </c>
      <c r="I353" s="2">
        <v>-6.3410000000000002</v>
      </c>
      <c r="J353" s="2">
        <v>-1.026</v>
      </c>
      <c r="K353" s="2">
        <v>-0.45200000000000001</v>
      </c>
      <c r="L353" s="2">
        <v>1.169</v>
      </c>
      <c r="M353" s="2">
        <v>-2.6640000000000001</v>
      </c>
      <c r="N353" s="2">
        <v>100.6</v>
      </c>
      <c r="O353" s="2">
        <v>-3.7869999999999999</v>
      </c>
      <c r="P353" s="2">
        <v>-0.70199999999999996</v>
      </c>
      <c r="Q353" s="2">
        <v>-0.109</v>
      </c>
      <c r="R353" s="2">
        <v>1.3069999999999999</v>
      </c>
      <c r="S353" s="2">
        <v>-11.28</v>
      </c>
      <c r="T353" s="2">
        <v>83.2</v>
      </c>
      <c r="U353" s="2">
        <v>-8.8000000000000007</v>
      </c>
      <c r="V353" s="2">
        <v>-1.1879999999999999</v>
      </c>
      <c r="W353" s="2">
        <v>-0.58199999999999996</v>
      </c>
      <c r="X353" s="2">
        <v>1.093</v>
      </c>
      <c r="Y353" s="2">
        <v>2.0310000000000001</v>
      </c>
      <c r="Z353" s="2">
        <v>0</v>
      </c>
      <c r="AA353" s="2">
        <v>0.499</v>
      </c>
      <c r="AB353" s="2">
        <v>1.617</v>
      </c>
      <c r="AC353" s="2">
        <v>0.41499999999999998</v>
      </c>
      <c r="AD353" s="2">
        <v>3.0870000000000002</v>
      </c>
      <c r="AE353" s="2">
        <v>-9.09</v>
      </c>
      <c r="AF353" s="2">
        <v>-5.1680000000000001</v>
      </c>
      <c r="AG353" s="2">
        <v>-20.02</v>
      </c>
      <c r="AH353" s="2">
        <v>-5.1680000000000001</v>
      </c>
      <c r="AI353" s="2">
        <v>-20.02</v>
      </c>
      <c r="AJ353" s="2" t="s">
        <v>113</v>
      </c>
      <c r="AK353" s="2" t="s">
        <v>113</v>
      </c>
      <c r="AL353" s="2">
        <v>-7.2</v>
      </c>
      <c r="AM353" s="2">
        <v>-3.085</v>
      </c>
      <c r="AN353" s="2">
        <v>-11.76</v>
      </c>
      <c r="AO353" s="2"/>
      <c r="AP353" s="1">
        <f t="shared" si="178"/>
        <v>0.41900000000000004</v>
      </c>
      <c r="AQ353" s="23">
        <f t="shared" si="209"/>
        <v>-0.7</v>
      </c>
      <c r="AR353" s="5">
        <v>4.97</v>
      </c>
      <c r="AS353" s="5">
        <v>1.73</v>
      </c>
      <c r="AT353" s="5">
        <v>1.61</v>
      </c>
      <c r="AU353" s="7">
        <f t="shared" si="202"/>
        <v>0.93100000000000005</v>
      </c>
      <c r="AV353" s="16"/>
      <c r="AW353" s="30">
        <v>1.87</v>
      </c>
      <c r="AX353" s="29">
        <v>339</v>
      </c>
      <c r="AY353" s="1">
        <f t="shared" si="180"/>
        <v>97.1</v>
      </c>
      <c r="AZ353" s="1">
        <f t="shared" si="181"/>
        <v>93</v>
      </c>
      <c r="BA353" s="1">
        <f t="shared" si="182"/>
        <v>80.2</v>
      </c>
      <c r="BB353" s="8">
        <f t="shared" si="183"/>
        <v>0.40200000000000002</v>
      </c>
      <c r="BC353" s="8">
        <f t="shared" si="184"/>
        <v>9.9000000000000005E-2</v>
      </c>
      <c r="BE353" s="5">
        <f t="shared" si="191"/>
        <v>1.73</v>
      </c>
      <c r="BF353" s="5">
        <f t="shared" si="192"/>
        <v>1.61</v>
      </c>
      <c r="BG353" s="1">
        <f t="shared" si="185"/>
        <v>-7</v>
      </c>
      <c r="BH353" s="1">
        <f t="shared" si="186"/>
        <v>-2.7</v>
      </c>
      <c r="BI353" s="1">
        <f t="shared" si="187"/>
        <v>-11.3</v>
      </c>
      <c r="BJ353" s="1">
        <f t="shared" si="193"/>
        <v>93</v>
      </c>
      <c r="BK353" s="1">
        <f t="shared" si="194"/>
        <v>80.2</v>
      </c>
      <c r="BL353" s="1">
        <f t="shared" si="203"/>
        <v>0.4</v>
      </c>
      <c r="BM353" s="1">
        <f t="shared" si="204"/>
        <v>3.1</v>
      </c>
      <c r="BN353" s="21">
        <f t="shared" si="195"/>
        <v>1.87</v>
      </c>
      <c r="BO353" s="7">
        <f t="shared" si="196"/>
        <v>0.41900000000000004</v>
      </c>
      <c r="BP353" s="21">
        <f t="shared" si="190"/>
        <v>-0.7</v>
      </c>
      <c r="BQ353" s="1">
        <f t="shared" si="197"/>
        <v>-9.1</v>
      </c>
      <c r="BR353" s="1">
        <f t="shared" si="198"/>
        <v>-5.2</v>
      </c>
      <c r="BS353" s="1">
        <f t="shared" si="199"/>
        <v>-20</v>
      </c>
      <c r="BT353" s="1">
        <f t="shared" si="188"/>
        <v>-0.5</v>
      </c>
      <c r="BU353" s="1" t="s">
        <v>113</v>
      </c>
      <c r="BV353" s="1">
        <f t="shared" si="189"/>
        <v>1.2</v>
      </c>
      <c r="BW353" s="1" t="str">
        <f t="shared" si="205"/>
        <v>NAN</v>
      </c>
      <c r="BX353" s="1">
        <f t="shared" si="206"/>
        <v>0.40200000000000002</v>
      </c>
      <c r="BY353" s="1">
        <f t="shared" si="207"/>
        <v>9.9000000000000005E-2</v>
      </c>
      <c r="CA353" s="1">
        <f t="shared" si="200"/>
        <v>-2.5</v>
      </c>
      <c r="CB353" s="1">
        <f t="shared" si="201"/>
        <v>-8.6999999999999993</v>
      </c>
    </row>
    <row r="354" spans="1:80" x14ac:dyDescent="0.2">
      <c r="A354" s="9">
        <f t="shared" si="208"/>
        <v>43814</v>
      </c>
      <c r="B354" s="2">
        <v>349</v>
      </c>
      <c r="C354" s="2">
        <v>21</v>
      </c>
      <c r="D354" s="2">
        <v>13.01</v>
      </c>
      <c r="E354" s="2">
        <v>3.8119999999999998</v>
      </c>
      <c r="F354" s="2">
        <v>-18.63</v>
      </c>
      <c r="G354" s="2">
        <v>-9.19</v>
      </c>
      <c r="H354" s="2">
        <v>92.2</v>
      </c>
      <c r="I354" s="2">
        <v>-7</v>
      </c>
      <c r="J354" s="2">
        <v>-1.0740000000000001</v>
      </c>
      <c r="K354" s="2">
        <v>-0.46500000000000002</v>
      </c>
      <c r="L354" s="2">
        <v>1.141</v>
      </c>
      <c r="M354" s="2">
        <v>-4.5030000000000001</v>
      </c>
      <c r="N354" s="2">
        <v>99.2</v>
      </c>
      <c r="O354" s="2">
        <v>-2.899</v>
      </c>
      <c r="P354" s="2">
        <v>-0.14499999999999999</v>
      </c>
      <c r="Q354" s="2">
        <v>0.38300000000000001</v>
      </c>
      <c r="R354" s="2">
        <v>1.4410000000000001</v>
      </c>
      <c r="S354" s="2">
        <v>-18.64</v>
      </c>
      <c r="T354" s="2">
        <v>73.8</v>
      </c>
      <c r="U354" s="2">
        <v>-13.92</v>
      </c>
      <c r="V354" s="2">
        <v>-1.335</v>
      </c>
      <c r="W354" s="2">
        <v>-0.65600000000000003</v>
      </c>
      <c r="X354" s="2">
        <v>0.94199999999999995</v>
      </c>
      <c r="Y354" s="2">
        <v>2.0459999999999998</v>
      </c>
      <c r="Z354" s="2">
        <v>0</v>
      </c>
      <c r="AA354" s="2">
        <v>1.157</v>
      </c>
      <c r="AB354" s="2">
        <v>2.4750000000000001</v>
      </c>
      <c r="AC354" s="2">
        <v>0.91700000000000004</v>
      </c>
      <c r="AD354" s="2">
        <v>4.2069999999999999</v>
      </c>
      <c r="AE354" s="2">
        <v>-15.15</v>
      </c>
      <c r="AF354" s="2">
        <v>-7.48</v>
      </c>
      <c r="AG354" s="2">
        <v>-30.45</v>
      </c>
      <c r="AH354" s="2">
        <v>-7.48</v>
      </c>
      <c r="AI354" s="2">
        <v>-30.45</v>
      </c>
      <c r="AJ354" s="2" t="s">
        <v>113</v>
      </c>
      <c r="AK354" s="2" t="s">
        <v>113</v>
      </c>
      <c r="AL354" s="2">
        <v>-9.56</v>
      </c>
      <c r="AM354" s="2">
        <v>-2.7149999999999999</v>
      </c>
      <c r="AN354" s="2">
        <v>-20.78</v>
      </c>
      <c r="AO354" s="2"/>
      <c r="AP354" s="1">
        <f t="shared" si="178"/>
        <v>0.40400000000000036</v>
      </c>
      <c r="AQ354" s="23">
        <f t="shared" si="209"/>
        <v>-0.8</v>
      </c>
      <c r="AR354" s="5">
        <v>4.9400000000000004</v>
      </c>
      <c r="AS354" s="5">
        <v>2.65</v>
      </c>
      <c r="AT354" s="5">
        <v>2.4700000000000002</v>
      </c>
      <c r="AU354" s="7">
        <f t="shared" si="202"/>
        <v>0.93200000000000005</v>
      </c>
      <c r="AV354" s="16"/>
      <c r="AW354" s="30">
        <v>0</v>
      </c>
      <c r="AX354" s="29">
        <v>324</v>
      </c>
      <c r="AY354" s="1">
        <f t="shared" si="180"/>
        <v>95.7</v>
      </c>
      <c r="AZ354" s="1">
        <f t="shared" si="181"/>
        <v>88.9</v>
      </c>
      <c r="BA354" s="1">
        <f t="shared" si="182"/>
        <v>71.099999999999994</v>
      </c>
      <c r="BB354" s="8">
        <f t="shared" si="183"/>
        <v>0.311</v>
      </c>
      <c r="BC354" s="8">
        <f t="shared" si="184"/>
        <v>0.126</v>
      </c>
      <c r="BE354" s="5">
        <f t="shared" si="191"/>
        <v>2.65</v>
      </c>
      <c r="BF354" s="5">
        <f t="shared" si="192"/>
        <v>2.4700000000000002</v>
      </c>
      <c r="BG354" s="1">
        <f t="shared" ref="BG354:BG370" si="210">ROUND(G354,1)</f>
        <v>-9.1999999999999993</v>
      </c>
      <c r="BH354" s="1">
        <f t="shared" ref="BH354:BH370" si="211">ROUND(M354,1)</f>
        <v>-4.5</v>
      </c>
      <c r="BI354" s="1">
        <f t="shared" ref="BI354:BI370" si="212">ROUND(S354,1)</f>
        <v>-18.600000000000001</v>
      </c>
      <c r="BJ354" s="1">
        <f t="shared" si="193"/>
        <v>88.9</v>
      </c>
      <c r="BK354" s="1">
        <f t="shared" si="194"/>
        <v>71.099999999999994</v>
      </c>
      <c r="BL354" s="1">
        <f t="shared" si="203"/>
        <v>0.9</v>
      </c>
      <c r="BM354" s="1">
        <f t="shared" si="204"/>
        <v>4.2</v>
      </c>
      <c r="BN354" s="21">
        <f t="shared" si="195"/>
        <v>0</v>
      </c>
      <c r="BO354" s="7">
        <f t="shared" si="196"/>
        <v>0.40400000000000036</v>
      </c>
      <c r="BP354" s="21">
        <f t="shared" si="190"/>
        <v>-0.8</v>
      </c>
      <c r="BQ354" s="1">
        <f t="shared" si="197"/>
        <v>-15.2</v>
      </c>
      <c r="BR354" s="1">
        <f t="shared" si="198"/>
        <v>-7.5</v>
      </c>
      <c r="BS354" s="1">
        <f t="shared" si="199"/>
        <v>-30.5</v>
      </c>
      <c r="BT354" s="1">
        <f t="shared" ref="BT354:BT370" si="213">ROUND(K354,1)</f>
        <v>-0.5</v>
      </c>
      <c r="BU354" s="1" t="s">
        <v>113</v>
      </c>
      <c r="BV354" s="1">
        <f t="shared" ref="BV354:BV370" si="214">ROUND(L354,1)</f>
        <v>1.1000000000000001</v>
      </c>
      <c r="BW354" s="1" t="str">
        <f t="shared" si="205"/>
        <v>NAN</v>
      </c>
      <c r="BX354" s="1">
        <f t="shared" si="206"/>
        <v>0.311</v>
      </c>
      <c r="BY354" s="1">
        <f t="shared" si="207"/>
        <v>0.126</v>
      </c>
      <c r="CA354" s="1">
        <f t="shared" si="200"/>
        <v>-3</v>
      </c>
      <c r="CB354" s="1">
        <f t="shared" si="201"/>
        <v>-11.899999999999999</v>
      </c>
    </row>
    <row r="355" spans="1:80" x14ac:dyDescent="0.2">
      <c r="A355" s="9">
        <f t="shared" si="208"/>
        <v>43815</v>
      </c>
      <c r="B355" s="2">
        <v>350</v>
      </c>
      <c r="C355" s="2">
        <v>21</v>
      </c>
      <c r="D355" s="2">
        <v>13.06</v>
      </c>
      <c r="E355" s="2">
        <v>-7.95</v>
      </c>
      <c r="F355" s="2">
        <v>-22.47</v>
      </c>
      <c r="G355" s="2">
        <v>-12.4</v>
      </c>
      <c r="H355" s="2">
        <v>94.6</v>
      </c>
      <c r="I355" s="2">
        <v>-11.38</v>
      </c>
      <c r="J355" s="2">
        <v>-1.6020000000000001</v>
      </c>
      <c r="K355" s="2">
        <v>-0.52900000000000003</v>
      </c>
      <c r="L355" s="2">
        <v>1.109</v>
      </c>
      <c r="M355" s="2">
        <v>-7.07</v>
      </c>
      <c r="N355" s="2">
        <v>99.9</v>
      </c>
      <c r="O355" s="2">
        <v>-7</v>
      </c>
      <c r="P355" s="2">
        <v>-1.1220000000000001</v>
      </c>
      <c r="Q355" s="2">
        <v>-0.04</v>
      </c>
      <c r="R355" s="2">
        <v>1.427</v>
      </c>
      <c r="S355" s="2">
        <v>-20.11</v>
      </c>
      <c r="T355" s="2">
        <v>87.5</v>
      </c>
      <c r="U355" s="2">
        <v>-17.45</v>
      </c>
      <c r="V355" s="2">
        <v>-1.83</v>
      </c>
      <c r="W355" s="2">
        <v>-0.72499999999999998</v>
      </c>
      <c r="X355" s="2">
        <v>0.94399999999999995</v>
      </c>
      <c r="Y355" s="2">
        <v>2.0419999999999998</v>
      </c>
      <c r="Z355" s="2">
        <v>0</v>
      </c>
      <c r="AA355" s="2">
        <v>0.42499999999999999</v>
      </c>
      <c r="AB355" s="2">
        <v>1.4650000000000001</v>
      </c>
      <c r="AC355" s="2">
        <v>0.68300000000000005</v>
      </c>
      <c r="AD355" s="2">
        <v>4.7670000000000003</v>
      </c>
      <c r="AE355" s="2">
        <v>-15.64</v>
      </c>
      <c r="AF355" s="2">
        <v>-6.5919999999999996</v>
      </c>
      <c r="AG355" s="2">
        <v>-31.43</v>
      </c>
      <c r="AH355" s="2">
        <v>-6.5919999999999996</v>
      </c>
      <c r="AI355" s="2">
        <v>-31.43</v>
      </c>
      <c r="AJ355" s="2" t="s">
        <v>113</v>
      </c>
      <c r="AK355" s="2" t="s">
        <v>113</v>
      </c>
      <c r="AL355" s="2">
        <v>-13</v>
      </c>
      <c r="AM355" s="2">
        <v>-6.5620000000000003</v>
      </c>
      <c r="AN355" s="2">
        <v>-21.71</v>
      </c>
      <c r="AO355" s="2"/>
      <c r="AP355" s="1">
        <f t="shared" si="178"/>
        <v>0.40800000000000036</v>
      </c>
      <c r="AQ355" s="23">
        <f t="shared" si="209"/>
        <v>-1.1000000000000001</v>
      </c>
      <c r="AR355" s="5">
        <v>4.93</v>
      </c>
      <c r="AS355" s="5">
        <v>1.57</v>
      </c>
      <c r="AT355" s="5">
        <v>1.46</v>
      </c>
      <c r="AU355" s="7">
        <f t="shared" si="202"/>
        <v>0.93</v>
      </c>
      <c r="AV355" s="16"/>
      <c r="AW355" s="30">
        <v>1.21</v>
      </c>
      <c r="AX355" s="29">
        <v>328</v>
      </c>
      <c r="AY355" s="1">
        <f t="shared" si="180"/>
        <v>96.4</v>
      </c>
      <c r="AZ355" s="1">
        <f t="shared" si="181"/>
        <v>91.3</v>
      </c>
      <c r="BA355" s="1">
        <f t="shared" si="182"/>
        <v>84.4</v>
      </c>
      <c r="BB355" s="8">
        <f t="shared" si="183"/>
        <v>0.30299999999999999</v>
      </c>
      <c r="BC355" s="8">
        <f t="shared" si="184"/>
        <v>5.6000000000000001E-2</v>
      </c>
      <c r="BE355" s="5">
        <f t="shared" si="191"/>
        <v>1.57</v>
      </c>
      <c r="BF355" s="5">
        <f t="shared" si="192"/>
        <v>1.46</v>
      </c>
      <c r="BG355" s="1">
        <f t="shared" si="210"/>
        <v>-12.4</v>
      </c>
      <c r="BH355" s="1">
        <f t="shared" si="211"/>
        <v>-7.1</v>
      </c>
      <c r="BI355" s="1">
        <f t="shared" si="212"/>
        <v>-20.100000000000001</v>
      </c>
      <c r="BJ355" s="1">
        <f t="shared" si="193"/>
        <v>91.3</v>
      </c>
      <c r="BK355" s="1">
        <f t="shared" si="194"/>
        <v>84.4</v>
      </c>
      <c r="BL355" s="1">
        <f t="shared" si="203"/>
        <v>0.7</v>
      </c>
      <c r="BM355" s="1">
        <f t="shared" si="204"/>
        <v>4.8</v>
      </c>
      <c r="BN355" s="21">
        <f t="shared" si="195"/>
        <v>1.21</v>
      </c>
      <c r="BO355" s="7">
        <f t="shared" si="196"/>
        <v>0.40800000000000036</v>
      </c>
      <c r="BP355" s="21">
        <f t="shared" si="190"/>
        <v>-1.1000000000000001</v>
      </c>
      <c r="BQ355" s="1">
        <f t="shared" si="197"/>
        <v>-15.6</v>
      </c>
      <c r="BR355" s="1">
        <f t="shared" si="198"/>
        <v>-6.6</v>
      </c>
      <c r="BS355" s="1">
        <f t="shared" si="199"/>
        <v>-31.4</v>
      </c>
      <c r="BT355" s="1">
        <f t="shared" si="213"/>
        <v>-0.5</v>
      </c>
      <c r="BU355" s="1" t="s">
        <v>113</v>
      </c>
      <c r="BV355" s="1">
        <f t="shared" si="214"/>
        <v>1.1000000000000001</v>
      </c>
      <c r="BW355" s="1" t="str">
        <f t="shared" si="205"/>
        <v>NAN</v>
      </c>
      <c r="BX355" s="1">
        <f t="shared" si="206"/>
        <v>0.30299999999999999</v>
      </c>
      <c r="BY355" s="1">
        <f t="shared" si="207"/>
        <v>5.6000000000000001E-2</v>
      </c>
      <c r="CA355" s="1">
        <f t="shared" si="200"/>
        <v>0.5</v>
      </c>
      <c r="CB355" s="1">
        <f t="shared" si="201"/>
        <v>-11.299999999999997</v>
      </c>
    </row>
    <row r="356" spans="1:80" x14ac:dyDescent="0.2">
      <c r="A356" s="9">
        <f t="shared" si="208"/>
        <v>43816</v>
      </c>
      <c r="B356" s="2">
        <v>351</v>
      </c>
      <c r="C356" s="2">
        <v>21</v>
      </c>
      <c r="D356" s="2">
        <v>13.1</v>
      </c>
      <c r="E356" s="2">
        <v>-5.1550000000000002</v>
      </c>
      <c r="F356" s="2">
        <v>-8.57</v>
      </c>
      <c r="G356" s="2">
        <v>-7.55</v>
      </c>
      <c r="H356" s="2">
        <v>98.5</v>
      </c>
      <c r="I356" s="2">
        <v>-5.89</v>
      </c>
      <c r="J356" s="2">
        <v>-1.42</v>
      </c>
      <c r="K356" s="2">
        <v>-0.54400000000000004</v>
      </c>
      <c r="L356" s="2">
        <v>1.127</v>
      </c>
      <c r="M356" s="2">
        <v>-6.3810000000000002</v>
      </c>
      <c r="N356" s="2">
        <v>99.9</v>
      </c>
      <c r="O356" s="2">
        <v>-4.0469999999999997</v>
      </c>
      <c r="P356" s="2">
        <v>-1.2529999999999999</v>
      </c>
      <c r="Q356" s="2">
        <v>-0.46700000000000003</v>
      </c>
      <c r="R356" s="2">
        <v>1.194</v>
      </c>
      <c r="S356" s="2">
        <v>-8.5399999999999991</v>
      </c>
      <c r="T356" s="2">
        <v>96.8</v>
      </c>
      <c r="U356" s="2">
        <v>-7.55</v>
      </c>
      <c r="V356" s="2">
        <v>-1.67</v>
      </c>
      <c r="W356" s="2">
        <v>-0.626</v>
      </c>
      <c r="X356" s="2">
        <v>1.073</v>
      </c>
      <c r="Y356" s="2">
        <v>2.06</v>
      </c>
      <c r="Z356" s="2">
        <v>0</v>
      </c>
      <c r="AA356" s="2">
        <v>0.60099999999999998</v>
      </c>
      <c r="AB356" s="2">
        <v>1.8660000000000001</v>
      </c>
      <c r="AC356" s="2">
        <v>2.2309999999999999</v>
      </c>
      <c r="AD356" s="2">
        <v>4.8739999999999997</v>
      </c>
      <c r="AE356" s="2">
        <v>-8.1199999999999992</v>
      </c>
      <c r="AF356" s="2">
        <v>-6.7</v>
      </c>
      <c r="AG356" s="2">
        <v>-10.64</v>
      </c>
      <c r="AH356" s="2">
        <v>-6.7</v>
      </c>
      <c r="AI356" s="2">
        <v>-10.64</v>
      </c>
      <c r="AJ356" s="2" t="s">
        <v>113</v>
      </c>
      <c r="AK356" s="2" t="s">
        <v>113</v>
      </c>
      <c r="AL356" s="2">
        <v>-7.47</v>
      </c>
      <c r="AM356" s="2">
        <v>-5.7590000000000003</v>
      </c>
      <c r="AN356" s="2">
        <v>-8.61</v>
      </c>
      <c r="AO356" s="2"/>
      <c r="AP356" s="1">
        <f t="shared" si="178"/>
        <v>0.39000000000000012</v>
      </c>
      <c r="AQ356" s="23">
        <f t="shared" si="209"/>
        <v>-1</v>
      </c>
      <c r="AR356" s="5">
        <v>4.92</v>
      </c>
      <c r="AS356" s="5">
        <v>2</v>
      </c>
      <c r="AT356" s="5">
        <v>1.86</v>
      </c>
      <c r="AU356" s="7">
        <f t="shared" si="202"/>
        <v>0.93</v>
      </c>
      <c r="AV356" s="16"/>
      <c r="AW356" s="30">
        <v>0</v>
      </c>
      <c r="AX356" s="29">
        <v>310</v>
      </c>
      <c r="AY356" s="1">
        <f t="shared" si="180"/>
        <v>96.4</v>
      </c>
      <c r="AZ356" s="1">
        <f t="shared" si="181"/>
        <v>95</v>
      </c>
      <c r="BA356" s="1">
        <f t="shared" si="182"/>
        <v>93.4</v>
      </c>
      <c r="BB356" s="8">
        <f t="shared" si="183"/>
        <v>0.35399999999999998</v>
      </c>
      <c r="BC356" s="8">
        <f t="shared" si="184"/>
        <v>2.5000000000000001E-2</v>
      </c>
      <c r="BE356" s="5">
        <f t="shared" si="191"/>
        <v>2</v>
      </c>
      <c r="BF356" s="5">
        <f t="shared" si="192"/>
        <v>1.86</v>
      </c>
      <c r="BG356" s="1">
        <f t="shared" si="210"/>
        <v>-7.6</v>
      </c>
      <c r="BH356" s="1">
        <f t="shared" si="211"/>
        <v>-6.4</v>
      </c>
      <c r="BI356" s="1">
        <f t="shared" si="212"/>
        <v>-8.5</v>
      </c>
      <c r="BJ356" s="1">
        <f t="shared" si="193"/>
        <v>95</v>
      </c>
      <c r="BK356" s="1">
        <f t="shared" si="194"/>
        <v>93.4</v>
      </c>
      <c r="BL356" s="1">
        <f t="shared" si="203"/>
        <v>2.2000000000000002</v>
      </c>
      <c r="BM356" s="1">
        <f t="shared" si="204"/>
        <v>4.9000000000000004</v>
      </c>
      <c r="BN356" s="21">
        <f t="shared" si="195"/>
        <v>0</v>
      </c>
      <c r="BO356" s="7">
        <f t="shared" si="196"/>
        <v>0.39000000000000012</v>
      </c>
      <c r="BP356" s="21">
        <f t="shared" si="190"/>
        <v>-1</v>
      </c>
      <c r="BQ356" s="1">
        <f t="shared" si="197"/>
        <v>-8.1</v>
      </c>
      <c r="BR356" s="1">
        <f t="shared" si="198"/>
        <v>-6.7</v>
      </c>
      <c r="BS356" s="1">
        <f t="shared" si="199"/>
        <v>-10.6</v>
      </c>
      <c r="BT356" s="1">
        <f t="shared" si="213"/>
        <v>-0.5</v>
      </c>
      <c r="BU356" s="1" t="s">
        <v>113</v>
      </c>
      <c r="BV356" s="1">
        <f t="shared" si="214"/>
        <v>1.1000000000000001</v>
      </c>
      <c r="BW356" s="1" t="str">
        <f t="shared" si="205"/>
        <v>NAN</v>
      </c>
      <c r="BX356" s="1">
        <f t="shared" si="206"/>
        <v>0.35399999999999998</v>
      </c>
      <c r="BY356" s="1">
        <f t="shared" si="207"/>
        <v>2.5000000000000001E-2</v>
      </c>
      <c r="CA356" s="1">
        <f t="shared" si="200"/>
        <v>-0.29999999999999982</v>
      </c>
      <c r="CB356" s="1">
        <f t="shared" si="201"/>
        <v>-2.0999999999999996</v>
      </c>
    </row>
    <row r="357" spans="1:80" x14ac:dyDescent="0.2">
      <c r="A357" s="9">
        <f t="shared" si="208"/>
        <v>43817</v>
      </c>
      <c r="B357" s="2">
        <v>352</v>
      </c>
      <c r="C357" s="2">
        <v>21</v>
      </c>
      <c r="D357" s="2">
        <v>13.09</v>
      </c>
      <c r="E357" s="2">
        <v>-5.0709999999999997</v>
      </c>
      <c r="F357" s="2">
        <v>-7.97</v>
      </c>
      <c r="G357" s="2">
        <v>-7.3</v>
      </c>
      <c r="H357" s="2">
        <v>98.3</v>
      </c>
      <c r="I357" s="2">
        <v>-5.3019999999999996</v>
      </c>
      <c r="J357" s="2">
        <v>-1.2110000000000001</v>
      </c>
      <c r="K357" s="2">
        <v>-0.51500000000000001</v>
      </c>
      <c r="L357" s="2">
        <v>1.117</v>
      </c>
      <c r="M357" s="2">
        <v>-6.2050000000000001</v>
      </c>
      <c r="N357" s="2">
        <v>99.1</v>
      </c>
      <c r="O357" s="2">
        <v>-4.0739999999999998</v>
      </c>
      <c r="P357" s="2">
        <v>-1.1339999999999999</v>
      </c>
      <c r="Q357" s="2">
        <v>-0.45300000000000001</v>
      </c>
      <c r="R357" s="2">
        <v>1.1599999999999999</v>
      </c>
      <c r="S357" s="2">
        <v>-8.11</v>
      </c>
      <c r="T357" s="2">
        <v>96.8</v>
      </c>
      <c r="U357" s="2">
        <v>-6.032</v>
      </c>
      <c r="V357" s="2">
        <v>-1.3089999999999999</v>
      </c>
      <c r="W357" s="2">
        <v>-0.58199999999999996</v>
      </c>
      <c r="X357" s="2">
        <v>1.052</v>
      </c>
      <c r="Y357" s="2">
        <v>2.0659999999999998</v>
      </c>
      <c r="Z357" s="2">
        <v>0</v>
      </c>
      <c r="AA357" s="2">
        <v>0.42899999999999999</v>
      </c>
      <c r="AB357" s="2">
        <v>1.458</v>
      </c>
      <c r="AC357" s="2">
        <v>1.738</v>
      </c>
      <c r="AD357" s="2">
        <v>4.2869999999999999</v>
      </c>
      <c r="AE357" s="2">
        <v>-7.68</v>
      </c>
      <c r="AF357" s="2">
        <v>-6.3049999999999997</v>
      </c>
      <c r="AG357" s="2">
        <v>-9.16</v>
      </c>
      <c r="AH357" s="2">
        <v>-6.3049999999999997</v>
      </c>
      <c r="AI357" s="2">
        <v>-9.16</v>
      </c>
      <c r="AJ357" s="2" t="s">
        <v>113</v>
      </c>
      <c r="AK357" s="2" t="s">
        <v>113</v>
      </c>
      <c r="AL357" s="2">
        <v>-7.2</v>
      </c>
      <c r="AM357" s="2">
        <v>-5.6109999999999998</v>
      </c>
      <c r="AN357" s="2">
        <v>-8.19</v>
      </c>
      <c r="AO357" s="2"/>
      <c r="AP357" s="1">
        <f t="shared" si="178"/>
        <v>0.38400000000000034</v>
      </c>
      <c r="AQ357" s="23">
        <f t="shared" si="209"/>
        <v>-0.9</v>
      </c>
      <c r="AR357" s="5">
        <v>4.91</v>
      </c>
      <c r="AS357" s="5">
        <v>1.57</v>
      </c>
      <c r="AT357" s="5">
        <v>1.46</v>
      </c>
      <c r="AU357" s="7">
        <f t="shared" si="202"/>
        <v>0.93</v>
      </c>
      <c r="AV357" s="16"/>
      <c r="AW357" s="30">
        <v>0</v>
      </c>
      <c r="AX357" s="29">
        <v>304</v>
      </c>
      <c r="AY357" s="1">
        <f t="shared" si="180"/>
        <v>95.6</v>
      </c>
      <c r="AZ357" s="1">
        <f t="shared" si="181"/>
        <v>94.9</v>
      </c>
      <c r="BA357" s="1">
        <f t="shared" si="182"/>
        <v>93.4</v>
      </c>
      <c r="BB357" s="8">
        <f t="shared" si="183"/>
        <v>0.35899999999999999</v>
      </c>
      <c r="BC357" s="8">
        <f t="shared" si="184"/>
        <v>2.5000000000000001E-2</v>
      </c>
      <c r="BE357" s="5">
        <f t="shared" si="191"/>
        <v>1.57</v>
      </c>
      <c r="BF357" s="5">
        <f t="shared" si="192"/>
        <v>1.46</v>
      </c>
      <c r="BG357" s="1">
        <f t="shared" si="210"/>
        <v>-7.3</v>
      </c>
      <c r="BH357" s="1">
        <f t="shared" si="211"/>
        <v>-6.2</v>
      </c>
      <c r="BI357" s="1">
        <f t="shared" si="212"/>
        <v>-8.1</v>
      </c>
      <c r="BJ357" s="1">
        <f t="shared" si="193"/>
        <v>94.9</v>
      </c>
      <c r="BK357" s="1">
        <f t="shared" si="194"/>
        <v>93.4</v>
      </c>
      <c r="BL357" s="1">
        <f t="shared" si="203"/>
        <v>1.7</v>
      </c>
      <c r="BM357" s="1">
        <f t="shared" si="204"/>
        <v>4.3</v>
      </c>
      <c r="BN357" s="21">
        <f t="shared" si="195"/>
        <v>0</v>
      </c>
      <c r="BO357" s="7">
        <f t="shared" si="196"/>
        <v>0.38400000000000034</v>
      </c>
      <c r="BP357" s="21">
        <f t="shared" si="190"/>
        <v>-0.9</v>
      </c>
      <c r="BQ357" s="1">
        <f t="shared" si="197"/>
        <v>-7.7</v>
      </c>
      <c r="BR357" s="1">
        <f t="shared" si="198"/>
        <v>-6.3</v>
      </c>
      <c r="BS357" s="1">
        <f t="shared" si="199"/>
        <v>-9.1999999999999993</v>
      </c>
      <c r="BT357" s="1">
        <f t="shared" si="213"/>
        <v>-0.5</v>
      </c>
      <c r="BU357" s="1" t="s">
        <v>113</v>
      </c>
      <c r="BV357" s="1">
        <f t="shared" si="214"/>
        <v>1.1000000000000001</v>
      </c>
      <c r="BW357" s="1" t="str">
        <f t="shared" si="205"/>
        <v>NAN</v>
      </c>
      <c r="BX357" s="1">
        <f t="shared" si="206"/>
        <v>0.35899999999999999</v>
      </c>
      <c r="BY357" s="1">
        <f t="shared" si="207"/>
        <v>2.5000000000000001E-2</v>
      </c>
      <c r="CA357" s="1">
        <f t="shared" si="200"/>
        <v>-9.9999999999999645E-2</v>
      </c>
      <c r="CB357" s="1">
        <f t="shared" si="201"/>
        <v>-1.0999999999999996</v>
      </c>
    </row>
    <row r="358" spans="1:80" x14ac:dyDescent="0.2">
      <c r="A358" s="9">
        <f t="shared" si="208"/>
        <v>43818</v>
      </c>
      <c r="B358" s="2">
        <v>353</v>
      </c>
      <c r="C358" s="2">
        <v>21</v>
      </c>
      <c r="D358" s="2">
        <v>13.11</v>
      </c>
      <c r="E358" s="2">
        <v>-3.8889999999999998</v>
      </c>
      <c r="F358" s="2">
        <v>-8.23</v>
      </c>
      <c r="G358" s="2">
        <v>-6.5330000000000004</v>
      </c>
      <c r="H358" s="2">
        <v>98.8</v>
      </c>
      <c r="I358" s="2">
        <v>-5.05</v>
      </c>
      <c r="J358" s="2">
        <v>-1.143</v>
      </c>
      <c r="K358" s="2">
        <v>-0.48499999999999999</v>
      </c>
      <c r="L358" s="2">
        <v>1.1040000000000001</v>
      </c>
      <c r="M358" s="2">
        <v>-3.0649999999999999</v>
      </c>
      <c r="N358" s="2">
        <v>100.9</v>
      </c>
      <c r="O358" s="2">
        <v>-3.0129999999999999</v>
      </c>
      <c r="P358" s="2">
        <v>-0.98</v>
      </c>
      <c r="Q358" s="2">
        <v>-0.34799999999999998</v>
      </c>
      <c r="R358" s="2">
        <v>1.21</v>
      </c>
      <c r="S358" s="2">
        <v>-8.25</v>
      </c>
      <c r="T358" s="2">
        <v>96.6</v>
      </c>
      <c r="U358" s="2">
        <v>-6.2919999999999998</v>
      </c>
      <c r="V358" s="2">
        <v>-1.2210000000000001</v>
      </c>
      <c r="W358" s="2">
        <v>-0.56499999999999995</v>
      </c>
      <c r="X358" s="2">
        <v>1.042</v>
      </c>
      <c r="Y358" s="2">
        <v>1.986</v>
      </c>
      <c r="Z358" s="2">
        <v>0</v>
      </c>
      <c r="AA358" s="2">
        <v>0.61699999999999999</v>
      </c>
      <c r="AB358" s="2">
        <v>1.9850000000000001</v>
      </c>
      <c r="AC358" s="2">
        <v>0</v>
      </c>
      <c r="AD358" s="2">
        <v>0</v>
      </c>
      <c r="AE358" s="2">
        <v>-6.8449999999999998</v>
      </c>
      <c r="AF358" s="2">
        <v>-3.548</v>
      </c>
      <c r="AG358" s="2">
        <v>-11.66</v>
      </c>
      <c r="AH358" s="2">
        <v>-3.548</v>
      </c>
      <c r="AI358" s="2">
        <v>-11.66</v>
      </c>
      <c r="AJ358" s="2" t="s">
        <v>113</v>
      </c>
      <c r="AK358" s="2" t="s">
        <v>113</v>
      </c>
      <c r="AL358" s="2">
        <v>-6.3789999999999996</v>
      </c>
      <c r="AM358" s="2">
        <v>-3.0489999999999999</v>
      </c>
      <c r="AN358" s="2">
        <v>-8.44</v>
      </c>
      <c r="AO358" s="2"/>
      <c r="AP358" s="1">
        <f t="shared" si="178"/>
        <v>0.46400000000000019</v>
      </c>
      <c r="AQ358" s="23">
        <f t="shared" si="209"/>
        <v>-0.8</v>
      </c>
      <c r="AR358" s="5">
        <v>4.9000000000000004</v>
      </c>
      <c r="AS358" s="5">
        <v>2.13</v>
      </c>
      <c r="AT358" s="5">
        <v>1.98</v>
      </c>
      <c r="AU358" s="7">
        <f t="shared" si="202"/>
        <v>0.93</v>
      </c>
      <c r="AV358" s="16"/>
      <c r="AW358" s="30">
        <v>9.7899999999999991</v>
      </c>
      <c r="AX358" s="29">
        <v>384</v>
      </c>
      <c r="AY358" s="1">
        <f t="shared" si="180"/>
        <v>97.4</v>
      </c>
      <c r="AZ358" s="1">
        <f t="shared" si="181"/>
        <v>95.3</v>
      </c>
      <c r="BA358" s="1">
        <f t="shared" si="182"/>
        <v>93.2</v>
      </c>
      <c r="BB358" s="8">
        <f t="shared" si="183"/>
        <v>0.45400000000000001</v>
      </c>
      <c r="BC358" s="8">
        <f t="shared" si="184"/>
        <v>3.3000000000000002E-2</v>
      </c>
      <c r="BE358" s="5">
        <f t="shared" si="191"/>
        <v>2.13</v>
      </c>
      <c r="BF358" s="5">
        <f t="shared" si="192"/>
        <v>1.98</v>
      </c>
      <c r="BG358" s="1">
        <f t="shared" si="210"/>
        <v>-6.5</v>
      </c>
      <c r="BH358" s="1">
        <f t="shared" si="211"/>
        <v>-3.1</v>
      </c>
      <c r="BI358" s="1">
        <f t="shared" si="212"/>
        <v>-8.3000000000000007</v>
      </c>
      <c r="BJ358" s="1">
        <f t="shared" si="193"/>
        <v>95.3</v>
      </c>
      <c r="BK358" s="1">
        <f t="shared" si="194"/>
        <v>93.2</v>
      </c>
      <c r="BL358" s="1">
        <f t="shared" si="203"/>
        <v>0</v>
      </c>
      <c r="BM358" s="1">
        <f t="shared" si="204"/>
        <v>0</v>
      </c>
      <c r="BN358" s="21">
        <f t="shared" si="195"/>
        <v>9.7899999999999991</v>
      </c>
      <c r="BO358" s="7">
        <f t="shared" si="196"/>
        <v>0.46400000000000019</v>
      </c>
      <c r="BP358" s="21">
        <f t="shared" si="190"/>
        <v>-0.8</v>
      </c>
      <c r="BQ358" s="1">
        <f t="shared" si="197"/>
        <v>-6.8</v>
      </c>
      <c r="BR358" s="1">
        <f t="shared" si="198"/>
        <v>-3.5</v>
      </c>
      <c r="BS358" s="1">
        <f t="shared" si="199"/>
        <v>-11.7</v>
      </c>
      <c r="BT358" s="1">
        <f t="shared" si="213"/>
        <v>-0.5</v>
      </c>
      <c r="BU358" s="1" t="s">
        <v>113</v>
      </c>
      <c r="BV358" s="1">
        <f t="shared" si="214"/>
        <v>1.1000000000000001</v>
      </c>
      <c r="BW358" s="1" t="str">
        <f t="shared" si="205"/>
        <v>NAN</v>
      </c>
      <c r="BX358" s="1">
        <f t="shared" si="206"/>
        <v>0.45400000000000001</v>
      </c>
      <c r="BY358" s="1">
        <f t="shared" si="207"/>
        <v>3.3000000000000002E-2</v>
      </c>
      <c r="CA358" s="1">
        <f t="shared" si="200"/>
        <v>-0.39999999999999991</v>
      </c>
      <c r="CB358" s="1">
        <f t="shared" si="201"/>
        <v>-3.3999999999999986</v>
      </c>
    </row>
    <row r="359" spans="1:80" x14ac:dyDescent="0.2">
      <c r="A359" s="9">
        <f t="shared" si="208"/>
        <v>43819</v>
      </c>
      <c r="B359" s="2">
        <v>354</v>
      </c>
      <c r="C359" s="2">
        <v>21</v>
      </c>
      <c r="D359" s="2">
        <v>13.15</v>
      </c>
      <c r="E359" s="2">
        <v>0.35</v>
      </c>
      <c r="F359" s="2">
        <v>-4.3860000000000001</v>
      </c>
      <c r="G359" s="2">
        <v>-1.4850000000000001</v>
      </c>
      <c r="H359" s="2">
        <v>101.8</v>
      </c>
      <c r="I359" s="2">
        <v>-2.867</v>
      </c>
      <c r="J359" s="2">
        <v>-0.92500000000000004</v>
      </c>
      <c r="K359" s="2">
        <v>-0.42899999999999999</v>
      </c>
      <c r="L359" s="2">
        <v>1.1060000000000001</v>
      </c>
      <c r="M359" s="2">
        <v>0.89600000000000002</v>
      </c>
      <c r="N359" s="2">
        <v>102.9</v>
      </c>
      <c r="O359" s="2">
        <v>-1.6919999999999999</v>
      </c>
      <c r="P359" s="2">
        <v>-0.72599999999999998</v>
      </c>
      <c r="Q359" s="2">
        <v>-0.35199999999999998</v>
      </c>
      <c r="R359" s="2">
        <v>1.165</v>
      </c>
      <c r="S359" s="2">
        <v>-4.7169999999999996</v>
      </c>
      <c r="T359" s="2">
        <v>99.9</v>
      </c>
      <c r="U359" s="2">
        <v>-4.4059999999999997</v>
      </c>
      <c r="V359" s="2">
        <v>-1.137</v>
      </c>
      <c r="W359" s="2">
        <v>-0.51800000000000002</v>
      </c>
      <c r="X359" s="2">
        <v>1.0529999999999999</v>
      </c>
      <c r="Y359" s="2">
        <v>1.927</v>
      </c>
      <c r="Z359" s="2">
        <v>0</v>
      </c>
      <c r="AA359" s="2">
        <v>0.193</v>
      </c>
      <c r="AB359" s="2">
        <v>0.88100000000000001</v>
      </c>
      <c r="AC359" s="2">
        <v>1.077</v>
      </c>
      <c r="AD359" s="2">
        <v>6.26</v>
      </c>
      <c r="AE359" s="2">
        <v>-1.7290000000000001</v>
      </c>
      <c r="AF359" s="2">
        <v>0.112</v>
      </c>
      <c r="AG359" s="2">
        <v>-4.694</v>
      </c>
      <c r="AH359" s="2">
        <v>0.112</v>
      </c>
      <c r="AI359" s="2">
        <v>-4.694</v>
      </c>
      <c r="AJ359" s="2" t="s">
        <v>113</v>
      </c>
      <c r="AK359" s="2" t="s">
        <v>113</v>
      </c>
      <c r="AL359" s="2">
        <v>-1.444</v>
      </c>
      <c r="AM359" s="2">
        <v>0.91</v>
      </c>
      <c r="AN359" s="2">
        <v>-4.5650000000000004</v>
      </c>
      <c r="AO359" s="2"/>
      <c r="AP359" s="1">
        <f t="shared" si="178"/>
        <v>0.52300000000000013</v>
      </c>
      <c r="AQ359" s="23">
        <f t="shared" si="209"/>
        <v>-0.7</v>
      </c>
      <c r="AR359" s="5">
        <v>4.9000000000000004</v>
      </c>
      <c r="AS359" s="5">
        <v>0.95</v>
      </c>
      <c r="AT359" s="5">
        <v>0.88</v>
      </c>
      <c r="AU359" s="7">
        <f t="shared" si="202"/>
        <v>0.92600000000000005</v>
      </c>
      <c r="AV359" s="16"/>
      <c r="AW359" s="30">
        <v>6.93</v>
      </c>
      <c r="AX359" s="29">
        <v>443</v>
      </c>
      <c r="AY359" s="1">
        <f t="shared" si="180"/>
        <v>99.3</v>
      </c>
      <c r="AZ359" s="1">
        <f t="shared" si="181"/>
        <v>98.2</v>
      </c>
      <c r="BA359" s="1">
        <f t="shared" si="182"/>
        <v>96.4</v>
      </c>
      <c r="BB359" s="8">
        <f t="shared" si="183"/>
        <v>0.628</v>
      </c>
      <c r="BC359" s="8">
        <f t="shared" si="184"/>
        <v>2.3E-2</v>
      </c>
      <c r="BE359" s="5">
        <f t="shared" si="191"/>
        <v>0.95</v>
      </c>
      <c r="BF359" s="5">
        <f t="shared" si="192"/>
        <v>0.88</v>
      </c>
      <c r="BG359" s="1">
        <f t="shared" si="210"/>
        <v>-1.5</v>
      </c>
      <c r="BH359" s="1">
        <f t="shared" si="211"/>
        <v>0.9</v>
      </c>
      <c r="BI359" s="1">
        <f t="shared" si="212"/>
        <v>-4.7</v>
      </c>
      <c r="BJ359" s="1">
        <f t="shared" si="193"/>
        <v>98.2</v>
      </c>
      <c r="BK359" s="1">
        <f t="shared" si="194"/>
        <v>96.4</v>
      </c>
      <c r="BL359" s="1">
        <f t="shared" si="203"/>
        <v>1.1000000000000001</v>
      </c>
      <c r="BM359" s="1">
        <f t="shared" si="204"/>
        <v>6.3</v>
      </c>
      <c r="BN359" s="21">
        <f t="shared" si="195"/>
        <v>6.93</v>
      </c>
      <c r="BO359" s="7">
        <f t="shared" si="196"/>
        <v>0.52300000000000013</v>
      </c>
      <c r="BP359" s="21">
        <f t="shared" si="190"/>
        <v>-0.7</v>
      </c>
      <c r="BQ359" s="1">
        <f t="shared" si="197"/>
        <v>-1.7</v>
      </c>
      <c r="BR359" s="1">
        <f t="shared" si="198"/>
        <v>0.1</v>
      </c>
      <c r="BS359" s="1">
        <f t="shared" si="199"/>
        <v>-4.7</v>
      </c>
      <c r="BT359" s="1">
        <f t="shared" si="213"/>
        <v>-0.4</v>
      </c>
      <c r="BU359" s="1" t="s">
        <v>113</v>
      </c>
      <c r="BV359" s="1">
        <f t="shared" si="214"/>
        <v>1.1000000000000001</v>
      </c>
      <c r="BW359" s="1" t="str">
        <f t="shared" si="205"/>
        <v>NAN</v>
      </c>
      <c r="BX359" s="1">
        <f t="shared" si="206"/>
        <v>0.628</v>
      </c>
      <c r="BY359" s="1">
        <f t="shared" si="207"/>
        <v>2.3E-2</v>
      </c>
      <c r="CA359" s="1">
        <f t="shared" si="200"/>
        <v>-0.8</v>
      </c>
      <c r="CB359" s="1">
        <f t="shared" si="201"/>
        <v>0</v>
      </c>
    </row>
    <row r="360" spans="1:80" x14ac:dyDescent="0.2">
      <c r="A360" s="9">
        <f t="shared" si="208"/>
        <v>43820</v>
      </c>
      <c r="B360" s="2">
        <v>355</v>
      </c>
      <c r="C360" s="2">
        <v>21</v>
      </c>
      <c r="D360" s="2">
        <v>13.08</v>
      </c>
      <c r="E360" s="2">
        <v>0.76200000000000001</v>
      </c>
      <c r="F360" s="2">
        <v>-5.2190000000000003</v>
      </c>
      <c r="G360" s="2">
        <v>-1.1399999999999999</v>
      </c>
      <c r="H360" s="2">
        <v>101.1</v>
      </c>
      <c r="I360" s="2">
        <v>-0.97499999999999998</v>
      </c>
      <c r="J360" s="2">
        <v>-0.629</v>
      </c>
      <c r="K360" s="2">
        <v>-0.41299999999999998</v>
      </c>
      <c r="L360" s="2">
        <v>1.0920000000000001</v>
      </c>
      <c r="M360" s="2">
        <v>1.228</v>
      </c>
      <c r="N360" s="2">
        <v>102.9</v>
      </c>
      <c r="O360" s="2">
        <v>-0.628</v>
      </c>
      <c r="P360" s="2">
        <v>-0.54100000000000004</v>
      </c>
      <c r="Q360" s="2">
        <v>-0.34599999999999997</v>
      </c>
      <c r="R360" s="2">
        <v>1.1599999999999999</v>
      </c>
      <c r="S360" s="2">
        <v>-6.008</v>
      </c>
      <c r="T360" s="2">
        <v>97.4</v>
      </c>
      <c r="U360" s="2">
        <v>-1.7150000000000001</v>
      </c>
      <c r="V360" s="2">
        <v>-0.75900000000000001</v>
      </c>
      <c r="W360" s="2">
        <v>-0.52800000000000002</v>
      </c>
      <c r="X360" s="2">
        <v>0.995</v>
      </c>
      <c r="Y360" s="2">
        <v>1.9590000000000001</v>
      </c>
      <c r="Z360" s="2">
        <v>11.43</v>
      </c>
      <c r="AA360" s="2">
        <v>0.58099999999999996</v>
      </c>
      <c r="AB360" s="2">
        <v>0.621</v>
      </c>
      <c r="AC360" s="2">
        <v>1.77</v>
      </c>
      <c r="AD360" s="2">
        <v>6.3140000000000001</v>
      </c>
      <c r="AE360" s="2">
        <v>-2.56</v>
      </c>
      <c r="AF360" s="2">
        <v>0.183</v>
      </c>
      <c r="AG360" s="2">
        <v>-11.71</v>
      </c>
      <c r="AH360" s="2">
        <v>0.183</v>
      </c>
      <c r="AI360" s="2">
        <v>-11.71</v>
      </c>
      <c r="AJ360" s="2" t="s">
        <v>113</v>
      </c>
      <c r="AK360" s="2" t="s">
        <v>113</v>
      </c>
      <c r="AL360" s="2">
        <v>-1.2070000000000001</v>
      </c>
      <c r="AM360" s="2">
        <v>1.1870000000000001</v>
      </c>
      <c r="AN360" s="2">
        <v>-6.593</v>
      </c>
      <c r="AO360" s="2"/>
      <c r="AP360" s="1">
        <f t="shared" ref="AP360:AP370" si="215">AP$1-Y360</f>
        <v>0.4910000000000001</v>
      </c>
      <c r="AQ360" s="23">
        <f t="shared" si="209"/>
        <v>-0.5</v>
      </c>
      <c r="AR360" s="5">
        <v>4.9000000000000004</v>
      </c>
      <c r="AS360" s="5">
        <v>0.71</v>
      </c>
      <c r="AT360" s="5">
        <v>0.62</v>
      </c>
      <c r="AU360" s="7">
        <f t="shared" si="202"/>
        <v>0.873</v>
      </c>
      <c r="AV360" s="16"/>
      <c r="AW360" s="30">
        <v>5</v>
      </c>
      <c r="AX360" s="29">
        <v>411</v>
      </c>
      <c r="AY360" s="1">
        <f t="shared" si="180"/>
        <v>99.3</v>
      </c>
      <c r="AZ360" s="1">
        <f t="shared" si="181"/>
        <v>97.6</v>
      </c>
      <c r="BA360" s="1">
        <f t="shared" si="182"/>
        <v>94</v>
      </c>
      <c r="BB360" s="8">
        <f t="shared" si="183"/>
        <v>0.627</v>
      </c>
      <c r="BC360" s="8">
        <f t="shared" si="184"/>
        <v>0.04</v>
      </c>
      <c r="BE360" s="5">
        <f t="shared" si="191"/>
        <v>0.71</v>
      </c>
      <c r="BF360" s="5">
        <f t="shared" si="192"/>
        <v>0.62</v>
      </c>
      <c r="BG360" s="1">
        <f t="shared" si="210"/>
        <v>-1.1000000000000001</v>
      </c>
      <c r="BH360" s="1">
        <f t="shared" si="211"/>
        <v>1.2</v>
      </c>
      <c r="BI360" s="1">
        <f t="shared" si="212"/>
        <v>-6</v>
      </c>
      <c r="BJ360" s="1">
        <f t="shared" si="193"/>
        <v>97.6</v>
      </c>
      <c r="BK360" s="1">
        <f t="shared" si="194"/>
        <v>94</v>
      </c>
      <c r="BL360" s="1">
        <f t="shared" si="203"/>
        <v>1.8</v>
      </c>
      <c r="BM360" s="1">
        <f t="shared" si="204"/>
        <v>6.3</v>
      </c>
      <c r="BN360" s="21">
        <f t="shared" si="195"/>
        <v>5</v>
      </c>
      <c r="BO360" s="7">
        <f t="shared" si="196"/>
        <v>0.4910000000000001</v>
      </c>
      <c r="BP360" s="21">
        <f t="shared" si="190"/>
        <v>-0.5</v>
      </c>
      <c r="BQ360" s="1">
        <f t="shared" si="197"/>
        <v>-2.6</v>
      </c>
      <c r="BR360" s="1">
        <f t="shared" si="198"/>
        <v>0.2</v>
      </c>
      <c r="BS360" s="1">
        <f t="shared" si="199"/>
        <v>-11.7</v>
      </c>
      <c r="BT360" s="1">
        <f t="shared" si="213"/>
        <v>-0.4</v>
      </c>
      <c r="BU360" s="1" t="s">
        <v>113</v>
      </c>
      <c r="BV360" s="1">
        <f t="shared" si="214"/>
        <v>1.1000000000000001</v>
      </c>
      <c r="BW360" s="1" t="str">
        <f t="shared" si="205"/>
        <v>NAN</v>
      </c>
      <c r="BX360" s="1">
        <f t="shared" si="206"/>
        <v>0.627</v>
      </c>
      <c r="BY360" s="1">
        <f t="shared" si="207"/>
        <v>0.04</v>
      </c>
      <c r="CA360" s="1">
        <f t="shared" si="200"/>
        <v>-1</v>
      </c>
      <c r="CB360" s="1">
        <f t="shared" si="201"/>
        <v>-5.6999999999999993</v>
      </c>
    </row>
    <row r="361" spans="1:80" x14ac:dyDescent="0.2">
      <c r="A361" s="9">
        <f t="shared" si="208"/>
        <v>43821</v>
      </c>
      <c r="B361" s="2">
        <v>356</v>
      </c>
      <c r="C361" s="2">
        <v>21</v>
      </c>
      <c r="D361" s="2">
        <v>13.09</v>
      </c>
      <c r="E361" s="2">
        <v>-1.8480000000000001</v>
      </c>
      <c r="F361" s="2">
        <v>-14.61</v>
      </c>
      <c r="G361" s="2">
        <v>-6.5629999999999997</v>
      </c>
      <c r="H361" s="2">
        <v>98.1</v>
      </c>
      <c r="I361" s="2">
        <v>-3.34</v>
      </c>
      <c r="J361" s="2">
        <v>-0.55700000000000005</v>
      </c>
      <c r="K361" s="2">
        <v>-0.40200000000000002</v>
      </c>
      <c r="L361" s="2">
        <v>1.08</v>
      </c>
      <c r="M361" s="2">
        <v>-1.9550000000000001</v>
      </c>
      <c r="N361" s="2">
        <v>100.6</v>
      </c>
      <c r="O361" s="2">
        <v>-0.80100000000000005</v>
      </c>
      <c r="P361" s="2">
        <v>-0.22900000000000001</v>
      </c>
      <c r="Q361" s="2">
        <v>-0.14799999999999999</v>
      </c>
      <c r="R361" s="2">
        <v>1.2330000000000001</v>
      </c>
      <c r="S361" s="2">
        <v>-13.64</v>
      </c>
      <c r="T361" s="2">
        <v>89.6</v>
      </c>
      <c r="U361" s="2">
        <v>-4.2830000000000004</v>
      </c>
      <c r="V361" s="2">
        <v>-0.77600000000000002</v>
      </c>
      <c r="W361" s="2">
        <v>-0.55700000000000005</v>
      </c>
      <c r="X361" s="2">
        <v>0.98399999999999999</v>
      </c>
      <c r="Y361" s="2">
        <v>1.931</v>
      </c>
      <c r="Z361" s="2">
        <v>0</v>
      </c>
      <c r="AA361" s="2">
        <v>1.1599999999999999</v>
      </c>
      <c r="AB361" s="2">
        <v>1.607</v>
      </c>
      <c r="AC361" s="2">
        <v>0.1</v>
      </c>
      <c r="AD361" s="2">
        <v>2.2599999999999998</v>
      </c>
      <c r="AE361" s="2">
        <v>-10.36</v>
      </c>
      <c r="AF361" s="2">
        <v>-4.1120000000000001</v>
      </c>
      <c r="AG361" s="2">
        <v>-22.51</v>
      </c>
      <c r="AH361" s="2">
        <v>-4.1120000000000001</v>
      </c>
      <c r="AI361" s="2">
        <v>-22.51</v>
      </c>
      <c r="AJ361" s="2" t="s">
        <v>113</v>
      </c>
      <c r="AK361" s="2" t="s">
        <v>113</v>
      </c>
      <c r="AL361" s="2">
        <v>-7.07</v>
      </c>
      <c r="AM361" s="2">
        <v>-1.5089999999999999</v>
      </c>
      <c r="AN361" s="2">
        <v>-14.94</v>
      </c>
      <c r="AO361" s="2"/>
      <c r="AP361" s="1">
        <f t="shared" si="215"/>
        <v>0.51900000000000013</v>
      </c>
      <c r="AQ361" s="23">
        <f t="shared" si="209"/>
        <v>-0.5</v>
      </c>
      <c r="AR361" s="5">
        <v>4.9000000000000004</v>
      </c>
      <c r="AS361" s="5">
        <v>1.73</v>
      </c>
      <c r="AT361" s="5">
        <v>1.6</v>
      </c>
      <c r="AU361" s="7">
        <f t="shared" si="202"/>
        <v>0.92500000000000004</v>
      </c>
      <c r="AV361" s="16"/>
      <c r="AW361" s="30">
        <v>3.96</v>
      </c>
      <c r="AX361" s="29">
        <v>439</v>
      </c>
      <c r="AY361" s="1">
        <f t="shared" si="180"/>
        <v>97.1</v>
      </c>
      <c r="AZ361" s="1">
        <f t="shared" si="181"/>
        <v>94.7</v>
      </c>
      <c r="BA361" s="1">
        <f t="shared" si="182"/>
        <v>86.4</v>
      </c>
      <c r="BB361" s="8">
        <f t="shared" si="183"/>
        <v>0.45700000000000002</v>
      </c>
      <c r="BC361" s="8">
        <f t="shared" si="184"/>
        <v>7.1999999999999995E-2</v>
      </c>
      <c r="BE361" s="5">
        <f t="shared" si="191"/>
        <v>1.73</v>
      </c>
      <c r="BF361" s="5">
        <f t="shared" si="192"/>
        <v>1.6</v>
      </c>
      <c r="BG361" s="1">
        <f t="shared" si="210"/>
        <v>-6.6</v>
      </c>
      <c r="BH361" s="1">
        <f t="shared" si="211"/>
        <v>-2</v>
      </c>
      <c r="BI361" s="1">
        <f t="shared" si="212"/>
        <v>-13.6</v>
      </c>
      <c r="BJ361" s="1">
        <f t="shared" si="193"/>
        <v>94.7</v>
      </c>
      <c r="BK361" s="1">
        <f t="shared" si="194"/>
        <v>86.4</v>
      </c>
      <c r="BL361" s="1">
        <f t="shared" si="203"/>
        <v>0.1</v>
      </c>
      <c r="BM361" s="1">
        <f t="shared" si="204"/>
        <v>2.2999999999999998</v>
      </c>
      <c r="BN361" s="21">
        <f t="shared" si="195"/>
        <v>3.96</v>
      </c>
      <c r="BO361" s="7">
        <f t="shared" si="196"/>
        <v>0.51900000000000013</v>
      </c>
      <c r="BP361" s="21">
        <f t="shared" si="190"/>
        <v>-0.5</v>
      </c>
      <c r="BQ361" s="1">
        <f t="shared" si="197"/>
        <v>-10.4</v>
      </c>
      <c r="BR361" s="1">
        <f t="shared" si="198"/>
        <v>-4.0999999999999996</v>
      </c>
      <c r="BS361" s="1">
        <f t="shared" si="199"/>
        <v>-22.5</v>
      </c>
      <c r="BT361" s="1">
        <f t="shared" si="213"/>
        <v>-0.4</v>
      </c>
      <c r="BU361" s="1" t="s">
        <v>113</v>
      </c>
      <c r="BV361" s="1">
        <f t="shared" si="214"/>
        <v>1.1000000000000001</v>
      </c>
      <c r="BW361" s="1" t="str">
        <f t="shared" si="205"/>
        <v>NAN</v>
      </c>
      <c r="BX361" s="1">
        <f t="shared" si="206"/>
        <v>0.45700000000000002</v>
      </c>
      <c r="BY361" s="1">
        <f t="shared" si="207"/>
        <v>7.1999999999999995E-2</v>
      </c>
      <c r="CA361" s="1">
        <f t="shared" si="200"/>
        <v>-2.0999999999999996</v>
      </c>
      <c r="CB361" s="1">
        <f t="shared" si="201"/>
        <v>-8.9</v>
      </c>
    </row>
    <row r="362" spans="1:80" x14ac:dyDescent="0.2">
      <c r="A362" s="9">
        <f t="shared" si="208"/>
        <v>43822</v>
      </c>
      <c r="B362" s="2">
        <v>357</v>
      </c>
      <c r="C362" s="2">
        <v>21</v>
      </c>
      <c r="D362" s="2">
        <v>13.09</v>
      </c>
      <c r="E362" s="2">
        <v>8.92</v>
      </c>
      <c r="F362" s="2">
        <v>-10.85</v>
      </c>
      <c r="G362" s="2">
        <v>-5.9409999999999998</v>
      </c>
      <c r="H362" s="2">
        <v>95.5</v>
      </c>
      <c r="I362" s="2">
        <v>-3.8140000000000001</v>
      </c>
      <c r="J362" s="2">
        <v>-0.751</v>
      </c>
      <c r="K362" s="2">
        <v>-0.35499999999999998</v>
      </c>
      <c r="L362" s="2">
        <v>1.0760000000000001</v>
      </c>
      <c r="M362" s="2">
        <v>1.83</v>
      </c>
      <c r="N362" s="2">
        <v>101.2</v>
      </c>
      <c r="O362" s="2">
        <v>-2.62</v>
      </c>
      <c r="P362" s="2">
        <v>0.32800000000000001</v>
      </c>
      <c r="Q362" s="2">
        <v>0.68899999999999995</v>
      </c>
      <c r="R362" s="2">
        <v>1.5329999999999999</v>
      </c>
      <c r="S362" s="2">
        <v>-11.73</v>
      </c>
      <c r="T362" s="2">
        <v>68</v>
      </c>
      <c r="U362" s="2">
        <v>-4.8869999999999996</v>
      </c>
      <c r="V362" s="2">
        <v>-1.129</v>
      </c>
      <c r="W362" s="2">
        <v>-0.70399999999999996</v>
      </c>
      <c r="X362" s="2">
        <v>0.77900000000000003</v>
      </c>
      <c r="Y362" s="2">
        <v>1.9490000000000001</v>
      </c>
      <c r="Z362" s="2">
        <v>0.254</v>
      </c>
      <c r="AA362" s="2">
        <v>3.1629999999999998</v>
      </c>
      <c r="AB362" s="2">
        <v>3.49</v>
      </c>
      <c r="AC362" s="2">
        <v>0.27900000000000003</v>
      </c>
      <c r="AD362" s="2">
        <v>2.66</v>
      </c>
      <c r="AE362" s="2">
        <v>-10.61</v>
      </c>
      <c r="AF362" s="2">
        <v>-1.9990000000000001</v>
      </c>
      <c r="AG362" s="2">
        <v>-22.44</v>
      </c>
      <c r="AH362" s="2">
        <v>-1.9990000000000001</v>
      </c>
      <c r="AI362" s="2">
        <v>-22.44</v>
      </c>
      <c r="AJ362" s="2" t="s">
        <v>113</v>
      </c>
      <c r="AK362" s="2" t="s">
        <v>113</v>
      </c>
      <c r="AL362" s="2">
        <v>-5.9880000000000004</v>
      </c>
      <c r="AM362" s="2">
        <v>4.6120000000000001</v>
      </c>
      <c r="AN362" s="2">
        <v>-12.62</v>
      </c>
      <c r="AO362" s="2"/>
      <c r="AP362" s="1">
        <f t="shared" si="215"/>
        <v>0.50100000000000011</v>
      </c>
      <c r="AQ362" s="23">
        <f t="shared" si="209"/>
        <v>-0.6</v>
      </c>
      <c r="AR362" s="5">
        <v>4.9000000000000004</v>
      </c>
      <c r="AS362" s="5">
        <v>3.85</v>
      </c>
      <c r="AT362" s="5">
        <v>3.42</v>
      </c>
      <c r="AU362" s="7">
        <f t="shared" si="202"/>
        <v>0.88800000000000001</v>
      </c>
      <c r="AV362" s="16"/>
      <c r="AW362" s="30">
        <v>0</v>
      </c>
      <c r="AX362" s="29">
        <v>421</v>
      </c>
      <c r="AY362" s="1">
        <f t="shared" si="180"/>
        <v>97.7</v>
      </c>
      <c r="AZ362" s="1">
        <f t="shared" si="181"/>
        <v>92.1</v>
      </c>
      <c r="BA362" s="1">
        <f t="shared" si="182"/>
        <v>65.5</v>
      </c>
      <c r="BB362" s="8">
        <f t="shared" si="183"/>
        <v>0.45600000000000002</v>
      </c>
      <c r="BC362" s="8">
        <f t="shared" si="184"/>
        <v>0.24</v>
      </c>
      <c r="BE362" s="5">
        <f t="shared" si="191"/>
        <v>3.85</v>
      </c>
      <c r="BF362" s="5">
        <f t="shared" si="192"/>
        <v>3.42</v>
      </c>
      <c r="BG362" s="1">
        <f t="shared" si="210"/>
        <v>-5.9</v>
      </c>
      <c r="BH362" s="1">
        <f t="shared" si="211"/>
        <v>1.8</v>
      </c>
      <c r="BI362" s="1">
        <f t="shared" si="212"/>
        <v>-11.7</v>
      </c>
      <c r="BJ362" s="1">
        <f t="shared" si="193"/>
        <v>92.1</v>
      </c>
      <c r="BK362" s="1">
        <f t="shared" si="194"/>
        <v>65.5</v>
      </c>
      <c r="BL362" s="1">
        <f t="shared" si="203"/>
        <v>0.3</v>
      </c>
      <c r="BM362" s="1">
        <f t="shared" si="204"/>
        <v>2.7</v>
      </c>
      <c r="BN362" s="21">
        <f t="shared" si="195"/>
        <v>0</v>
      </c>
      <c r="BO362" s="7">
        <f t="shared" si="196"/>
        <v>0.50100000000000011</v>
      </c>
      <c r="BP362" s="21">
        <f t="shared" si="190"/>
        <v>-0.6</v>
      </c>
      <c r="BQ362" s="1">
        <f t="shared" si="197"/>
        <v>-10.6</v>
      </c>
      <c r="BR362" s="1">
        <f t="shared" si="198"/>
        <v>-2</v>
      </c>
      <c r="BS362" s="1">
        <f t="shared" si="199"/>
        <v>-22.4</v>
      </c>
      <c r="BT362" s="1">
        <f t="shared" si="213"/>
        <v>-0.4</v>
      </c>
      <c r="BU362" s="1" t="s">
        <v>113</v>
      </c>
      <c r="BV362" s="1">
        <f t="shared" si="214"/>
        <v>1.1000000000000001</v>
      </c>
      <c r="BW362" s="1" t="str">
        <f t="shared" si="205"/>
        <v>NAN</v>
      </c>
      <c r="BX362" s="1">
        <f t="shared" si="206"/>
        <v>0.45600000000000002</v>
      </c>
      <c r="BY362" s="1">
        <f t="shared" si="207"/>
        <v>0.24</v>
      </c>
      <c r="CA362" s="1">
        <f t="shared" si="200"/>
        <v>-3.8</v>
      </c>
      <c r="CB362" s="1">
        <f t="shared" si="201"/>
        <v>-10.7</v>
      </c>
    </row>
    <row r="363" spans="1:80" x14ac:dyDescent="0.2">
      <c r="A363" s="9">
        <f t="shared" si="208"/>
        <v>43823</v>
      </c>
      <c r="B363" s="2">
        <v>358</v>
      </c>
      <c r="C363" s="2">
        <v>21</v>
      </c>
      <c r="D363" s="2">
        <v>13.06</v>
      </c>
      <c r="E363" s="2">
        <v>4.1840000000000002</v>
      </c>
      <c r="F363" s="2">
        <v>-15.86</v>
      </c>
      <c r="G363" s="2">
        <v>-7.95</v>
      </c>
      <c r="H363" s="2">
        <v>97</v>
      </c>
      <c r="I363" s="2">
        <v>-4.6660000000000004</v>
      </c>
      <c r="J363" s="2">
        <v>-0.92800000000000005</v>
      </c>
      <c r="K363" s="2">
        <v>-0.40600000000000003</v>
      </c>
      <c r="L363" s="2">
        <v>1.0640000000000001</v>
      </c>
      <c r="M363" s="2">
        <v>-1.87</v>
      </c>
      <c r="N363" s="2">
        <v>100.6</v>
      </c>
      <c r="O363" s="2">
        <v>-3.0950000000000002</v>
      </c>
      <c r="P363" s="2">
        <v>-0.154</v>
      </c>
      <c r="Q363" s="2">
        <v>0.36499999999999999</v>
      </c>
      <c r="R363" s="2">
        <v>1.3560000000000001</v>
      </c>
      <c r="S363" s="2">
        <v>-15.58</v>
      </c>
      <c r="T363" s="2">
        <v>75.3</v>
      </c>
      <c r="U363" s="2">
        <v>-5.8789999999999996</v>
      </c>
      <c r="V363" s="2">
        <v>-1.1970000000000001</v>
      </c>
      <c r="W363" s="2">
        <v>-0.64400000000000002</v>
      </c>
      <c r="X363" s="2">
        <v>0.81699999999999995</v>
      </c>
      <c r="Y363" s="2">
        <v>1.97</v>
      </c>
      <c r="Z363" s="2">
        <v>0</v>
      </c>
      <c r="AA363" s="2">
        <v>2.6520000000000001</v>
      </c>
      <c r="AB363" s="2">
        <v>2.3719999999999999</v>
      </c>
      <c r="AC363" s="2">
        <v>0.36499999999999999</v>
      </c>
      <c r="AD363" s="2">
        <v>2.847</v>
      </c>
      <c r="AE363" s="2">
        <v>-11.01</v>
      </c>
      <c r="AF363" s="2">
        <v>-5.0650000000000004</v>
      </c>
      <c r="AG363" s="2">
        <v>-23.94</v>
      </c>
      <c r="AH363" s="2">
        <v>-5.0650000000000004</v>
      </c>
      <c r="AI363" s="2">
        <v>-23.94</v>
      </c>
      <c r="AJ363" s="2" t="s">
        <v>113</v>
      </c>
      <c r="AK363" s="2" t="s">
        <v>113</v>
      </c>
      <c r="AL363" s="2">
        <v>-8.09</v>
      </c>
      <c r="AM363" s="2">
        <v>-0.44900000000000001</v>
      </c>
      <c r="AN363" s="2">
        <v>-17.079999999999998</v>
      </c>
      <c r="AO363" s="2"/>
      <c r="AP363" s="1">
        <f t="shared" si="215"/>
        <v>0.4800000000000002</v>
      </c>
      <c r="AQ363" s="23">
        <f t="shared" si="209"/>
        <v>-0.7</v>
      </c>
      <c r="AR363" s="5">
        <v>4.92</v>
      </c>
      <c r="AS363" s="5">
        <v>2.65</v>
      </c>
      <c r="AT363" s="5">
        <v>2.37</v>
      </c>
      <c r="AU363" s="7">
        <f t="shared" si="202"/>
        <v>0.89400000000000002</v>
      </c>
      <c r="AV363" s="16"/>
      <c r="AW363" s="30">
        <v>0</v>
      </c>
      <c r="AX363" s="29">
        <v>400</v>
      </c>
      <c r="AY363" s="1">
        <f t="shared" si="180"/>
        <v>97.1</v>
      </c>
      <c r="AZ363" s="1">
        <f t="shared" si="181"/>
        <v>93.6</v>
      </c>
      <c r="BA363" s="1">
        <f t="shared" si="182"/>
        <v>72.5</v>
      </c>
      <c r="BB363" s="8">
        <f t="shared" si="183"/>
        <v>0.38600000000000001</v>
      </c>
      <c r="BC363" s="8">
        <f t="shared" si="184"/>
        <v>0.14599999999999999</v>
      </c>
      <c r="BE363" s="5">
        <f t="shared" si="191"/>
        <v>2.65</v>
      </c>
      <c r="BF363" s="5">
        <f t="shared" si="192"/>
        <v>2.37</v>
      </c>
      <c r="BG363" s="1">
        <f t="shared" si="210"/>
        <v>-8</v>
      </c>
      <c r="BH363" s="1">
        <f t="shared" si="211"/>
        <v>-1.9</v>
      </c>
      <c r="BI363" s="1">
        <f t="shared" si="212"/>
        <v>-15.6</v>
      </c>
      <c r="BJ363" s="1">
        <f t="shared" si="193"/>
        <v>93.6</v>
      </c>
      <c r="BK363" s="1">
        <f t="shared" si="194"/>
        <v>72.5</v>
      </c>
      <c r="BL363" s="1">
        <f t="shared" si="203"/>
        <v>0.4</v>
      </c>
      <c r="BM363" s="1">
        <f t="shared" si="204"/>
        <v>2.8</v>
      </c>
      <c r="BN363" s="21">
        <f t="shared" si="195"/>
        <v>0</v>
      </c>
      <c r="BO363" s="7">
        <f t="shared" si="196"/>
        <v>0.4800000000000002</v>
      </c>
      <c r="BP363" s="21">
        <f t="shared" si="190"/>
        <v>-0.7</v>
      </c>
      <c r="BQ363" s="1">
        <f t="shared" si="197"/>
        <v>-11</v>
      </c>
      <c r="BR363" s="1">
        <f t="shared" si="198"/>
        <v>-5.0999999999999996</v>
      </c>
      <c r="BS363" s="1">
        <f t="shared" si="199"/>
        <v>-23.9</v>
      </c>
      <c r="BT363" s="1">
        <f t="shared" si="213"/>
        <v>-0.4</v>
      </c>
      <c r="BU363" s="1" t="s">
        <v>113</v>
      </c>
      <c r="BV363" s="1">
        <f t="shared" si="214"/>
        <v>1.1000000000000001</v>
      </c>
      <c r="BW363" s="1" t="str">
        <f t="shared" si="205"/>
        <v>NAN</v>
      </c>
      <c r="BX363" s="1">
        <f t="shared" si="206"/>
        <v>0.38600000000000001</v>
      </c>
      <c r="BY363" s="1">
        <f t="shared" si="207"/>
        <v>0.14599999999999999</v>
      </c>
      <c r="CA363" s="1">
        <f t="shared" si="200"/>
        <v>-3.1999999999999997</v>
      </c>
      <c r="CB363" s="1">
        <f t="shared" si="201"/>
        <v>-8.2999999999999989</v>
      </c>
    </row>
    <row r="364" spans="1:80" x14ac:dyDescent="0.2">
      <c r="A364" s="9">
        <f t="shared" si="208"/>
        <v>43824</v>
      </c>
      <c r="B364" s="2">
        <v>359</v>
      </c>
      <c r="C364" s="2">
        <v>21</v>
      </c>
      <c r="D364" s="2">
        <v>13</v>
      </c>
      <c r="E364" s="2">
        <v>8.69</v>
      </c>
      <c r="F364" s="2">
        <v>-21.63</v>
      </c>
      <c r="G364" s="2">
        <v>-12.02</v>
      </c>
      <c r="H364" s="2">
        <v>92</v>
      </c>
      <c r="I364" s="2">
        <v>-7.49</v>
      </c>
      <c r="J364" s="2">
        <v>-1.1200000000000001</v>
      </c>
      <c r="K364" s="2">
        <v>-0.41899999999999998</v>
      </c>
      <c r="L364" s="2">
        <v>1.016</v>
      </c>
      <c r="M364" s="2">
        <v>0.50800000000000001</v>
      </c>
      <c r="N364" s="2">
        <v>100.2</v>
      </c>
      <c r="O364" s="2">
        <v>-5.8559999999999999</v>
      </c>
      <c r="P364" s="2">
        <v>3.3000000000000002E-2</v>
      </c>
      <c r="Q364" s="2">
        <v>0.68700000000000006</v>
      </c>
      <c r="R364" s="2">
        <v>1.339</v>
      </c>
      <c r="S364" s="2">
        <v>-20.43</v>
      </c>
      <c r="T364" s="2">
        <v>66</v>
      </c>
      <c r="U364" s="2">
        <v>-10.029999999999999</v>
      </c>
      <c r="V364" s="2">
        <v>-1.7030000000000001</v>
      </c>
      <c r="W364" s="2">
        <v>-0.92300000000000004</v>
      </c>
      <c r="X364" s="2">
        <v>0.505</v>
      </c>
      <c r="Y364" s="2">
        <v>1.9830000000000001</v>
      </c>
      <c r="Z364" s="2">
        <v>0.254</v>
      </c>
      <c r="AA364" s="2">
        <v>3.7189999999999999</v>
      </c>
      <c r="AB364" s="2">
        <v>3.153</v>
      </c>
      <c r="AC364" s="2">
        <v>0.188</v>
      </c>
      <c r="AD364" s="2">
        <v>2.847</v>
      </c>
      <c r="AE364" s="2">
        <v>-20.97</v>
      </c>
      <c r="AF364" s="2">
        <v>-10.77</v>
      </c>
      <c r="AG364" s="2">
        <v>-32.29</v>
      </c>
      <c r="AH364" s="2">
        <v>-10.77</v>
      </c>
      <c r="AI364" s="2">
        <v>-32.29</v>
      </c>
      <c r="AJ364" s="2" t="s">
        <v>113</v>
      </c>
      <c r="AK364" s="2" t="s">
        <v>113</v>
      </c>
      <c r="AL364" s="2">
        <v>-12.75</v>
      </c>
      <c r="AM364" s="2">
        <v>1.821</v>
      </c>
      <c r="AN364" s="2">
        <v>-22.42</v>
      </c>
      <c r="AO364" s="2"/>
      <c r="AP364" s="1">
        <f t="shared" si="215"/>
        <v>0.46700000000000008</v>
      </c>
      <c r="AQ364" s="23">
        <f t="shared" si="209"/>
        <v>-0.8</v>
      </c>
      <c r="AR364" s="5">
        <v>4.93</v>
      </c>
      <c r="AS364" s="5">
        <v>3.72</v>
      </c>
      <c r="AT364" s="5">
        <v>3.15</v>
      </c>
      <c r="AU364" s="7">
        <f t="shared" si="202"/>
        <v>0.84699999999999998</v>
      </c>
      <c r="AV364" s="16"/>
      <c r="AW364" s="30">
        <v>0</v>
      </c>
      <c r="AX364" s="29">
        <v>387</v>
      </c>
      <c r="AY364" s="1">
        <f t="shared" si="180"/>
        <v>96.7</v>
      </c>
      <c r="AZ364" s="1">
        <f t="shared" si="181"/>
        <v>88.7</v>
      </c>
      <c r="BA364" s="1">
        <f t="shared" si="182"/>
        <v>63.5</v>
      </c>
      <c r="BB364" s="8">
        <f t="shared" si="183"/>
        <v>0.40200000000000002</v>
      </c>
      <c r="BC364" s="8">
        <f t="shared" si="184"/>
        <v>0.23100000000000001</v>
      </c>
      <c r="BE364" s="5">
        <f t="shared" si="191"/>
        <v>3.72</v>
      </c>
      <c r="BF364" s="5">
        <f t="shared" si="192"/>
        <v>3.15</v>
      </c>
      <c r="BG364" s="1">
        <f t="shared" si="210"/>
        <v>-12</v>
      </c>
      <c r="BH364" s="1">
        <f t="shared" si="211"/>
        <v>0.5</v>
      </c>
      <c r="BI364" s="1">
        <f t="shared" si="212"/>
        <v>-20.399999999999999</v>
      </c>
      <c r="BJ364" s="1">
        <f t="shared" si="193"/>
        <v>88.7</v>
      </c>
      <c r="BK364" s="1">
        <f t="shared" si="194"/>
        <v>63.5</v>
      </c>
      <c r="BL364" s="1">
        <f t="shared" si="203"/>
        <v>0.2</v>
      </c>
      <c r="BM364" s="1">
        <f t="shared" si="204"/>
        <v>2.8</v>
      </c>
      <c r="BN364" s="21">
        <f t="shared" si="195"/>
        <v>0</v>
      </c>
      <c r="BO364" s="7">
        <f t="shared" si="196"/>
        <v>0.46700000000000008</v>
      </c>
      <c r="BP364" s="21">
        <f t="shared" si="190"/>
        <v>-0.8</v>
      </c>
      <c r="BQ364" s="1">
        <f t="shared" si="197"/>
        <v>-21</v>
      </c>
      <c r="BR364" s="1">
        <f t="shared" si="198"/>
        <v>-10.8</v>
      </c>
      <c r="BS364" s="1">
        <f t="shared" si="199"/>
        <v>-32.299999999999997</v>
      </c>
      <c r="BT364" s="1">
        <f t="shared" si="213"/>
        <v>-0.4</v>
      </c>
      <c r="BU364" s="1" t="s">
        <v>113</v>
      </c>
      <c r="BV364" s="1">
        <f t="shared" si="214"/>
        <v>1</v>
      </c>
      <c r="BW364" s="1" t="str">
        <f t="shared" si="205"/>
        <v>NAN</v>
      </c>
      <c r="BX364" s="1">
        <f t="shared" si="206"/>
        <v>0.40200000000000002</v>
      </c>
      <c r="BY364" s="1">
        <f t="shared" si="207"/>
        <v>0.23100000000000001</v>
      </c>
      <c r="CA364" s="1">
        <f t="shared" si="200"/>
        <v>-11.3</v>
      </c>
      <c r="CB364" s="1">
        <f t="shared" si="201"/>
        <v>-11.899999999999999</v>
      </c>
    </row>
    <row r="365" spans="1:80" x14ac:dyDescent="0.2">
      <c r="A365" s="9">
        <f t="shared" si="208"/>
        <v>43825</v>
      </c>
      <c r="B365" s="2">
        <v>360</v>
      </c>
      <c r="C365" s="2">
        <v>21</v>
      </c>
      <c r="D365" s="2">
        <v>13.08</v>
      </c>
      <c r="E365" s="2">
        <v>4.1440000000000001</v>
      </c>
      <c r="F365" s="2">
        <v>-25.34</v>
      </c>
      <c r="G365" s="2">
        <v>-13.66</v>
      </c>
      <c r="H365" s="2">
        <v>92.7</v>
      </c>
      <c r="I365" s="2">
        <v>-11.75</v>
      </c>
      <c r="J365" s="2">
        <v>-1.6870000000000001</v>
      </c>
      <c r="K365" s="2">
        <v>-0.49299999999999999</v>
      </c>
      <c r="L365" s="2">
        <v>0.93899999999999995</v>
      </c>
      <c r="M365" s="2">
        <v>-5.8310000000000004</v>
      </c>
      <c r="N365" s="2">
        <v>99</v>
      </c>
      <c r="O365" s="2">
        <v>-10</v>
      </c>
      <c r="P365" s="2">
        <v>-0.12</v>
      </c>
      <c r="Q365" s="2">
        <v>0.98599999999999999</v>
      </c>
      <c r="R365" s="2">
        <v>1.4750000000000001</v>
      </c>
      <c r="S365" s="2">
        <v>-21.49</v>
      </c>
      <c r="T365" s="2">
        <v>75.3</v>
      </c>
      <c r="U365" s="2">
        <v>-13.2</v>
      </c>
      <c r="V365" s="2">
        <v>-2.323</v>
      </c>
      <c r="W365" s="2">
        <v>-1.079</v>
      </c>
      <c r="X365" s="2">
        <v>0.317</v>
      </c>
      <c r="Y365" s="2">
        <v>1.9690000000000001</v>
      </c>
      <c r="Z365" s="2">
        <v>0</v>
      </c>
      <c r="AA365" s="2">
        <v>3.6139999999999999</v>
      </c>
      <c r="AB365" s="2">
        <v>3.1749999999999998</v>
      </c>
      <c r="AC365" s="2">
        <v>0.95899999999999996</v>
      </c>
      <c r="AD365" s="2">
        <v>4.0469999999999997</v>
      </c>
      <c r="AE365" s="2">
        <v>-20.82</v>
      </c>
      <c r="AF365" s="2">
        <v>-9.6300000000000008</v>
      </c>
      <c r="AG365" s="2">
        <v>-33.619999999999997</v>
      </c>
      <c r="AH365" s="2">
        <v>-9.6300000000000008</v>
      </c>
      <c r="AI365" s="2">
        <v>-33.619999999999997</v>
      </c>
      <c r="AJ365" s="2" t="s">
        <v>113</v>
      </c>
      <c r="AK365" s="2" t="s">
        <v>113</v>
      </c>
      <c r="AL365" s="2">
        <v>-14.47</v>
      </c>
      <c r="AM365" s="2">
        <v>-3.12</v>
      </c>
      <c r="AN365" s="2">
        <v>-24</v>
      </c>
      <c r="AO365" s="2"/>
      <c r="AP365" s="1">
        <f t="shared" si="215"/>
        <v>0.48100000000000009</v>
      </c>
      <c r="AQ365" s="23">
        <f t="shared" si="209"/>
        <v>-1.1000000000000001</v>
      </c>
      <c r="AR365" s="5">
        <v>4.95</v>
      </c>
      <c r="AS365" s="5">
        <v>3.64</v>
      </c>
      <c r="AT365" s="5">
        <v>3.17</v>
      </c>
      <c r="AU365" s="7">
        <f t="shared" si="202"/>
        <v>0.871</v>
      </c>
      <c r="AV365" s="16"/>
      <c r="AW365" s="30">
        <v>1.32</v>
      </c>
      <c r="AX365" s="29">
        <v>401</v>
      </c>
      <c r="AY365" s="1">
        <f t="shared" si="180"/>
        <v>95.5</v>
      </c>
      <c r="AZ365" s="1">
        <f t="shared" si="181"/>
        <v>89.4</v>
      </c>
      <c r="BA365" s="1">
        <f t="shared" si="182"/>
        <v>72.5</v>
      </c>
      <c r="BB365" s="8">
        <f t="shared" si="183"/>
        <v>0.28599999999999998</v>
      </c>
      <c r="BC365" s="8">
        <f t="shared" si="184"/>
        <v>0.108</v>
      </c>
      <c r="BE365" s="5">
        <f t="shared" si="191"/>
        <v>3.64</v>
      </c>
      <c r="BF365" s="5">
        <f t="shared" si="192"/>
        <v>3.17</v>
      </c>
      <c r="BG365" s="1">
        <f t="shared" si="210"/>
        <v>-13.7</v>
      </c>
      <c r="BH365" s="1">
        <f t="shared" si="211"/>
        <v>-5.8</v>
      </c>
      <c r="BI365" s="1">
        <f t="shared" si="212"/>
        <v>-21.5</v>
      </c>
      <c r="BJ365" s="1">
        <f t="shared" si="193"/>
        <v>89.4</v>
      </c>
      <c r="BK365" s="1">
        <f t="shared" si="194"/>
        <v>72.5</v>
      </c>
      <c r="BL365" s="1">
        <f t="shared" si="203"/>
        <v>1</v>
      </c>
      <c r="BM365" s="1">
        <f t="shared" si="204"/>
        <v>4</v>
      </c>
      <c r="BN365" s="21">
        <f t="shared" si="195"/>
        <v>1.32</v>
      </c>
      <c r="BO365" s="7">
        <f t="shared" si="196"/>
        <v>0.48100000000000009</v>
      </c>
      <c r="BP365" s="21">
        <f t="shared" si="190"/>
        <v>-1.1000000000000001</v>
      </c>
      <c r="BQ365" s="1">
        <f t="shared" si="197"/>
        <v>-20.8</v>
      </c>
      <c r="BR365" s="1">
        <f t="shared" si="198"/>
        <v>-9.6</v>
      </c>
      <c r="BS365" s="1">
        <f t="shared" si="199"/>
        <v>-33.6</v>
      </c>
      <c r="BT365" s="1">
        <f t="shared" si="213"/>
        <v>-0.5</v>
      </c>
      <c r="BU365" s="1" t="s">
        <v>113</v>
      </c>
      <c r="BV365" s="1">
        <f t="shared" si="214"/>
        <v>0.9</v>
      </c>
      <c r="BW365" s="1" t="str">
        <f t="shared" si="205"/>
        <v>NAN</v>
      </c>
      <c r="BX365" s="1">
        <f t="shared" si="206"/>
        <v>0.28599999999999998</v>
      </c>
      <c r="BY365" s="1">
        <f t="shared" si="207"/>
        <v>0.108</v>
      </c>
      <c r="CA365" s="1">
        <f t="shared" si="200"/>
        <v>-3.8</v>
      </c>
      <c r="CB365" s="1">
        <f t="shared" si="201"/>
        <v>-12.100000000000001</v>
      </c>
    </row>
    <row r="366" spans="1:80" x14ac:dyDescent="0.2">
      <c r="A366" s="9">
        <f t="shared" si="208"/>
        <v>43826</v>
      </c>
      <c r="B366" s="2">
        <v>361</v>
      </c>
      <c r="C366" s="2">
        <v>21</v>
      </c>
      <c r="D366" s="2">
        <v>13.07</v>
      </c>
      <c r="E366" s="2">
        <v>-3.5990000000000002</v>
      </c>
      <c r="F366" s="2">
        <v>-14</v>
      </c>
      <c r="G366" s="2">
        <v>-8.51</v>
      </c>
      <c r="H366" s="2">
        <v>96.9</v>
      </c>
      <c r="I366" s="2">
        <v>-7.99</v>
      </c>
      <c r="J366" s="2">
        <v>-1.8420000000000001</v>
      </c>
      <c r="K366" s="2">
        <v>-0.56000000000000005</v>
      </c>
      <c r="L366" s="2">
        <v>1.0389999999999999</v>
      </c>
      <c r="M366" s="2">
        <v>-5.0640000000000001</v>
      </c>
      <c r="N366" s="2">
        <v>99.4</v>
      </c>
      <c r="O366" s="2">
        <v>-6.9829999999999997</v>
      </c>
      <c r="P366" s="2">
        <v>-1.611</v>
      </c>
      <c r="Q366" s="2">
        <v>-0.34699999999999998</v>
      </c>
      <c r="R366" s="2">
        <v>1.159</v>
      </c>
      <c r="S366" s="2">
        <v>-13.77</v>
      </c>
      <c r="T366" s="2">
        <v>92.2</v>
      </c>
      <c r="U366" s="2">
        <v>-10.01</v>
      </c>
      <c r="V366" s="2">
        <v>-2.0089999999999999</v>
      </c>
      <c r="W366" s="2">
        <v>-0.72699999999999998</v>
      </c>
      <c r="X366" s="2">
        <v>0.93400000000000005</v>
      </c>
      <c r="Y366" s="2">
        <v>1.923</v>
      </c>
      <c r="Z366" s="2">
        <v>0</v>
      </c>
      <c r="AA366" s="2">
        <v>1.149</v>
      </c>
      <c r="AB366" s="2">
        <v>0.99199999999999999</v>
      </c>
      <c r="AC366" s="2">
        <v>0.92300000000000004</v>
      </c>
      <c r="AD366" s="2">
        <v>4.3140000000000001</v>
      </c>
      <c r="AE366" s="2">
        <v>-12.43</v>
      </c>
      <c r="AF366" s="2">
        <v>-6.48</v>
      </c>
      <c r="AG366" s="2">
        <v>-25.6</v>
      </c>
      <c r="AH366" s="2">
        <v>-6.48</v>
      </c>
      <c r="AI366" s="2">
        <v>-25.6</v>
      </c>
      <c r="AJ366" s="2" t="s">
        <v>113</v>
      </c>
      <c r="AK366" s="2" t="s">
        <v>113</v>
      </c>
      <c r="AL366" s="2">
        <v>-8.83</v>
      </c>
      <c r="AM366" s="2">
        <v>-4.4859999999999998</v>
      </c>
      <c r="AN366" s="2">
        <v>-15.33</v>
      </c>
      <c r="AO366" s="2"/>
      <c r="AP366" s="1">
        <f t="shared" si="215"/>
        <v>0.52700000000000014</v>
      </c>
      <c r="AQ366" s="22">
        <f>ROUND(AVERAGE(I366:K366),1)</f>
        <v>-3.5</v>
      </c>
      <c r="AR366" s="5">
        <v>4.97</v>
      </c>
      <c r="AS366" s="5">
        <v>1.62</v>
      </c>
      <c r="AT366" s="5">
        <v>0.99</v>
      </c>
      <c r="AU366" s="7">
        <f t="shared" si="202"/>
        <v>0.61099999999999999</v>
      </c>
      <c r="AV366" s="16"/>
      <c r="AW366" s="30">
        <v>4.7300000000000004</v>
      </c>
      <c r="AX366" s="29">
        <v>441</v>
      </c>
      <c r="AY366" s="1">
        <f t="shared" si="180"/>
        <v>95.9</v>
      </c>
      <c r="AZ366" s="1">
        <f t="shared" si="181"/>
        <v>93.5</v>
      </c>
      <c r="BA366" s="1">
        <f t="shared" si="182"/>
        <v>88.9</v>
      </c>
      <c r="BB366" s="8">
        <f t="shared" si="183"/>
        <v>0.372</v>
      </c>
      <c r="BC366" s="8">
        <f t="shared" si="184"/>
        <v>4.5999999999999999E-2</v>
      </c>
      <c r="BE366" s="5">
        <f t="shared" si="191"/>
        <v>1.62</v>
      </c>
      <c r="BF366" s="5">
        <f t="shared" si="192"/>
        <v>0.99</v>
      </c>
      <c r="BG366" s="1">
        <f t="shared" si="210"/>
        <v>-8.5</v>
      </c>
      <c r="BH366" s="1">
        <f t="shared" si="211"/>
        <v>-5.0999999999999996</v>
      </c>
      <c r="BI366" s="1">
        <f t="shared" si="212"/>
        <v>-13.8</v>
      </c>
      <c r="BJ366" s="1">
        <f t="shared" si="193"/>
        <v>93.5</v>
      </c>
      <c r="BK366" s="1">
        <f t="shared" si="194"/>
        <v>88.9</v>
      </c>
      <c r="BL366" s="1">
        <f t="shared" si="203"/>
        <v>0.9</v>
      </c>
      <c r="BM366" s="1">
        <f t="shared" si="204"/>
        <v>4.3</v>
      </c>
      <c r="BN366" s="21">
        <f t="shared" si="195"/>
        <v>4.7300000000000004</v>
      </c>
      <c r="BO366" s="7">
        <f t="shared" si="196"/>
        <v>0.52700000000000014</v>
      </c>
      <c r="BP366" s="21">
        <f t="shared" si="190"/>
        <v>-3.5</v>
      </c>
      <c r="BQ366" s="1">
        <f t="shared" si="197"/>
        <v>-12.4</v>
      </c>
      <c r="BR366" s="1">
        <f t="shared" si="198"/>
        <v>-6.5</v>
      </c>
      <c r="BS366" s="1">
        <f t="shared" si="199"/>
        <v>-25.6</v>
      </c>
      <c r="BT366" s="1">
        <f t="shared" si="213"/>
        <v>-0.6</v>
      </c>
      <c r="BU366" s="1" t="s">
        <v>113</v>
      </c>
      <c r="BV366" s="1">
        <f t="shared" si="214"/>
        <v>1</v>
      </c>
      <c r="BW366" s="1" t="str">
        <f t="shared" si="205"/>
        <v>NAN</v>
      </c>
      <c r="BX366" s="1">
        <f t="shared" si="206"/>
        <v>0.372</v>
      </c>
      <c r="BY366" s="1">
        <f t="shared" si="207"/>
        <v>4.5999999999999999E-2</v>
      </c>
      <c r="CA366" s="1">
        <f t="shared" si="200"/>
        <v>-1.4000000000000004</v>
      </c>
      <c r="CB366" s="1">
        <f t="shared" si="201"/>
        <v>-11.8</v>
      </c>
    </row>
    <row r="367" spans="1:80" x14ac:dyDescent="0.2">
      <c r="A367" s="9">
        <f t="shared" si="208"/>
        <v>43827</v>
      </c>
      <c r="B367" s="2">
        <v>362</v>
      </c>
      <c r="C367" s="2">
        <v>21</v>
      </c>
      <c r="D367" s="2">
        <v>13.09</v>
      </c>
      <c r="E367" s="2">
        <v>-3.3290000000000002</v>
      </c>
      <c r="F367" s="2">
        <v>-18.149999999999999</v>
      </c>
      <c r="G367" s="2">
        <v>-9.41</v>
      </c>
      <c r="H367" s="2">
        <v>96.2</v>
      </c>
      <c r="I367" s="2">
        <v>-7.48</v>
      </c>
      <c r="J367" s="2">
        <v>-1.546</v>
      </c>
      <c r="K367" s="2">
        <v>-0.54200000000000004</v>
      </c>
      <c r="L367" s="2">
        <v>1.028</v>
      </c>
      <c r="M367" s="2">
        <v>-4.9470000000000001</v>
      </c>
      <c r="N367" s="2">
        <v>98.8</v>
      </c>
      <c r="O367" s="2">
        <v>-6.3250000000000002</v>
      </c>
      <c r="P367" s="2">
        <v>-1.1859999999999999</v>
      </c>
      <c r="Q367" s="2">
        <v>-0.20200000000000001</v>
      </c>
      <c r="R367" s="2">
        <v>1.2350000000000001</v>
      </c>
      <c r="S367" s="2">
        <v>-16.27</v>
      </c>
      <c r="T367" s="2">
        <v>92</v>
      </c>
      <c r="U367" s="2">
        <v>-8.35</v>
      </c>
      <c r="V367" s="2">
        <v>-1.706</v>
      </c>
      <c r="W367" s="2">
        <v>-0.67800000000000005</v>
      </c>
      <c r="X367" s="2">
        <v>0.89700000000000002</v>
      </c>
      <c r="Y367" s="2">
        <v>1.927</v>
      </c>
      <c r="Z367" s="2">
        <v>0</v>
      </c>
      <c r="AA367" s="2">
        <v>1.337</v>
      </c>
      <c r="AB367" s="2">
        <v>1.093</v>
      </c>
      <c r="AC367" s="2">
        <v>0.59099999999999997</v>
      </c>
      <c r="AD367" s="2">
        <v>3.14</v>
      </c>
      <c r="AE367" s="2">
        <v>-12.78</v>
      </c>
      <c r="AF367" s="2">
        <v>-4.8710000000000004</v>
      </c>
      <c r="AG367" s="2">
        <v>-25.07</v>
      </c>
      <c r="AH367" s="2">
        <v>-4.8710000000000004</v>
      </c>
      <c r="AI367" s="2">
        <v>-25.07</v>
      </c>
      <c r="AJ367" s="2" t="s">
        <v>113</v>
      </c>
      <c r="AK367" s="2" t="s">
        <v>113</v>
      </c>
      <c r="AL367" s="2">
        <v>-9.8699999999999992</v>
      </c>
      <c r="AM367" s="2">
        <v>-3.9169999999999998</v>
      </c>
      <c r="AN367" s="2">
        <v>-17.95</v>
      </c>
      <c r="AO367" s="2"/>
      <c r="AP367" s="1">
        <f t="shared" si="215"/>
        <v>0.52300000000000013</v>
      </c>
      <c r="AQ367" s="22">
        <f>ROUND(AVERAGE(I367:K367),1)</f>
        <v>-3.2</v>
      </c>
      <c r="AR367" s="5">
        <v>5</v>
      </c>
      <c r="AS367" s="5">
        <v>1.65</v>
      </c>
      <c r="AT367" s="5">
        <v>1.0900000000000001</v>
      </c>
      <c r="AU367" s="7">
        <f t="shared" si="202"/>
        <v>0.66100000000000003</v>
      </c>
      <c r="AV367" s="16"/>
      <c r="AW367" s="30">
        <v>1.87</v>
      </c>
      <c r="AX367" s="29">
        <v>443</v>
      </c>
      <c r="AY367" s="1">
        <f t="shared" si="180"/>
        <v>95.3</v>
      </c>
      <c r="AZ367" s="1">
        <f t="shared" si="181"/>
        <v>92.8</v>
      </c>
      <c r="BA367" s="1">
        <f t="shared" si="182"/>
        <v>88.7</v>
      </c>
      <c r="BB367" s="8">
        <f t="shared" si="183"/>
        <v>0.375</v>
      </c>
      <c r="BC367" s="8">
        <f t="shared" si="184"/>
        <v>4.8000000000000001E-2</v>
      </c>
      <c r="BE367" s="5">
        <f t="shared" si="191"/>
        <v>1.65</v>
      </c>
      <c r="BF367" s="5">
        <f t="shared" si="192"/>
        <v>1.0900000000000001</v>
      </c>
      <c r="BG367" s="1">
        <f t="shared" si="210"/>
        <v>-9.4</v>
      </c>
      <c r="BH367" s="1">
        <f t="shared" si="211"/>
        <v>-4.9000000000000004</v>
      </c>
      <c r="BI367" s="1">
        <f t="shared" si="212"/>
        <v>-16.3</v>
      </c>
      <c r="BJ367" s="1">
        <f t="shared" si="193"/>
        <v>92.8</v>
      </c>
      <c r="BK367" s="1">
        <f t="shared" si="194"/>
        <v>88.7</v>
      </c>
      <c r="BL367" s="1">
        <f t="shared" si="203"/>
        <v>0.6</v>
      </c>
      <c r="BM367" s="1">
        <f t="shared" si="204"/>
        <v>3.1</v>
      </c>
      <c r="BN367" s="21">
        <f t="shared" si="195"/>
        <v>1.87</v>
      </c>
      <c r="BO367" s="7">
        <f t="shared" si="196"/>
        <v>0.52300000000000013</v>
      </c>
      <c r="BP367" s="21">
        <f t="shared" si="190"/>
        <v>-3.2</v>
      </c>
      <c r="BQ367" s="1">
        <f t="shared" si="197"/>
        <v>-12.8</v>
      </c>
      <c r="BR367" s="1">
        <f t="shared" si="198"/>
        <v>-4.9000000000000004</v>
      </c>
      <c r="BS367" s="1">
        <f t="shared" si="199"/>
        <v>-25.1</v>
      </c>
      <c r="BT367" s="1">
        <f t="shared" si="213"/>
        <v>-0.5</v>
      </c>
      <c r="BU367" s="1" t="s">
        <v>113</v>
      </c>
      <c r="BV367" s="1">
        <f t="shared" si="214"/>
        <v>1</v>
      </c>
      <c r="BW367" s="1" t="str">
        <f t="shared" si="205"/>
        <v>NAN</v>
      </c>
      <c r="BX367" s="1">
        <f t="shared" si="206"/>
        <v>0.375</v>
      </c>
      <c r="BY367" s="1">
        <f t="shared" si="207"/>
        <v>4.8000000000000001E-2</v>
      </c>
      <c r="CA367" s="1">
        <f t="shared" si="200"/>
        <v>0</v>
      </c>
      <c r="CB367" s="1">
        <f t="shared" si="201"/>
        <v>-8.8000000000000007</v>
      </c>
    </row>
    <row r="368" spans="1:80" x14ac:dyDescent="0.2">
      <c r="A368" s="9">
        <f t="shared" si="208"/>
        <v>43828</v>
      </c>
      <c r="B368" s="2">
        <v>363</v>
      </c>
      <c r="C368" s="2">
        <v>21</v>
      </c>
      <c r="D368" s="2">
        <v>13.13</v>
      </c>
      <c r="E368" s="2">
        <v>4.843</v>
      </c>
      <c r="F368" s="2">
        <v>-10.51</v>
      </c>
      <c r="G368" s="2">
        <v>-4.8680000000000003</v>
      </c>
      <c r="H368" s="2">
        <v>98</v>
      </c>
      <c r="I368" s="2">
        <v>-5.4169999999999998</v>
      </c>
      <c r="J368" s="2">
        <v>-1.359</v>
      </c>
      <c r="K368" s="2">
        <v>-0.502</v>
      </c>
      <c r="L368" s="2">
        <v>1.034</v>
      </c>
      <c r="M368" s="2">
        <v>1.6559999999999999</v>
      </c>
      <c r="N368" s="2">
        <v>102</v>
      </c>
      <c r="O368" s="2">
        <v>-4.5110000000000001</v>
      </c>
      <c r="P368" s="2">
        <v>-0.90900000000000003</v>
      </c>
      <c r="Q368" s="2">
        <v>-9.7000000000000003E-2</v>
      </c>
      <c r="R368" s="2">
        <v>1.234</v>
      </c>
      <c r="S368" s="2">
        <v>-10.95</v>
      </c>
      <c r="T368" s="2">
        <v>83.4</v>
      </c>
      <c r="U368" s="2">
        <v>-6.4589999999999996</v>
      </c>
      <c r="V368" s="2">
        <v>-1.617</v>
      </c>
      <c r="W368" s="2">
        <v>-0.71599999999999997</v>
      </c>
      <c r="X368" s="2">
        <v>0.876</v>
      </c>
      <c r="Y368" s="2">
        <v>1.9419999999999999</v>
      </c>
      <c r="Z368" s="2">
        <v>0</v>
      </c>
      <c r="AA368" s="2">
        <v>2.024</v>
      </c>
      <c r="AB368" s="2">
        <v>2.399</v>
      </c>
      <c r="AC368" s="2">
        <v>0.34200000000000003</v>
      </c>
      <c r="AD368" s="2">
        <v>2.794</v>
      </c>
      <c r="AE368" s="2">
        <v>-7.53</v>
      </c>
      <c r="AF368" s="2">
        <v>-0.217</v>
      </c>
      <c r="AG368" s="2">
        <v>-19.309999999999999</v>
      </c>
      <c r="AH368" s="2">
        <v>-0.217</v>
      </c>
      <c r="AI368" s="2">
        <v>-19.309999999999999</v>
      </c>
      <c r="AJ368" s="2" t="s">
        <v>113</v>
      </c>
      <c r="AK368" s="2" t="s">
        <v>113</v>
      </c>
      <c r="AL368" s="2">
        <v>-4.7640000000000002</v>
      </c>
      <c r="AM368" s="2">
        <v>4.2610000000000001</v>
      </c>
      <c r="AN368" s="2">
        <v>-11.31</v>
      </c>
      <c r="AO368" s="2"/>
      <c r="AP368" s="1">
        <f t="shared" si="215"/>
        <v>0.50800000000000023</v>
      </c>
      <c r="AQ368" s="22">
        <f>ROUND(AVERAGE(I368:K368),1)</f>
        <v>-2.4</v>
      </c>
      <c r="AR368" s="5">
        <v>5.0199999999999996</v>
      </c>
      <c r="AS368" s="5">
        <v>2.68</v>
      </c>
      <c r="AT368" s="5">
        <v>2.39</v>
      </c>
      <c r="AU368" s="7">
        <f t="shared" si="202"/>
        <v>0.89200000000000002</v>
      </c>
      <c r="AV368" s="16"/>
      <c r="AW368" s="30">
        <v>0</v>
      </c>
      <c r="AX368" s="29">
        <v>428</v>
      </c>
      <c r="AY368" s="1">
        <f t="shared" si="180"/>
        <v>98.4</v>
      </c>
      <c r="AZ368" s="1">
        <f t="shared" si="181"/>
        <v>94.6</v>
      </c>
      <c r="BA368" s="1">
        <f t="shared" si="182"/>
        <v>80.400000000000006</v>
      </c>
      <c r="BB368" s="8">
        <f t="shared" si="183"/>
        <v>0.55300000000000005</v>
      </c>
      <c r="BC368" s="8">
        <f t="shared" si="184"/>
        <v>0.13500000000000001</v>
      </c>
      <c r="BE368" s="5">
        <f t="shared" si="191"/>
        <v>2.68</v>
      </c>
      <c r="BF368" s="5">
        <f t="shared" si="192"/>
        <v>2.39</v>
      </c>
      <c r="BG368" s="1">
        <f t="shared" si="210"/>
        <v>-4.9000000000000004</v>
      </c>
      <c r="BH368" s="1">
        <f t="shared" si="211"/>
        <v>1.7</v>
      </c>
      <c r="BI368" s="1">
        <f t="shared" si="212"/>
        <v>-11</v>
      </c>
      <c r="BJ368" s="1">
        <f t="shared" si="193"/>
        <v>94.6</v>
      </c>
      <c r="BK368" s="1">
        <f t="shared" si="194"/>
        <v>80.400000000000006</v>
      </c>
      <c r="BL368" s="1">
        <f t="shared" si="203"/>
        <v>0.3</v>
      </c>
      <c r="BM368" s="1">
        <f t="shared" si="204"/>
        <v>2.8</v>
      </c>
      <c r="BN368" s="21">
        <f t="shared" si="195"/>
        <v>0</v>
      </c>
      <c r="BO368" s="7">
        <f t="shared" si="196"/>
        <v>0.50800000000000023</v>
      </c>
      <c r="BP368" s="21">
        <f t="shared" si="190"/>
        <v>-2.4</v>
      </c>
      <c r="BQ368" s="1">
        <f t="shared" si="197"/>
        <v>-7.5</v>
      </c>
      <c r="BR368" s="1">
        <f t="shared" si="198"/>
        <v>-0.2</v>
      </c>
      <c r="BS368" s="1">
        <f t="shared" si="199"/>
        <v>-19.3</v>
      </c>
      <c r="BT368" s="1">
        <f t="shared" si="213"/>
        <v>-0.5</v>
      </c>
      <c r="BU368" s="1" t="s">
        <v>113</v>
      </c>
      <c r="BV368" s="1">
        <f t="shared" si="214"/>
        <v>1</v>
      </c>
      <c r="BW368" s="1" t="str">
        <f t="shared" si="205"/>
        <v>NAN</v>
      </c>
      <c r="BX368" s="1">
        <f t="shared" si="206"/>
        <v>0.55300000000000005</v>
      </c>
      <c r="BY368" s="1">
        <f t="shared" si="207"/>
        <v>0.13500000000000001</v>
      </c>
      <c r="CA368" s="1">
        <f t="shared" si="200"/>
        <v>-1.9</v>
      </c>
      <c r="CB368" s="1">
        <f t="shared" si="201"/>
        <v>-8.3000000000000007</v>
      </c>
    </row>
    <row r="369" spans="1:80" x14ac:dyDescent="0.2">
      <c r="A369" s="9">
        <f t="shared" si="208"/>
        <v>43829</v>
      </c>
      <c r="B369" s="2">
        <v>364</v>
      </c>
      <c r="C369" s="2">
        <v>21</v>
      </c>
      <c r="D369" s="2">
        <v>13.12</v>
      </c>
      <c r="E369" s="2">
        <v>-3.2669999999999999</v>
      </c>
      <c r="F369" s="2">
        <v>-13.03</v>
      </c>
      <c r="G369" s="2">
        <v>-7.33</v>
      </c>
      <c r="H369" s="2">
        <v>98.5</v>
      </c>
      <c r="I369" s="2">
        <v>-5.1449999999999996</v>
      </c>
      <c r="J369" s="2">
        <v>-1.1639999999999999</v>
      </c>
      <c r="K369" s="2">
        <v>-0.48099999999999998</v>
      </c>
      <c r="L369" s="2">
        <v>1.016</v>
      </c>
      <c r="M369" s="2">
        <v>-3.109</v>
      </c>
      <c r="N369" s="2">
        <v>100.2</v>
      </c>
      <c r="O369" s="2">
        <v>-4.6459999999999999</v>
      </c>
      <c r="P369" s="2">
        <v>-0.46800000000000003</v>
      </c>
      <c r="Q369" s="2">
        <v>0.17599999999999999</v>
      </c>
      <c r="R369" s="2">
        <v>1.278</v>
      </c>
      <c r="S369" s="2">
        <v>-12.49</v>
      </c>
      <c r="T369" s="2">
        <v>95</v>
      </c>
      <c r="U369" s="2">
        <v>-5.7869999999999999</v>
      </c>
      <c r="V369" s="2">
        <v>-1.4370000000000001</v>
      </c>
      <c r="W369" s="2">
        <v>-0.70199999999999996</v>
      </c>
      <c r="X369" s="2">
        <v>0.88300000000000001</v>
      </c>
      <c r="Y369" s="2">
        <v>1.865</v>
      </c>
      <c r="Z369" s="2">
        <v>0</v>
      </c>
      <c r="AA369" s="2">
        <v>2.0619999999999998</v>
      </c>
      <c r="AB369" s="2">
        <v>1.829</v>
      </c>
      <c r="AC369" s="2">
        <v>0.45500000000000002</v>
      </c>
      <c r="AD369" s="2">
        <v>2.5539999999999998</v>
      </c>
      <c r="AE369" s="2">
        <v>-9.84</v>
      </c>
      <c r="AF369" s="2">
        <v>-5.0730000000000004</v>
      </c>
      <c r="AG369" s="2">
        <v>-21.23</v>
      </c>
      <c r="AH369" s="2">
        <v>-5.0730000000000004</v>
      </c>
      <c r="AI369" s="2">
        <v>-21.23</v>
      </c>
      <c r="AJ369" s="2" t="s">
        <v>113</v>
      </c>
      <c r="AK369" s="2" t="s">
        <v>113</v>
      </c>
      <c r="AL369" s="2">
        <v>-7.6</v>
      </c>
      <c r="AM369" s="2">
        <v>-2.9089999999999998</v>
      </c>
      <c r="AN369" s="2">
        <v>-13.64</v>
      </c>
      <c r="AO369" s="2"/>
      <c r="AP369" s="1">
        <f t="shared" si="215"/>
        <v>0.58500000000000019</v>
      </c>
      <c r="AQ369" s="22">
        <f>ROUND(AVERAGE(I369:K369),1)</f>
        <v>-2.2999999999999998</v>
      </c>
      <c r="AR369" s="5">
        <v>5.05</v>
      </c>
      <c r="AS369" s="5">
        <v>2.06</v>
      </c>
      <c r="AT369" s="5">
        <v>1.82</v>
      </c>
      <c r="AU369" s="7">
        <f t="shared" si="202"/>
        <v>0.88300000000000001</v>
      </c>
      <c r="AV369" s="16"/>
      <c r="AW369" s="30">
        <v>8.36</v>
      </c>
      <c r="AX369" s="29">
        <v>504</v>
      </c>
      <c r="AY369" s="1">
        <f t="shared" si="180"/>
        <v>96.7</v>
      </c>
      <c r="AZ369" s="1">
        <f t="shared" si="181"/>
        <v>95</v>
      </c>
      <c r="BA369" s="1">
        <f t="shared" si="182"/>
        <v>91.7</v>
      </c>
      <c r="BB369" s="8">
        <f t="shared" si="183"/>
        <v>0.44500000000000001</v>
      </c>
      <c r="BC369" s="8">
        <f t="shared" si="184"/>
        <v>0.04</v>
      </c>
      <c r="BE369" s="5">
        <f t="shared" si="191"/>
        <v>2.06</v>
      </c>
      <c r="BF369" s="5">
        <f t="shared" si="192"/>
        <v>1.82</v>
      </c>
      <c r="BG369" s="1">
        <f t="shared" si="210"/>
        <v>-7.3</v>
      </c>
      <c r="BH369" s="1">
        <f t="shared" si="211"/>
        <v>-3.1</v>
      </c>
      <c r="BI369" s="1">
        <f t="shared" si="212"/>
        <v>-12.5</v>
      </c>
      <c r="BJ369" s="1">
        <f t="shared" si="193"/>
        <v>95</v>
      </c>
      <c r="BK369" s="1">
        <f t="shared" si="194"/>
        <v>91.7</v>
      </c>
      <c r="BL369" s="1">
        <f t="shared" si="203"/>
        <v>0.5</v>
      </c>
      <c r="BM369" s="1">
        <f t="shared" si="204"/>
        <v>2.6</v>
      </c>
      <c r="BN369" s="21">
        <f t="shared" si="195"/>
        <v>8.36</v>
      </c>
      <c r="BO369" s="7">
        <f t="shared" si="196"/>
        <v>0.58500000000000019</v>
      </c>
      <c r="BP369" s="21">
        <f t="shared" si="190"/>
        <v>-2.2999999999999998</v>
      </c>
      <c r="BQ369" s="1">
        <f t="shared" si="197"/>
        <v>-9.8000000000000007</v>
      </c>
      <c r="BR369" s="1">
        <f t="shared" si="198"/>
        <v>-5.0999999999999996</v>
      </c>
      <c r="BS369" s="1">
        <f t="shared" si="199"/>
        <v>-21.2</v>
      </c>
      <c r="BT369" s="1">
        <f t="shared" si="213"/>
        <v>-0.5</v>
      </c>
      <c r="BU369" s="1" t="s">
        <v>113</v>
      </c>
      <c r="BV369" s="1">
        <f t="shared" si="214"/>
        <v>1</v>
      </c>
      <c r="BW369" s="1" t="str">
        <f t="shared" si="205"/>
        <v>NAN</v>
      </c>
      <c r="BX369" s="1">
        <f t="shared" si="206"/>
        <v>0.44500000000000001</v>
      </c>
      <c r="BY369" s="1">
        <f t="shared" si="207"/>
        <v>0.04</v>
      </c>
      <c r="CA369" s="1">
        <f t="shared" si="200"/>
        <v>-1.9999999999999996</v>
      </c>
      <c r="CB369" s="1">
        <f t="shared" si="201"/>
        <v>-8.6999999999999993</v>
      </c>
    </row>
    <row r="370" spans="1:80" x14ac:dyDescent="0.2">
      <c r="A370" s="9">
        <f t="shared" si="208"/>
        <v>43830</v>
      </c>
      <c r="B370" s="2">
        <v>365</v>
      </c>
      <c r="C370" s="2">
        <v>21</v>
      </c>
      <c r="D370" s="2">
        <v>13.14</v>
      </c>
      <c r="E370" s="2">
        <v>-1.518</v>
      </c>
      <c r="F370" s="2">
        <v>-6.3739999999999997</v>
      </c>
      <c r="G370" s="2">
        <v>-4.6989999999999998</v>
      </c>
      <c r="H370" s="2">
        <v>99.5</v>
      </c>
      <c r="I370" s="2">
        <v>-4.09</v>
      </c>
      <c r="J370" s="2">
        <v>-1.0960000000000001</v>
      </c>
      <c r="K370" s="2">
        <v>-0.46700000000000003</v>
      </c>
      <c r="L370" s="2">
        <v>0.999</v>
      </c>
      <c r="M370" s="2">
        <v>-0.75700000000000001</v>
      </c>
      <c r="N370" s="2">
        <v>102.2</v>
      </c>
      <c r="O370" s="2">
        <v>-3.4889999999999999</v>
      </c>
      <c r="P370" s="2">
        <v>-0.45700000000000002</v>
      </c>
      <c r="Q370" s="2">
        <v>-0.34799999999999998</v>
      </c>
      <c r="R370" s="2">
        <v>1.0960000000000001</v>
      </c>
      <c r="S370" s="2">
        <v>-6.6219999999999999</v>
      </c>
      <c r="T370" s="2">
        <v>97.1</v>
      </c>
      <c r="U370" s="2">
        <v>-4.7450000000000001</v>
      </c>
      <c r="V370" s="2">
        <v>-1.2070000000000001</v>
      </c>
      <c r="W370" s="2">
        <v>-0.53100000000000003</v>
      </c>
      <c r="X370" s="2">
        <v>0.94899999999999995</v>
      </c>
      <c r="Y370" s="2">
        <v>1.8180000000000001</v>
      </c>
      <c r="Z370" s="2">
        <v>0</v>
      </c>
      <c r="AA370" s="2">
        <v>0.372</v>
      </c>
      <c r="AB370" s="2">
        <v>1.3939999999999999</v>
      </c>
      <c r="AC370" s="2">
        <v>1.448</v>
      </c>
      <c r="AD370" s="2">
        <v>4.9000000000000004</v>
      </c>
      <c r="AE370" s="2">
        <v>-4.6399999999999997</v>
      </c>
      <c r="AF370" s="2">
        <v>-1.3109999999999999</v>
      </c>
      <c r="AG370" s="2">
        <v>-6.4870000000000001</v>
      </c>
      <c r="AH370" s="2">
        <v>-1.3109999999999999</v>
      </c>
      <c r="AI370" s="2">
        <v>-6.4870000000000001</v>
      </c>
      <c r="AJ370" s="2" t="s">
        <v>113</v>
      </c>
      <c r="AK370" s="2" t="s">
        <v>113</v>
      </c>
      <c r="AL370" s="2">
        <v>-4.5940000000000003</v>
      </c>
      <c r="AM370" s="2">
        <v>-1.0029999999999999</v>
      </c>
      <c r="AN370" s="2">
        <v>-6.6150000000000002</v>
      </c>
      <c r="AO370" s="2"/>
      <c r="AP370" s="1">
        <f t="shared" si="215"/>
        <v>0.63200000000000012</v>
      </c>
      <c r="AQ370" s="22">
        <f>ROUND(AVERAGE(I370:K370),1)</f>
        <v>-1.9</v>
      </c>
      <c r="AR370" s="5">
        <v>5.09</v>
      </c>
      <c r="AS370" s="5">
        <v>1.5</v>
      </c>
      <c r="AT370" s="5">
        <v>1.39</v>
      </c>
      <c r="AU370" s="7">
        <f t="shared" si="202"/>
        <v>0.92700000000000005</v>
      </c>
      <c r="AV370" s="16"/>
      <c r="AW370" s="30">
        <v>5.39</v>
      </c>
      <c r="AX370" s="29">
        <v>552</v>
      </c>
      <c r="AY370" s="1">
        <f t="shared" si="180"/>
        <v>98.6</v>
      </c>
      <c r="AZ370" s="1">
        <f t="shared" si="181"/>
        <v>96</v>
      </c>
      <c r="BA370" s="1">
        <f t="shared" si="182"/>
        <v>93.7</v>
      </c>
      <c r="BB370" s="8">
        <f t="shared" si="183"/>
        <v>0.54100000000000004</v>
      </c>
      <c r="BC370" s="8">
        <f t="shared" si="184"/>
        <v>3.5999999999999997E-2</v>
      </c>
      <c r="BE370" s="5">
        <f t="shared" si="191"/>
        <v>1.5</v>
      </c>
      <c r="BF370" s="5">
        <f t="shared" si="192"/>
        <v>1.39</v>
      </c>
      <c r="BG370" s="1">
        <f t="shared" si="210"/>
        <v>-4.7</v>
      </c>
      <c r="BH370" s="1">
        <f t="shared" si="211"/>
        <v>-0.8</v>
      </c>
      <c r="BI370" s="1">
        <f t="shared" si="212"/>
        <v>-6.6</v>
      </c>
      <c r="BJ370" s="1">
        <f t="shared" si="193"/>
        <v>96</v>
      </c>
      <c r="BK370" s="1">
        <f t="shared" si="194"/>
        <v>93.7</v>
      </c>
      <c r="BL370" s="1">
        <f t="shared" si="203"/>
        <v>1.4</v>
      </c>
      <c r="BM370" s="1">
        <f t="shared" si="204"/>
        <v>4.9000000000000004</v>
      </c>
      <c r="BN370" s="21">
        <f t="shared" si="195"/>
        <v>5.39</v>
      </c>
      <c r="BO370" s="7">
        <f t="shared" si="196"/>
        <v>0.63200000000000012</v>
      </c>
      <c r="BP370" s="21">
        <f t="shared" si="190"/>
        <v>-1.9</v>
      </c>
      <c r="BQ370" s="1">
        <f t="shared" si="197"/>
        <v>-4.5999999999999996</v>
      </c>
      <c r="BR370" s="1">
        <f t="shared" si="198"/>
        <v>-1.3</v>
      </c>
      <c r="BS370" s="1">
        <f t="shared" si="199"/>
        <v>-6.5</v>
      </c>
      <c r="BT370" s="1">
        <f t="shared" si="213"/>
        <v>-0.5</v>
      </c>
      <c r="BU370" s="1" t="s">
        <v>113</v>
      </c>
      <c r="BV370" s="1">
        <f t="shared" si="214"/>
        <v>1</v>
      </c>
      <c r="BW370" s="1" t="str">
        <f t="shared" si="205"/>
        <v>NAN</v>
      </c>
      <c r="BX370" s="1">
        <f t="shared" si="206"/>
        <v>0.54100000000000004</v>
      </c>
      <c r="BY370" s="1">
        <f t="shared" si="207"/>
        <v>3.5999999999999997E-2</v>
      </c>
      <c r="CA370" s="1">
        <f t="shared" si="200"/>
        <v>-0.5</v>
      </c>
      <c r="CB370" s="1">
        <f t="shared" si="201"/>
        <v>9.9999999999999645E-2</v>
      </c>
    </row>
    <row r="371" spans="1:80" x14ac:dyDescent="0.2">
      <c r="A371" s="9"/>
      <c r="AD371" s="1"/>
      <c r="AE371" s="1"/>
      <c r="AH371" s="2"/>
      <c r="AI371" s="2"/>
      <c r="AR371" s="5">
        <v>5.12</v>
      </c>
      <c r="AS371" s="5"/>
      <c r="AT371" s="5"/>
      <c r="AU371" s="7"/>
      <c r="AV371" s="7"/>
    </row>
    <row r="372" spans="1:80" x14ac:dyDescent="0.2">
      <c r="N372" s="1">
        <f>MAX(N6:N370)</f>
        <v>103.3</v>
      </c>
      <c r="AY372" s="1">
        <f>MAX(AY6:AY370)</f>
        <v>99.7</v>
      </c>
    </row>
    <row r="374" spans="1:80" x14ac:dyDescent="0.2">
      <c r="G374" s="11" t="s">
        <v>45</v>
      </c>
      <c r="I374" s="11"/>
      <c r="L374" s="11" t="s">
        <v>70</v>
      </c>
      <c r="M374" s="11" t="s">
        <v>46</v>
      </c>
      <c r="N374" s="11" t="s">
        <v>47</v>
      </c>
      <c r="O374" s="11"/>
      <c r="P374" s="11"/>
      <c r="S374" s="11" t="s">
        <v>48</v>
      </c>
      <c r="T374" s="11" t="s">
        <v>49</v>
      </c>
      <c r="U374" s="11" t="s">
        <v>50</v>
      </c>
      <c r="V374" s="11" t="s">
        <v>51</v>
      </c>
      <c r="W374" s="11"/>
      <c r="Z374" s="1" t="s">
        <v>52</v>
      </c>
      <c r="AC374" s="1" t="s">
        <v>53</v>
      </c>
      <c r="AD374" s="11" t="s">
        <v>54</v>
      </c>
      <c r="AE374" s="1" t="s">
        <v>55</v>
      </c>
      <c r="AF374" s="11"/>
      <c r="AG374" s="1"/>
      <c r="AH374" s="2"/>
      <c r="AI374" s="2"/>
      <c r="AP374" s="12" t="s">
        <v>57</v>
      </c>
      <c r="AQ374" s="1" t="s">
        <v>90</v>
      </c>
      <c r="AS374" s="1" t="s">
        <v>56</v>
      </c>
      <c r="AT374" s="1" t="s">
        <v>43</v>
      </c>
      <c r="AW374" s="2"/>
      <c r="AX374" s="12" t="s">
        <v>57</v>
      </c>
      <c r="AY374" s="11" t="s">
        <v>76</v>
      </c>
      <c r="BA374" s="11" t="s">
        <v>50</v>
      </c>
      <c r="BB374" s="11" t="s">
        <v>51</v>
      </c>
      <c r="BC374" s="1" t="s">
        <v>72</v>
      </c>
      <c r="BD374" s="1" t="s">
        <v>84</v>
      </c>
    </row>
    <row r="375" spans="1:80" x14ac:dyDescent="0.2">
      <c r="A375" s="1" t="s">
        <v>58</v>
      </c>
      <c r="G375" s="13">
        <f>ROUND(AVERAGE(G6:G36),1)</f>
        <v>-5.4</v>
      </c>
      <c r="I375" s="13"/>
      <c r="L375" s="13">
        <f>ROUND(AVERAGE(L6:L36),1)</f>
        <v>1.1000000000000001</v>
      </c>
      <c r="M375" s="13">
        <f>ROUND(AVERAGE(M6:M36),1)</f>
        <v>0.4</v>
      </c>
      <c r="N375" s="13">
        <f>ROUND(MAX(M6:M36),1)</f>
        <v>12.9</v>
      </c>
      <c r="O375" s="13"/>
      <c r="P375" s="13"/>
      <c r="S375" s="13">
        <f>ROUND(AVERAGE(S6:S36),1)</f>
        <v>-11.5</v>
      </c>
      <c r="T375" s="13">
        <f>ROUND(MIN(S6:S36),1)</f>
        <v>-20.9</v>
      </c>
      <c r="U375" s="13">
        <f>ROUND(AVERAGE(T6:T36),1)</f>
        <v>68</v>
      </c>
      <c r="V375" s="13">
        <f>ROUND(MIN(T6:T36),1)</f>
        <v>13.3</v>
      </c>
      <c r="W375" s="13"/>
      <c r="Z375" s="13">
        <f>ROUND(SUM(Z6:Z36),1)</f>
        <v>3</v>
      </c>
      <c r="AB375" s="13"/>
      <c r="AC375" s="13">
        <f>ROUND(AVERAGE(AC6:AC36),1)</f>
        <v>1.5</v>
      </c>
      <c r="AD375" s="13">
        <f>ROUND(AVERAGE(AD6:AD36),1)</f>
        <v>5.0999999999999996</v>
      </c>
      <c r="AE375" s="13">
        <f>ROUND(MAX(AD6:AD36),1)</f>
        <v>7.9</v>
      </c>
      <c r="AF375" s="13"/>
      <c r="AG375" s="13"/>
      <c r="AH375" s="2"/>
      <c r="AI375" s="2"/>
      <c r="AP375" s="15">
        <f>AP36*1000</f>
        <v>674.00000000000011</v>
      </c>
      <c r="AQ375" s="13">
        <f>ROUND(AVERAGE(AQ6:AQ36),1)</f>
        <v>-1.7</v>
      </c>
      <c r="AS375" s="14">
        <f>ROUND(AVERAGE(AS6:AS36),2)</f>
        <v>3.71</v>
      </c>
      <c r="AT375" s="14">
        <f>ROUND(AVERAGE(AT6:AT36),2)</f>
        <v>3.26</v>
      </c>
      <c r="AU375" s="14"/>
      <c r="AV375" s="14"/>
      <c r="AW375" s="17"/>
      <c r="AX375" s="15">
        <f>AX36</f>
        <v>670</v>
      </c>
      <c r="AY375" s="13">
        <f>ROUND(AVERAGE(AZ6:AZ36),1)</f>
        <v>85.7</v>
      </c>
      <c r="BA375" s="13">
        <f>ROUND(AVERAGE(AZ6:AZ36),1)</f>
        <v>85.7</v>
      </c>
      <c r="BB375" s="13">
        <f>ROUND(MIN(AZ6:AZ36),1)</f>
        <v>64.7</v>
      </c>
      <c r="BC375" s="14">
        <f>ROUND(AVERAGE(BB6:BB36),2)</f>
        <v>0.4</v>
      </c>
      <c r="BD375" s="14">
        <f>ROUND(MAX(BC5:BC35),2)</f>
        <v>0.92</v>
      </c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</row>
    <row r="376" spans="1:80" x14ac:dyDescent="0.2">
      <c r="A376" s="1" t="s">
        <v>59</v>
      </c>
      <c r="G376" s="13">
        <f>ROUND(AVERAGE(G37:G64),1)</f>
        <v>-12.5</v>
      </c>
      <c r="I376" s="13"/>
      <c r="L376" s="13">
        <f>ROUND(AVERAGE(L37:L64),1)</f>
        <v>0.9</v>
      </c>
      <c r="M376" s="13">
        <f>ROUND(AVERAGE(M37:M64),1)</f>
        <v>-7.5</v>
      </c>
      <c r="N376" s="13">
        <f>ROUND(MAX(M37:M64),1)</f>
        <v>1.8</v>
      </c>
      <c r="O376" s="13"/>
      <c r="P376" s="13"/>
      <c r="S376" s="13">
        <f>ROUND(AVERAGE(S37:S64),1)</f>
        <v>-18.899999999999999</v>
      </c>
      <c r="T376" s="13">
        <f>ROUND(MIN(S37:S64),1)</f>
        <v>-30.3</v>
      </c>
      <c r="U376" s="13">
        <f>ROUND(AVERAGE(T37:T64),1)</f>
        <v>67</v>
      </c>
      <c r="V376" s="13">
        <f>ROUND(MIN(T37:T64),1)</f>
        <v>29.4</v>
      </c>
      <c r="W376" s="13"/>
      <c r="Z376" s="13">
        <f>ROUND(SUM(Z37:Z64),1)</f>
        <v>0</v>
      </c>
      <c r="AB376" s="13"/>
      <c r="AC376" s="13">
        <f>ROUND(AVERAGE(AC37:AC64),1)</f>
        <v>1.6</v>
      </c>
      <c r="AD376" s="13">
        <f>ROUND(AVERAGE(AD37:AD64),1)</f>
        <v>5.6</v>
      </c>
      <c r="AE376" s="13">
        <f>ROUND(MAX(AD37:AD64),1)</f>
        <v>9.1</v>
      </c>
      <c r="AF376" s="13"/>
      <c r="AG376" s="13"/>
      <c r="AH376" s="2"/>
      <c r="AI376" s="2"/>
      <c r="AP376" s="15">
        <f>AP64*1000</f>
        <v>936.00000000000011</v>
      </c>
      <c r="AQ376" s="13">
        <f>ROUND(AVERAGE(AQ37:AQ64),1)</f>
        <v>-1.7</v>
      </c>
      <c r="AS376" s="14">
        <f>ROUND(AVERAGE(AS37:AS64),2)</f>
        <v>6.69</v>
      </c>
      <c r="AT376" s="14">
        <f>ROUND(AVERAGE(AT37:AT64),2)</f>
        <v>5.95</v>
      </c>
      <c r="AU376" s="14"/>
      <c r="AV376" s="14"/>
      <c r="AW376" s="17"/>
      <c r="AX376" s="15">
        <f>AX64</f>
        <v>932</v>
      </c>
      <c r="AY376" s="13">
        <f>ROUND(AVERAGE(AZ37:AZ64),1)</f>
        <v>83.4</v>
      </c>
      <c r="BA376" s="13">
        <f>ROUND(AVERAGE(AZ37:AZ64),1)</f>
        <v>83.4</v>
      </c>
      <c r="BB376" s="13">
        <f>ROUND(MIN(AZ37:AZ64),1)</f>
        <v>70.5</v>
      </c>
      <c r="BC376" s="14">
        <f>ROUND(AVERAGE(BB37:BB64),2)</f>
        <v>0.24</v>
      </c>
      <c r="BD376" s="14">
        <f>ROUND(MAX(BC36:BC62),2)</f>
        <v>0.34</v>
      </c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</row>
    <row r="377" spans="1:80" x14ac:dyDescent="0.2">
      <c r="A377" s="1" t="s">
        <v>60</v>
      </c>
      <c r="G377" s="13">
        <f>ROUND(AVERAGE(G65:G95),1)</f>
        <v>-3.9</v>
      </c>
      <c r="I377" s="13"/>
      <c r="L377" s="13">
        <f>ROUND(AVERAGE(L65:L95),1)</f>
        <v>0.8</v>
      </c>
      <c r="M377" s="13">
        <f>ROUND(AVERAGE(M65:M95),1)</f>
        <v>4.7</v>
      </c>
      <c r="N377" s="13">
        <f>ROUND(MAX(M65:M95),1)</f>
        <v>17.3</v>
      </c>
      <c r="O377" s="13"/>
      <c r="P377" s="13"/>
      <c r="S377" s="13">
        <f>ROUND(AVERAGE(S65:S95),1)</f>
        <v>-12.2</v>
      </c>
      <c r="T377" s="13">
        <f>ROUND(MIN(S65:S95),1)</f>
        <v>-28.1</v>
      </c>
      <c r="U377" s="13">
        <f>ROUND(AVERAGE(T65:T95),1)</f>
        <v>40.799999999999997</v>
      </c>
      <c r="V377" s="13">
        <f>ROUND(MIN(T65:T95),1)</f>
        <v>17.600000000000001</v>
      </c>
      <c r="W377" s="13"/>
      <c r="Z377" s="13">
        <f>ROUND(SUM(Z65:Z95),1)</f>
        <v>14.5</v>
      </c>
      <c r="AB377" s="13"/>
      <c r="AC377" s="13">
        <f>ROUND(AVERAGE(AC65:AC95),1)</f>
        <v>1.2</v>
      </c>
      <c r="AD377" s="13">
        <f>ROUND(AVERAGE(AD65:AD95),1)</f>
        <v>4.9000000000000004</v>
      </c>
      <c r="AE377" s="13">
        <f>ROUND(MAX(AD65:AD95),1)</f>
        <v>6.8</v>
      </c>
      <c r="AF377" s="13"/>
      <c r="AG377" s="13"/>
      <c r="AH377" s="2"/>
      <c r="AI377" s="2"/>
      <c r="AP377" s="16">
        <f>AP95*1000</f>
        <v>562.00000000000023</v>
      </c>
      <c r="AQ377" s="13">
        <f>ROUND(AVERAGE(AQ65:AQ95),1)</f>
        <v>-0.7</v>
      </c>
      <c r="AS377" s="14">
        <f>ROUND(AVERAGE(AS65:AS95),2)</f>
        <v>13.1</v>
      </c>
      <c r="AT377" s="14">
        <f>ROUND(AVERAGE(AT65:AT95),2)</f>
        <v>10.63</v>
      </c>
      <c r="AU377" s="14"/>
      <c r="AV377" s="14"/>
      <c r="AW377" s="17"/>
      <c r="AX377" s="16">
        <f>AX95</f>
        <v>558</v>
      </c>
      <c r="AY377" s="13">
        <f>ROUND(AVERAGE(AZ65:AZ95),1)</f>
        <v>71.8</v>
      </c>
      <c r="BA377" s="13">
        <f>ROUND(AVERAGE(AZ65:AZ95),1)</f>
        <v>71.8</v>
      </c>
      <c r="BB377" s="13">
        <f>ROUND(MIN(AZ65:AZ95),1)</f>
        <v>47.2</v>
      </c>
      <c r="BC377" s="14">
        <f>ROUND(AVERAGE(BB65:BB95),2)</f>
        <v>0.32</v>
      </c>
      <c r="BD377" s="14">
        <f>ROUND(MAX(BC64:BC94),2)</f>
        <v>1.62</v>
      </c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</row>
    <row r="378" spans="1:80" x14ac:dyDescent="0.2">
      <c r="A378" s="1" t="s">
        <v>61</v>
      </c>
      <c r="G378" s="13">
        <f>ROUND(AVERAGE(G96:G125),1)</f>
        <v>0.5</v>
      </c>
      <c r="I378" s="13"/>
      <c r="L378" s="13">
        <f>ROUND(AVERAGE(L96:L125),1)</f>
        <v>0.8</v>
      </c>
      <c r="M378" s="13">
        <f>ROUND(AVERAGE(M96:M125),1)</f>
        <v>6.6</v>
      </c>
      <c r="N378" s="13">
        <f>ROUND(MAX(M96:M125),1)</f>
        <v>13.1</v>
      </c>
      <c r="O378" s="13"/>
      <c r="P378" s="13"/>
      <c r="S378" s="13">
        <f>ROUND(AVERAGE(S96:S125),1)</f>
        <v>-5.9</v>
      </c>
      <c r="T378" s="13">
        <f>ROUND(MIN(S96:S125),1)</f>
        <v>-10.3</v>
      </c>
      <c r="U378" s="13">
        <f>ROUND(AVERAGE(T96:T125),1)</f>
        <v>45.1</v>
      </c>
      <c r="V378" s="13">
        <f>ROUND(MIN(T96:T125),1)</f>
        <v>15.4</v>
      </c>
      <c r="W378" s="13"/>
      <c r="Z378" s="13">
        <f>ROUND(SUM(Z96:Z125),1)</f>
        <v>56.7</v>
      </c>
      <c r="AB378" s="13"/>
      <c r="AC378" s="13">
        <f>ROUND(AVERAGE(AC96:AC125),1)</f>
        <v>1.6</v>
      </c>
      <c r="AD378" s="13">
        <f>ROUND(AVERAGE(AD96:AD125),1)</f>
        <v>5.8</v>
      </c>
      <c r="AE378" s="13">
        <f>ROUND(MAX(AD96:AD125),1)</f>
        <v>8.1</v>
      </c>
      <c r="AF378" s="13"/>
      <c r="AG378" s="13"/>
      <c r="AH378" s="2"/>
      <c r="AI378" s="2"/>
      <c r="AP378" s="16">
        <f>AP125*1000</f>
        <v>262</v>
      </c>
      <c r="AQ378" s="13">
        <f>ROUND(AVERAGE(AQ96:AQ125),1)</f>
        <v>0</v>
      </c>
      <c r="AS378" s="14">
        <f>ROUND(AVERAGE(AS96:AS125),2)</f>
        <v>15.48</v>
      </c>
      <c r="AT378" s="14">
        <f>ROUND(AVERAGE(AT96:AT125),2)</f>
        <v>11.05</v>
      </c>
      <c r="AU378" s="14"/>
      <c r="AV378" s="14"/>
      <c r="AW378" s="17"/>
      <c r="AX378" s="16">
        <f>AX125</f>
        <v>258</v>
      </c>
      <c r="AY378" s="13">
        <f>ROUND(AVERAGE(AZ96:AZ125),1)</f>
        <v>73.2</v>
      </c>
      <c r="BA378" s="13">
        <f>ROUND(AVERAGE(AZ96:AZ125),1)</f>
        <v>73.2</v>
      </c>
      <c r="BB378" s="13">
        <f>ROUND(MIN(AZ96:AZ125),1)</f>
        <v>53</v>
      </c>
      <c r="BC378" s="14">
        <f>ROUND(AVERAGE(BB96:BB125),2)</f>
        <v>0.41</v>
      </c>
      <c r="BD378" s="14">
        <f>ROUND(MAX(BC95:BC124),2)</f>
        <v>1.29</v>
      </c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</row>
    <row r="379" spans="1:80" x14ac:dyDescent="0.2">
      <c r="A379" s="1" t="s">
        <v>62</v>
      </c>
      <c r="G379" s="13">
        <f>ROUND(AVERAGE(G126:G156),1)</f>
        <v>7.2</v>
      </c>
      <c r="I379" s="13"/>
      <c r="L379" s="13">
        <f>ROUND(AVERAGE(L126:L156),1)</f>
        <v>4.7</v>
      </c>
      <c r="M379" s="13">
        <f>ROUND(AVERAGE(M126:M156),1)</f>
        <v>14.1</v>
      </c>
      <c r="N379" s="13">
        <f>ROUND(MAX(M126:M156),1)</f>
        <v>21.4</v>
      </c>
      <c r="O379" s="13"/>
      <c r="P379" s="13"/>
      <c r="S379" s="13">
        <f>ROUND(AVERAGE(S126:S156),1)</f>
        <v>-0.6</v>
      </c>
      <c r="T379" s="13">
        <f>ROUND(MIN(S126:S156),1)</f>
        <v>-4</v>
      </c>
      <c r="U379" s="13">
        <f>ROUND(AVERAGE(T126:T156),1)</f>
        <v>41.2</v>
      </c>
      <c r="V379" s="13">
        <f>ROUND(MIN(T126:T156),1)</f>
        <v>17.5</v>
      </c>
      <c r="W379" s="13"/>
      <c r="Z379" s="13">
        <f>ROUND(SUM(Z126:Z156),1)</f>
        <v>37.799999999999997</v>
      </c>
      <c r="AB379" s="13"/>
      <c r="AC379" s="13">
        <f>ROUND(AVERAGE(AC126:AC156),1)</f>
        <v>1.4</v>
      </c>
      <c r="AD379" s="13">
        <f>ROUND(AVERAGE(AD126:AD156),1)</f>
        <v>5.5</v>
      </c>
      <c r="AE379" s="13">
        <f>ROUND(MAX(AD126:AD156),1)</f>
        <v>7.4</v>
      </c>
      <c r="AF379" s="13"/>
      <c r="AG379" s="13"/>
      <c r="AH379" s="2"/>
      <c r="AI379" s="2"/>
      <c r="AP379" s="16">
        <f>AP156*1000</f>
        <v>0</v>
      </c>
      <c r="AQ379" s="13">
        <f>ROUND(AVERAGE(AQ126:AQ156),1)</f>
        <v>0</v>
      </c>
      <c r="AS379" s="14">
        <f>ROUND(AVERAGE(AS126:AS156),2)</f>
        <v>20.05</v>
      </c>
      <c r="AT379" s="14">
        <f>ROUND(AVERAGE(AT126:AT156),2)</f>
        <v>4.7699999999999996</v>
      </c>
      <c r="AU379" s="14"/>
      <c r="AV379" s="14"/>
      <c r="AW379" s="17"/>
      <c r="AX379" s="16">
        <f>AX156</f>
        <v>0</v>
      </c>
      <c r="AY379" s="13">
        <f>ROUND(AVERAGE(AZ126:AZ156),1)</f>
        <v>67.8</v>
      </c>
      <c r="BA379" s="13">
        <f>ROUND(AVERAGE(AZ126:AZ156),1)</f>
        <v>67.8</v>
      </c>
      <c r="BB379" s="13">
        <f>ROUND(MIN(AZ126:AZ156),1)</f>
        <v>41.4</v>
      </c>
      <c r="BC379" s="14">
        <f>ROUND(AVERAGE(BB126:BB156),2)</f>
        <v>0.61</v>
      </c>
      <c r="BD379" s="14">
        <f>ROUND(MAX(BC125:BC155),2)</f>
        <v>2.09</v>
      </c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</row>
    <row r="380" spans="1:80" x14ac:dyDescent="0.2">
      <c r="A380" s="1" t="s">
        <v>63</v>
      </c>
      <c r="G380" s="13">
        <f>ROUND(AVERAGE(G157:G186),1)</f>
        <v>8.9</v>
      </c>
      <c r="I380" s="13"/>
      <c r="L380" s="13">
        <f>ROUND(AVERAGE(L157:L186),1)</f>
        <v>9.4</v>
      </c>
      <c r="M380" s="13">
        <f>ROUND(AVERAGE(M157:M186),1)</f>
        <v>15.9</v>
      </c>
      <c r="N380" s="13">
        <f>ROUND(MAX(M157:M186),1)</f>
        <v>23.7</v>
      </c>
      <c r="O380" s="13"/>
      <c r="P380" s="13"/>
      <c r="S380" s="13">
        <f>ROUND(AVERAGE(S157:S186),1)</f>
        <v>0.9</v>
      </c>
      <c r="T380" s="13">
        <f>ROUND(MIN(S157:S186),1)</f>
        <v>-3.3</v>
      </c>
      <c r="U380" s="13">
        <f>ROUND(AVERAGE(T157:T186),1)</f>
        <v>38</v>
      </c>
      <c r="V380" s="13">
        <f>ROUND(MIN(T157:T186),1)</f>
        <v>12.9</v>
      </c>
      <c r="W380" s="13"/>
      <c r="Z380" s="13">
        <f>ROUND(SUM(Z157:Z186),1)</f>
        <v>65.3</v>
      </c>
      <c r="AB380" s="13"/>
      <c r="AC380" s="13">
        <f>ROUND(AVERAGE(AC157:AC186),1)</f>
        <v>1.6</v>
      </c>
      <c r="AD380" s="13">
        <f>ROUND(AVERAGE(AD157:AD186),1)</f>
        <v>5.8</v>
      </c>
      <c r="AE380" s="13">
        <f>ROUND(MAX(AD157:AD186),1)</f>
        <v>9.6</v>
      </c>
      <c r="AF380" s="13"/>
      <c r="AG380" s="13"/>
      <c r="AH380" s="2"/>
      <c r="AI380" s="2"/>
      <c r="AP380" s="16">
        <f>AP186*1000</f>
        <v>0</v>
      </c>
      <c r="AQ380" s="13" t="e">
        <f>ROUND(AVERAGE(AQ157:AQ186),1)</f>
        <v>#DIV/0!</v>
      </c>
      <c r="AS380" s="14">
        <f>ROUND(AVERAGE(AS157:AS186),2)</f>
        <v>21.59</v>
      </c>
      <c r="AT380" s="14">
        <f>ROUND(AVERAGE(AT157:AT186),2)</f>
        <v>4.4400000000000004</v>
      </c>
      <c r="AU380" s="14"/>
      <c r="AV380" s="14"/>
      <c r="AW380" s="17"/>
      <c r="AX380" s="16">
        <f>AX186</f>
        <v>0</v>
      </c>
      <c r="AY380" s="13">
        <f>ROUND(AVERAGE(AZ157:AZ186),1)</f>
        <v>69.8</v>
      </c>
      <c r="BA380" s="13">
        <f>ROUND(AVERAGE(AZ157:AZ186),1)</f>
        <v>69.8</v>
      </c>
      <c r="BB380" s="13">
        <f>ROUND(MIN(AZ157:AZ186),1)</f>
        <v>45</v>
      </c>
      <c r="BC380" s="14">
        <f>ROUND(AVERAGE(BB157:BB186),2)</f>
        <v>0.63</v>
      </c>
      <c r="BD380" s="14">
        <f>ROUND(MAX(BC156:BC185),2)</f>
        <v>2.4500000000000002</v>
      </c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</row>
    <row r="381" spans="1:80" x14ac:dyDescent="0.2">
      <c r="A381" s="1" t="s">
        <v>64</v>
      </c>
      <c r="G381" s="13">
        <f>ROUND(AVERAGE(G187:G217),1)</f>
        <v>11.2</v>
      </c>
      <c r="I381" s="13"/>
      <c r="L381" s="13">
        <f>ROUND(AVERAGE(L187:L217),1)</f>
        <v>11</v>
      </c>
      <c r="M381" s="13">
        <f>ROUND(AVERAGE(M187:M217),1)</f>
        <v>18.7</v>
      </c>
      <c r="N381" s="13">
        <f>ROUND(MAX(M187:M217),1)</f>
        <v>26.2</v>
      </c>
      <c r="O381" s="13"/>
      <c r="P381" s="13"/>
      <c r="S381" s="13">
        <f>ROUND(AVERAGE(S187:S217),1)</f>
        <v>2.7</v>
      </c>
      <c r="T381" s="13">
        <f>ROUND(MIN(S187:S217),1)</f>
        <v>-0.7</v>
      </c>
      <c r="U381" s="13">
        <f>ROUND(AVERAGE(T187:T217),1)</f>
        <v>42.1</v>
      </c>
      <c r="V381" s="13">
        <f>ROUND(MIN(T187:T217),1)</f>
        <v>21.3</v>
      </c>
      <c r="W381" s="13"/>
      <c r="Z381" s="13">
        <f>ROUND(SUM(Z187:Z217),1)</f>
        <v>57.2</v>
      </c>
      <c r="AB381" s="13"/>
      <c r="AC381" s="13">
        <f>ROUND(AVERAGE(AC187:AC217),1)</f>
        <v>1.3</v>
      </c>
      <c r="AD381" s="13">
        <f>ROUND(AVERAGE(AD187:AD217),1)</f>
        <v>5.0999999999999996</v>
      </c>
      <c r="AE381" s="13">
        <f>ROUND(MAX(AD187:AD217),1)</f>
        <v>7.5</v>
      </c>
      <c r="AF381" s="13"/>
      <c r="AG381" s="13"/>
      <c r="AH381" s="2"/>
      <c r="AI381" s="2"/>
      <c r="AP381" s="16">
        <f>AP217*1000</f>
        <v>0</v>
      </c>
      <c r="AQ381" s="13" t="e">
        <f>ROUND(AVERAGE(AQ187:AQ217),1)</f>
        <v>#DIV/0!</v>
      </c>
      <c r="AS381" s="14">
        <f>ROUND(AVERAGE(AS187:AS217),2)</f>
        <v>20.03</v>
      </c>
      <c r="AT381" s="14">
        <f>ROUND(AVERAGE(AT187:AT217),2)</f>
        <v>4.37</v>
      </c>
      <c r="AU381" s="14"/>
      <c r="AV381" s="14"/>
      <c r="AW381" s="17"/>
      <c r="AX381" s="16">
        <f>AX217</f>
        <v>0</v>
      </c>
      <c r="AY381" s="13">
        <f>ROUND(AVERAGE(AZ187:AZ217),1)</f>
        <v>72.2</v>
      </c>
      <c r="BA381" s="13">
        <f>ROUND(AVERAGE(AZ187:AZ217),1)</f>
        <v>72.2</v>
      </c>
      <c r="BB381" s="13">
        <f>ROUND(MIN(AZ187:AZ217),1)</f>
        <v>56.3</v>
      </c>
      <c r="BC381" s="14">
        <f>ROUND(AVERAGE(BB187:BB217),2)</f>
        <v>0.85</v>
      </c>
      <c r="BD381" s="14">
        <f>ROUND(MAX(BC186:BC216),2)</f>
        <v>2.56</v>
      </c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</row>
    <row r="382" spans="1:80" x14ac:dyDescent="0.2">
      <c r="A382" s="1" t="s">
        <v>65</v>
      </c>
      <c r="G382" s="13">
        <f>ROUND(AVERAGE(G218:G248),1)</f>
        <v>12.1</v>
      </c>
      <c r="I382" s="13"/>
      <c r="L382" s="13">
        <f>ROUND(AVERAGE(L218:L248),1)</f>
        <v>12.3</v>
      </c>
      <c r="M382" s="13">
        <f>ROUND(AVERAGE(M218:M248),1)</f>
        <v>20.6</v>
      </c>
      <c r="N382" s="13">
        <f>ROUND(MAX(M218:M248),1)</f>
        <v>27.5</v>
      </c>
      <c r="O382" s="13"/>
      <c r="P382" s="13"/>
      <c r="S382" s="13">
        <f>ROUND(AVERAGE(S218:S248),1)</f>
        <v>2.9</v>
      </c>
      <c r="T382" s="13">
        <f>ROUND(MIN(S218:S248),1)</f>
        <v>-0.9</v>
      </c>
      <c r="U382" s="13">
        <f>ROUND(AVERAGE(T218:T248),1)</f>
        <v>36.4</v>
      </c>
      <c r="V382" s="13">
        <f>ROUND(MIN(T218:T248),1)</f>
        <v>9.3000000000000007</v>
      </c>
      <c r="W382" s="13"/>
      <c r="Z382" s="13">
        <f>ROUND(SUM(Z218:Z248),1)</f>
        <v>53.9</v>
      </c>
      <c r="AB382" s="13"/>
      <c r="AC382" s="13">
        <f>ROUND(AVERAGE(AC218:AC248),1)</f>
        <v>1.2</v>
      </c>
      <c r="AD382" s="13">
        <f>ROUND(AVERAGE(AD218:AD248),1)</f>
        <v>5</v>
      </c>
      <c r="AE382" s="13">
        <f>ROUND(MAX(AD218:AD248),1)</f>
        <v>7</v>
      </c>
      <c r="AF382" s="13"/>
      <c r="AG382" s="13"/>
      <c r="AH382" s="2"/>
      <c r="AI382" s="2"/>
      <c r="AP382" s="16">
        <f>AP248*1000</f>
        <v>0</v>
      </c>
      <c r="AQ382" s="13" t="e">
        <f>ROUND(AVERAGE(AQ218:AQ248),1)</f>
        <v>#DIV/0!</v>
      </c>
      <c r="AS382" s="14">
        <f>ROUND(AVERAGE(AS218:AS248),2)</f>
        <v>19.73</v>
      </c>
      <c r="AT382" s="14">
        <f>ROUND(AVERAGE(AT218:AT248),2)</f>
        <v>4.5599999999999996</v>
      </c>
      <c r="AU382" s="14"/>
      <c r="AV382" s="14"/>
      <c r="AW382" s="17"/>
      <c r="AX382" s="16">
        <f>AX248</f>
        <v>0</v>
      </c>
      <c r="AY382" s="13">
        <f>ROUND(AVERAGE(AZ218:AZ248),1)</f>
        <v>67.599999999999994</v>
      </c>
      <c r="BA382" s="13">
        <f>ROUND(AVERAGE(AZ218:AZ248),1)</f>
        <v>67.599999999999994</v>
      </c>
      <c r="BB382" s="13">
        <f>ROUND(MIN(AZ218:AZ248),1)</f>
        <v>40.9</v>
      </c>
      <c r="BC382" s="14">
        <f>ROUND(AVERAGE(BB218:BB248),2)</f>
        <v>0.8</v>
      </c>
      <c r="BD382" s="14">
        <f>ROUND(MAX(BC217:BC247),2)</f>
        <v>3.25</v>
      </c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</row>
    <row r="383" spans="1:80" x14ac:dyDescent="0.2">
      <c r="A383" s="1" t="s">
        <v>66</v>
      </c>
      <c r="G383" s="13">
        <f>ROUND(AVERAGE(G249:G278),1)</f>
        <v>6.7</v>
      </c>
      <c r="I383" s="13"/>
      <c r="L383" s="13">
        <f>ROUND(AVERAGE(L249:L278),1)</f>
        <v>10.3</v>
      </c>
      <c r="M383" s="13">
        <f>ROUND(AVERAGE(M249:M278),1)</f>
        <v>12.7</v>
      </c>
      <c r="N383" s="13">
        <f>ROUND(MAX(M249:M278),1)</f>
        <v>24.2</v>
      </c>
      <c r="O383" s="13"/>
      <c r="P383" s="13"/>
      <c r="S383" s="13">
        <f>ROUND(AVERAGE(S249:S278),1)</f>
        <v>1.2</v>
      </c>
      <c r="T383" s="13">
        <f>ROUND(MIN(S249:S278),1)</f>
        <v>-7.7</v>
      </c>
      <c r="U383" s="13">
        <f>ROUND(AVERAGE(T249:T278),1)</f>
        <v>59.1</v>
      </c>
      <c r="V383" s="13">
        <f>ROUND(MIN(T249:T278),1)</f>
        <v>28.4</v>
      </c>
      <c r="W383" s="13"/>
      <c r="Z383" s="13">
        <f>ROUND(SUM(Z249:Z278),1)</f>
        <v>112.3</v>
      </c>
      <c r="AB383" s="13"/>
      <c r="AC383" s="13">
        <f>ROUND(AVERAGE(AC249:AC278),1)</f>
        <v>0.9</v>
      </c>
      <c r="AD383" s="13">
        <f>ROUND(AVERAGE(AD249:AD278),1)</f>
        <v>4.4000000000000004</v>
      </c>
      <c r="AE383" s="13">
        <f>ROUND(MAX(AD249:AD278),1)</f>
        <v>7.2</v>
      </c>
      <c r="AF383" s="13"/>
      <c r="AG383" s="13"/>
      <c r="AH383" s="2"/>
      <c r="AI383" s="2"/>
      <c r="AP383" s="16">
        <f>AP278*1000</f>
        <v>0</v>
      </c>
      <c r="AQ383" s="13" t="e">
        <f>ROUND(AVERAGE(AQ249:AQ278),1)</f>
        <v>#DIV/0!</v>
      </c>
      <c r="AS383" s="14">
        <f>ROUND(AVERAGE(AS249:AS278),2)</f>
        <v>10.68</v>
      </c>
      <c r="AT383" s="14">
        <f>ROUND(AVERAGE(AT249:AT278),2)</f>
        <v>2.73</v>
      </c>
      <c r="AU383" s="14"/>
      <c r="AV383" s="14"/>
      <c r="AW383" s="17"/>
      <c r="AX383" s="16">
        <f>AX278</f>
        <v>67</v>
      </c>
      <c r="AY383" s="13">
        <f>ROUND(AVERAGE(AZ249:AZ278),1)</f>
        <v>85</v>
      </c>
      <c r="BA383" s="13">
        <f>ROUND(AVERAGE(AZ249:AZ278),1)</f>
        <v>85</v>
      </c>
      <c r="BB383" s="13">
        <f>ROUND(MIN(AZ249:AZ278),1)</f>
        <v>65.7</v>
      </c>
      <c r="BC383" s="14">
        <f>ROUND(AVERAGE(BB249:BB278),2)</f>
        <v>0.81</v>
      </c>
      <c r="BD383" s="14">
        <f>ROUND(MAX(BC248:BC277),2)</f>
        <v>2.21</v>
      </c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</row>
    <row r="384" spans="1:80" x14ac:dyDescent="0.2">
      <c r="A384" s="1" t="s">
        <v>67</v>
      </c>
      <c r="G384" s="13">
        <f>ROUND(AVERAGE(G279:G309),1)</f>
        <v>-1.1000000000000001</v>
      </c>
      <c r="I384" s="13"/>
      <c r="L384" s="13">
        <f>ROUND(AVERAGE(L279:L309),1)</f>
        <v>4.3</v>
      </c>
      <c r="M384" s="13">
        <f>ROUND(AVERAGE(M279:M309),1)</f>
        <v>4.4000000000000004</v>
      </c>
      <c r="N384" s="17">
        <f>ROUND(MAX(M279:M309),1)</f>
        <v>11.1</v>
      </c>
      <c r="O384" s="13"/>
      <c r="P384" s="17"/>
      <c r="S384" s="13">
        <f>ROUND(AVERAGE(S279:S309),1)</f>
        <v>-6.2</v>
      </c>
      <c r="T384" s="17">
        <f>ROUND(MIN(S279:S309),1)</f>
        <v>-21</v>
      </c>
      <c r="U384" s="13">
        <f>ROUND(AVERAGE(T279:T309),1)</f>
        <v>56.5</v>
      </c>
      <c r="V384" s="17">
        <f>ROUND(MIN(T279:T309),1)</f>
        <v>21.2</v>
      </c>
      <c r="W384" s="13"/>
      <c r="Z384" s="13">
        <f>ROUND(SUM(Z279:Z309),1)</f>
        <v>58.7</v>
      </c>
      <c r="AB384" s="13"/>
      <c r="AC384" s="13">
        <f>ROUND(AVERAGE(AC279:AC309),1)</f>
        <v>1.3</v>
      </c>
      <c r="AD384" s="13">
        <f>ROUND(AVERAGE(AD279:AD309),1)</f>
        <v>5</v>
      </c>
      <c r="AE384" s="17">
        <f>ROUND(MAX(AD279:AD309),1)</f>
        <v>8.5</v>
      </c>
      <c r="AF384" s="13"/>
      <c r="AG384" s="17"/>
      <c r="AH384" s="2"/>
      <c r="AI384" s="2"/>
      <c r="AP384" s="16">
        <f>AP309*1000</f>
        <v>96.000000000000085</v>
      </c>
      <c r="AQ384" s="13">
        <f>ROUND(AVERAGE(AQ279:AQ309),1)</f>
        <v>-0.8</v>
      </c>
      <c r="AS384" s="14">
        <f>ROUND(AVERAGE(AS279:AS309),2)</f>
        <v>7.33</v>
      </c>
      <c r="AT384" s="14">
        <f>ROUND(AVERAGE(AT279:AT309),2)</f>
        <v>3.91</v>
      </c>
      <c r="AU384" s="14"/>
      <c r="AV384" s="14"/>
      <c r="AW384" s="17"/>
      <c r="AX384" s="16">
        <f>AX309</f>
        <v>0</v>
      </c>
      <c r="AY384" s="13">
        <f>ROUND(AVERAGE(AZ279:AZ309),1)</f>
        <v>80.5</v>
      </c>
      <c r="BA384" s="13">
        <f>ROUND(AVERAGE(AZ279:AZ309),1)</f>
        <v>80.5</v>
      </c>
      <c r="BB384" s="17">
        <f>ROUND(MIN(AZ279:AZ309),1)</f>
        <v>58.1</v>
      </c>
      <c r="BC384" s="14">
        <f>ROUND(AVERAGE(BB279:BB309),2)</f>
        <v>0.47</v>
      </c>
      <c r="BD384" s="20">
        <f>ROUND(MAX(BC278:BC308),2)</f>
        <v>0.65</v>
      </c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</row>
    <row r="385" spans="1:77" x14ac:dyDescent="0.2">
      <c r="A385" s="1" t="s">
        <v>68</v>
      </c>
      <c r="G385" s="18">
        <f>ROUND(AVERAGE(G310:G339),1)</f>
        <v>-3.3</v>
      </c>
      <c r="I385" s="18"/>
      <c r="L385" s="18">
        <f>ROUND(AVERAGE(L310:L339),1)</f>
        <v>1.9</v>
      </c>
      <c r="M385" s="18">
        <f>ROUND(AVERAGE(M310:M339),1)</f>
        <v>2.4</v>
      </c>
      <c r="N385" s="13">
        <f>ROUND(MAX(M310:M339),1)</f>
        <v>10.5</v>
      </c>
      <c r="O385" s="18"/>
      <c r="P385" s="13"/>
      <c r="S385" s="18">
        <f>ROUND(AVERAGE(S310:S339),1)</f>
        <v>-8.4</v>
      </c>
      <c r="T385" s="13">
        <f>ROUND(MIN(S310:S339),1)</f>
        <v>-21.6</v>
      </c>
      <c r="U385" s="18">
        <f>ROUND(AVERAGE(T310:T339),1)</f>
        <v>63.6</v>
      </c>
      <c r="V385" s="13">
        <f>ROUND(MIN(T310:T339),1)</f>
        <v>26.4</v>
      </c>
      <c r="W385" s="18"/>
      <c r="Z385" s="13">
        <f>ROUND(SUM(Z310:Z339),1)</f>
        <v>26.4</v>
      </c>
      <c r="AB385" s="13"/>
      <c r="AC385" s="18">
        <f>ROUND(AVERAGE(AC310:AC339),1)</f>
        <v>1.1000000000000001</v>
      </c>
      <c r="AD385" s="18">
        <f>ROUND(AVERAGE(AD310:AD339),1)</f>
        <v>4.5999999999999996</v>
      </c>
      <c r="AE385" s="13">
        <f>ROUND(MAX(AD310:AD339),1)</f>
        <v>7.3</v>
      </c>
      <c r="AF385" s="18"/>
      <c r="AG385" s="13"/>
      <c r="AH385" s="2"/>
      <c r="AI385" s="2"/>
      <c r="AP385" s="16">
        <f>AP339*1000</f>
        <v>180.00000000000017</v>
      </c>
      <c r="AQ385" s="18">
        <f>ROUND(AVERAGE(AQ310:AQ339),1)</f>
        <v>-0.4</v>
      </c>
      <c r="AS385" s="19">
        <f>ROUND(AVERAGE(AS310:AS339),2)</f>
        <v>4.38</v>
      </c>
      <c r="AT385" s="19">
        <f>ROUND(AVERAGE(AT310:AT339),2)</f>
        <v>2.6</v>
      </c>
      <c r="AU385" s="19"/>
      <c r="AV385" s="19"/>
      <c r="AW385" s="17"/>
      <c r="AX385" s="16">
        <f>AX339</f>
        <v>95</v>
      </c>
      <c r="AY385" s="18">
        <f>ROUND(AVERAGE(AZ310:AZ339),1)</f>
        <v>85.1</v>
      </c>
      <c r="BA385" s="18">
        <f>ROUND(AVERAGE(AZ310:AZ339),1)</f>
        <v>85.1</v>
      </c>
      <c r="BB385" s="13">
        <f>ROUND(MIN(AZ310:AZ339),1)</f>
        <v>71.2</v>
      </c>
      <c r="BC385" s="19">
        <f>ROUND(AVERAGE(BB310:BB339),2)</f>
        <v>0.45</v>
      </c>
      <c r="BD385" s="14">
        <f>ROUND(MAX(BC309:BC338),2)</f>
        <v>0.83</v>
      </c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</row>
    <row r="386" spans="1:77" x14ac:dyDescent="0.2">
      <c r="A386" s="1" t="s">
        <v>69</v>
      </c>
      <c r="G386" s="13">
        <f>ROUND(AVERAGE(G340:G370),1)</f>
        <v>-6.3</v>
      </c>
      <c r="I386" s="13"/>
      <c r="L386" s="13">
        <f>ROUND(AVERAGE(L340:L370),1)</f>
        <v>1.2</v>
      </c>
      <c r="M386" s="13">
        <f>ROUND(AVERAGE(M340:M370),1)</f>
        <v>-1.7</v>
      </c>
      <c r="N386" s="13">
        <f>ROUND(MAX(M340:M370),1)</f>
        <v>5.3</v>
      </c>
      <c r="O386" s="13"/>
      <c r="P386" s="13"/>
      <c r="S386" s="13">
        <f>ROUND(AVERAGE(S340:S370),1)</f>
        <v>-11.4</v>
      </c>
      <c r="T386" s="13">
        <f>ROUND(MIN(S340:S370),1)</f>
        <v>-21.5</v>
      </c>
      <c r="U386" s="13">
        <f>ROUND(AVERAGE(T340:T370),1)</f>
        <v>85.2</v>
      </c>
      <c r="V386" s="13">
        <f>ROUND(MIN(T340:T370),1)</f>
        <v>54.1</v>
      </c>
      <c r="W386" s="13"/>
      <c r="Z386" s="13">
        <f>ROUND(SUM(Z340:Z370),1)</f>
        <v>17.5</v>
      </c>
      <c r="AB386" s="13"/>
      <c r="AC386" s="13">
        <f>ROUND(AVERAGE(AC340:AC370),1)</f>
        <v>0.9</v>
      </c>
      <c r="AD386" s="13">
        <f>ROUND(AVERAGE(AD340:AD370),1)</f>
        <v>3.8</v>
      </c>
      <c r="AE386" s="13">
        <f>ROUND(MAX(AD340:AD370),1)</f>
        <v>6.3</v>
      </c>
      <c r="AF386" s="13"/>
      <c r="AG386" s="13"/>
      <c r="AH386" s="2"/>
      <c r="AI386" s="2"/>
      <c r="AP386" s="16">
        <f>AP370*1000</f>
        <v>632.00000000000011</v>
      </c>
      <c r="AQ386" s="13">
        <f>ROUND(AVERAGE(AQ340:AQ370),1)</f>
        <v>-1.1000000000000001</v>
      </c>
      <c r="AS386" s="14">
        <f>ROUND(AVERAGE(AS340:AS370),2)</f>
        <v>2.2999999999999998</v>
      </c>
      <c r="AT386" s="14">
        <f>ROUND(AVERAGE(AT340:AT370),2)</f>
        <v>2.02</v>
      </c>
      <c r="AU386" s="14"/>
      <c r="AV386" s="14"/>
      <c r="AW386" s="17"/>
      <c r="AX386" s="16">
        <f>AX370</f>
        <v>552</v>
      </c>
      <c r="AY386" s="13">
        <f>ROUND(AVERAGE(AZ340:AZ370),1)</f>
        <v>93</v>
      </c>
      <c r="BA386" s="13">
        <f>ROUND(AVERAGE(AZ340:AZ370),1)</f>
        <v>93</v>
      </c>
      <c r="BB386" s="13">
        <f>ROUND(MIN(AZ340:AZ370),1)</f>
        <v>86.1</v>
      </c>
      <c r="BC386" s="14">
        <f>ROUND(AVERAGE(BB340:BB370),2)</f>
        <v>0.45</v>
      </c>
      <c r="BD386" s="14">
        <f>ROUND(MAX(BC339:BC369),2)</f>
        <v>0.38</v>
      </c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</row>
    <row r="388" spans="1:77" x14ac:dyDescent="0.2">
      <c r="B388" s="1" t="s">
        <v>91</v>
      </c>
      <c r="G388" s="13">
        <f>AVERAGE(G375:G386)</f>
        <v>1.1749999999999998</v>
      </c>
      <c r="I388" s="13"/>
      <c r="L388" s="13">
        <f t="shared" ref="L388:M388" si="216">AVERAGE(L375:L386)</f>
        <v>4.8916666666666666</v>
      </c>
      <c r="M388" s="13">
        <f t="shared" si="216"/>
        <v>7.6083333333333343</v>
      </c>
      <c r="N388" s="13"/>
      <c r="P388" s="13"/>
      <c r="AD388" s="13"/>
      <c r="AE388" s="1"/>
      <c r="AF388" s="1"/>
      <c r="AG388" s="1"/>
      <c r="AS388" s="13"/>
      <c r="AW388" s="17"/>
    </row>
    <row r="389" spans="1:77" x14ac:dyDescent="0.2">
      <c r="AD389" s="1"/>
      <c r="AE389" s="1"/>
      <c r="AF389" s="1"/>
      <c r="AG389" s="1"/>
      <c r="AW389" s="2"/>
    </row>
    <row r="390" spans="1:77" x14ac:dyDescent="0.2">
      <c r="B390" s="1" t="s">
        <v>58</v>
      </c>
      <c r="C390" s="16"/>
      <c r="D390" s="16"/>
      <c r="F390" s="16"/>
      <c r="G390" s="16">
        <f>COUNT(G6:G36)</f>
        <v>31</v>
      </c>
      <c r="H390" s="16"/>
      <c r="I390" s="16"/>
      <c r="L390" s="16">
        <f>COUNT(L6:L36)</f>
        <v>31</v>
      </c>
      <c r="M390" s="16">
        <f>COUNT(M6:M36)</f>
        <v>31</v>
      </c>
      <c r="N390" s="16"/>
      <c r="O390" s="16"/>
      <c r="P390" s="16"/>
      <c r="Q390" s="16"/>
      <c r="S390" s="16">
        <f>COUNT(S6:S36)</f>
        <v>31</v>
      </c>
      <c r="U390" s="16"/>
      <c r="V390" s="16"/>
      <c r="X390" s="16"/>
      <c r="Y390" s="16"/>
      <c r="AA390" s="16"/>
      <c r="AB390" s="16"/>
      <c r="AC390" s="16">
        <f>COUNT(AC6:AC36)</f>
        <v>31</v>
      </c>
      <c r="AD390" s="16"/>
      <c r="AE390" s="16"/>
      <c r="AF390" s="16"/>
      <c r="AG390" s="16"/>
      <c r="AO390" s="16"/>
      <c r="AP390" s="16">
        <f>COUNT(AP6:AP36)</f>
        <v>31</v>
      </c>
      <c r="AQ390" s="16">
        <f>COUNT(AQ6:AQ36)</f>
        <v>31</v>
      </c>
      <c r="AS390" s="16">
        <f t="shared" ref="AS390:AX390" si="217">COUNT(AS6:AS36)</f>
        <v>31</v>
      </c>
      <c r="AT390" s="16">
        <f t="shared" si="217"/>
        <v>31</v>
      </c>
      <c r="AU390" s="16">
        <f t="shared" si="217"/>
        <v>31</v>
      </c>
      <c r="AV390" s="16"/>
      <c r="AW390" s="28"/>
      <c r="AX390" s="16">
        <f t="shared" si="217"/>
        <v>31</v>
      </c>
      <c r="AY390" s="16">
        <f>COUNT(AY6:AY36)</f>
        <v>31</v>
      </c>
      <c r="BA390" s="16">
        <f>COUNT(BA6:BA36)</f>
        <v>31</v>
      </c>
    </row>
    <row r="391" spans="1:77" x14ac:dyDescent="0.2">
      <c r="B391" s="1" t="s">
        <v>59</v>
      </c>
      <c r="C391" s="16"/>
      <c r="D391" s="16"/>
      <c r="F391" s="16"/>
      <c r="G391" s="16">
        <f>COUNT(G37:G64)</f>
        <v>28</v>
      </c>
      <c r="H391" s="16"/>
      <c r="I391" s="16"/>
      <c r="L391" s="16">
        <f>COUNT(L37:L64)</f>
        <v>28</v>
      </c>
      <c r="M391" s="16">
        <f>COUNT(M37:M64)</f>
        <v>28</v>
      </c>
      <c r="N391" s="16"/>
      <c r="O391" s="16"/>
      <c r="P391" s="16"/>
      <c r="Q391" s="16"/>
      <c r="S391" s="16">
        <f>COUNT(S37:S64)</f>
        <v>28</v>
      </c>
      <c r="U391" s="16"/>
      <c r="V391" s="16"/>
      <c r="X391" s="16"/>
      <c r="Y391" s="16"/>
      <c r="AA391" s="16"/>
      <c r="AB391" s="16"/>
      <c r="AC391" s="16">
        <f>COUNT(AC37:AC64)</f>
        <v>28</v>
      </c>
      <c r="AD391" s="16"/>
      <c r="AE391" s="16"/>
      <c r="AF391" s="16"/>
      <c r="AG391" s="16"/>
      <c r="AO391" s="16"/>
      <c r="AP391" s="16">
        <f>COUNT(AP37:AP64)</f>
        <v>28</v>
      </c>
      <c r="AQ391" s="16">
        <f>COUNT(AQ37:AQ64)</f>
        <v>28</v>
      </c>
      <c r="AS391" s="16">
        <f t="shared" ref="AS391:AX391" si="218">COUNT(AS37:AS64)</f>
        <v>28</v>
      </c>
      <c r="AT391" s="16">
        <f t="shared" si="218"/>
        <v>28</v>
      </c>
      <c r="AU391" s="16">
        <f t="shared" si="218"/>
        <v>28</v>
      </c>
      <c r="AV391" s="16"/>
      <c r="AW391" s="28"/>
      <c r="AX391" s="16">
        <f t="shared" si="218"/>
        <v>28</v>
      </c>
      <c r="AY391" s="16">
        <f>COUNT(AY37:AY64)</f>
        <v>28</v>
      </c>
      <c r="BA391" s="16">
        <f>COUNT(BA37:BA64)</f>
        <v>28</v>
      </c>
    </row>
    <row r="392" spans="1:77" x14ac:dyDescent="0.2">
      <c r="B392" s="1" t="s">
        <v>60</v>
      </c>
      <c r="C392" s="16"/>
      <c r="D392" s="16"/>
      <c r="F392" s="16"/>
      <c r="G392" s="16">
        <f t="shared" ref="G392" si="219">COUNT(G65:G95)</f>
        <v>31</v>
      </c>
      <c r="H392" s="16"/>
      <c r="I392" s="16"/>
      <c r="L392" s="16">
        <f t="shared" ref="L392:M392" si="220">COUNT(L65:L95)</f>
        <v>31</v>
      </c>
      <c r="M392" s="16">
        <f t="shared" si="220"/>
        <v>31</v>
      </c>
      <c r="N392" s="16"/>
      <c r="O392" s="16"/>
      <c r="P392" s="16"/>
      <c r="Q392" s="16"/>
      <c r="S392" s="16">
        <f t="shared" ref="S392" si="221">COUNT(S65:S95)</f>
        <v>31</v>
      </c>
      <c r="U392" s="16"/>
      <c r="V392" s="16"/>
      <c r="X392" s="16"/>
      <c r="Y392" s="16"/>
      <c r="AA392" s="16"/>
      <c r="AB392" s="16"/>
      <c r="AC392" s="16">
        <f t="shared" ref="AC392" si="222">COUNT(AC65:AC95)</f>
        <v>31</v>
      </c>
      <c r="AD392" s="16"/>
      <c r="AE392" s="16"/>
      <c r="AF392" s="16"/>
      <c r="AG392" s="16"/>
      <c r="AO392" s="16"/>
      <c r="AP392" s="16">
        <f t="shared" ref="AP392" si="223">COUNT(AP65:AP95)</f>
        <v>31</v>
      </c>
      <c r="AQ392" s="16">
        <f>COUNT(AQ65:AQ95)</f>
        <v>31</v>
      </c>
      <c r="AS392" s="16">
        <f t="shared" ref="AS392:AX392" si="224">COUNT(AS65:AS95)</f>
        <v>31</v>
      </c>
      <c r="AT392" s="16">
        <f t="shared" si="224"/>
        <v>31</v>
      </c>
      <c r="AU392" s="16">
        <f t="shared" si="224"/>
        <v>31</v>
      </c>
      <c r="AV392" s="16"/>
      <c r="AW392" s="28"/>
      <c r="AX392" s="16">
        <f t="shared" si="224"/>
        <v>31</v>
      </c>
      <c r="AY392" s="16">
        <f t="shared" ref="AY392:BA392" si="225">COUNT(AY65:AY95)</f>
        <v>31</v>
      </c>
      <c r="BA392" s="16">
        <f t="shared" si="225"/>
        <v>31</v>
      </c>
    </row>
    <row r="393" spans="1:77" x14ac:dyDescent="0.2">
      <c r="B393" s="1" t="s">
        <v>61</v>
      </c>
      <c r="C393" s="16"/>
      <c r="D393" s="16"/>
      <c r="F393" s="16"/>
      <c r="G393" s="16">
        <f t="shared" ref="G393" si="226">COUNT(G96:G125)</f>
        <v>30</v>
      </c>
      <c r="H393" s="16"/>
      <c r="I393" s="16"/>
      <c r="L393" s="16">
        <f t="shared" ref="L393:M393" si="227">COUNT(L96:L125)</f>
        <v>30</v>
      </c>
      <c r="M393" s="16">
        <f t="shared" si="227"/>
        <v>30</v>
      </c>
      <c r="N393" s="16"/>
      <c r="O393" s="16"/>
      <c r="P393" s="16"/>
      <c r="Q393" s="16"/>
      <c r="S393" s="16">
        <f t="shared" ref="S393" si="228">COUNT(S96:S125)</f>
        <v>30</v>
      </c>
      <c r="U393" s="16"/>
      <c r="V393" s="16"/>
      <c r="X393" s="16"/>
      <c r="Y393" s="16"/>
      <c r="AA393" s="16"/>
      <c r="AB393" s="16"/>
      <c r="AC393" s="16">
        <f t="shared" ref="AC393" si="229">COUNT(AC96:AC125)</f>
        <v>30</v>
      </c>
      <c r="AD393" s="16"/>
      <c r="AE393" s="16"/>
      <c r="AF393" s="16"/>
      <c r="AG393" s="16"/>
      <c r="AO393" s="16"/>
      <c r="AP393" s="16">
        <f t="shared" ref="AP393" si="230">COUNT(AP96:AP125)</f>
        <v>30</v>
      </c>
      <c r="AQ393" s="16">
        <f>COUNT(AQ96:AQ125)</f>
        <v>30</v>
      </c>
      <c r="AS393" s="16">
        <f t="shared" ref="AS393:AX393" si="231">COUNT(AS96:AS125)</f>
        <v>30</v>
      </c>
      <c r="AT393" s="16">
        <f t="shared" si="231"/>
        <v>30</v>
      </c>
      <c r="AU393" s="16">
        <f t="shared" si="231"/>
        <v>30</v>
      </c>
      <c r="AV393" s="16"/>
      <c r="AW393" s="28"/>
      <c r="AX393" s="16">
        <f t="shared" si="231"/>
        <v>30</v>
      </c>
      <c r="AY393" s="16">
        <f t="shared" ref="AY393:BA393" si="232">COUNT(AY96:AY125)</f>
        <v>30</v>
      </c>
      <c r="BA393" s="16">
        <f t="shared" si="232"/>
        <v>30</v>
      </c>
    </row>
    <row r="394" spans="1:77" x14ac:dyDescent="0.2">
      <c r="B394" s="1" t="s">
        <v>62</v>
      </c>
      <c r="C394" s="16"/>
      <c r="D394" s="16"/>
      <c r="F394" s="16"/>
      <c r="G394" s="16">
        <f t="shared" ref="G394" si="233">COUNT(G126:G156)</f>
        <v>31</v>
      </c>
      <c r="H394" s="16"/>
      <c r="I394" s="16"/>
      <c r="L394" s="16">
        <f t="shared" ref="L394:M394" si="234">COUNT(L126:L156)</f>
        <v>31</v>
      </c>
      <c r="M394" s="16">
        <f t="shared" si="234"/>
        <v>31</v>
      </c>
      <c r="N394" s="16"/>
      <c r="O394" s="16"/>
      <c r="P394" s="16"/>
      <c r="Q394" s="16"/>
      <c r="S394" s="16">
        <f t="shared" ref="S394" si="235">COUNT(S126:S156)</f>
        <v>31</v>
      </c>
      <c r="U394" s="16"/>
      <c r="V394" s="16"/>
      <c r="X394" s="16"/>
      <c r="Y394" s="16"/>
      <c r="AA394" s="16"/>
      <c r="AB394" s="16"/>
      <c r="AC394" s="16">
        <f t="shared" ref="AC394" si="236">COUNT(AC126:AC156)</f>
        <v>31</v>
      </c>
      <c r="AD394" s="16"/>
      <c r="AE394" s="16"/>
      <c r="AF394" s="16"/>
      <c r="AG394" s="16"/>
      <c r="AO394" s="16"/>
      <c r="AP394" s="16">
        <f t="shared" ref="AP394" si="237">COUNT(AP126:AP156)</f>
        <v>6</v>
      </c>
      <c r="AQ394" s="16">
        <f>COUNT(AQ126:AQ156)</f>
        <v>4</v>
      </c>
      <c r="AS394" s="16">
        <f t="shared" ref="AS394:AX394" si="238">COUNT(AS126:AS156)</f>
        <v>31</v>
      </c>
      <c r="AT394" s="16">
        <f t="shared" si="238"/>
        <v>31</v>
      </c>
      <c r="AU394" s="16">
        <f t="shared" si="238"/>
        <v>31</v>
      </c>
      <c r="AV394" s="16"/>
      <c r="AW394" s="28"/>
      <c r="AX394" s="16">
        <f t="shared" si="238"/>
        <v>31</v>
      </c>
      <c r="AY394" s="16">
        <f t="shared" ref="AY394:BA394" si="239">COUNT(AY126:AY156)</f>
        <v>31</v>
      </c>
      <c r="BA394" s="16">
        <f t="shared" si="239"/>
        <v>31</v>
      </c>
    </row>
    <row r="395" spans="1:77" x14ac:dyDescent="0.2">
      <c r="B395" s="1" t="s">
        <v>63</v>
      </c>
      <c r="C395" s="16"/>
      <c r="D395" s="16"/>
      <c r="F395" s="16"/>
      <c r="G395" s="16">
        <f t="shared" ref="G395" si="240">COUNT(G157:G186)</f>
        <v>30</v>
      </c>
      <c r="H395" s="16"/>
      <c r="I395" s="16"/>
      <c r="L395" s="16">
        <f t="shared" ref="L395:M395" si="241">COUNT(L157:L186)</f>
        <v>30</v>
      </c>
      <c r="M395" s="16">
        <f t="shared" si="241"/>
        <v>30</v>
      </c>
      <c r="N395" s="16"/>
      <c r="O395" s="16"/>
      <c r="P395" s="16"/>
      <c r="Q395" s="16"/>
      <c r="S395" s="16">
        <f t="shared" ref="S395" si="242">COUNT(S157:S186)</f>
        <v>30</v>
      </c>
      <c r="U395" s="16"/>
      <c r="V395" s="16"/>
      <c r="X395" s="16"/>
      <c r="Y395" s="16"/>
      <c r="AA395" s="16"/>
      <c r="AB395" s="16"/>
      <c r="AC395" s="16">
        <f t="shared" ref="AC395" si="243">COUNT(AC157:AC186)</f>
        <v>30</v>
      </c>
      <c r="AD395" s="16"/>
      <c r="AE395" s="16"/>
      <c r="AF395" s="16"/>
      <c r="AG395" s="16"/>
      <c r="AO395" s="16"/>
      <c r="AP395" s="16">
        <f t="shared" ref="AP395" si="244">COUNT(AP157:AP186)</f>
        <v>0</v>
      </c>
      <c r="AQ395" s="16">
        <f>COUNT(AQ157:AQ186)</f>
        <v>0</v>
      </c>
      <c r="AS395" s="16">
        <f t="shared" ref="AS395:AX395" si="245">COUNT(AS157:AS186)</f>
        <v>30</v>
      </c>
      <c r="AT395" s="16">
        <f t="shared" si="245"/>
        <v>30</v>
      </c>
      <c r="AU395" s="16">
        <f t="shared" si="245"/>
        <v>30</v>
      </c>
      <c r="AV395" s="16"/>
      <c r="AW395" s="28"/>
      <c r="AX395" s="16">
        <f t="shared" si="245"/>
        <v>30</v>
      </c>
      <c r="AY395" s="16">
        <f t="shared" ref="AY395:BA395" si="246">COUNT(AY157:AY186)</f>
        <v>30</v>
      </c>
      <c r="BA395" s="16">
        <f t="shared" si="246"/>
        <v>30</v>
      </c>
    </row>
    <row r="396" spans="1:77" x14ac:dyDescent="0.2">
      <c r="B396" s="1" t="s">
        <v>64</v>
      </c>
      <c r="C396" s="16"/>
      <c r="D396" s="16"/>
      <c r="F396" s="16"/>
      <c r="G396" s="16">
        <f t="shared" ref="G396" si="247">COUNT(G187:G217)</f>
        <v>31</v>
      </c>
      <c r="H396" s="16"/>
      <c r="I396" s="16"/>
      <c r="L396" s="16">
        <f t="shared" ref="L396:M396" si="248">COUNT(L187:L217)</f>
        <v>31</v>
      </c>
      <c r="M396" s="16">
        <f t="shared" si="248"/>
        <v>31</v>
      </c>
      <c r="N396" s="16"/>
      <c r="O396" s="16"/>
      <c r="P396" s="16"/>
      <c r="Q396" s="16"/>
      <c r="S396" s="16">
        <f t="shared" ref="S396" si="249">COUNT(S187:S217)</f>
        <v>31</v>
      </c>
      <c r="U396" s="16"/>
      <c r="V396" s="16"/>
      <c r="X396" s="16"/>
      <c r="Y396" s="16"/>
      <c r="AA396" s="16"/>
      <c r="AB396" s="16"/>
      <c r="AC396" s="16">
        <f t="shared" ref="AC396" si="250">COUNT(AC187:AC217)</f>
        <v>31</v>
      </c>
      <c r="AD396" s="16"/>
      <c r="AE396" s="16"/>
      <c r="AF396" s="16"/>
      <c r="AG396" s="16"/>
      <c r="AO396" s="16"/>
      <c r="AP396" s="16">
        <f t="shared" ref="AP396" si="251">COUNT(AP187:AP217)</f>
        <v>0</v>
      </c>
      <c r="AQ396" s="16">
        <f>COUNT(AQ187:AQ217)</f>
        <v>0</v>
      </c>
      <c r="AS396" s="16">
        <f t="shared" ref="AS396:AX396" si="252">COUNT(AS187:AS217)</f>
        <v>31</v>
      </c>
      <c r="AT396" s="16">
        <f t="shared" si="252"/>
        <v>31</v>
      </c>
      <c r="AU396" s="16">
        <f t="shared" si="252"/>
        <v>31</v>
      </c>
      <c r="AV396" s="16"/>
      <c r="AW396" s="28"/>
      <c r="AX396" s="16">
        <f t="shared" si="252"/>
        <v>31</v>
      </c>
      <c r="AY396" s="16">
        <f t="shared" ref="AY396:BA396" si="253">COUNT(AY187:AY217)</f>
        <v>31</v>
      </c>
      <c r="BA396" s="16">
        <f t="shared" si="253"/>
        <v>31</v>
      </c>
    </row>
    <row r="397" spans="1:77" x14ac:dyDescent="0.2">
      <c r="B397" s="1" t="s">
        <v>65</v>
      </c>
      <c r="C397" s="16"/>
      <c r="D397" s="16"/>
      <c r="F397" s="16"/>
      <c r="G397" s="16">
        <f t="shared" ref="G397" si="254">COUNT(G218:G248)</f>
        <v>31</v>
      </c>
      <c r="H397" s="16"/>
      <c r="I397" s="16"/>
      <c r="L397" s="16">
        <f t="shared" ref="L397:M397" si="255">COUNT(L218:L248)</f>
        <v>31</v>
      </c>
      <c r="M397" s="16">
        <f t="shared" si="255"/>
        <v>31</v>
      </c>
      <c r="N397" s="16"/>
      <c r="O397" s="16"/>
      <c r="P397" s="16"/>
      <c r="Q397" s="16"/>
      <c r="S397" s="16">
        <f t="shared" ref="S397" si="256">COUNT(S218:S248)</f>
        <v>31</v>
      </c>
      <c r="U397" s="16"/>
      <c r="V397" s="16"/>
      <c r="X397" s="16"/>
      <c r="Y397" s="16"/>
      <c r="AA397" s="16"/>
      <c r="AB397" s="16"/>
      <c r="AC397" s="16">
        <f t="shared" ref="AC397" si="257">COUNT(AC218:AC248)</f>
        <v>31</v>
      </c>
      <c r="AD397" s="16"/>
      <c r="AE397" s="16"/>
      <c r="AF397" s="16"/>
      <c r="AG397" s="16"/>
      <c r="AO397" s="16"/>
      <c r="AP397" s="16">
        <f t="shared" ref="AP397" si="258">COUNT(AP218:AP248)</f>
        <v>0</v>
      </c>
      <c r="AQ397" s="16">
        <f>COUNT(AQ218:AQ248)</f>
        <v>0</v>
      </c>
      <c r="AS397" s="16">
        <f t="shared" ref="AS397:AX397" si="259">COUNT(AS218:AS248)</f>
        <v>31</v>
      </c>
      <c r="AT397" s="16">
        <f t="shared" si="259"/>
        <v>31</v>
      </c>
      <c r="AU397" s="16">
        <f t="shared" si="259"/>
        <v>31</v>
      </c>
      <c r="AV397" s="16"/>
      <c r="AW397" s="28"/>
      <c r="AX397" s="16">
        <f t="shared" si="259"/>
        <v>31</v>
      </c>
      <c r="AY397" s="16">
        <f t="shared" ref="AY397:BA397" si="260">COUNT(AY218:AY248)</f>
        <v>31</v>
      </c>
      <c r="BA397" s="16">
        <f t="shared" si="260"/>
        <v>31</v>
      </c>
    </row>
    <row r="398" spans="1:77" x14ac:dyDescent="0.2">
      <c r="B398" s="1" t="s">
        <v>66</v>
      </c>
      <c r="C398" s="16"/>
      <c r="D398" s="16"/>
      <c r="F398" s="16"/>
      <c r="G398" s="16">
        <f t="shared" ref="G398" si="261">COUNT(G249:G278)</f>
        <v>30</v>
      </c>
      <c r="H398" s="16"/>
      <c r="I398" s="16"/>
      <c r="L398" s="16">
        <f t="shared" ref="L398:M398" si="262">COUNT(L249:L278)</f>
        <v>30</v>
      </c>
      <c r="M398" s="16">
        <f t="shared" si="262"/>
        <v>30</v>
      </c>
      <c r="N398" s="16"/>
      <c r="O398" s="16"/>
      <c r="P398" s="16"/>
      <c r="Q398" s="16"/>
      <c r="S398" s="16">
        <f t="shared" ref="S398" si="263">COUNT(S249:S278)</f>
        <v>30</v>
      </c>
      <c r="U398" s="16"/>
      <c r="V398" s="16"/>
      <c r="X398" s="16"/>
      <c r="Y398" s="16"/>
      <c r="AA398" s="16"/>
      <c r="AB398" s="16"/>
      <c r="AC398" s="16">
        <f t="shared" ref="AC398" si="264">COUNT(AC249:AC278)</f>
        <v>30</v>
      </c>
      <c r="AD398" s="16"/>
      <c r="AE398" s="16"/>
      <c r="AF398" s="16"/>
      <c r="AG398" s="16"/>
      <c r="AO398" s="16"/>
      <c r="AP398" s="16">
        <f t="shared" ref="AP398" si="265">COUNT(AP249:AP278)</f>
        <v>0</v>
      </c>
      <c r="AQ398" s="16">
        <f>COUNT(AQ249:AQ278)</f>
        <v>0</v>
      </c>
      <c r="AS398" s="16">
        <f t="shared" ref="AS398:AX398" si="266">COUNT(AS249:AS278)</f>
        <v>30</v>
      </c>
      <c r="AT398" s="16">
        <f t="shared" si="266"/>
        <v>30</v>
      </c>
      <c r="AU398" s="16">
        <f t="shared" si="266"/>
        <v>30</v>
      </c>
      <c r="AV398" s="16"/>
      <c r="AW398" s="28"/>
      <c r="AX398" s="16">
        <f t="shared" si="266"/>
        <v>30</v>
      </c>
      <c r="AY398" s="16">
        <f t="shared" ref="AY398:BA398" si="267">COUNT(AY249:AY278)</f>
        <v>30</v>
      </c>
      <c r="BA398" s="16">
        <f t="shared" si="267"/>
        <v>30</v>
      </c>
    </row>
    <row r="399" spans="1:77" x14ac:dyDescent="0.2">
      <c r="B399" s="1" t="s">
        <v>67</v>
      </c>
      <c r="C399" s="16"/>
      <c r="D399" s="16"/>
      <c r="F399" s="16"/>
      <c r="G399" s="16">
        <f t="shared" ref="G399" si="268">COUNT(G279:G309)</f>
        <v>31</v>
      </c>
      <c r="H399" s="16"/>
      <c r="I399" s="16"/>
      <c r="L399" s="16">
        <f t="shared" ref="L399:M399" si="269">COUNT(L279:L309)</f>
        <v>31</v>
      </c>
      <c r="M399" s="16">
        <f t="shared" si="269"/>
        <v>31</v>
      </c>
      <c r="N399" s="16"/>
      <c r="O399" s="16"/>
      <c r="P399" s="16"/>
      <c r="Q399" s="16"/>
      <c r="S399" s="16">
        <f t="shared" ref="S399" si="270">COUNT(S279:S309)</f>
        <v>31</v>
      </c>
      <c r="U399" s="16"/>
      <c r="V399" s="16"/>
      <c r="X399" s="16"/>
      <c r="Y399" s="16"/>
      <c r="AA399" s="16"/>
      <c r="AB399" s="16"/>
      <c r="AC399" s="16">
        <f t="shared" ref="AC399" si="271">COUNT(AC279:AC309)</f>
        <v>31</v>
      </c>
      <c r="AD399" s="16"/>
      <c r="AE399" s="16"/>
      <c r="AF399" s="16"/>
      <c r="AG399" s="16"/>
      <c r="AO399" s="16"/>
      <c r="AP399" s="16">
        <f t="shared" ref="AP399" si="272">COUNT(AP279:AP309)</f>
        <v>15</v>
      </c>
      <c r="AQ399" s="16">
        <f>COUNT(AQ279:AQ309)</f>
        <v>5</v>
      </c>
      <c r="AS399" s="16">
        <f t="shared" ref="AS399:AX399" si="273">COUNT(AS279:AS309)</f>
        <v>31</v>
      </c>
      <c r="AT399" s="16">
        <f t="shared" si="273"/>
        <v>31</v>
      </c>
      <c r="AU399" s="16">
        <f t="shared" si="273"/>
        <v>31</v>
      </c>
      <c r="AV399" s="16"/>
      <c r="AW399" s="28"/>
      <c r="AX399" s="16">
        <f t="shared" si="273"/>
        <v>31</v>
      </c>
      <c r="AY399" s="16">
        <f t="shared" ref="AY399:BA399" si="274">COUNT(AY279:AY309)</f>
        <v>31</v>
      </c>
      <c r="BA399" s="16">
        <f t="shared" si="274"/>
        <v>31</v>
      </c>
    </row>
    <row r="400" spans="1:77" x14ac:dyDescent="0.2">
      <c r="B400" s="1" t="s">
        <v>68</v>
      </c>
      <c r="C400" s="16"/>
      <c r="D400" s="16"/>
      <c r="F400" s="16"/>
      <c r="G400" s="16">
        <f t="shared" ref="G400" si="275">COUNT(G310:G339)</f>
        <v>30</v>
      </c>
      <c r="H400" s="16"/>
      <c r="I400" s="16"/>
      <c r="L400" s="16">
        <f t="shared" ref="L400:M400" si="276">COUNT(L310:L339)</f>
        <v>30</v>
      </c>
      <c r="M400" s="16">
        <f t="shared" si="276"/>
        <v>30</v>
      </c>
      <c r="N400" s="16"/>
      <c r="O400" s="16"/>
      <c r="P400" s="16"/>
      <c r="Q400" s="16"/>
      <c r="S400" s="16">
        <f t="shared" ref="S400" si="277">COUNT(S310:S339)</f>
        <v>30</v>
      </c>
      <c r="U400" s="16"/>
      <c r="V400" s="16"/>
      <c r="X400" s="16"/>
      <c r="Y400" s="16"/>
      <c r="AA400" s="16"/>
      <c r="AB400" s="16"/>
      <c r="AC400" s="16">
        <f t="shared" ref="AC400" si="278">COUNT(AC310:AC339)</f>
        <v>30</v>
      </c>
      <c r="AD400" s="16"/>
      <c r="AE400" s="16"/>
      <c r="AF400" s="16"/>
      <c r="AG400" s="16"/>
      <c r="AO400" s="16"/>
      <c r="AP400" s="16">
        <f t="shared" ref="AP400" si="279">COUNT(AP310:AP339)</f>
        <v>30</v>
      </c>
      <c r="AQ400" s="16">
        <f>COUNT(AQ310:AQ339)</f>
        <v>30</v>
      </c>
      <c r="AS400" s="16">
        <f t="shared" ref="AS400:AX400" si="280">COUNT(AS310:AS339)</f>
        <v>30</v>
      </c>
      <c r="AT400" s="16">
        <f t="shared" si="280"/>
        <v>30</v>
      </c>
      <c r="AU400" s="16">
        <f t="shared" si="280"/>
        <v>30</v>
      </c>
      <c r="AV400" s="16"/>
      <c r="AW400" s="28"/>
      <c r="AX400" s="16">
        <f t="shared" si="280"/>
        <v>30</v>
      </c>
      <c r="AY400" s="16">
        <f t="shared" ref="AY400:BA400" si="281">COUNT(AY310:AY339)</f>
        <v>30</v>
      </c>
      <c r="BA400" s="16">
        <f t="shared" si="281"/>
        <v>30</v>
      </c>
    </row>
    <row r="401" spans="2:53" x14ac:dyDescent="0.2">
      <c r="B401" s="1" t="s">
        <v>69</v>
      </c>
      <c r="C401" s="16"/>
      <c r="D401" s="16"/>
      <c r="F401" s="16"/>
      <c r="G401" s="16">
        <f t="shared" ref="G401" si="282">COUNT(G340:G370)</f>
        <v>31</v>
      </c>
      <c r="H401" s="16"/>
      <c r="I401" s="16"/>
      <c r="L401" s="16">
        <f t="shared" ref="L401:M401" si="283">COUNT(L340:L370)</f>
        <v>31</v>
      </c>
      <c r="M401" s="16">
        <f t="shared" si="283"/>
        <v>31</v>
      </c>
      <c r="N401" s="16"/>
      <c r="O401" s="16"/>
      <c r="P401" s="16"/>
      <c r="Q401" s="16"/>
      <c r="S401" s="16">
        <f t="shared" ref="S401" si="284">COUNT(S340:S370)</f>
        <v>31</v>
      </c>
      <c r="U401" s="16"/>
      <c r="V401" s="16"/>
      <c r="X401" s="16"/>
      <c r="Y401" s="16"/>
      <c r="AB401" s="16"/>
      <c r="AC401" s="16">
        <f t="shared" ref="AC401" si="285">COUNT(AC340:AC370)</f>
        <v>31</v>
      </c>
      <c r="AD401" s="16"/>
      <c r="AE401" s="16"/>
      <c r="AF401" s="16"/>
      <c r="AG401" s="16"/>
      <c r="AO401" s="16"/>
      <c r="AP401" s="16">
        <f t="shared" ref="AP401" si="286">COUNT(AP340:AP370)</f>
        <v>31</v>
      </c>
      <c r="AQ401" s="16">
        <f>COUNT(AQ340:AQ370)</f>
        <v>31</v>
      </c>
      <c r="AS401" s="16">
        <f t="shared" ref="AS401:AX401" si="287">COUNT(AS340:AS370)</f>
        <v>31</v>
      </c>
      <c r="AT401" s="16">
        <f t="shared" si="287"/>
        <v>31</v>
      </c>
      <c r="AU401" s="16">
        <f t="shared" si="287"/>
        <v>31</v>
      </c>
      <c r="AV401" s="16"/>
      <c r="AW401" s="28"/>
      <c r="AX401" s="16">
        <f t="shared" si="287"/>
        <v>31</v>
      </c>
      <c r="AY401" s="16">
        <f t="shared" ref="AY401:BA401" si="288">COUNT(AY340:AY370)</f>
        <v>31</v>
      </c>
      <c r="BA401" s="16">
        <f t="shared" si="288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A2" sqref="A2"/>
    </sheetView>
  </sheetViews>
  <sheetFormatPr defaultRowHeight="12.75" x14ac:dyDescent="0.2"/>
  <sheetData>
    <row r="1" spans="1:7" x14ac:dyDescent="0.2">
      <c r="A1" s="1" t="s">
        <v>116</v>
      </c>
      <c r="B1" s="1"/>
      <c r="C1" s="1"/>
      <c r="D1" s="1"/>
    </row>
    <row r="2" spans="1:7" x14ac:dyDescent="0.2">
      <c r="A2" s="1" t="s">
        <v>133</v>
      </c>
      <c r="B2" s="1"/>
      <c r="C2" s="1"/>
      <c r="D2" s="1"/>
      <c r="F2" s="1"/>
    </row>
    <row r="3" spans="1:7" x14ac:dyDescent="0.2">
      <c r="A3" s="1"/>
      <c r="B3" s="1" t="s">
        <v>135</v>
      </c>
      <c r="C3" s="1"/>
      <c r="D3" s="1"/>
    </row>
    <row r="4" spans="1:7" x14ac:dyDescent="0.2">
      <c r="A4" s="1"/>
      <c r="B4" s="1"/>
      <c r="C4" s="1"/>
      <c r="D4" s="1"/>
    </row>
    <row r="5" spans="1:7" x14ac:dyDescent="0.2">
      <c r="A5" s="1" t="s">
        <v>96</v>
      </c>
      <c r="B5" s="1"/>
      <c r="C5" s="1"/>
      <c r="D5" s="1"/>
    </row>
    <row r="6" spans="1:7" x14ac:dyDescent="0.2">
      <c r="A6" s="1"/>
      <c r="B6" s="1" t="s">
        <v>78</v>
      </c>
      <c r="C6" s="1"/>
      <c r="D6" s="1"/>
      <c r="E6" s="1" t="s">
        <v>137</v>
      </c>
    </row>
    <row r="7" spans="1:7" x14ac:dyDescent="0.2">
      <c r="A7" s="1"/>
      <c r="B7" s="1" t="s">
        <v>92</v>
      </c>
      <c r="C7" s="1"/>
      <c r="D7" s="1"/>
    </row>
    <row r="8" spans="1:7" x14ac:dyDescent="0.2">
      <c r="A8" s="1"/>
      <c r="B8" s="1" t="s">
        <v>79</v>
      </c>
      <c r="C8" s="1"/>
      <c r="D8" s="1"/>
    </row>
    <row r="9" spans="1:7" x14ac:dyDescent="0.2">
      <c r="A9" s="1"/>
      <c r="B9" s="1" t="s">
        <v>117</v>
      </c>
      <c r="C9" s="1"/>
      <c r="D9" s="1"/>
    </row>
    <row r="10" spans="1:7" x14ac:dyDescent="0.2">
      <c r="A10" s="1"/>
      <c r="B10" s="1" t="s">
        <v>93</v>
      </c>
      <c r="C10" s="1"/>
      <c r="D10" s="1"/>
    </row>
    <row r="11" spans="1:7" x14ac:dyDescent="0.2">
      <c r="A11" s="1"/>
      <c r="B11" s="1"/>
      <c r="C11" s="1"/>
      <c r="D11" s="1"/>
      <c r="G11" s="1"/>
    </row>
    <row r="12" spans="1:7" x14ac:dyDescent="0.2">
      <c r="A12" s="1" t="s">
        <v>97</v>
      </c>
      <c r="B12" s="1"/>
      <c r="C12" s="1"/>
      <c r="D12" s="1"/>
    </row>
    <row r="13" spans="1:7" x14ac:dyDescent="0.2">
      <c r="A13" s="1"/>
      <c r="B13" s="1" t="s">
        <v>78</v>
      </c>
      <c r="C13" s="1"/>
      <c r="D13" s="1"/>
    </row>
    <row r="14" spans="1:7" x14ac:dyDescent="0.2">
      <c r="A14" s="1"/>
      <c r="B14" s="1" t="s">
        <v>118</v>
      </c>
      <c r="D14" s="1"/>
    </row>
    <row r="15" spans="1:7" x14ac:dyDescent="0.2">
      <c r="A15" s="1" t="s">
        <v>98</v>
      </c>
      <c r="B15" s="1"/>
      <c r="C15" s="1"/>
      <c r="D15" s="1"/>
    </row>
    <row r="16" spans="1:7" x14ac:dyDescent="0.2">
      <c r="A16" s="1"/>
      <c r="B16" s="1" t="s">
        <v>119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120</v>
      </c>
      <c r="C19" s="1"/>
      <c r="D19" s="1"/>
    </row>
    <row r="20" spans="1:4" x14ac:dyDescent="0.2">
      <c r="A20" s="1"/>
      <c r="B20" s="1" t="s">
        <v>129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121</v>
      </c>
      <c r="C23" s="1"/>
      <c r="D23" s="1"/>
    </row>
    <row r="24" spans="1:4" x14ac:dyDescent="0.2">
      <c r="A24" s="1"/>
      <c r="B24" s="1"/>
      <c r="C24" s="1" t="s">
        <v>134</v>
      </c>
      <c r="D24" s="1"/>
    </row>
    <row r="25" spans="1:4" x14ac:dyDescent="0.2">
      <c r="A25" s="1" t="s">
        <v>128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/>
    </row>
    <row r="27" spans="1:4" x14ac:dyDescent="0.2">
      <c r="A27" s="1"/>
      <c r="B27" s="1"/>
      <c r="C27" s="1" t="s">
        <v>136</v>
      </c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/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122</v>
      </c>
      <c r="C32" s="1"/>
      <c r="D32" s="1"/>
    </row>
    <row r="33" spans="1:4" x14ac:dyDescent="0.2">
      <c r="A33" s="1" t="s">
        <v>103</v>
      </c>
      <c r="B33" s="1"/>
      <c r="C33" s="1"/>
      <c r="D33" s="1"/>
    </row>
    <row r="34" spans="1:4" x14ac:dyDescent="0.2">
      <c r="A34" s="1"/>
      <c r="B34" s="1" t="s">
        <v>123</v>
      </c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 t="s">
        <v>124</v>
      </c>
      <c r="B36" s="1"/>
      <c r="C36" s="1"/>
      <c r="D36" s="1"/>
    </row>
    <row r="37" spans="1:4" x14ac:dyDescent="0.2">
      <c r="A37" s="1"/>
      <c r="B37" s="1" t="s">
        <v>125</v>
      </c>
      <c r="D37" s="1"/>
    </row>
    <row r="38" spans="1:4" x14ac:dyDescent="0.2">
      <c r="A38" s="1" t="s">
        <v>104</v>
      </c>
      <c r="B38" s="1"/>
    </row>
    <row r="39" spans="1:4" x14ac:dyDescent="0.2">
      <c r="B39" s="1" t="s">
        <v>126</v>
      </c>
    </row>
    <row r="41" spans="1:4" x14ac:dyDescent="0.2">
      <c r="A41" s="1" t="s">
        <v>127</v>
      </c>
    </row>
    <row r="42" spans="1:4" x14ac:dyDescent="0.2">
      <c r="B42" s="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30" sqref="S130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2026-01-02T00:57:06Z</dcterms:modified>
</cp:coreProperties>
</file>